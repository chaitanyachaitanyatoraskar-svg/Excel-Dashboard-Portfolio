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chaitanya/Documents/"/>
    </mc:Choice>
  </mc:AlternateContent>
  <xr:revisionPtr revIDLastSave="0" documentId="8_{8DC3097E-78D4-194A-82DB-D526CBFDE771}" xr6:coauthVersionLast="47" xr6:coauthVersionMax="47" xr10:uidLastSave="{00000000-0000-0000-0000-000000000000}"/>
  <bookViews>
    <workbookView xWindow="0" yWindow="660" windowWidth="29400" windowHeight="17040" xr2:uid="{08F7DF0E-6F7D-0B47-B599-6EF39E942FE4}"/>
  </bookViews>
  <sheets>
    <sheet name="customers_500" sheetId="4" r:id="rId1"/>
    <sheet name="products_50" sheetId="3" r:id="rId2"/>
    <sheet name="sales_5000" sheetId="2" r:id="rId3"/>
    <sheet name="EXECUTIVE OVERVIEW" sheetId="1" r:id="rId4"/>
    <sheet name="CUSTOMER ANALYTICS" sheetId="9" r:id="rId5"/>
    <sheet name="PRODUCT ANALYTICS" sheetId="11" r:id="rId6"/>
    <sheet name="Sheet9" sheetId="12" state="hidden" r:id="rId7"/>
    <sheet name="Sheet7" sheetId="10" state="hidden" r:id="rId8"/>
    <sheet name="Sheet3" sheetId="6" state="hidden" r:id="rId9"/>
  </sheets>
  <definedNames>
    <definedName name="ExternalData_1" localSheetId="2" hidden="1">sales_5000!$A$1:$K$5001</definedName>
    <definedName name="ExternalData_2" localSheetId="1" hidden="1">products_50!$A$1:$C$51</definedName>
    <definedName name="ExternalData_3" localSheetId="0" hidden="1">'customers_500'!$A$1:$C$501</definedName>
    <definedName name="NativeTimeline_Date1">#N/A</definedName>
    <definedName name="Slicer_Category2">#N/A</definedName>
    <definedName name="Slicer_Industry">#N/A</definedName>
    <definedName name="Slicer_Product_ID">#N/A</definedName>
    <definedName name="Slicer_Product_Name">#N/A</definedName>
    <definedName name="Slicer_Quarters__Date">#N/A</definedName>
    <definedName name="Slicer_Years__Date1">#N/A</definedName>
  </definedNames>
  <calcPr calcId="181029"/>
  <pivotCaches>
    <pivotCache cacheId="4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3" i="11" l="1"/>
  <c r="E3" i="11"/>
  <c r="D3" i="9"/>
  <c r="P3" i="1"/>
  <c r="M3" i="1"/>
  <c r="J3" i="1"/>
  <c r="G3" i="1"/>
  <c r="D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937449-587C-F84C-AA9F-F7F7E9C72FF1}" keepAlive="1" name="Query - customers_500" description="Connection to the 'customers_500' query in the workbook." type="5" refreshedVersion="8" background="1" saveData="1">
    <dbPr connection="Provider=Microsoft.Mashup.OleDb.1;Data Source=$Workbook$;Location=customers_500;Extended Properties=&quot;&quot;" command="SELECT * FROM [customers_500]"/>
  </connection>
  <connection id="2" xr16:uid="{8AFF3A10-76EA-EC4F-9FEE-F1F998DE40F2}" keepAlive="1" name="Query - products_50" description="Connection to the 'products_50' query in the workbook." type="5" refreshedVersion="8" background="1" saveData="1">
    <dbPr connection="Provider=Microsoft.Mashup.OleDb.1;Data Source=$Workbook$;Location=products_50;Extended Properties=&quot;&quot;" command="SELECT * FROM [products_50]"/>
  </connection>
  <connection id="3" xr16:uid="{7F9F032D-19E4-0143-A9E2-F7D0259E41A9}" keepAlive="1" name="Query - sales_5000" description="Connection to the 'sales_5000' query in the workbook." type="5" refreshedVersion="8" background="1" saveData="1">
    <dbPr connection="Provider=Microsoft.Mashup.OleDb.1;Data Source=$Workbook$;Location=sales_5000;Extended Properties=&quot;&quot;" command="SELECT * FROM [sales_5000]"/>
  </connection>
</connections>
</file>

<file path=xl/sharedStrings.xml><?xml version="1.0" encoding="utf-8"?>
<sst xmlns="http://schemas.openxmlformats.org/spreadsheetml/2006/main" count="36907" uniqueCount="6147">
  <si>
    <t>Order_ID</t>
  </si>
  <si>
    <t>Date</t>
  </si>
  <si>
    <t>Customer_ID</t>
  </si>
  <si>
    <t>Customer_Name</t>
  </si>
  <si>
    <t>Industry</t>
  </si>
  <si>
    <t>Product_ID</t>
  </si>
  <si>
    <t>Product_Name</t>
  </si>
  <si>
    <t>Category</t>
  </si>
  <si>
    <t>Quantity</t>
  </si>
  <si>
    <t>Unit_Price</t>
  </si>
  <si>
    <t>Revenue</t>
  </si>
  <si>
    <t>ORD00001</t>
  </si>
  <si>
    <t>C198</t>
  </si>
  <si>
    <t>Customer 198</t>
  </si>
  <si>
    <t>Automotive</t>
  </si>
  <si>
    <t>P012</t>
  </si>
  <si>
    <t>TT Product 12</t>
  </si>
  <si>
    <t>Terminal</t>
  </si>
  <si>
    <t>ORD00002</t>
  </si>
  <si>
    <t>C196</t>
  </si>
  <si>
    <t>Customer 196</t>
  </si>
  <si>
    <t>Appliance</t>
  </si>
  <si>
    <t>P041</t>
  </si>
  <si>
    <t>TT Product 41</t>
  </si>
  <si>
    <t>Connector</t>
  </si>
  <si>
    <t>ORD00003</t>
  </si>
  <si>
    <t>C411</t>
  </si>
  <si>
    <t>Customer 411</t>
  </si>
  <si>
    <t>Electronics</t>
  </si>
  <si>
    <t>P046</t>
  </si>
  <si>
    <t>TT Product 46</t>
  </si>
  <si>
    <t>ORD00004</t>
  </si>
  <si>
    <t>C472</t>
  </si>
  <si>
    <t>Customer 472</t>
  </si>
  <si>
    <t>EV</t>
  </si>
  <si>
    <t>P048</t>
  </si>
  <si>
    <t>TT Product 48</t>
  </si>
  <si>
    <t>Electrical</t>
  </si>
  <si>
    <t>ORD00005</t>
  </si>
  <si>
    <t>C271</t>
  </si>
  <si>
    <t>Customer 271</t>
  </si>
  <si>
    <t>P031</t>
  </si>
  <si>
    <t>TT Product 31</t>
  </si>
  <si>
    <t>ORD00006</t>
  </si>
  <si>
    <t>C393</t>
  </si>
  <si>
    <t>Customer 393</t>
  </si>
  <si>
    <t>P050</t>
  </si>
  <si>
    <t>TT Product 50</t>
  </si>
  <si>
    <t>Relay</t>
  </si>
  <si>
    <t>ORD00007</t>
  </si>
  <si>
    <t>C444</t>
  </si>
  <si>
    <t>Customer 444</t>
  </si>
  <si>
    <t>P042</t>
  </si>
  <si>
    <t>TT Product 42</t>
  </si>
  <si>
    <t>ORD00008</t>
  </si>
  <si>
    <t>C368</t>
  </si>
  <si>
    <t>Customer 368</t>
  </si>
  <si>
    <t>P035</t>
  </si>
  <si>
    <t>TT Product 35</t>
  </si>
  <si>
    <t>ORD00009</t>
  </si>
  <si>
    <t>C121</t>
  </si>
  <si>
    <t>Customer 121</t>
  </si>
  <si>
    <t>ORD00010</t>
  </si>
  <si>
    <t>C362</t>
  </si>
  <si>
    <t>Customer 362</t>
  </si>
  <si>
    <t>P030</t>
  </si>
  <si>
    <t>TT Product 30</t>
  </si>
  <si>
    <t>ORD00011</t>
  </si>
  <si>
    <t>C314</t>
  </si>
  <si>
    <t>Customer 314</t>
  </si>
  <si>
    <t>P024</t>
  </si>
  <si>
    <t>TT Product 24</t>
  </si>
  <si>
    <t>EV Components</t>
  </si>
  <si>
    <t>ORD00012</t>
  </si>
  <si>
    <t>C420</t>
  </si>
  <si>
    <t>Customer 420</t>
  </si>
  <si>
    <t>P010</t>
  </si>
  <si>
    <t>TT Product 10</t>
  </si>
  <si>
    <t>ORD00013</t>
  </si>
  <si>
    <t>C239</t>
  </si>
  <si>
    <t>Customer 239</t>
  </si>
  <si>
    <t>P004</t>
  </si>
  <si>
    <t>TT Product 4</t>
  </si>
  <si>
    <t>ORD00014</t>
  </si>
  <si>
    <t>C065</t>
  </si>
  <si>
    <t>Customer 65</t>
  </si>
  <si>
    <t>ORD00015</t>
  </si>
  <si>
    <t>C432</t>
  </si>
  <si>
    <t>Customer 432</t>
  </si>
  <si>
    <t>ORD00016</t>
  </si>
  <si>
    <t>C345</t>
  </si>
  <si>
    <t>Customer 345</t>
  </si>
  <si>
    <t>ORD00017</t>
  </si>
  <si>
    <t>C402</t>
  </si>
  <si>
    <t>Customer 402</t>
  </si>
  <si>
    <t>ORD00018</t>
  </si>
  <si>
    <t>C460</t>
  </si>
  <si>
    <t>Customer 460</t>
  </si>
  <si>
    <t>P039</t>
  </si>
  <si>
    <t>TT Product 39</t>
  </si>
  <si>
    <t>ORD00019</t>
  </si>
  <si>
    <t>C015</t>
  </si>
  <si>
    <t>Customer 15</t>
  </si>
  <si>
    <t>P023</t>
  </si>
  <si>
    <t>TT Product 23</t>
  </si>
  <si>
    <t>ORD00020</t>
  </si>
  <si>
    <t>C034</t>
  </si>
  <si>
    <t>Customer 34</t>
  </si>
  <si>
    <t>P043</t>
  </si>
  <si>
    <t>TT Product 43</t>
  </si>
  <si>
    <t>ORD00021</t>
  </si>
  <si>
    <t>C102</t>
  </si>
  <si>
    <t>Customer 102</t>
  </si>
  <si>
    <t>P003</t>
  </si>
  <si>
    <t>TT Product 3</t>
  </si>
  <si>
    <t>ORD00022</t>
  </si>
  <si>
    <t>C104</t>
  </si>
  <si>
    <t>Customer 104</t>
  </si>
  <si>
    <t>ORD00023</t>
  </si>
  <si>
    <t>C412</t>
  </si>
  <si>
    <t>Customer 412</t>
  </si>
  <si>
    <t>ORD00024</t>
  </si>
  <si>
    <t>C466</t>
  </si>
  <si>
    <t>Customer 466</t>
  </si>
  <si>
    <t>ORD00025</t>
  </si>
  <si>
    <t>C211</t>
  </si>
  <si>
    <t>Customer 211</t>
  </si>
  <si>
    <t>ORD00026</t>
  </si>
  <si>
    <t>C236</t>
  </si>
  <si>
    <t>Customer 236</t>
  </si>
  <si>
    <t>ORD00027</t>
  </si>
  <si>
    <t>C174</t>
  </si>
  <si>
    <t>Customer 174</t>
  </si>
  <si>
    <t>ORD00028</t>
  </si>
  <si>
    <t>C156</t>
  </si>
  <si>
    <t>Customer 156</t>
  </si>
  <si>
    <t>ORD00029</t>
  </si>
  <si>
    <t>C011</t>
  </si>
  <si>
    <t>Customer 11</t>
  </si>
  <si>
    <t>P011</t>
  </si>
  <si>
    <t>TT Product 11</t>
  </si>
  <si>
    <t>ORD00030</t>
  </si>
  <si>
    <t>C175</t>
  </si>
  <si>
    <t>Customer 175</t>
  </si>
  <si>
    <t>P026</t>
  </si>
  <si>
    <t>TT Product 26</t>
  </si>
  <si>
    <t>ORD00031</t>
  </si>
  <si>
    <t>C029</t>
  </si>
  <si>
    <t>Customer 29</t>
  </si>
  <si>
    <t>ORD00032</t>
  </si>
  <si>
    <t>C359</t>
  </si>
  <si>
    <t>Customer 359</t>
  </si>
  <si>
    <t>P032</t>
  </si>
  <si>
    <t>TT Product 32</t>
  </si>
  <si>
    <t>ORD00033</t>
  </si>
  <si>
    <t>C491</t>
  </si>
  <si>
    <t>Customer 491</t>
  </si>
  <si>
    <t>P040</t>
  </si>
  <si>
    <t>TT Product 40</t>
  </si>
  <si>
    <t>ORD00034</t>
  </si>
  <si>
    <t>C475</t>
  </si>
  <si>
    <t>Customer 475</t>
  </si>
  <si>
    <t>ORD00035</t>
  </si>
  <si>
    <t>C225</t>
  </si>
  <si>
    <t>Customer 225</t>
  </si>
  <si>
    <t>P036</t>
  </si>
  <si>
    <t>TT Product 36</t>
  </si>
  <si>
    <t>ORD00036</t>
  </si>
  <si>
    <t>C376</t>
  </si>
  <si>
    <t>Customer 376</t>
  </si>
  <si>
    <t>ORD00037</t>
  </si>
  <si>
    <t>C259</t>
  </si>
  <si>
    <t>Customer 259</t>
  </si>
  <si>
    <t>ORD00038</t>
  </si>
  <si>
    <t>C146</t>
  </si>
  <si>
    <t>Customer 146</t>
  </si>
  <si>
    <t>P038</t>
  </si>
  <si>
    <t>TT Product 38</t>
  </si>
  <si>
    <t>ORD00039</t>
  </si>
  <si>
    <t>C062</t>
  </si>
  <si>
    <t>Customer 62</t>
  </si>
  <si>
    <t>ORD00040</t>
  </si>
  <si>
    <t>C100</t>
  </si>
  <si>
    <t>Customer 100</t>
  </si>
  <si>
    <t>P047</t>
  </si>
  <si>
    <t>TT Product 47</t>
  </si>
  <si>
    <t>ORD00041</t>
  </si>
  <si>
    <t>C036</t>
  </si>
  <si>
    <t>Customer 36</t>
  </si>
  <si>
    <t>P027</t>
  </si>
  <si>
    <t>TT Product 27</t>
  </si>
  <si>
    <t>ORD00042</t>
  </si>
  <si>
    <t>C078</t>
  </si>
  <si>
    <t>Customer 78</t>
  </si>
  <si>
    <t>ORD00043</t>
  </si>
  <si>
    <t>P005</t>
  </si>
  <si>
    <t>TT Product 5</t>
  </si>
  <si>
    <t>ORD00044</t>
  </si>
  <si>
    <t>C009</t>
  </si>
  <si>
    <t>Customer 9</t>
  </si>
  <si>
    <t>ORD00045</t>
  </si>
  <si>
    <t>C219</t>
  </si>
  <si>
    <t>Customer 219</t>
  </si>
  <si>
    <t>P044</t>
  </si>
  <si>
    <t>TT Product 44</t>
  </si>
  <si>
    <t>ORD00046</t>
  </si>
  <si>
    <t>C087</t>
  </si>
  <si>
    <t>Customer 87</t>
  </si>
  <si>
    <t>P037</t>
  </si>
  <si>
    <t>TT Product 37</t>
  </si>
  <si>
    <t>ORD00047</t>
  </si>
  <si>
    <t>C408</t>
  </si>
  <si>
    <t>Customer 408</t>
  </si>
  <si>
    <t>ORD00048</t>
  </si>
  <si>
    <t>ORD00049</t>
  </si>
  <si>
    <t>C229</t>
  </si>
  <si>
    <t>Customer 229</t>
  </si>
  <si>
    <t>P009</t>
  </si>
  <si>
    <t>TT Product 9</t>
  </si>
  <si>
    <t>ORD00050</t>
  </si>
  <si>
    <t>C216</t>
  </si>
  <si>
    <t>Customer 216</t>
  </si>
  <si>
    <t>ORD00051</t>
  </si>
  <si>
    <t>C330</t>
  </si>
  <si>
    <t>Customer 330</t>
  </si>
  <si>
    <t>ORD00052</t>
  </si>
  <si>
    <t>C297</t>
  </si>
  <si>
    <t>Customer 297</t>
  </si>
  <si>
    <t>P045</t>
  </si>
  <si>
    <t>TT Product 45</t>
  </si>
  <si>
    <t>ORD00053</t>
  </si>
  <si>
    <t>C406</t>
  </si>
  <si>
    <t>Customer 406</t>
  </si>
  <si>
    <t>ORD00054</t>
  </si>
  <si>
    <t>ORD00055</t>
  </si>
  <si>
    <t>C226</t>
  </si>
  <si>
    <t>Customer 226</t>
  </si>
  <si>
    <t>P002</t>
  </si>
  <si>
    <t>TT Product 2</t>
  </si>
  <si>
    <t>ORD00056</t>
  </si>
  <si>
    <t>C387</t>
  </si>
  <si>
    <t>Customer 387</t>
  </si>
  <si>
    <t>ORD00057</t>
  </si>
  <si>
    <t>C208</t>
  </si>
  <si>
    <t>Customer 208</t>
  </si>
  <si>
    <t>ORD00058</t>
  </si>
  <si>
    <t>C124</t>
  </si>
  <si>
    <t>Customer 124</t>
  </si>
  <si>
    <t>ORD00059</t>
  </si>
  <si>
    <t>C094</t>
  </si>
  <si>
    <t>Customer 94</t>
  </si>
  <si>
    <t>P049</t>
  </si>
  <si>
    <t>TT Product 49</t>
  </si>
  <si>
    <t>ORD00060</t>
  </si>
  <si>
    <t>C481</t>
  </si>
  <si>
    <t>Customer 481</t>
  </si>
  <si>
    <t>ORD00061</t>
  </si>
  <si>
    <t>C424</t>
  </si>
  <si>
    <t>Customer 424</t>
  </si>
  <si>
    <t>ORD00062</t>
  </si>
  <si>
    <t>C479</t>
  </si>
  <si>
    <t>Customer 479</t>
  </si>
  <si>
    <t>ORD00063</t>
  </si>
  <si>
    <t>P022</t>
  </si>
  <si>
    <t>TT Product 22</t>
  </si>
  <si>
    <t>ORD00064</t>
  </si>
  <si>
    <t>C403</t>
  </si>
  <si>
    <t>Customer 403</t>
  </si>
  <si>
    <t>P029</t>
  </si>
  <si>
    <t>TT Product 29</t>
  </si>
  <si>
    <t>ORD00065</t>
  </si>
  <si>
    <t>C435</t>
  </si>
  <si>
    <t>Customer 435</t>
  </si>
  <si>
    <t>P021</t>
  </si>
  <si>
    <t>TT Product 21</t>
  </si>
  <si>
    <t>ORD00066</t>
  </si>
  <si>
    <t>C463</t>
  </si>
  <si>
    <t>Customer 463</t>
  </si>
  <si>
    <t>ORD00067</t>
  </si>
  <si>
    <t>C361</t>
  </si>
  <si>
    <t>Customer 361</t>
  </si>
  <si>
    <t>ORD00068</t>
  </si>
  <si>
    <t>C398</t>
  </si>
  <si>
    <t>Customer 398</t>
  </si>
  <si>
    <t>P028</t>
  </si>
  <si>
    <t>TT Product 28</t>
  </si>
  <si>
    <t>ORD00069</t>
  </si>
  <si>
    <t>C250</t>
  </si>
  <si>
    <t>Customer 250</t>
  </si>
  <si>
    <t>ORD00070</t>
  </si>
  <si>
    <t>ORD00071</t>
  </si>
  <si>
    <t>C264</t>
  </si>
  <si>
    <t>Customer 264</t>
  </si>
  <si>
    <t>ORD00072</t>
  </si>
  <si>
    <t>C051</t>
  </si>
  <si>
    <t>Customer 51</t>
  </si>
  <si>
    <t>ORD00073</t>
  </si>
  <si>
    <t>C135</t>
  </si>
  <si>
    <t>Customer 135</t>
  </si>
  <si>
    <t>ORD00074</t>
  </si>
  <si>
    <t>C498</t>
  </si>
  <si>
    <t>Customer 498</t>
  </si>
  <si>
    <t>ORD00075</t>
  </si>
  <si>
    <t>C228</t>
  </si>
  <si>
    <t>Customer 228</t>
  </si>
  <si>
    <t>ORD00076</t>
  </si>
  <si>
    <t>ORD00077</t>
  </si>
  <si>
    <t>C407</t>
  </si>
  <si>
    <t>Customer 407</t>
  </si>
  <si>
    <t>ORD00078</t>
  </si>
  <si>
    <t>C133</t>
  </si>
  <si>
    <t>Customer 133</t>
  </si>
  <si>
    <t>ORD00079</t>
  </si>
  <si>
    <t>C363</t>
  </si>
  <si>
    <t>Customer 363</t>
  </si>
  <si>
    <t>ORD00080</t>
  </si>
  <si>
    <t>C440</t>
  </si>
  <si>
    <t>Customer 440</t>
  </si>
  <si>
    <t>ORD00081</t>
  </si>
  <si>
    <t>C118</t>
  </si>
  <si>
    <t>Customer 118</t>
  </si>
  <si>
    <t>ORD00082</t>
  </si>
  <si>
    <t>C232</t>
  </si>
  <si>
    <t>Customer 232</t>
  </si>
  <si>
    <t>P016</t>
  </si>
  <si>
    <t>TT Product 16</t>
  </si>
  <si>
    <t>ORD00083</t>
  </si>
  <si>
    <t>C468</t>
  </si>
  <si>
    <t>Customer 468</t>
  </si>
  <si>
    <t>ORD00084</t>
  </si>
  <si>
    <t>P014</t>
  </si>
  <si>
    <t>TT Product 14</t>
  </si>
  <si>
    <t>ORD00085</t>
  </si>
  <si>
    <t>C112</t>
  </si>
  <si>
    <t>Customer 112</t>
  </si>
  <si>
    <t>ORD00086</t>
  </si>
  <si>
    <t>C109</t>
  </si>
  <si>
    <t>Customer 109</t>
  </si>
  <si>
    <t>ORD00087</t>
  </si>
  <si>
    <t>P001</t>
  </si>
  <si>
    <t>TT Product 1</t>
  </si>
  <si>
    <t>ORD00088</t>
  </si>
  <si>
    <t>C089</t>
  </si>
  <si>
    <t>Customer 89</t>
  </si>
  <si>
    <t>ORD00089</t>
  </si>
  <si>
    <t>C020</t>
  </si>
  <si>
    <t>Customer 20</t>
  </si>
  <si>
    <t>ORD00090</t>
  </si>
  <si>
    <t>C355</t>
  </si>
  <si>
    <t>Customer 355</t>
  </si>
  <si>
    <t>P018</t>
  </si>
  <si>
    <t>TT Product 18</t>
  </si>
  <si>
    <t>ORD00091</t>
  </si>
  <si>
    <t>C496</t>
  </si>
  <si>
    <t>Customer 496</t>
  </si>
  <si>
    <t>ORD00092</t>
  </si>
  <si>
    <t>C088</t>
  </si>
  <si>
    <t>Customer 88</t>
  </si>
  <si>
    <t>ORD00093</t>
  </si>
  <si>
    <t>C013</t>
  </si>
  <si>
    <t>Customer 13</t>
  </si>
  <si>
    <t>ORD00094</t>
  </si>
  <si>
    <t>C195</t>
  </si>
  <si>
    <t>Customer 195</t>
  </si>
  <si>
    <t>ORD00095</t>
  </si>
  <si>
    <t>C500</t>
  </si>
  <si>
    <t>Customer 500</t>
  </si>
  <si>
    <t>ORD00096</t>
  </si>
  <si>
    <t>C477</t>
  </si>
  <si>
    <t>Customer 477</t>
  </si>
  <si>
    <t>ORD00097</t>
  </si>
  <si>
    <t>C019</t>
  </si>
  <si>
    <t>Customer 19</t>
  </si>
  <si>
    <t>ORD00098</t>
  </si>
  <si>
    <t>C183</t>
  </si>
  <si>
    <t>Customer 183</t>
  </si>
  <si>
    <t>ORD00099</t>
  </si>
  <si>
    <t>C212</t>
  </si>
  <si>
    <t>Customer 212</t>
  </si>
  <si>
    <t>ORD00100</t>
  </si>
  <si>
    <t>ORD00101</t>
  </si>
  <si>
    <t>ORD00102</t>
  </si>
  <si>
    <t>C097</t>
  </si>
  <si>
    <t>Customer 97</t>
  </si>
  <si>
    <t>ORD00103</t>
  </si>
  <si>
    <t>C360</t>
  </si>
  <si>
    <t>Customer 360</t>
  </si>
  <si>
    <t>ORD00104</t>
  </si>
  <si>
    <t>C181</t>
  </si>
  <si>
    <t>Customer 181</t>
  </si>
  <si>
    <t>ORD00105</t>
  </si>
  <si>
    <t>C145</t>
  </si>
  <si>
    <t>Customer 145</t>
  </si>
  <si>
    <t>ORD00106</t>
  </si>
  <si>
    <t>P015</t>
  </si>
  <si>
    <t>TT Product 15</t>
  </si>
  <si>
    <t>ORD00107</t>
  </si>
  <si>
    <t>C397</t>
  </si>
  <si>
    <t>Customer 397</t>
  </si>
  <si>
    <t>ORD00108</t>
  </si>
  <si>
    <t>C008</t>
  </si>
  <si>
    <t>Customer 8</t>
  </si>
  <si>
    <t>ORD00109</t>
  </si>
  <si>
    <t>ORD00110</t>
  </si>
  <si>
    <t>C354</t>
  </si>
  <si>
    <t>Customer 354</t>
  </si>
  <si>
    <t>P017</t>
  </si>
  <si>
    <t>TT Product 17</t>
  </si>
  <si>
    <t>ORD00111</t>
  </si>
  <si>
    <t>C272</t>
  </si>
  <si>
    <t>Customer 272</t>
  </si>
  <si>
    <t>ORD00112</t>
  </si>
  <si>
    <t>P034</t>
  </si>
  <si>
    <t>TT Product 34</t>
  </si>
  <si>
    <t>ORD00113</t>
  </si>
  <si>
    <t>C266</t>
  </si>
  <si>
    <t>Customer 266</t>
  </si>
  <si>
    <t>ORD00114</t>
  </si>
  <si>
    <t>C499</t>
  </si>
  <si>
    <t>Customer 499</t>
  </si>
  <si>
    <t>ORD00115</t>
  </si>
  <si>
    <t>C305</t>
  </si>
  <si>
    <t>Customer 305</t>
  </si>
  <si>
    <t>ORD00116</t>
  </si>
  <si>
    <t>C473</t>
  </si>
  <si>
    <t>Customer 473</t>
  </si>
  <si>
    <t>ORD00117</t>
  </si>
  <si>
    <t>C458</t>
  </si>
  <si>
    <t>Customer 458</t>
  </si>
  <si>
    <t>ORD00118</t>
  </si>
  <si>
    <t>ORD00119</t>
  </si>
  <si>
    <t>C341</t>
  </si>
  <si>
    <t>Customer 341</t>
  </si>
  <si>
    <t>ORD00120</t>
  </si>
  <si>
    <t>C443</t>
  </si>
  <si>
    <t>Customer 443</t>
  </si>
  <si>
    <t>P006</t>
  </si>
  <si>
    <t>TT Product 6</t>
  </si>
  <si>
    <t>ORD00121</t>
  </si>
  <si>
    <t>C194</t>
  </si>
  <si>
    <t>Customer 194</t>
  </si>
  <si>
    <t>ORD00122</t>
  </si>
  <si>
    <t>C134</t>
  </si>
  <si>
    <t>Customer 134</t>
  </si>
  <si>
    <t>ORD00123</t>
  </si>
  <si>
    <t>C187</t>
  </si>
  <si>
    <t>Customer 187</t>
  </si>
  <si>
    <t>ORD00124</t>
  </si>
  <si>
    <t>C067</t>
  </si>
  <si>
    <t>Customer 67</t>
  </si>
  <si>
    <t>ORD00125</t>
  </si>
  <si>
    <t>C421</t>
  </si>
  <si>
    <t>Customer 421</t>
  </si>
  <si>
    <t>ORD00126</t>
  </si>
  <si>
    <t>ORD00127</t>
  </si>
  <si>
    <t>ORD00128</t>
  </si>
  <si>
    <t>C252</t>
  </si>
  <si>
    <t>Customer 252</t>
  </si>
  <si>
    <t>P019</t>
  </si>
  <si>
    <t>TT Product 19</t>
  </si>
  <si>
    <t>ORD00129</t>
  </si>
  <si>
    <t>C068</t>
  </si>
  <si>
    <t>Customer 68</t>
  </si>
  <si>
    <t>P033</t>
  </si>
  <si>
    <t>TT Product 33</t>
  </si>
  <si>
    <t>ORD00130</t>
  </si>
  <si>
    <t>C381</t>
  </si>
  <si>
    <t>Customer 381</t>
  </si>
  <si>
    <t>ORD00131</t>
  </si>
  <si>
    <t>C110</t>
  </si>
  <si>
    <t>Customer 110</t>
  </si>
  <si>
    <t>ORD00132</t>
  </si>
  <si>
    <t>C441</t>
  </si>
  <si>
    <t>Customer 441</t>
  </si>
  <si>
    <t>P025</t>
  </si>
  <si>
    <t>TT Product 25</t>
  </si>
  <si>
    <t>ORD00133</t>
  </si>
  <si>
    <t>ORD00134</t>
  </si>
  <si>
    <t>C286</t>
  </si>
  <si>
    <t>Customer 286</t>
  </si>
  <si>
    <t>ORD00135</t>
  </si>
  <si>
    <t>C158</t>
  </si>
  <si>
    <t>Customer 158</t>
  </si>
  <si>
    <t>ORD00136</t>
  </si>
  <si>
    <t>ORD00137</t>
  </si>
  <si>
    <t>ORD00138</t>
  </si>
  <si>
    <t>ORD00139</t>
  </si>
  <si>
    <t>C464</t>
  </si>
  <si>
    <t>Customer 464</t>
  </si>
  <si>
    <t>ORD00140</t>
  </si>
  <si>
    <t>ORD00141</t>
  </si>
  <si>
    <t>ORD00142</t>
  </si>
  <si>
    <t>C200</t>
  </si>
  <si>
    <t>Customer 200</t>
  </si>
  <si>
    <t>ORD00143</t>
  </si>
  <si>
    <t>C101</t>
  </si>
  <si>
    <t>Customer 101</t>
  </si>
  <si>
    <t>ORD00144</t>
  </si>
  <si>
    <t>C152</t>
  </si>
  <si>
    <t>Customer 152</t>
  </si>
  <si>
    <t>ORD00145</t>
  </si>
  <si>
    <t>ORD00146</t>
  </si>
  <si>
    <t>C119</t>
  </si>
  <si>
    <t>Customer 119</t>
  </si>
  <si>
    <t>ORD00147</t>
  </si>
  <si>
    <t>C262</t>
  </si>
  <si>
    <t>Customer 262</t>
  </si>
  <si>
    <t>ORD00148</t>
  </si>
  <si>
    <t>C484</t>
  </si>
  <si>
    <t>Customer 484</t>
  </si>
  <si>
    <t>P007</t>
  </si>
  <si>
    <t>TT Product 7</t>
  </si>
  <si>
    <t>ORD00149</t>
  </si>
  <si>
    <t>ORD00150</t>
  </si>
  <si>
    <t>C184</t>
  </si>
  <si>
    <t>Customer 184</t>
  </si>
  <si>
    <t>ORD00151</t>
  </si>
  <si>
    <t>C275</t>
  </si>
  <si>
    <t>Customer 275</t>
  </si>
  <si>
    <t>ORD00152</t>
  </si>
  <si>
    <t>C193</t>
  </si>
  <si>
    <t>Customer 193</t>
  </si>
  <si>
    <t>ORD00153</t>
  </si>
  <si>
    <t>C311</t>
  </si>
  <si>
    <t>Customer 311</t>
  </si>
  <si>
    <t>ORD00154</t>
  </si>
  <si>
    <t>C054</t>
  </si>
  <si>
    <t>Customer 54</t>
  </si>
  <si>
    <t>ORD00155</t>
  </si>
  <si>
    <t>C083</t>
  </si>
  <si>
    <t>Customer 83</t>
  </si>
  <si>
    <t>ORD00156</t>
  </si>
  <si>
    <t>C467</t>
  </si>
  <si>
    <t>Customer 467</t>
  </si>
  <si>
    <t>ORD00157</t>
  </si>
  <si>
    <t>C315</t>
  </si>
  <si>
    <t>Customer 315</t>
  </si>
  <si>
    <t>ORD00158</t>
  </si>
  <si>
    <t>C003</t>
  </si>
  <si>
    <t>Customer 3</t>
  </si>
  <si>
    <t>P008</t>
  </si>
  <si>
    <t>TT Product 8</t>
  </si>
  <si>
    <t>ORD00159</t>
  </si>
  <si>
    <t>C014</t>
  </si>
  <si>
    <t>Customer 14</t>
  </si>
  <si>
    <t>ORD00160</t>
  </si>
  <si>
    <t>C334</t>
  </si>
  <si>
    <t>Customer 334</t>
  </si>
  <si>
    <t>ORD00161</t>
  </si>
  <si>
    <t>ORD00162</t>
  </si>
  <si>
    <t>C382</t>
  </si>
  <si>
    <t>Customer 382</t>
  </si>
  <si>
    <t>P013</t>
  </si>
  <si>
    <t>TT Product 13</t>
  </si>
  <si>
    <t>ORD00163</t>
  </si>
  <si>
    <t>C245</t>
  </si>
  <si>
    <t>Customer 245</t>
  </si>
  <si>
    <t>ORD00164</t>
  </si>
  <si>
    <t>ORD00165</t>
  </si>
  <si>
    <t>C188</t>
  </si>
  <si>
    <t>Customer 188</t>
  </si>
  <si>
    <t>ORD00166</t>
  </si>
  <si>
    <t>ORD00167</t>
  </si>
  <si>
    <t>C017</t>
  </si>
  <si>
    <t>Customer 17</t>
  </si>
  <si>
    <t>ORD00168</t>
  </si>
  <si>
    <t>C465</t>
  </si>
  <si>
    <t>Customer 465</t>
  </si>
  <si>
    <t>ORD00169</t>
  </si>
  <si>
    <t>ORD00170</t>
  </si>
  <si>
    <t>C490</t>
  </si>
  <si>
    <t>Customer 490</t>
  </si>
  <si>
    <t>ORD00171</t>
  </si>
  <si>
    <t>C251</t>
  </si>
  <si>
    <t>Customer 251</t>
  </si>
  <si>
    <t>ORD00172</t>
  </si>
  <si>
    <t>C255</t>
  </si>
  <si>
    <t>Customer 255</t>
  </si>
  <si>
    <t>ORD00173</t>
  </si>
  <si>
    <t>ORD00174</t>
  </si>
  <si>
    <t>C425</t>
  </si>
  <si>
    <t>Customer 425</t>
  </si>
  <si>
    <t>ORD00175</t>
  </si>
  <si>
    <t>C217</t>
  </si>
  <si>
    <t>Customer 217</t>
  </si>
  <si>
    <t>ORD00176</t>
  </si>
  <si>
    <t>ORD00177</t>
  </si>
  <si>
    <t>C447</t>
  </si>
  <si>
    <t>Customer 447</t>
  </si>
  <si>
    <t>ORD00178</t>
  </si>
  <si>
    <t>C224</t>
  </si>
  <si>
    <t>Customer 224</t>
  </si>
  <si>
    <t>ORD00179</t>
  </si>
  <si>
    <t>C452</t>
  </si>
  <si>
    <t>Customer 452</t>
  </si>
  <si>
    <t>ORD00180</t>
  </si>
  <si>
    <t>C308</t>
  </si>
  <si>
    <t>Customer 308</t>
  </si>
  <si>
    <t>ORD00181</t>
  </si>
  <si>
    <t>C033</t>
  </si>
  <si>
    <t>Customer 33</t>
  </si>
  <si>
    <t>ORD00182</t>
  </si>
  <si>
    <t>C028</t>
  </si>
  <si>
    <t>Customer 28</t>
  </si>
  <si>
    <t>ORD00183</t>
  </si>
  <si>
    <t>C415</t>
  </si>
  <si>
    <t>Customer 415</t>
  </si>
  <si>
    <t>ORD00184</t>
  </si>
  <si>
    <t>C260</t>
  </si>
  <si>
    <t>Customer 260</t>
  </si>
  <si>
    <t>ORD00185</t>
  </si>
  <si>
    <t>ORD00186</t>
  </si>
  <si>
    <t>ORD00187</t>
  </si>
  <si>
    <t>C192</t>
  </si>
  <si>
    <t>Customer 192</t>
  </si>
  <si>
    <t>ORD00188</t>
  </si>
  <si>
    <t>ORD00189</t>
  </si>
  <si>
    <t>C365</t>
  </si>
  <si>
    <t>Customer 365</t>
  </si>
  <si>
    <t>ORD00190</t>
  </si>
  <si>
    <t>ORD00191</t>
  </si>
  <si>
    <t>ORD00192</t>
  </si>
  <si>
    <t>ORD00193</t>
  </si>
  <si>
    <t>ORD00194</t>
  </si>
  <si>
    <t>ORD00195</t>
  </si>
  <si>
    <t>C419</t>
  </si>
  <si>
    <t>Customer 419</t>
  </si>
  <si>
    <t>ORD00196</t>
  </si>
  <si>
    <t>C220</t>
  </si>
  <si>
    <t>Customer 220</t>
  </si>
  <si>
    <t>ORD00197</t>
  </si>
  <si>
    <t>ORD00198</t>
  </si>
  <si>
    <t>ORD00199</t>
  </si>
  <si>
    <t>C277</t>
  </si>
  <si>
    <t>Customer 277</t>
  </si>
  <si>
    <t>ORD00200</t>
  </si>
  <si>
    <t>C182</t>
  </si>
  <si>
    <t>Customer 182</t>
  </si>
  <si>
    <t>ORD00201</t>
  </si>
  <si>
    <t>C471</t>
  </si>
  <si>
    <t>Customer 471</t>
  </si>
  <si>
    <t>ORD00202</t>
  </si>
  <si>
    <t>ORD00203</t>
  </si>
  <si>
    <t>C057</t>
  </si>
  <si>
    <t>Customer 57</t>
  </si>
  <si>
    <t>ORD00204</t>
  </si>
  <si>
    <t>ORD00205</t>
  </si>
  <si>
    <t>ORD00206</t>
  </si>
  <si>
    <t>C352</t>
  </si>
  <si>
    <t>Customer 352</t>
  </si>
  <si>
    <t>ORD00207</t>
  </si>
  <si>
    <t>C426</t>
  </si>
  <si>
    <t>Customer 426</t>
  </si>
  <si>
    <t>ORD00208</t>
  </si>
  <si>
    <t>C461</t>
  </si>
  <si>
    <t>Customer 461</t>
  </si>
  <si>
    <t>ORD00209</t>
  </si>
  <si>
    <t>C377</t>
  </si>
  <si>
    <t>Customer 377</t>
  </si>
  <si>
    <t>ORD00210</t>
  </si>
  <si>
    <t>C302</t>
  </si>
  <si>
    <t>Customer 302</t>
  </si>
  <si>
    <t>ORD00211</t>
  </si>
  <si>
    <t>ORD00212</t>
  </si>
  <si>
    <t>C331</t>
  </si>
  <si>
    <t>Customer 331</t>
  </si>
  <si>
    <t>ORD00213</t>
  </si>
  <si>
    <t>ORD00214</t>
  </si>
  <si>
    <t>ORD00215</t>
  </si>
  <si>
    <t>C453</t>
  </si>
  <si>
    <t>Customer 453</t>
  </si>
  <si>
    <t>ORD00216</t>
  </si>
  <si>
    <t>C161</t>
  </si>
  <si>
    <t>Customer 161</t>
  </si>
  <si>
    <t>ORD00217</t>
  </si>
  <si>
    <t>ORD00218</t>
  </si>
  <si>
    <t>ORD00219</t>
  </si>
  <si>
    <t>ORD00220</t>
  </si>
  <si>
    <t>C016</t>
  </si>
  <si>
    <t>Customer 16</t>
  </si>
  <si>
    <t>ORD00221</t>
  </si>
  <si>
    <t>C346</t>
  </si>
  <si>
    <t>Customer 346</t>
  </si>
  <si>
    <t>ORD00222</t>
  </si>
  <si>
    <t>C267</t>
  </si>
  <si>
    <t>Customer 267</t>
  </si>
  <si>
    <t>ORD00223</t>
  </si>
  <si>
    <t>ORD00224</t>
  </si>
  <si>
    <t>C233</t>
  </si>
  <si>
    <t>Customer 233</t>
  </si>
  <si>
    <t>ORD00225</t>
  </si>
  <si>
    <t>ORD00226</t>
  </si>
  <si>
    <t>C045</t>
  </si>
  <si>
    <t>Customer 45</t>
  </si>
  <si>
    <t>ORD00227</t>
  </si>
  <si>
    <t>C042</t>
  </si>
  <si>
    <t>Customer 42</t>
  </si>
  <si>
    <t>ORD00228</t>
  </si>
  <si>
    <t>C221</t>
  </si>
  <si>
    <t>Customer 221</t>
  </si>
  <si>
    <t>ORD00229</t>
  </si>
  <si>
    <t>ORD00230</t>
  </si>
  <si>
    <t>C288</t>
  </si>
  <si>
    <t>Customer 288</t>
  </si>
  <si>
    <t>ORD00231</t>
  </si>
  <si>
    <t>C061</t>
  </si>
  <si>
    <t>Customer 61</t>
  </si>
  <si>
    <t>ORD00232</t>
  </si>
  <si>
    <t>ORD00233</t>
  </si>
  <si>
    <t>ORD00234</t>
  </si>
  <si>
    <t>C401</t>
  </si>
  <si>
    <t>Customer 401</t>
  </si>
  <si>
    <t>ORD00235</t>
  </si>
  <si>
    <t>C127</t>
  </si>
  <si>
    <t>Customer 127</t>
  </si>
  <si>
    <t>ORD00236</t>
  </si>
  <si>
    <t>C004</t>
  </si>
  <si>
    <t>Customer 4</t>
  </si>
  <si>
    <t>ORD00237</t>
  </si>
  <si>
    <t>C137</t>
  </si>
  <si>
    <t>Customer 137</t>
  </si>
  <si>
    <t>ORD00238</t>
  </si>
  <si>
    <t>C177</t>
  </si>
  <si>
    <t>Customer 177</t>
  </si>
  <si>
    <t>ORD00239</t>
  </si>
  <si>
    <t>ORD00240</t>
  </si>
  <si>
    <t>ORD00241</t>
  </si>
  <si>
    <t>C489</t>
  </si>
  <si>
    <t>Customer 489</t>
  </si>
  <si>
    <t>ORD00242</t>
  </si>
  <si>
    <t>C273</t>
  </si>
  <si>
    <t>Customer 273</t>
  </si>
  <si>
    <t>ORD00243</t>
  </si>
  <si>
    <t>ORD00244</t>
  </si>
  <si>
    <t>C191</t>
  </si>
  <si>
    <t>Customer 191</t>
  </si>
  <si>
    <t>ORD00245</t>
  </si>
  <si>
    <t>C384</t>
  </si>
  <si>
    <t>Customer 384</t>
  </si>
  <si>
    <t>ORD00246</t>
  </si>
  <si>
    <t>C039</t>
  </si>
  <si>
    <t>Customer 39</t>
  </si>
  <si>
    <t>ORD00247</t>
  </si>
  <si>
    <t>C333</t>
  </si>
  <si>
    <t>Customer 333</t>
  </si>
  <si>
    <t>ORD00248</t>
  </si>
  <si>
    <t>C470</t>
  </si>
  <si>
    <t>Customer 470</t>
  </si>
  <si>
    <t>ORD00249</t>
  </si>
  <si>
    <t>C388</t>
  </si>
  <si>
    <t>Customer 388</t>
  </si>
  <si>
    <t>ORD00250</t>
  </si>
  <si>
    <t>C130</t>
  </si>
  <si>
    <t>Customer 130</t>
  </si>
  <si>
    <t>ORD00251</t>
  </si>
  <si>
    <t>ORD00252</t>
  </si>
  <si>
    <t>C380</t>
  </si>
  <si>
    <t>Customer 380</t>
  </si>
  <si>
    <t>ORD00253</t>
  </si>
  <si>
    <t>C399</t>
  </si>
  <si>
    <t>Customer 399</t>
  </si>
  <si>
    <t>P020</t>
  </si>
  <si>
    <t>TT Product 20</t>
  </si>
  <si>
    <t>ORD00254</t>
  </si>
  <si>
    <t>ORD00255</t>
  </si>
  <si>
    <t>ORD00256</t>
  </si>
  <si>
    <t>ORD00257</t>
  </si>
  <si>
    <t>C437</t>
  </si>
  <si>
    <t>Customer 437</t>
  </si>
  <si>
    <t>ORD00258</t>
  </si>
  <si>
    <t>C457</t>
  </si>
  <si>
    <t>Customer 457</t>
  </si>
  <si>
    <t>ORD00259</t>
  </si>
  <si>
    <t>ORD00260</t>
  </si>
  <si>
    <t>C338</t>
  </si>
  <si>
    <t>Customer 338</t>
  </si>
  <si>
    <t>ORD00261</t>
  </si>
  <si>
    <t>ORD00262</t>
  </si>
  <si>
    <t>ORD00263</t>
  </si>
  <si>
    <t>C291</t>
  </si>
  <si>
    <t>Customer 291</t>
  </si>
  <si>
    <t>ORD00264</t>
  </si>
  <si>
    <t>ORD00265</t>
  </si>
  <si>
    <t>C235</t>
  </si>
  <si>
    <t>Customer 235</t>
  </si>
  <si>
    <t>ORD00266</t>
  </si>
  <si>
    <t>ORD00267</t>
  </si>
  <si>
    <t>ORD00268</t>
  </si>
  <si>
    <t>C180</t>
  </si>
  <si>
    <t>Customer 180</t>
  </si>
  <si>
    <t>ORD00269</t>
  </si>
  <si>
    <t>C476</t>
  </si>
  <si>
    <t>Customer 476</t>
  </si>
  <si>
    <t>ORD00270</t>
  </si>
  <si>
    <t>C044</t>
  </si>
  <si>
    <t>Customer 44</t>
  </si>
  <si>
    <t>ORD00271</t>
  </si>
  <si>
    <t>ORD00272</t>
  </si>
  <si>
    <t>C474</t>
  </si>
  <si>
    <t>Customer 474</t>
  </si>
  <si>
    <t>ORD00273</t>
  </si>
  <si>
    <t>C300</t>
  </si>
  <si>
    <t>Customer 300</t>
  </si>
  <si>
    <t>ORD00274</t>
  </si>
  <si>
    <t>C442</t>
  </si>
  <si>
    <t>Customer 442</t>
  </si>
  <si>
    <t>ORD00275</t>
  </si>
  <si>
    <t>ORD00276</t>
  </si>
  <si>
    <t>C076</t>
  </si>
  <si>
    <t>Customer 76</t>
  </si>
  <si>
    <t>ORD00277</t>
  </si>
  <si>
    <t>C172</t>
  </si>
  <si>
    <t>Customer 172</t>
  </si>
  <si>
    <t>ORD00278</t>
  </si>
  <si>
    <t>C324</t>
  </si>
  <si>
    <t>Customer 324</t>
  </si>
  <si>
    <t>ORD00279</t>
  </si>
  <si>
    <t>C326</t>
  </si>
  <si>
    <t>Customer 326</t>
  </si>
  <si>
    <t>ORD00280</t>
  </si>
  <si>
    <t>C319</t>
  </si>
  <si>
    <t>Customer 319</t>
  </si>
  <si>
    <t>ORD00281</t>
  </si>
  <si>
    <t>C317</t>
  </si>
  <si>
    <t>Customer 317</t>
  </si>
  <si>
    <t>ORD00282</t>
  </si>
  <si>
    <t>C052</t>
  </si>
  <si>
    <t>Customer 52</t>
  </si>
  <si>
    <t>ORD00283</t>
  </si>
  <si>
    <t>C394</t>
  </si>
  <si>
    <t>Customer 394</t>
  </si>
  <si>
    <t>ORD00284</t>
  </si>
  <si>
    <t>C483</t>
  </si>
  <si>
    <t>Customer 483</t>
  </si>
  <si>
    <t>ORD00285</t>
  </si>
  <si>
    <t>C497</t>
  </si>
  <si>
    <t>Customer 497</t>
  </si>
  <si>
    <t>ORD00286</t>
  </si>
  <si>
    <t>C378</t>
  </si>
  <si>
    <t>Customer 378</t>
  </si>
  <si>
    <t>ORD00287</t>
  </si>
  <si>
    <t>ORD00288</t>
  </si>
  <si>
    <t>ORD00289</t>
  </si>
  <si>
    <t>ORD00290</t>
  </si>
  <si>
    <t>C372</t>
  </si>
  <si>
    <t>Customer 372</t>
  </si>
  <si>
    <t>ORD00291</t>
  </si>
  <si>
    <t>C240</t>
  </si>
  <si>
    <t>Customer 240</t>
  </si>
  <si>
    <t>ORD00292</t>
  </si>
  <si>
    <t>ORD00293</t>
  </si>
  <si>
    <t>C165</t>
  </si>
  <si>
    <t>Customer 165</t>
  </si>
  <si>
    <t>ORD00294</t>
  </si>
  <si>
    <t>ORD00295</t>
  </si>
  <si>
    <t>ORD00296</t>
  </si>
  <si>
    <t>ORD00297</t>
  </si>
  <si>
    <t>C010</t>
  </si>
  <si>
    <t>Customer 10</t>
  </si>
  <si>
    <t>ORD00298</t>
  </si>
  <si>
    <t>C026</t>
  </si>
  <si>
    <t>Customer 26</t>
  </si>
  <si>
    <t>ORD00299</t>
  </si>
  <si>
    <t>C080</t>
  </si>
  <si>
    <t>Customer 80</t>
  </si>
  <si>
    <t>ORD00300</t>
  </si>
  <si>
    <t>C085</t>
  </si>
  <si>
    <t>Customer 85</t>
  </si>
  <si>
    <t>ORD00301</t>
  </si>
  <si>
    <t>ORD00302</t>
  </si>
  <si>
    <t>ORD00303</t>
  </si>
  <si>
    <t>C115</t>
  </si>
  <si>
    <t>Customer 115</t>
  </si>
  <si>
    <t>ORD00304</t>
  </si>
  <si>
    <t>C451</t>
  </si>
  <si>
    <t>Customer 451</t>
  </si>
  <si>
    <t>ORD00305</t>
  </si>
  <si>
    <t>C103</t>
  </si>
  <si>
    <t>Customer 103</t>
  </si>
  <si>
    <t>ORD00306</t>
  </si>
  <si>
    <t>C278</t>
  </si>
  <si>
    <t>Customer 278</t>
  </si>
  <si>
    <t>ORD00307</t>
  </si>
  <si>
    <t>C287</t>
  </si>
  <si>
    <t>Customer 287</t>
  </si>
  <si>
    <t>ORD00308</t>
  </si>
  <si>
    <t>C343</t>
  </si>
  <si>
    <t>Customer 343</t>
  </si>
  <si>
    <t>ORD00309</t>
  </si>
  <si>
    <t>ORD00310</t>
  </si>
  <si>
    <t>C405</t>
  </si>
  <si>
    <t>Customer 405</t>
  </si>
  <si>
    <t>ORD00311</t>
  </si>
  <si>
    <t>ORD00312</t>
  </si>
  <si>
    <t>ORD00313</t>
  </si>
  <si>
    <t>ORD00314</t>
  </si>
  <si>
    <t>ORD00315</t>
  </si>
  <si>
    <t>ORD00316</t>
  </si>
  <si>
    <t>ORD00317</t>
  </si>
  <si>
    <t>ORD00318</t>
  </si>
  <si>
    <t>ORD00319</t>
  </si>
  <si>
    <t>C312</t>
  </si>
  <si>
    <t>Customer 312</t>
  </si>
  <si>
    <t>ORD00320</t>
  </si>
  <si>
    <t>ORD00321</t>
  </si>
  <si>
    <t>C383</t>
  </si>
  <si>
    <t>Customer 383</t>
  </si>
  <si>
    <t>ORD00322</t>
  </si>
  <si>
    <t>ORD00323</t>
  </si>
  <si>
    <t>ORD00324</t>
  </si>
  <si>
    <t>C390</t>
  </si>
  <si>
    <t>Customer 390</t>
  </si>
  <si>
    <t>ORD00325</t>
  </si>
  <si>
    <t>C032</t>
  </si>
  <si>
    <t>Customer 32</t>
  </si>
  <si>
    <t>ORD00326</t>
  </si>
  <si>
    <t>C318</t>
  </si>
  <si>
    <t>Customer 318</t>
  </si>
  <si>
    <t>ORD00327</t>
  </si>
  <si>
    <t>ORD00328</t>
  </si>
  <si>
    <t>C095</t>
  </si>
  <si>
    <t>Customer 95</t>
  </si>
  <si>
    <t>ORD00329</t>
  </si>
  <si>
    <t>C066</t>
  </si>
  <si>
    <t>Customer 66</t>
  </si>
  <si>
    <t>ORD00330</t>
  </si>
  <si>
    <t>C322</t>
  </si>
  <si>
    <t>Customer 322</t>
  </si>
  <si>
    <t>ORD00331</t>
  </si>
  <si>
    <t>C336</t>
  </si>
  <si>
    <t>Customer 336</t>
  </si>
  <si>
    <t>ORD00332</t>
  </si>
  <si>
    <t>C204</t>
  </si>
  <si>
    <t>Customer 204</t>
  </si>
  <si>
    <t>ORD00333</t>
  </si>
  <si>
    <t>ORD00334</t>
  </si>
  <si>
    <t>C185</t>
  </si>
  <si>
    <t>Customer 185</t>
  </si>
  <si>
    <t>ORD00335</t>
  </si>
  <si>
    <t>ORD00336</t>
  </si>
  <si>
    <t>ORD00337</t>
  </si>
  <si>
    <t>ORD00338</t>
  </si>
  <si>
    <t>C332</t>
  </si>
  <si>
    <t>Customer 332</t>
  </si>
  <si>
    <t>ORD00339</t>
  </si>
  <si>
    <t>C159</t>
  </si>
  <si>
    <t>Customer 159</t>
  </si>
  <si>
    <t>ORD00340</t>
  </si>
  <si>
    <t>C280</t>
  </si>
  <si>
    <t>Customer 280</t>
  </si>
  <si>
    <t>ORD00341</t>
  </si>
  <si>
    <t>C178</t>
  </si>
  <si>
    <t>Customer 178</t>
  </si>
  <si>
    <t>ORD00342</t>
  </si>
  <si>
    <t>ORD00343</t>
  </si>
  <si>
    <t>C418</t>
  </si>
  <si>
    <t>Customer 418</t>
  </si>
  <si>
    <t>ORD00344</t>
  </si>
  <si>
    <t>ORD00345</t>
  </si>
  <si>
    <t>ORD00346</t>
  </si>
  <si>
    <t>ORD00347</t>
  </si>
  <si>
    <t>ORD00348</t>
  </si>
  <si>
    <t>ORD00349</t>
  </si>
  <si>
    <t>C210</t>
  </si>
  <si>
    <t>Customer 210</t>
  </si>
  <si>
    <t>ORD00350</t>
  </si>
  <si>
    <t>C445</t>
  </si>
  <si>
    <t>Customer 445</t>
  </si>
  <si>
    <t>ORD00351</t>
  </si>
  <si>
    <t>C070</t>
  </si>
  <si>
    <t>Customer 70</t>
  </si>
  <si>
    <t>ORD00352</t>
  </si>
  <si>
    <t>C132</t>
  </si>
  <si>
    <t>Customer 132</t>
  </si>
  <si>
    <t>ORD00353</t>
  </si>
  <si>
    <t>C138</t>
  </si>
  <si>
    <t>Customer 138</t>
  </si>
  <si>
    <t>ORD00354</t>
  </si>
  <si>
    <t>ORD00355</t>
  </si>
  <si>
    <t>C299</t>
  </si>
  <si>
    <t>Customer 299</t>
  </si>
  <si>
    <t>ORD00356</t>
  </si>
  <si>
    <t>ORD00357</t>
  </si>
  <si>
    <t>ORD00358</t>
  </si>
  <si>
    <t>C189</t>
  </si>
  <si>
    <t>Customer 189</t>
  </si>
  <si>
    <t>ORD00359</t>
  </si>
  <si>
    <t>ORD00360</t>
  </si>
  <si>
    <t>ORD00361</t>
  </si>
  <si>
    <t>ORD00362</t>
  </si>
  <si>
    <t>C142</t>
  </si>
  <si>
    <t>Customer 142</t>
  </si>
  <si>
    <t>ORD00363</t>
  </si>
  <si>
    <t>ORD00364</t>
  </si>
  <si>
    <t>C037</t>
  </si>
  <si>
    <t>Customer 37</t>
  </si>
  <si>
    <t>ORD00365</t>
  </si>
  <si>
    <t>ORD00366</t>
  </si>
  <si>
    <t>ORD00367</t>
  </si>
  <si>
    <t>ORD00368</t>
  </si>
  <si>
    <t>ORD00369</t>
  </si>
  <si>
    <t>C059</t>
  </si>
  <si>
    <t>Customer 59</t>
  </si>
  <si>
    <t>ORD00370</t>
  </si>
  <si>
    <t>C320</t>
  </si>
  <si>
    <t>Customer 320</t>
  </si>
  <si>
    <t>ORD00371</t>
  </si>
  <si>
    <t>C342</t>
  </si>
  <si>
    <t>Customer 342</t>
  </si>
  <si>
    <t>ORD00372</t>
  </si>
  <si>
    <t>ORD00373</t>
  </si>
  <si>
    <t>C244</t>
  </si>
  <si>
    <t>Customer 244</t>
  </si>
  <si>
    <t>ORD00374</t>
  </si>
  <si>
    <t>C428</t>
  </si>
  <si>
    <t>Customer 428</t>
  </si>
  <si>
    <t>ORD00375</t>
  </si>
  <si>
    <t>C395</t>
  </si>
  <si>
    <t>Customer 395</t>
  </si>
  <si>
    <t>ORD00376</t>
  </si>
  <si>
    <t>C303</t>
  </si>
  <si>
    <t>Customer 303</t>
  </si>
  <si>
    <t>ORD00377</t>
  </si>
  <si>
    <t>C218</t>
  </si>
  <si>
    <t>Customer 218</t>
  </si>
  <si>
    <t>ORD00378</t>
  </si>
  <si>
    <t>ORD00379</t>
  </si>
  <si>
    <t>ORD00380</t>
  </si>
  <si>
    <t>C242</t>
  </si>
  <si>
    <t>Customer 242</t>
  </si>
  <si>
    <t>ORD00381</t>
  </si>
  <si>
    <t>ORD00382</t>
  </si>
  <si>
    <t>C072</t>
  </si>
  <si>
    <t>Customer 72</t>
  </si>
  <si>
    <t>ORD00383</t>
  </si>
  <si>
    <t>ORD00384</t>
  </si>
  <si>
    <t>C434</t>
  </si>
  <si>
    <t>Customer 434</t>
  </si>
  <si>
    <t>ORD00385</t>
  </si>
  <si>
    <t>C494</t>
  </si>
  <si>
    <t>Customer 494</t>
  </si>
  <si>
    <t>ORD00386</t>
  </si>
  <si>
    <t>ORD00387</t>
  </si>
  <si>
    <t>ORD00388</t>
  </si>
  <si>
    <t>C292</t>
  </si>
  <si>
    <t>Customer 292</t>
  </si>
  <si>
    <t>ORD00389</t>
  </si>
  <si>
    <t>ORD00390</t>
  </si>
  <si>
    <t>ORD00391</t>
  </si>
  <si>
    <t>ORD00392</t>
  </si>
  <si>
    <t>C478</t>
  </si>
  <si>
    <t>Customer 478</t>
  </si>
  <si>
    <t>ORD00393</t>
  </si>
  <si>
    <t>C279</t>
  </si>
  <si>
    <t>Customer 279</t>
  </si>
  <si>
    <t>ORD00394</t>
  </si>
  <si>
    <t>ORD00395</t>
  </si>
  <si>
    <t>ORD00396</t>
  </si>
  <si>
    <t>C153</t>
  </si>
  <si>
    <t>Customer 153</t>
  </si>
  <si>
    <t>ORD00397</t>
  </si>
  <si>
    <t>C386</t>
  </si>
  <si>
    <t>Customer 386</t>
  </si>
  <si>
    <t>ORD00398</t>
  </si>
  <si>
    <t>C056</t>
  </si>
  <si>
    <t>Customer 56</t>
  </si>
  <si>
    <t>ORD00399</t>
  </si>
  <si>
    <t>ORD00400</t>
  </si>
  <si>
    <t>C306</t>
  </si>
  <si>
    <t>Customer 306</t>
  </si>
  <si>
    <t>ORD00401</t>
  </si>
  <si>
    <t>ORD00402</t>
  </si>
  <si>
    <t>ORD00403</t>
  </si>
  <si>
    <t>C163</t>
  </si>
  <si>
    <t>Customer 163</t>
  </si>
  <si>
    <t>ORD00404</t>
  </si>
  <si>
    <t>C258</t>
  </si>
  <si>
    <t>Customer 258</t>
  </si>
  <si>
    <t>ORD00405</t>
  </si>
  <si>
    <t>C449</t>
  </si>
  <si>
    <t>Customer 449</t>
  </si>
  <si>
    <t>ORD00406</t>
  </si>
  <si>
    <t>C227</t>
  </si>
  <si>
    <t>Customer 227</t>
  </si>
  <si>
    <t>ORD00407</t>
  </si>
  <si>
    <t>C071</t>
  </si>
  <si>
    <t>Customer 71</t>
  </si>
  <si>
    <t>ORD00408</t>
  </si>
  <si>
    <t>ORD00409</t>
  </si>
  <si>
    <t>ORD00410</t>
  </si>
  <si>
    <t>ORD00411</t>
  </si>
  <si>
    <t>ORD00412</t>
  </si>
  <si>
    <t>C350</t>
  </si>
  <si>
    <t>Customer 350</t>
  </si>
  <si>
    <t>ORD00413</t>
  </si>
  <si>
    <t>C257</t>
  </si>
  <si>
    <t>Customer 257</t>
  </si>
  <si>
    <t>ORD00414</t>
  </si>
  <si>
    <t>ORD00415</t>
  </si>
  <si>
    <t>C063</t>
  </si>
  <si>
    <t>Customer 63</t>
  </si>
  <si>
    <t>ORD00416</t>
  </si>
  <si>
    <t>C213</t>
  </si>
  <si>
    <t>Customer 213</t>
  </si>
  <si>
    <t>ORD00417</t>
  </si>
  <si>
    <t>C123</t>
  </si>
  <si>
    <t>Customer 123</t>
  </si>
  <si>
    <t>ORD00418</t>
  </si>
  <si>
    <t>C168</t>
  </si>
  <si>
    <t>Customer 168</t>
  </si>
  <si>
    <t>ORD00419</t>
  </si>
  <si>
    <t>ORD00420</t>
  </si>
  <si>
    <t>ORD00421</t>
  </si>
  <si>
    <t>C111</t>
  </si>
  <si>
    <t>Customer 111</t>
  </si>
  <si>
    <t>ORD00422</t>
  </si>
  <si>
    <t>ORD00423</t>
  </si>
  <si>
    <t>C284</t>
  </si>
  <si>
    <t>Customer 284</t>
  </si>
  <si>
    <t>ORD00424</t>
  </si>
  <si>
    <t>ORD00425</t>
  </si>
  <si>
    <t>C423</t>
  </si>
  <si>
    <t>Customer 423</t>
  </si>
  <si>
    <t>ORD00426</t>
  </si>
  <si>
    <t>ORD00427</t>
  </si>
  <si>
    <t>C027</t>
  </si>
  <si>
    <t>Customer 27</t>
  </si>
  <si>
    <t>ORD00428</t>
  </si>
  <si>
    <t>C282</t>
  </si>
  <si>
    <t>Customer 282</t>
  </si>
  <si>
    <t>ORD00429</t>
  </si>
  <si>
    <t>ORD00430</t>
  </si>
  <si>
    <t>C084</t>
  </si>
  <si>
    <t>Customer 84</t>
  </si>
  <si>
    <t>ORD00431</t>
  </si>
  <si>
    <t>ORD00432</t>
  </si>
  <si>
    <t>ORD00433</t>
  </si>
  <si>
    <t>C093</t>
  </si>
  <si>
    <t>Customer 93</t>
  </si>
  <si>
    <t>ORD00434</t>
  </si>
  <si>
    <t>ORD00435</t>
  </si>
  <si>
    <t>ORD00436</t>
  </si>
  <si>
    <t>ORD00437</t>
  </si>
  <si>
    <t>ORD00438</t>
  </si>
  <si>
    <t>ORD00439</t>
  </si>
  <si>
    <t>ORD00440</t>
  </si>
  <si>
    <t>ORD00441</t>
  </si>
  <si>
    <t>ORD00442</t>
  </si>
  <si>
    <t>ORD00443</t>
  </si>
  <si>
    <t>C427</t>
  </si>
  <si>
    <t>Customer 427</t>
  </si>
  <si>
    <t>ORD00444</t>
  </si>
  <si>
    <t>ORD00445</t>
  </si>
  <si>
    <t>ORD00446</t>
  </si>
  <si>
    <t>C053</t>
  </si>
  <si>
    <t>Customer 53</t>
  </si>
  <si>
    <t>ORD00447</t>
  </si>
  <si>
    <t>C459</t>
  </si>
  <si>
    <t>Customer 459</t>
  </si>
  <si>
    <t>ORD00448</t>
  </si>
  <si>
    <t>ORD00449</t>
  </si>
  <si>
    <t>C031</t>
  </si>
  <si>
    <t>Customer 31</t>
  </si>
  <si>
    <t>ORD00450</t>
  </si>
  <si>
    <t>C122</t>
  </si>
  <si>
    <t>Customer 122</t>
  </si>
  <si>
    <t>ORD00451</t>
  </si>
  <si>
    <t>ORD00452</t>
  </si>
  <si>
    <t>ORD00453</t>
  </si>
  <si>
    <t>ORD00454</t>
  </si>
  <si>
    <t>ORD00455</t>
  </si>
  <si>
    <t>C413</t>
  </si>
  <si>
    <t>Customer 413</t>
  </si>
  <si>
    <t>ORD00456</t>
  </si>
  <si>
    <t>ORD00457</t>
  </si>
  <si>
    <t>ORD00458</t>
  </si>
  <si>
    <t>ORD00459</t>
  </si>
  <si>
    <t>ORD00460</t>
  </si>
  <si>
    <t>C492</t>
  </si>
  <si>
    <t>Customer 492</t>
  </si>
  <si>
    <t>ORD00461</t>
  </si>
  <si>
    <t>ORD00462</t>
  </si>
  <si>
    <t>ORD00463</t>
  </si>
  <si>
    <t>ORD00464</t>
  </si>
  <si>
    <t>C040</t>
  </si>
  <si>
    <t>Customer 40</t>
  </si>
  <si>
    <t>ORD00465</t>
  </si>
  <si>
    <t>ORD00466</t>
  </si>
  <si>
    <t>ORD00467</t>
  </si>
  <si>
    <t>ORD00468</t>
  </si>
  <si>
    <t>ORD00469</t>
  </si>
  <si>
    <t>C055</t>
  </si>
  <si>
    <t>Customer 55</t>
  </si>
  <si>
    <t>ORD00470</t>
  </si>
  <si>
    <t>C099</t>
  </si>
  <si>
    <t>Customer 99</t>
  </si>
  <si>
    <t>ORD00471</t>
  </si>
  <si>
    <t>C022</t>
  </si>
  <si>
    <t>Customer 22</t>
  </si>
  <si>
    <t>ORD00472</t>
  </si>
  <si>
    <t>ORD00473</t>
  </si>
  <si>
    <t>C023</t>
  </si>
  <si>
    <t>Customer 23</t>
  </si>
  <si>
    <t>ORD00474</t>
  </si>
  <si>
    <t>C375</t>
  </si>
  <si>
    <t>Customer 375</t>
  </si>
  <si>
    <t>ORD00475</t>
  </si>
  <si>
    <t>C186</t>
  </si>
  <si>
    <t>Customer 186</t>
  </si>
  <si>
    <t>ORD00476</t>
  </si>
  <si>
    <t>ORD00477</t>
  </si>
  <si>
    <t>C344</t>
  </si>
  <si>
    <t>Customer 344</t>
  </si>
  <si>
    <t>ORD00478</t>
  </si>
  <si>
    <t>ORD00479</t>
  </si>
  <si>
    <t>ORD00480</t>
  </si>
  <si>
    <t>C147</t>
  </si>
  <si>
    <t>Customer 147</t>
  </si>
  <si>
    <t>ORD00481</t>
  </si>
  <si>
    <t>ORD00482</t>
  </si>
  <si>
    <t>C385</t>
  </si>
  <si>
    <t>Customer 385</t>
  </si>
  <si>
    <t>ORD00483</t>
  </si>
  <si>
    <t>C108</t>
  </si>
  <si>
    <t>Customer 108</t>
  </si>
  <si>
    <t>ORD00484</t>
  </si>
  <si>
    <t>ORD00485</t>
  </si>
  <si>
    <t>C358</t>
  </si>
  <si>
    <t>Customer 358</t>
  </si>
  <si>
    <t>ORD00486</t>
  </si>
  <si>
    <t>C488</t>
  </si>
  <si>
    <t>Customer 488</t>
  </si>
  <si>
    <t>ORD00487</t>
  </si>
  <si>
    <t>C268</t>
  </si>
  <si>
    <t>Customer 268</t>
  </si>
  <si>
    <t>ORD00488</t>
  </si>
  <si>
    <t>ORD00489</t>
  </si>
  <si>
    <t>C002</t>
  </si>
  <si>
    <t>Customer 2</t>
  </si>
  <si>
    <t>ORD00490</t>
  </si>
  <si>
    <t>C231</t>
  </si>
  <si>
    <t>Customer 231</t>
  </si>
  <si>
    <t>ORD00491</t>
  </si>
  <si>
    <t>ORD00492</t>
  </si>
  <si>
    <t>C349</t>
  </si>
  <si>
    <t>Customer 349</t>
  </si>
  <si>
    <t>ORD00493</t>
  </si>
  <si>
    <t>C281</t>
  </si>
  <si>
    <t>Customer 281</t>
  </si>
  <si>
    <t>ORD00494</t>
  </si>
  <si>
    <t>ORD00495</t>
  </si>
  <si>
    <t>ORD00496</t>
  </si>
  <si>
    <t>ORD00497</t>
  </si>
  <si>
    <t>ORD00498</t>
  </si>
  <si>
    <t>C307</t>
  </si>
  <si>
    <t>Customer 307</t>
  </si>
  <si>
    <t>ORD00499</t>
  </si>
  <si>
    <t>ORD00500</t>
  </si>
  <si>
    <t>ORD00501</t>
  </si>
  <si>
    <t>ORD00502</t>
  </si>
  <si>
    <t>ORD00503</t>
  </si>
  <si>
    <t>C006</t>
  </si>
  <si>
    <t>Customer 6</t>
  </si>
  <si>
    <t>ORD00504</t>
  </si>
  <si>
    <t>ORD00505</t>
  </si>
  <si>
    <t>ORD00506</t>
  </si>
  <si>
    <t>ORD00507</t>
  </si>
  <si>
    <t>ORD00508</t>
  </si>
  <si>
    <t>C269</t>
  </si>
  <si>
    <t>Customer 269</t>
  </si>
  <si>
    <t>ORD00509</t>
  </si>
  <si>
    <t>ORD00510</t>
  </si>
  <si>
    <t>C296</t>
  </si>
  <si>
    <t>Customer 296</t>
  </si>
  <si>
    <t>ORD00511</t>
  </si>
  <si>
    <t>ORD00512</t>
  </si>
  <si>
    <t>C433</t>
  </si>
  <si>
    <t>Customer 433</t>
  </si>
  <si>
    <t>ORD00513</t>
  </si>
  <si>
    <t>ORD00514</t>
  </si>
  <si>
    <t>ORD00515</t>
  </si>
  <si>
    <t>ORD00516</t>
  </si>
  <si>
    <t>ORD00517</t>
  </si>
  <si>
    <t>ORD00518</t>
  </si>
  <si>
    <t>ORD00519</t>
  </si>
  <si>
    <t>ORD00520</t>
  </si>
  <si>
    <t>ORD00521</t>
  </si>
  <si>
    <t>ORD00522</t>
  </si>
  <si>
    <t>C116</t>
  </si>
  <si>
    <t>Customer 116</t>
  </si>
  <si>
    <t>ORD00523</t>
  </si>
  <si>
    <t>ORD00524</t>
  </si>
  <si>
    <t>C107</t>
  </si>
  <si>
    <t>Customer 107</t>
  </si>
  <si>
    <t>ORD00525</t>
  </si>
  <si>
    <t>C035</t>
  </si>
  <si>
    <t>Customer 35</t>
  </si>
  <si>
    <t>ORD00526</t>
  </si>
  <si>
    <t>ORD00527</t>
  </si>
  <si>
    <t>ORD00528</t>
  </si>
  <si>
    <t>ORD00529</t>
  </si>
  <si>
    <t>ORD00530</t>
  </si>
  <si>
    <t>C410</t>
  </si>
  <si>
    <t>Customer 410</t>
  </si>
  <si>
    <t>ORD00531</t>
  </si>
  <si>
    <t>ORD00532</t>
  </si>
  <si>
    <t>ORD00533</t>
  </si>
  <si>
    <t>ORD00534</t>
  </si>
  <si>
    <t>ORD00535</t>
  </si>
  <si>
    <t>ORD00536</t>
  </si>
  <si>
    <t>C157</t>
  </si>
  <si>
    <t>Customer 157</t>
  </si>
  <si>
    <t>ORD00537</t>
  </si>
  <si>
    <t>ORD00538</t>
  </si>
  <si>
    <t>C151</t>
  </si>
  <si>
    <t>Customer 151</t>
  </si>
  <si>
    <t>ORD00539</t>
  </si>
  <si>
    <t>C074</t>
  </si>
  <si>
    <t>Customer 74</t>
  </si>
  <si>
    <t>ORD00540</t>
  </si>
  <si>
    <t>ORD00541</t>
  </si>
  <si>
    <t>ORD00542</t>
  </si>
  <si>
    <t>ORD00543</t>
  </si>
  <si>
    <t>ORD00544</t>
  </si>
  <si>
    <t>C339</t>
  </si>
  <si>
    <t>Customer 339</t>
  </si>
  <si>
    <t>ORD00545</t>
  </si>
  <si>
    <t>ORD00546</t>
  </si>
  <si>
    <t>ORD00547</t>
  </si>
  <si>
    <t>ORD00548</t>
  </si>
  <si>
    <t>ORD00549</t>
  </si>
  <si>
    <t>ORD00550</t>
  </si>
  <si>
    <t>C480</t>
  </si>
  <si>
    <t>Customer 480</t>
  </si>
  <si>
    <t>ORD00551</t>
  </si>
  <si>
    <t>ORD00552</t>
  </si>
  <si>
    <t>ORD00553</t>
  </si>
  <si>
    <t>C018</t>
  </si>
  <si>
    <t>Customer 18</t>
  </si>
  <si>
    <t>ORD00554</t>
  </si>
  <si>
    <t>C021</t>
  </si>
  <si>
    <t>Customer 21</t>
  </si>
  <si>
    <t>ORD00555</t>
  </si>
  <si>
    <t>ORD00556</t>
  </si>
  <si>
    <t>C129</t>
  </si>
  <si>
    <t>Customer 129</t>
  </si>
  <si>
    <t>ORD00557</t>
  </si>
  <si>
    <t>ORD00558</t>
  </si>
  <si>
    <t>ORD00559</t>
  </si>
  <si>
    <t>ORD00560</t>
  </si>
  <si>
    <t>ORD00561</t>
  </si>
  <si>
    <t>ORD00562</t>
  </si>
  <si>
    <t>ORD00563</t>
  </si>
  <si>
    <t>ORD00564</t>
  </si>
  <si>
    <t>C328</t>
  </si>
  <si>
    <t>Customer 328</t>
  </si>
  <si>
    <t>ORD00565</t>
  </si>
  <si>
    <t>C290</t>
  </si>
  <si>
    <t>Customer 290</t>
  </si>
  <si>
    <t>ORD00566</t>
  </si>
  <si>
    <t>ORD00567</t>
  </si>
  <si>
    <t>ORD00568</t>
  </si>
  <si>
    <t>ORD00569</t>
  </si>
  <si>
    <t>ORD00570</t>
  </si>
  <si>
    <t>C367</t>
  </si>
  <si>
    <t>Customer 367</t>
  </si>
  <si>
    <t>ORD00571</t>
  </si>
  <si>
    <t>ORD00572</t>
  </si>
  <si>
    <t>C456</t>
  </si>
  <si>
    <t>Customer 456</t>
  </si>
  <si>
    <t>ORD00573</t>
  </si>
  <si>
    <t>ORD00574</t>
  </si>
  <si>
    <t>ORD00575</t>
  </si>
  <si>
    <t>C486</t>
  </si>
  <si>
    <t>Customer 486</t>
  </si>
  <si>
    <t>ORD00576</t>
  </si>
  <si>
    <t>C164</t>
  </si>
  <si>
    <t>Customer 164</t>
  </si>
  <si>
    <t>ORD00577</t>
  </si>
  <si>
    <t>ORD00578</t>
  </si>
  <si>
    <t>ORD00579</t>
  </si>
  <si>
    <t>ORD00580</t>
  </si>
  <si>
    <t>C414</t>
  </si>
  <si>
    <t>Customer 414</t>
  </si>
  <si>
    <t>ORD00581</t>
  </si>
  <si>
    <t>ORD00582</t>
  </si>
  <si>
    <t>ORD00583</t>
  </si>
  <si>
    <t>ORD00584</t>
  </si>
  <si>
    <t>C173</t>
  </si>
  <si>
    <t>Customer 173</t>
  </si>
  <si>
    <t>ORD00585</t>
  </si>
  <si>
    <t>ORD00586</t>
  </si>
  <si>
    <t>ORD00587</t>
  </si>
  <si>
    <t>C323</t>
  </si>
  <si>
    <t>Customer 323</t>
  </si>
  <si>
    <t>ORD00588</t>
  </si>
  <si>
    <t>ORD00589</t>
  </si>
  <si>
    <t>C162</t>
  </si>
  <si>
    <t>Customer 162</t>
  </si>
  <si>
    <t>ORD00590</t>
  </si>
  <si>
    <t>ORD00591</t>
  </si>
  <si>
    <t>ORD00592</t>
  </si>
  <si>
    <t>C454</t>
  </si>
  <si>
    <t>Customer 454</t>
  </si>
  <si>
    <t>ORD00593</t>
  </si>
  <si>
    <t>ORD00594</t>
  </si>
  <si>
    <t>ORD00595</t>
  </si>
  <si>
    <t>ORD00596</t>
  </si>
  <si>
    <t>C190</t>
  </si>
  <si>
    <t>Customer 190</t>
  </si>
  <si>
    <t>ORD00597</t>
  </si>
  <si>
    <t>ORD00598</t>
  </si>
  <si>
    <t>C249</t>
  </si>
  <si>
    <t>Customer 249</t>
  </si>
  <si>
    <t>ORD00599</t>
  </si>
  <si>
    <t>ORD00600</t>
  </si>
  <si>
    <t>ORD00601</t>
  </si>
  <si>
    <t>C495</t>
  </si>
  <si>
    <t>Customer 495</t>
  </si>
  <si>
    <t>ORD00602</t>
  </si>
  <si>
    <t>ORD00603</t>
  </si>
  <si>
    <t>C298</t>
  </si>
  <si>
    <t>Customer 298</t>
  </si>
  <si>
    <t>ORD00604</t>
  </si>
  <si>
    <t>ORD00605</t>
  </si>
  <si>
    <t>ORD00606</t>
  </si>
  <si>
    <t>C313</t>
  </si>
  <si>
    <t>Customer 313</t>
  </si>
  <si>
    <t>ORD00607</t>
  </si>
  <si>
    <t>C050</t>
  </si>
  <si>
    <t>Customer 50</t>
  </si>
  <si>
    <t>ORD00608</t>
  </si>
  <si>
    <t>ORD00609</t>
  </si>
  <si>
    <t>ORD00610</t>
  </si>
  <si>
    <t>ORD00611</t>
  </si>
  <si>
    <t>ORD00612</t>
  </si>
  <si>
    <t>ORD00613</t>
  </si>
  <si>
    <t>ORD00614</t>
  </si>
  <si>
    <t>C207</t>
  </si>
  <si>
    <t>Customer 207</t>
  </si>
  <si>
    <t>ORD00615</t>
  </si>
  <si>
    <t>ORD00616</t>
  </si>
  <si>
    <t>C243</t>
  </si>
  <si>
    <t>Customer 243</t>
  </si>
  <si>
    <t>ORD00617</t>
  </si>
  <si>
    <t>ORD00618</t>
  </si>
  <si>
    <t>C493</t>
  </si>
  <si>
    <t>Customer 493</t>
  </si>
  <si>
    <t>ORD00619</t>
  </si>
  <si>
    <t>C371</t>
  </si>
  <si>
    <t>Customer 371</t>
  </si>
  <si>
    <t>ORD00620</t>
  </si>
  <si>
    <t>ORD00621</t>
  </si>
  <si>
    <t>ORD00622</t>
  </si>
  <si>
    <t>C150</t>
  </si>
  <si>
    <t>Customer 150</t>
  </si>
  <si>
    <t>ORD00623</t>
  </si>
  <si>
    <t>ORD00624</t>
  </si>
  <si>
    <t>ORD00625</t>
  </si>
  <si>
    <t>ORD00626</t>
  </si>
  <si>
    <t>C357</t>
  </si>
  <si>
    <t>Customer 357</t>
  </si>
  <si>
    <t>ORD00627</t>
  </si>
  <si>
    <t>ORD00628</t>
  </si>
  <si>
    <t>ORD00629</t>
  </si>
  <si>
    <t>ORD00630</t>
  </si>
  <si>
    <t>ORD00631</t>
  </si>
  <si>
    <t>ORD00632</t>
  </si>
  <si>
    <t>C223</t>
  </si>
  <si>
    <t>Customer 223</t>
  </si>
  <si>
    <t>ORD00633</t>
  </si>
  <si>
    <t>ORD00634</t>
  </si>
  <si>
    <t>ORD00635</t>
  </si>
  <si>
    <t>ORD00636</t>
  </si>
  <si>
    <t>C201</t>
  </si>
  <si>
    <t>Customer 201</t>
  </si>
  <si>
    <t>ORD00637</t>
  </si>
  <si>
    <t>ORD00638</t>
  </si>
  <si>
    <t>ORD00639</t>
  </si>
  <si>
    <t>ORD00640</t>
  </si>
  <si>
    <t>ORD00641</t>
  </si>
  <si>
    <t>ORD00642</t>
  </si>
  <si>
    <t>ORD00643</t>
  </si>
  <si>
    <t>C276</t>
  </si>
  <si>
    <t>Customer 276</t>
  </si>
  <si>
    <t>ORD00644</t>
  </si>
  <si>
    <t>ORD00645</t>
  </si>
  <si>
    <t>ORD00646</t>
  </si>
  <si>
    <t>ORD00647</t>
  </si>
  <si>
    <t>C128</t>
  </si>
  <si>
    <t>Customer 128</t>
  </si>
  <si>
    <t>ORD00648</t>
  </si>
  <si>
    <t>ORD00649</t>
  </si>
  <si>
    <t>ORD00650</t>
  </si>
  <si>
    <t>ORD00651</t>
  </si>
  <si>
    <t>ORD00652</t>
  </si>
  <si>
    <t>ORD00653</t>
  </si>
  <si>
    <t>ORD00654</t>
  </si>
  <si>
    <t>C086</t>
  </si>
  <si>
    <t>Customer 86</t>
  </si>
  <si>
    <t>ORD00655</t>
  </si>
  <si>
    <t>ORD00656</t>
  </si>
  <si>
    <t>ORD00657</t>
  </si>
  <si>
    <t>ORD00658</t>
  </si>
  <si>
    <t>ORD00659</t>
  </si>
  <si>
    <t>ORD00660</t>
  </si>
  <si>
    <t>ORD00661</t>
  </si>
  <si>
    <t>C430</t>
  </si>
  <si>
    <t>Customer 430</t>
  </si>
  <si>
    <t>ORD00662</t>
  </si>
  <si>
    <t>ORD00663</t>
  </si>
  <si>
    <t>ORD00664</t>
  </si>
  <si>
    <t>ORD00665</t>
  </si>
  <si>
    <t>C098</t>
  </si>
  <si>
    <t>Customer 98</t>
  </si>
  <si>
    <t>ORD00666</t>
  </si>
  <si>
    <t>C148</t>
  </si>
  <si>
    <t>Customer 148</t>
  </si>
  <si>
    <t>ORD00667</t>
  </si>
  <si>
    <t>ORD00668</t>
  </si>
  <si>
    <t>C455</t>
  </si>
  <si>
    <t>Customer 455</t>
  </si>
  <si>
    <t>ORD00669</t>
  </si>
  <si>
    <t>C431</t>
  </si>
  <si>
    <t>Customer 431</t>
  </si>
  <si>
    <t>ORD00670</t>
  </si>
  <si>
    <t>ORD00671</t>
  </si>
  <si>
    <t>ORD00672</t>
  </si>
  <si>
    <t>ORD00673</t>
  </si>
  <si>
    <t>ORD00674</t>
  </si>
  <si>
    <t>ORD00675</t>
  </si>
  <si>
    <t>ORD00676</t>
  </si>
  <si>
    <t>ORD00677</t>
  </si>
  <si>
    <t>ORD00678</t>
  </si>
  <si>
    <t>ORD00679</t>
  </si>
  <si>
    <t>C327</t>
  </si>
  <si>
    <t>Customer 327</t>
  </si>
  <si>
    <t>ORD00680</t>
  </si>
  <si>
    <t>ORD00681</t>
  </si>
  <si>
    <t>ORD00682</t>
  </si>
  <si>
    <t>ORD00683</t>
  </si>
  <si>
    <t>C482</t>
  </si>
  <si>
    <t>Customer 482</t>
  </si>
  <si>
    <t>ORD00684</t>
  </si>
  <si>
    <t>ORD00685</t>
  </si>
  <si>
    <t>ORD00686</t>
  </si>
  <si>
    <t>ORD00687</t>
  </si>
  <si>
    <t>C114</t>
  </si>
  <si>
    <t>Customer 114</t>
  </si>
  <si>
    <t>ORD00688</t>
  </si>
  <si>
    <t>C446</t>
  </si>
  <si>
    <t>Customer 446</t>
  </si>
  <si>
    <t>ORD00689</t>
  </si>
  <si>
    <t>ORD00690</t>
  </si>
  <si>
    <t>ORD00691</t>
  </si>
  <si>
    <t>ORD00692</t>
  </si>
  <si>
    <t>ORD00693</t>
  </si>
  <si>
    <t>ORD00694</t>
  </si>
  <si>
    <t>ORD00695</t>
  </si>
  <si>
    <t>ORD00696</t>
  </si>
  <si>
    <t>ORD00697</t>
  </si>
  <si>
    <t>ORD00698</t>
  </si>
  <si>
    <t>ORD00699</t>
  </si>
  <si>
    <t>C293</t>
  </si>
  <si>
    <t>Customer 293</t>
  </si>
  <si>
    <t>ORD00700</t>
  </si>
  <si>
    <t>ORD00701</t>
  </si>
  <si>
    <t>C005</t>
  </si>
  <si>
    <t>Customer 5</t>
  </si>
  <si>
    <t>ORD00702</t>
  </si>
  <si>
    <t>ORD00703</t>
  </si>
  <si>
    <t>C485</t>
  </si>
  <si>
    <t>Customer 485</t>
  </si>
  <si>
    <t>ORD00704</t>
  </si>
  <si>
    <t>ORD00705</t>
  </si>
  <si>
    <t>C169</t>
  </si>
  <si>
    <t>Customer 169</t>
  </si>
  <si>
    <t>ORD00706</t>
  </si>
  <si>
    <t>C400</t>
  </si>
  <si>
    <t>Customer 400</t>
  </si>
  <si>
    <t>ORD00707</t>
  </si>
  <si>
    <t>ORD00708</t>
  </si>
  <si>
    <t>ORD00709</t>
  </si>
  <si>
    <t>ORD00710</t>
  </si>
  <si>
    <t>ORD00711</t>
  </si>
  <si>
    <t>ORD00712</t>
  </si>
  <si>
    <t>ORD00713</t>
  </si>
  <si>
    <t>ORD00714</t>
  </si>
  <si>
    <t>ORD00715</t>
  </si>
  <si>
    <t>ORD00716</t>
  </si>
  <si>
    <t>ORD00717</t>
  </si>
  <si>
    <t>C179</t>
  </si>
  <si>
    <t>Customer 179</t>
  </si>
  <si>
    <t>ORD00718</t>
  </si>
  <si>
    <t>ORD00719</t>
  </si>
  <si>
    <t>ORD00720</t>
  </si>
  <si>
    <t>ORD00721</t>
  </si>
  <si>
    <t>ORD00722</t>
  </si>
  <si>
    <t>C404</t>
  </si>
  <si>
    <t>Customer 404</t>
  </si>
  <si>
    <t>ORD00723</t>
  </si>
  <si>
    <t>ORD00724</t>
  </si>
  <si>
    <t>ORD00725</t>
  </si>
  <si>
    <t>ORD00726</t>
  </si>
  <si>
    <t>ORD00727</t>
  </si>
  <si>
    <t>ORD00728</t>
  </si>
  <si>
    <t>ORD00729</t>
  </si>
  <si>
    <t>ORD00730</t>
  </si>
  <si>
    <t>ORD00731</t>
  </si>
  <si>
    <t>ORD00732</t>
  </si>
  <si>
    <t>ORD00733</t>
  </si>
  <si>
    <t>ORD00734</t>
  </si>
  <si>
    <t>ORD00735</t>
  </si>
  <si>
    <t>ORD00736</t>
  </si>
  <si>
    <t>ORD00737</t>
  </si>
  <si>
    <t>C253</t>
  </si>
  <si>
    <t>Customer 253</t>
  </si>
  <si>
    <t>ORD00738</t>
  </si>
  <si>
    <t>ORD00739</t>
  </si>
  <si>
    <t>ORD00740</t>
  </si>
  <si>
    <t>ORD00741</t>
  </si>
  <si>
    <t>ORD00742</t>
  </si>
  <si>
    <t>C090</t>
  </si>
  <si>
    <t>Customer 90</t>
  </si>
  <si>
    <t>ORD00743</t>
  </si>
  <si>
    <t>ORD00744</t>
  </si>
  <si>
    <t>C304</t>
  </si>
  <si>
    <t>Customer 304</t>
  </si>
  <si>
    <t>ORD00745</t>
  </si>
  <si>
    <t>ORD00746</t>
  </si>
  <si>
    <t>C265</t>
  </si>
  <si>
    <t>Customer 265</t>
  </si>
  <si>
    <t>ORD00747</t>
  </si>
  <si>
    <t>ORD00748</t>
  </si>
  <si>
    <t>ORD00749</t>
  </si>
  <si>
    <t>ORD00750</t>
  </si>
  <si>
    <t>ORD00751</t>
  </si>
  <si>
    <t>C392</t>
  </si>
  <si>
    <t>Customer 392</t>
  </si>
  <si>
    <t>ORD00752</t>
  </si>
  <si>
    <t>C049</t>
  </si>
  <si>
    <t>Customer 49</t>
  </si>
  <si>
    <t>ORD00753</t>
  </si>
  <si>
    <t>C139</t>
  </si>
  <si>
    <t>Customer 139</t>
  </si>
  <si>
    <t>ORD00754</t>
  </si>
  <si>
    <t>ORD00755</t>
  </si>
  <si>
    <t>C105</t>
  </si>
  <si>
    <t>Customer 105</t>
  </si>
  <si>
    <t>ORD00756</t>
  </si>
  <si>
    <t>ORD00757</t>
  </si>
  <si>
    <t>ORD00758</t>
  </si>
  <si>
    <t>C064</t>
  </si>
  <si>
    <t>Customer 64</t>
  </si>
  <si>
    <t>ORD00759</t>
  </si>
  <si>
    <t>ORD00760</t>
  </si>
  <si>
    <t>ORD00761</t>
  </si>
  <si>
    <t>ORD00762</t>
  </si>
  <si>
    <t>C329</t>
  </si>
  <si>
    <t>Customer 329</t>
  </si>
  <si>
    <t>ORD00763</t>
  </si>
  <si>
    <t>ORD00764</t>
  </si>
  <si>
    <t>C041</t>
  </si>
  <si>
    <t>Customer 41</t>
  </si>
  <si>
    <t>ORD00765</t>
  </si>
  <si>
    <t>ORD00766</t>
  </si>
  <si>
    <t>C261</t>
  </si>
  <si>
    <t>Customer 261</t>
  </si>
  <si>
    <t>ORD00767</t>
  </si>
  <si>
    <t>ORD00768</t>
  </si>
  <si>
    <t>ORD00769</t>
  </si>
  <si>
    <t>ORD00770</t>
  </si>
  <si>
    <t>ORD00771</t>
  </si>
  <si>
    <t>ORD00772</t>
  </si>
  <si>
    <t>ORD00773</t>
  </si>
  <si>
    <t>ORD00774</t>
  </si>
  <si>
    <t>ORD00775</t>
  </si>
  <si>
    <t>ORD00776</t>
  </si>
  <si>
    <t>ORD00777</t>
  </si>
  <si>
    <t>C270</t>
  </si>
  <si>
    <t>Customer 270</t>
  </si>
  <si>
    <t>ORD00778</t>
  </si>
  <si>
    <t>ORD00779</t>
  </si>
  <si>
    <t>C248</t>
  </si>
  <si>
    <t>Customer 248</t>
  </si>
  <si>
    <t>ORD00780</t>
  </si>
  <si>
    <t>ORD00781</t>
  </si>
  <si>
    <t>ORD00782</t>
  </si>
  <si>
    <t>ORD00783</t>
  </si>
  <si>
    <t>ORD00784</t>
  </si>
  <si>
    <t>ORD00785</t>
  </si>
  <si>
    <t>ORD00786</t>
  </si>
  <si>
    <t>ORD00787</t>
  </si>
  <si>
    <t>ORD00788</t>
  </si>
  <si>
    <t>ORD00789</t>
  </si>
  <si>
    <t>C140</t>
  </si>
  <si>
    <t>Customer 140</t>
  </si>
  <si>
    <t>ORD00790</t>
  </si>
  <si>
    <t>C389</t>
  </si>
  <si>
    <t>Customer 389</t>
  </si>
  <si>
    <t>ORD00791</t>
  </si>
  <si>
    <t>C073</t>
  </si>
  <si>
    <t>Customer 73</t>
  </si>
  <si>
    <t>ORD00792</t>
  </si>
  <si>
    <t>ORD00793</t>
  </si>
  <si>
    <t>ORD00794</t>
  </si>
  <si>
    <t>ORD00795</t>
  </si>
  <si>
    <t>ORD00796</t>
  </si>
  <si>
    <t>C025</t>
  </si>
  <si>
    <t>Customer 25</t>
  </si>
  <si>
    <t>ORD00797</t>
  </si>
  <si>
    <t>ORD00798</t>
  </si>
  <si>
    <t>ORD00799</t>
  </si>
  <si>
    <t>ORD00800</t>
  </si>
  <si>
    <t>ORD00801</t>
  </si>
  <si>
    <t>ORD00802</t>
  </si>
  <si>
    <t>ORD00803</t>
  </si>
  <si>
    <t>ORD00804</t>
  </si>
  <si>
    <t>C256</t>
  </si>
  <si>
    <t>Customer 256</t>
  </si>
  <si>
    <t>ORD00805</t>
  </si>
  <si>
    <t>ORD00806</t>
  </si>
  <si>
    <t>C364</t>
  </si>
  <si>
    <t>Customer 364</t>
  </si>
  <si>
    <t>ORD00807</t>
  </si>
  <si>
    <t>ORD00808</t>
  </si>
  <si>
    <t>ORD00809</t>
  </si>
  <si>
    <t>ORD00810</t>
  </si>
  <si>
    <t>C374</t>
  </si>
  <si>
    <t>Customer 374</t>
  </si>
  <si>
    <t>ORD00811</t>
  </si>
  <si>
    <t>ORD00812</t>
  </si>
  <si>
    <t>ORD00813</t>
  </si>
  <si>
    <t>ORD00814</t>
  </si>
  <si>
    <t>ORD00815</t>
  </si>
  <si>
    <t>ORD00816</t>
  </si>
  <si>
    <t>ORD00817</t>
  </si>
  <si>
    <t>C202</t>
  </si>
  <si>
    <t>Customer 202</t>
  </si>
  <si>
    <t>ORD00818</t>
  </si>
  <si>
    <t>C206</t>
  </si>
  <si>
    <t>Customer 206</t>
  </si>
  <si>
    <t>ORD00819</t>
  </si>
  <si>
    <t>ORD00820</t>
  </si>
  <si>
    <t>ORD00821</t>
  </si>
  <si>
    <t>ORD00822</t>
  </si>
  <si>
    <t>ORD00823</t>
  </si>
  <si>
    <t>C335</t>
  </si>
  <si>
    <t>Customer 335</t>
  </si>
  <si>
    <t>ORD00824</t>
  </si>
  <si>
    <t>C203</t>
  </si>
  <si>
    <t>Customer 203</t>
  </si>
  <si>
    <t>ORD00825</t>
  </si>
  <si>
    <t>ORD00826</t>
  </si>
  <si>
    <t>ORD00827</t>
  </si>
  <si>
    <t>ORD00828</t>
  </si>
  <si>
    <t>ORD00829</t>
  </si>
  <si>
    <t>C167</t>
  </si>
  <si>
    <t>Customer 167</t>
  </si>
  <si>
    <t>ORD00830</t>
  </si>
  <si>
    <t>ORD00831</t>
  </si>
  <si>
    <t>C092</t>
  </si>
  <si>
    <t>Customer 92</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</si>
  <si>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</si>
  <si>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</si>
  <si>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</si>
  <si>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</si>
  <si>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</si>
  <si>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</si>
  <si>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</si>
  <si>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</si>
  <si>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</si>
  <si>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</si>
  <si>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</si>
  <si>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</si>
  <si>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</si>
  <si>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</si>
  <si>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</si>
  <si>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</si>
  <si>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</si>
  <si>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</si>
  <si>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C234</t>
  </si>
  <si>
    <t>Customer 234</t>
  </si>
  <si>
    <t>ORD00850</t>
  </si>
  <si>
    <t>C155</t>
  </si>
  <si>
    <t>Customer 155</t>
  </si>
  <si>
    <t>ORD00851</t>
  </si>
  <si>
    <t>ORD00852</t>
  </si>
  <si>
    <t>ORD00853</t>
  </si>
  <si>
    <t>C289</t>
  </si>
  <si>
    <t>Customer 289</t>
  </si>
  <si>
    <t>ORD00854</t>
  </si>
  <si>
    <t>ORD00855</t>
  </si>
  <si>
    <t>C209</t>
  </si>
  <si>
    <t>Customer 209</t>
  </si>
  <si>
    <t>ORD00856</t>
  </si>
  <si>
    <t>ORD00857</t>
  </si>
  <si>
    <t>C069</t>
  </si>
  <si>
    <t>Customer 69</t>
  </si>
  <si>
    <t>ORD00858</t>
  </si>
  <si>
    <t>C048</t>
  </si>
  <si>
    <t>Customer 48</t>
  </si>
  <si>
    <t>ORD00859</t>
  </si>
  <si>
    <t>ORD00860</t>
  </si>
  <si>
    <t>ORD00861</t>
  </si>
  <si>
    <t>ORD00862</t>
  </si>
  <si>
    <t>ORD00863</t>
  </si>
  <si>
    <t>ORD00864</t>
  </si>
  <si>
    <t>ORD00865</t>
  </si>
  <si>
    <t>ORD00866</t>
  </si>
  <si>
    <t>C012</t>
  </si>
  <si>
    <t>Customer 12</t>
  </si>
  <si>
    <t>ORD00867</t>
  </si>
  <si>
    <t>ORD00868</t>
  </si>
  <si>
    <t>C348</t>
  </si>
  <si>
    <t>Customer 348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</si>
  <si>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</si>
  <si>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</si>
  <si>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</si>
  <si>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</si>
  <si>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</si>
  <si>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</si>
  <si>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</si>
  <si>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</si>
  <si>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</si>
  <si>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</si>
  <si>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</si>
  <si>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</si>
  <si>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</si>
  <si>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</si>
  <si>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</si>
  <si>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</si>
  <si>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</si>
  <si>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</si>
  <si>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</si>
  <si>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</si>
  <si>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</si>
  <si>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</si>
  <si>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</si>
  <si>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</si>
  <si>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</si>
  <si>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C325</t>
  </si>
  <si>
    <t>Customer 325</t>
  </si>
  <si>
    <t>ORD00894</t>
  </si>
  <si>
    <t>ORD00895</t>
  </si>
  <si>
    <t>ORD00896</t>
  </si>
  <si>
    <t>ORD00897</t>
  </si>
  <si>
    <t>ORD00898</t>
  </si>
  <si>
    <t>ORD00899</t>
  </si>
  <si>
    <t>ORD00900</t>
  </si>
  <si>
    <t>ORD00901</t>
  </si>
  <si>
    <t>ORD00902</t>
  </si>
  <si>
    <t>ORD00903</t>
  </si>
  <si>
    <t>ORD00904</t>
  </si>
  <si>
    <t>C422</t>
  </si>
  <si>
    <t>Customer 422</t>
  </si>
  <si>
    <t>ORD00905</t>
  </si>
  <si>
    <t>ORD00906</t>
  </si>
  <si>
    <t>ORD00907</t>
  </si>
  <si>
    <t>ORD00908</t>
  </si>
  <si>
    <t>C356</t>
  </si>
  <si>
    <t>Customer 356</t>
  </si>
  <si>
    <t>ORD00909</t>
  </si>
  <si>
    <t>ORD00910</t>
  </si>
  <si>
    <t>ORD00911</t>
  </si>
  <si>
    <t>ORD00912</t>
  </si>
  <si>
    <t>ORD00913</t>
  </si>
  <si>
    <t>C417</t>
  </si>
  <si>
    <t>Customer 417</t>
  </si>
  <si>
    <t>ORD00914</t>
  </si>
  <si>
    <t>ORD00915</t>
  </si>
  <si>
    <t>C301</t>
  </si>
  <si>
    <t>Customer 301</t>
  </si>
  <si>
    <t>ORD00916</t>
  </si>
  <si>
    <t>ORD00917</t>
  </si>
  <si>
    <t>ORD00918</t>
  </si>
  <si>
    <t>ORD00919</t>
  </si>
  <si>
    <t>ORD00920</t>
  </si>
  <si>
    <t>ORD00921</t>
  </si>
  <si>
    <t>ORD00922</t>
  </si>
  <si>
    <t>ORD00923</t>
  </si>
  <si>
    <t>C199</t>
  </si>
  <si>
    <t>Customer 199</t>
  </si>
  <si>
    <t>ORD00924</t>
  </si>
  <si>
    <t>ORD00925</t>
  </si>
  <si>
    <t>C060</t>
  </si>
  <si>
    <t>Customer 60</t>
  </si>
  <si>
    <t>ORD00926</t>
  </si>
  <si>
    <t>ORD00927</t>
  </si>
  <si>
    <t>ORD00928</t>
  </si>
  <si>
    <t>ORD00929</t>
  </si>
  <si>
    <t>C285</t>
  </si>
  <si>
    <t>Customer 285</t>
  </si>
  <si>
    <t>ORD00930</t>
  </si>
  <si>
    <t>C351</t>
  </si>
  <si>
    <t>Customer 351</t>
  </si>
  <si>
    <t>ORD00931</t>
  </si>
  <si>
    <t>ORD00932</t>
  </si>
  <si>
    <t>ORD00933</t>
  </si>
  <si>
    <t>ORD00934</t>
  </si>
  <si>
    <t>ORD00935</t>
  </si>
  <si>
    <t>ORD00936</t>
  </si>
  <si>
    <t>ORD00937</t>
  </si>
  <si>
    <t>C171</t>
  </si>
  <si>
    <t>Customer 171</t>
  </si>
  <si>
    <t>ORD00938</t>
  </si>
  <si>
    <t>ORD00939</t>
  </si>
  <si>
    <t>ORD00940</t>
  </si>
  <si>
    <t>ORD00941</t>
  </si>
  <si>
    <t>C126</t>
  </si>
  <si>
    <t>Customer 126</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</si>
  <si>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</si>
  <si>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</si>
  <si>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</si>
  <si>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</si>
  <si>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</si>
  <si>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</si>
  <si>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</si>
  <si>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</si>
  <si>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</si>
  <si>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</si>
  <si>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</si>
  <si>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</si>
  <si>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</si>
  <si>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</si>
  <si>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</si>
  <si>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</si>
  <si>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</si>
  <si>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</si>
  <si>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</si>
  <si>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C391</t>
  </si>
  <si>
    <t>Customer 391</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</si>
  <si>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</si>
  <si>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</si>
  <si>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</si>
  <si>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</si>
  <si>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</si>
  <si>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</si>
  <si>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</si>
  <si>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</si>
  <si>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</si>
  <si>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</si>
  <si>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</si>
  <si>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</si>
  <si>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</si>
  <si>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</si>
  <si>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</si>
  <si>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</si>
  <si>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</si>
  <si>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C077</t>
  </si>
  <si>
    <t>Customer 77</t>
  </si>
  <si>
    <t>ORD00978</t>
  </si>
  <si>
    <t>ORD00979</t>
  </si>
  <si>
    <t>C396</t>
  </si>
  <si>
    <t>Customer 396</t>
  </si>
  <si>
    <t>ORD00980</t>
  </si>
  <si>
    <t>ORD00981</t>
  </si>
  <si>
    <t>ORD00982</t>
  </si>
  <si>
    <t>ORD00983</t>
  </si>
  <si>
    <t>ORD00984</t>
  </si>
  <si>
    <t>ORD00985</t>
  </si>
  <si>
    <t>ORD00986</t>
  </si>
  <si>
    <t>ORD00987</t>
  </si>
  <si>
    <t>ORD00988</t>
  </si>
  <si>
    <t>C136</t>
  </si>
  <si>
    <t>Customer 136</t>
  </si>
  <si>
    <t>ORD00989</t>
  </si>
  <si>
    <t>ORD00990</t>
  </si>
  <si>
    <t>ORD00991</t>
  </si>
  <si>
    <t>ORD00992</t>
  </si>
  <si>
    <t>ORD00993</t>
  </si>
  <si>
    <t>ORD00994</t>
  </si>
  <si>
    <t>C450</t>
  </si>
  <si>
    <t>Customer 450</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</si>
  <si>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</si>
  <si>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</si>
  <si>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</si>
  <si>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</si>
  <si>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</si>
  <si>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</si>
  <si>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</si>
  <si>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</si>
  <si>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</si>
  <si>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</si>
  <si>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</si>
  <si>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</si>
  <si>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</si>
  <si>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</si>
  <si>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</si>
  <si>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</si>
  <si>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</si>
  <si>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</si>
  <si>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</si>
  <si>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</si>
  <si>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C149</t>
  </si>
  <si>
    <t>Customer 149</t>
  </si>
  <si>
    <t>ORD01015</t>
  </si>
  <si>
    <t>ORD01016</t>
  </si>
  <si>
    <t>ORD01017</t>
  </si>
  <si>
    <t>C254</t>
  </si>
  <si>
    <t>Customer 254</t>
  </si>
  <si>
    <t>ORD01018</t>
  </si>
  <si>
    <t>C263</t>
  </si>
  <si>
    <t>Customer 263</t>
  </si>
  <si>
    <t>ORD01019</t>
  </si>
  <si>
    <t>ORD01020</t>
  </si>
  <si>
    <t>ORD01021</t>
  </si>
  <si>
    <t>ORD01022</t>
  </si>
  <si>
    <t>ORD01023</t>
  </si>
  <si>
    <t>ORD01024</t>
  </si>
  <si>
    <t>ORD01025</t>
  </si>
  <si>
    <t>C247</t>
  </si>
  <si>
    <t>Customer 247</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</si>
  <si>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</si>
  <si>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</si>
  <si>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</si>
  <si>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</si>
  <si>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</si>
  <si>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</si>
  <si>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</si>
  <si>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</si>
  <si>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</si>
  <si>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</si>
  <si>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</si>
  <si>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</si>
  <si>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</si>
  <si>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</si>
  <si>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</si>
  <si>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</si>
  <si>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</si>
  <si>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</si>
  <si>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C448</t>
  </si>
  <si>
    <t>Customer 448</t>
  </si>
  <si>
    <t>ORD01044</t>
  </si>
  <si>
    <t>ORD01045</t>
  </si>
  <si>
    <t>ORD01046</t>
  </si>
  <si>
    <t>ORD01047</t>
  </si>
  <si>
    <t>ORD01048</t>
  </si>
  <si>
    <t>C373</t>
  </si>
  <si>
    <t>Customer 373</t>
  </si>
  <si>
    <t>ORD01049</t>
  </si>
  <si>
    <t>ORD01050</t>
  </si>
  <si>
    <t>ORD01051</t>
  </si>
  <si>
    <t>ORD01052</t>
  </si>
  <si>
    <t>ORD01053</t>
  </si>
  <si>
    <t>ORD01054</t>
  </si>
  <si>
    <t>ORD01055</t>
  </si>
  <si>
    <t>ORD01056</t>
  </si>
  <si>
    <t>ORD01057</t>
  </si>
  <si>
    <t>ORD01058</t>
  </si>
  <si>
    <t>C487</t>
  </si>
  <si>
    <t>Customer 487</t>
  </si>
  <si>
    <t>ORD01059</t>
  </si>
  <si>
    <t>ORD01060</t>
  </si>
  <si>
    <t>ORD01061</t>
  </si>
  <si>
    <t>ORD01062</t>
  </si>
  <si>
    <t>ORD01063</t>
  </si>
  <si>
    <t>ORD01064</t>
  </si>
  <si>
    <t>ORD01065</t>
  </si>
  <si>
    <t>C197</t>
  </si>
  <si>
    <t>Customer 197</t>
  </si>
  <si>
    <t>ORD01066</t>
  </si>
  <si>
    <t>ORD01067</t>
  </si>
  <si>
    <t>ORD01068</t>
  </si>
  <si>
    <t>C141</t>
  </si>
  <si>
    <t>Customer 141</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</si>
  <si>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</si>
  <si>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</si>
  <si>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</si>
  <si>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</si>
  <si>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</si>
  <si>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</si>
  <si>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</si>
  <si>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</si>
  <si>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</si>
  <si>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</si>
  <si>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</si>
  <si>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</si>
  <si>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</si>
  <si>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</si>
  <si>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</si>
  <si>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</si>
  <si>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</si>
  <si>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</si>
  <si>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</si>
  <si>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</si>
  <si>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</si>
  <si>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</si>
  <si>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</si>
  <si>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</si>
  <si>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</si>
  <si>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</si>
  <si>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</si>
  <si>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</si>
  <si>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</si>
  <si>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</si>
  <si>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</si>
  <si>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</si>
  <si>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</si>
  <si>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</si>
  <si>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C079</t>
  </si>
  <si>
    <t>Customer 79</t>
  </si>
  <si>
    <t>ORD01103</t>
  </si>
  <si>
    <t>ORD01104</t>
  </si>
  <si>
    <t>C309</t>
  </si>
  <si>
    <t>Customer 309</t>
  </si>
  <si>
    <t>ORD01105</t>
  </si>
  <si>
    <t>ORD01106</t>
  </si>
  <si>
    <t>ORD01107</t>
  </si>
  <si>
    <t>C117</t>
  </si>
  <si>
    <t>Customer 117</t>
  </si>
  <si>
    <t>ORD01108</t>
  </si>
  <si>
    <t>ORD01109</t>
  </si>
  <si>
    <t>ORD01110</t>
  </si>
  <si>
    <t>ORD01111</t>
  </si>
  <si>
    <t>ORD01112</t>
  </si>
  <si>
    <t>ORD01113</t>
  </si>
  <si>
    <t>ORD01114</t>
  </si>
  <si>
    <t>ORD01115</t>
  </si>
  <si>
    <t>ORD01116</t>
  </si>
  <si>
    <t>ORD01117</t>
  </si>
  <si>
    <t>C113</t>
  </si>
  <si>
    <t>Customer 113</t>
  </si>
  <si>
    <t>ORD01118</t>
  </si>
  <si>
    <t>ORD01119</t>
  </si>
  <si>
    <t>ORD01120</t>
  </si>
  <si>
    <t>ORD01121</t>
  </si>
  <si>
    <t>ORD01122</t>
  </si>
  <si>
    <t>C436</t>
  </si>
  <si>
    <t>Customer 436</t>
  </si>
  <si>
    <t>ORD01123</t>
  </si>
  <si>
    <t>ORD01124</t>
  </si>
  <si>
    <t>ORD01125</t>
  </si>
  <si>
    <t>ORD01126</t>
  </si>
  <si>
    <t>ORD01127</t>
  </si>
  <si>
    <t>ORD01128</t>
  </si>
  <si>
    <t>ORD01129</t>
  </si>
  <si>
    <t>ORD01130</t>
  </si>
  <si>
    <t>ORD01131</t>
  </si>
  <si>
    <t>ORD01132</t>
  </si>
  <si>
    <t>ORD01133</t>
  </si>
  <si>
    <t>ORD01134</t>
  </si>
  <si>
    <t>ORD01135</t>
  </si>
  <si>
    <t>ORD01136</t>
  </si>
  <si>
    <t>ORD01137</t>
  </si>
  <si>
    <t>C340</t>
  </si>
  <si>
    <t>Customer 340</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</si>
  <si>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</si>
  <si>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</si>
  <si>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</si>
  <si>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</si>
  <si>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</si>
  <si>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</si>
  <si>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</si>
  <si>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</si>
  <si>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</si>
  <si>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</si>
  <si>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</si>
  <si>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</si>
  <si>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</si>
  <si>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</si>
  <si>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</si>
  <si>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</si>
  <si>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</si>
  <si>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</si>
  <si>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</si>
  <si>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</si>
  <si>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</si>
  <si>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</si>
  <si>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C120</t>
  </si>
  <si>
    <t>Customer 120</t>
  </si>
  <si>
    <t>ORD01160</t>
  </si>
  <si>
    <t>ORD01161</t>
  </si>
  <si>
    <t>ORD01162</t>
  </si>
  <si>
    <t>ORD01163</t>
  </si>
  <si>
    <t>ORD01164</t>
  </si>
  <si>
    <t>ORD01165</t>
  </si>
  <si>
    <t>ORD01166</t>
  </si>
  <si>
    <t>ORD01167</t>
  </si>
  <si>
    <t>ORD01168</t>
  </si>
  <si>
    <t>ORD01169</t>
  </si>
  <si>
    <t>C046</t>
  </si>
  <si>
    <t>Customer 46</t>
  </si>
  <si>
    <t>ORD01170</t>
  </si>
  <si>
    <t>ORD01171</t>
  </si>
  <si>
    <t>ORD01172</t>
  </si>
  <si>
    <t>ORD01173</t>
  </si>
  <si>
    <t>ORD01174</t>
  </si>
  <si>
    <t>ORD01175</t>
  </si>
  <si>
    <t>ORD01176</t>
  </si>
  <si>
    <t>ORD01177</t>
  </si>
  <si>
    <t>ORD01178</t>
  </si>
  <si>
    <t>ORD01179</t>
  </si>
  <si>
    <t>ORD01180</t>
  </si>
  <si>
    <t>ORD01181</t>
  </si>
  <si>
    <t>ORD01182</t>
  </si>
  <si>
    <t>C366</t>
  </si>
  <si>
    <t>Customer 366</t>
  </si>
  <si>
    <t>ORD01183</t>
  </si>
  <si>
    <t>ORD01184</t>
  </si>
  <si>
    <t>ORD01185</t>
  </si>
  <si>
    <t>ORD01186</t>
  </si>
  <si>
    <t>ORD01187</t>
  </si>
  <si>
    <t>ORD01188</t>
  </si>
  <si>
    <t>ORD01189</t>
  </si>
  <si>
    <t>ORD01190</t>
  </si>
  <si>
    <t>ORD01191</t>
  </si>
  <si>
    <t>C143</t>
  </si>
  <si>
    <t>Customer 143</t>
  </si>
  <si>
    <t>ORD01192</t>
  </si>
  <si>
    <t>ORD01193</t>
  </si>
  <si>
    <t>C131</t>
  </si>
  <si>
    <t>Customer 131</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</si>
  <si>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</si>
  <si>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</si>
  <si>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</si>
  <si>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</si>
  <si>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</si>
  <si>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</si>
  <si>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</si>
  <si>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</si>
  <si>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</si>
  <si>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</si>
  <si>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</si>
  <si>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</si>
  <si>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</si>
  <si>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</si>
  <si>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</si>
  <si>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</si>
  <si>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</si>
  <si>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</si>
  <si>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</si>
  <si>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</si>
  <si>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C238</t>
  </si>
  <si>
    <t>Customer 238</t>
  </si>
  <si>
    <t>ORD01214</t>
  </si>
  <si>
    <t>ORD01215</t>
  </si>
  <si>
    <t>ORD01216</t>
  </si>
  <si>
    <t>ORD01217</t>
  </si>
  <si>
    <t>ORD01218</t>
  </si>
  <si>
    <t>ORD01219</t>
  </si>
  <si>
    <t>ORD01220</t>
  </si>
  <si>
    <t>C416</t>
  </si>
  <si>
    <t>Customer 416</t>
  </si>
  <si>
    <t>ORD01221</t>
  </si>
  <si>
    <t>ORD01222</t>
  </si>
  <si>
    <t>ORD01223</t>
  </si>
  <si>
    <t>ORD01224</t>
  </si>
  <si>
    <t>ORD01225</t>
  </si>
  <si>
    <t>ORD01226</t>
  </si>
  <si>
    <t>ORD01227</t>
  </si>
  <si>
    <t>ORD01228</t>
  </si>
  <si>
    <t>C038</t>
  </si>
  <si>
    <t>Customer 38</t>
  </si>
  <si>
    <t>ORD01229</t>
  </si>
  <si>
    <t>ORD01230</t>
  </si>
  <si>
    <t>ORD01231</t>
  </si>
  <si>
    <t>ORD01232</t>
  </si>
  <si>
    <t>ORD01233</t>
  </si>
  <si>
    <t>ORD01234</t>
  </si>
  <si>
    <t>C222</t>
  </si>
  <si>
    <t>Customer 222</t>
  </si>
  <si>
    <t>ORD01235</t>
  </si>
  <si>
    <t>ORD01236</t>
  </si>
  <si>
    <t>ORD01237</t>
  </si>
  <si>
    <t>ORD01238</t>
  </si>
  <si>
    <t>ORD01239</t>
  </si>
  <si>
    <t>ORD01240</t>
  </si>
  <si>
    <t>ORD01241</t>
  </si>
  <si>
    <t>ORD01242</t>
  </si>
  <si>
    <t>C096</t>
  </si>
  <si>
    <t>Customer 96</t>
  </si>
  <si>
    <t>ORD01243</t>
  </si>
  <si>
    <t>C321</t>
  </si>
  <si>
    <t>Customer 321</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</si>
  <si>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</si>
  <si>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</si>
  <si>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</si>
  <si>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</si>
  <si>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</si>
  <si>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</si>
  <si>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</si>
  <si>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</si>
  <si>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</si>
  <si>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</si>
  <si>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</si>
  <si>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</si>
  <si>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</si>
  <si>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</si>
  <si>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</si>
  <si>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</si>
  <si>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</si>
  <si>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</si>
  <si>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C081</t>
  </si>
  <si>
    <t>Customer 81</t>
  </si>
  <si>
    <t>ORD01262</t>
  </si>
  <si>
    <t>ORD01263</t>
  </si>
  <si>
    <t>ORD01264</t>
  </si>
  <si>
    <t>ORD01265</t>
  </si>
  <si>
    <t>ORD01266</t>
  </si>
  <si>
    <t>C241</t>
  </si>
  <si>
    <t>Customer 241</t>
  </si>
  <si>
    <t>ORD01267</t>
  </si>
  <si>
    <t>ORD01268</t>
  </si>
  <si>
    <t>ORD01269</t>
  </si>
  <si>
    <t>ORD01270</t>
  </si>
  <si>
    <t>ORD01271</t>
  </si>
  <si>
    <t>ORD01272</t>
  </si>
  <si>
    <t>ORD01273</t>
  </si>
  <si>
    <t>ORD01274</t>
  </si>
  <si>
    <t>ORD01275</t>
  </si>
  <si>
    <t>ORD01276</t>
  </si>
  <si>
    <t>ORD01277</t>
  </si>
  <si>
    <t>ORD01278</t>
  </si>
  <si>
    <t>C091</t>
  </si>
  <si>
    <t>Customer 91</t>
  </si>
  <si>
    <t>ORD01279</t>
  </si>
  <si>
    <t>ORD01280</t>
  </si>
  <si>
    <t>ORD01281</t>
  </si>
  <si>
    <t>C215</t>
  </si>
  <si>
    <t>Customer 215</t>
  </si>
  <si>
    <t>ORD01282</t>
  </si>
  <si>
    <t>ORD01283</t>
  </si>
  <si>
    <t>C075</t>
  </si>
  <si>
    <t>Customer 75</t>
  </si>
  <si>
    <t>ORD01284</t>
  </si>
  <si>
    <t>C274</t>
  </si>
  <si>
    <t>Customer 274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</si>
  <si>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</si>
  <si>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</si>
  <si>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</si>
  <si>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</si>
  <si>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</si>
  <si>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</si>
  <si>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</si>
  <si>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</si>
  <si>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</si>
  <si>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</si>
  <si>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</si>
  <si>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</si>
  <si>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</si>
  <si>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</si>
  <si>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</si>
  <si>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</si>
  <si>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</si>
  <si>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</si>
  <si>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</si>
  <si>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</si>
  <si>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</si>
  <si>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</si>
  <si>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</si>
  <si>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</si>
  <si>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</si>
  <si>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</si>
  <si>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</si>
  <si>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</si>
  <si>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</si>
  <si>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</si>
  <si>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</si>
  <si>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</si>
  <si>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</si>
  <si>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</si>
  <si>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</si>
  <si>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C082</t>
  </si>
  <si>
    <t>Customer 82</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</si>
  <si>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</si>
  <si>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</si>
  <si>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</si>
  <si>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</si>
  <si>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</si>
  <si>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</si>
  <si>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</si>
  <si>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</si>
  <si>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</si>
  <si>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</si>
  <si>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</si>
  <si>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</si>
  <si>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</si>
  <si>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</si>
  <si>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</si>
  <si>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</si>
  <si>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</si>
  <si>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</si>
  <si>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</si>
  <si>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</si>
  <si>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</si>
  <si>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C214</t>
  </si>
  <si>
    <t>Customer 214</t>
  </si>
  <si>
    <t>ORD01341</t>
  </si>
  <si>
    <t>ORD01342</t>
  </si>
  <si>
    <t>ORD01343</t>
  </si>
  <si>
    <t>ORD01344</t>
  </si>
  <si>
    <t>ORD01345</t>
  </si>
  <si>
    <t>ORD01346</t>
  </si>
  <si>
    <t>ORD01347</t>
  </si>
  <si>
    <t>ORD01348</t>
  </si>
  <si>
    <t>ORD01349</t>
  </si>
  <si>
    <t>ORD01350</t>
  </si>
  <si>
    <t>C369</t>
  </si>
  <si>
    <t>Customer 369</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</si>
  <si>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</si>
  <si>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</si>
  <si>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</si>
  <si>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</si>
  <si>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</si>
  <si>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</si>
  <si>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</si>
  <si>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</si>
  <si>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</si>
  <si>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</si>
  <si>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</si>
  <si>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</si>
  <si>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</si>
  <si>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</si>
  <si>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</si>
  <si>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</si>
  <si>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</si>
  <si>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</si>
  <si>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C230</t>
  </si>
  <si>
    <t>Customer 230</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</si>
  <si>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</si>
  <si>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</si>
  <si>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</si>
  <si>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</si>
  <si>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</si>
  <si>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</si>
  <si>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</si>
  <si>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</si>
  <si>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</si>
  <si>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</si>
  <si>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</si>
  <si>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</si>
  <si>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</si>
  <si>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</si>
  <si>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</si>
  <si>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</si>
  <si>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</si>
  <si>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</si>
  <si>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</si>
  <si>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</si>
  <si>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</si>
  <si>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</si>
  <si>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C409</t>
  </si>
  <si>
    <t>Customer 409</t>
  </si>
  <si>
    <t>ORD01391</t>
  </si>
  <si>
    <t>C310</t>
  </si>
  <si>
    <t>Customer 310</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</si>
  <si>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</si>
  <si>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</si>
  <si>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</si>
  <si>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</si>
  <si>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</si>
  <si>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</si>
  <si>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</si>
  <si>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</si>
  <si>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</si>
  <si>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</si>
  <si>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</si>
  <si>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</si>
  <si>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</si>
  <si>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</si>
  <si>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</si>
  <si>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</si>
  <si>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</si>
  <si>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</si>
  <si>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</si>
  <si>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</si>
  <si>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C030</t>
  </si>
  <si>
    <t>Customer 30</t>
  </si>
  <si>
    <t>ORD01412</t>
  </si>
  <si>
    <t>ORD01413</t>
  </si>
  <si>
    <t>ORD01414</t>
  </si>
  <si>
    <t>C176</t>
  </si>
  <si>
    <t>Customer 176</t>
  </si>
  <si>
    <t>ORD01415</t>
  </si>
  <si>
    <t>ORD01416</t>
  </si>
  <si>
    <t>ORD01417</t>
  </si>
  <si>
    <t>ORD01418</t>
  </si>
  <si>
    <t>C144</t>
  </si>
  <si>
    <t>Customer 144</t>
  </si>
  <si>
    <t>ORD01419</t>
  </si>
  <si>
    <t>C007</t>
  </si>
  <si>
    <t>Customer 7</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</si>
  <si>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</si>
  <si>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</si>
  <si>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</si>
  <si>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</si>
  <si>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</si>
  <si>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</si>
  <si>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</si>
  <si>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</si>
  <si>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</si>
  <si>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</si>
  <si>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</si>
  <si>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</si>
  <si>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</si>
  <si>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</si>
  <si>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</si>
  <si>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</si>
  <si>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</si>
  <si>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</si>
  <si>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</si>
  <si>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</si>
  <si>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</si>
  <si>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</si>
  <si>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</si>
  <si>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</si>
  <si>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</si>
  <si>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</si>
  <si>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</si>
  <si>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</si>
  <si>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</si>
  <si>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</si>
  <si>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</si>
  <si>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</si>
  <si>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</si>
  <si>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</si>
  <si>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</si>
  <si>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</si>
  <si>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</si>
  <si>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</si>
  <si>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</si>
  <si>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</si>
  <si>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</si>
  <si>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</si>
  <si>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</si>
  <si>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</si>
  <si>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</si>
  <si>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</si>
  <si>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</si>
  <si>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</si>
  <si>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</si>
  <si>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</si>
  <si>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</si>
  <si>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C353</t>
  </si>
  <si>
    <t>Customer 353</t>
  </si>
  <si>
    <t>ORD01471</t>
  </si>
  <si>
    <t>ORD01472</t>
  </si>
  <si>
    <t>ORD01473</t>
  </si>
  <si>
    <t>ORD01474</t>
  </si>
  <si>
    <t>ORD01475</t>
  </si>
  <si>
    <t>C125</t>
  </si>
  <si>
    <t>Customer 125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</si>
  <si>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</si>
  <si>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</si>
  <si>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</si>
  <si>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</si>
  <si>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</si>
  <si>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</si>
  <si>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</si>
  <si>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</si>
  <si>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</si>
  <si>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</si>
  <si>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</si>
  <si>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</si>
  <si>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</si>
  <si>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</si>
  <si>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</si>
  <si>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</si>
  <si>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</si>
  <si>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</si>
  <si>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</si>
  <si>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</si>
  <si>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</si>
  <si>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</si>
  <si>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</si>
  <si>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</si>
  <si>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</si>
  <si>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</si>
  <si>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</si>
  <si>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</si>
  <si>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C429</t>
  </si>
  <si>
    <t>Customer 429</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</si>
  <si>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</si>
  <si>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</si>
  <si>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</si>
  <si>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</si>
  <si>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</si>
  <si>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</si>
  <si>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</si>
  <si>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</si>
  <si>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</si>
  <si>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</si>
  <si>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</si>
  <si>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</si>
  <si>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</si>
  <si>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</si>
  <si>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</si>
  <si>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</si>
  <si>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</si>
  <si>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</si>
  <si>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</si>
  <si>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</si>
  <si>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</si>
  <si>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</si>
  <si>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</si>
  <si>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</si>
  <si>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C438</t>
  </si>
  <si>
    <t>Customer 438</t>
  </si>
  <si>
    <t>ORD01528</t>
  </si>
  <si>
    <t>ORD01529</t>
  </si>
  <si>
    <t>C347</t>
  </si>
  <si>
    <t>Customer 347</t>
  </si>
  <si>
    <t>ORD01530</t>
  </si>
  <si>
    <t>ORD01531</t>
  </si>
  <si>
    <t>ORD01532</t>
  </si>
  <si>
    <t>ORD01533</t>
  </si>
  <si>
    <t>ORD01534</t>
  </si>
  <si>
    <t>ORD01535</t>
  </si>
  <si>
    <t>ORD01536</t>
  </si>
  <si>
    <t>ORD01537</t>
  </si>
  <si>
    <t>ORD01538</t>
  </si>
  <si>
    <t>ORD01539</t>
  </si>
  <si>
    <t>C462</t>
  </si>
  <si>
    <t>Customer 462</t>
  </si>
  <si>
    <t>ORD01540</t>
  </si>
  <si>
    <t>ORD01541</t>
  </si>
  <si>
    <t>ORD01542</t>
  </si>
  <si>
    <t>ORD01543</t>
  </si>
  <si>
    <t>ORD01544</t>
  </si>
  <si>
    <t>ORD01545</t>
  </si>
  <si>
    <t>ORD01546</t>
  </si>
  <si>
    <t>ORD01547</t>
  </si>
  <si>
    <t>ORD01548</t>
  </si>
  <si>
    <t>ORD01549</t>
  </si>
  <si>
    <t>ORD01550</t>
  </si>
  <si>
    <t>ORD01551</t>
  </si>
  <si>
    <t>ORD01552</t>
  </si>
  <si>
    <t>C283</t>
  </si>
  <si>
    <t>Customer 283</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</si>
  <si>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</si>
  <si>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</si>
  <si>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</si>
  <si>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</si>
  <si>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</si>
  <si>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</si>
  <si>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</si>
  <si>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</si>
  <si>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</si>
  <si>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</si>
  <si>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</si>
  <si>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</si>
  <si>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</si>
  <si>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</si>
  <si>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</si>
  <si>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</si>
  <si>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</si>
  <si>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</si>
  <si>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</si>
  <si>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</si>
  <si>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</si>
  <si>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</si>
  <si>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</si>
  <si>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</si>
  <si>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C058</t>
  </si>
  <si>
    <t>Customer 58</t>
  </si>
  <si>
    <t>ORD01577</t>
  </si>
  <si>
    <t>ORD01578</t>
  </si>
  <si>
    <t>ORD01579</t>
  </si>
  <si>
    <t>ORD01580</t>
  </si>
  <si>
    <t>ORD01581</t>
  </si>
  <si>
    <t>ORD01582</t>
  </si>
  <si>
    <t>C246</t>
  </si>
  <si>
    <t>Customer 246</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</si>
  <si>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</si>
  <si>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</si>
  <si>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</si>
  <si>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</si>
  <si>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</si>
  <si>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</si>
  <si>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</si>
  <si>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</si>
  <si>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</si>
  <si>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</si>
  <si>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</si>
  <si>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</si>
  <si>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</si>
  <si>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</si>
  <si>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</si>
  <si>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</si>
  <si>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</si>
  <si>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</si>
  <si>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</si>
  <si>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</si>
  <si>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</si>
  <si>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</si>
  <si>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C160</t>
  </si>
  <si>
    <t>Customer 160</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</si>
  <si>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</si>
  <si>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</si>
  <si>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</si>
  <si>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</si>
  <si>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</si>
  <si>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</si>
  <si>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</si>
  <si>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</si>
  <si>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</si>
  <si>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</si>
  <si>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</si>
  <si>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</si>
  <si>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</si>
  <si>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</si>
  <si>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</si>
  <si>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</si>
  <si>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</si>
  <si>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</si>
  <si>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</si>
  <si>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</si>
  <si>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</si>
  <si>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</si>
  <si>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</si>
  <si>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C237</t>
  </si>
  <si>
    <t>Customer 237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</si>
  <si>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</si>
  <si>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</si>
  <si>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</si>
  <si>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</si>
  <si>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</si>
  <si>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</si>
  <si>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</si>
  <si>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</si>
  <si>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</si>
  <si>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</si>
  <si>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</si>
  <si>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</si>
  <si>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</si>
  <si>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</si>
  <si>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</si>
  <si>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</si>
  <si>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</si>
  <si>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</si>
  <si>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</si>
  <si>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</si>
  <si>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</si>
  <si>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</si>
  <si>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</si>
  <si>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</si>
  <si>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</si>
  <si>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</si>
  <si>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</si>
  <si>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</si>
  <si>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</si>
  <si>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</si>
  <si>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</si>
  <si>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</si>
  <si>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</si>
  <si>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</si>
  <si>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</si>
  <si>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C337</t>
  </si>
  <si>
    <t>Customer 337</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</si>
  <si>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</si>
  <si>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</si>
  <si>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</si>
  <si>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</si>
  <si>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</si>
  <si>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</si>
  <si>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</si>
  <si>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</si>
  <si>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</si>
  <si>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</si>
  <si>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</si>
  <si>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</si>
  <si>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</si>
  <si>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</si>
  <si>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</si>
  <si>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</si>
  <si>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C294</t>
  </si>
  <si>
    <t>Customer 294</t>
  </si>
  <si>
    <t>ORD01679</t>
  </si>
  <si>
    <t>ORD01680</t>
  </si>
  <si>
    <t>ORD01681</t>
  </si>
  <si>
    <t>C295</t>
  </si>
  <si>
    <t>Customer 295</t>
  </si>
  <si>
    <t>ORD01682</t>
  </si>
  <si>
    <t>ORD01683</t>
  </si>
  <si>
    <t>ORD01684</t>
  </si>
  <si>
    <t>ORD01685</t>
  </si>
  <si>
    <t>ORD01686</t>
  </si>
  <si>
    <t>ORD01687</t>
  </si>
  <si>
    <t>ORD01688</t>
  </si>
  <si>
    <t>ORD01689</t>
  </si>
  <si>
    <t>C370</t>
  </si>
  <si>
    <t>Customer 370</t>
  </si>
  <si>
    <t>ORD01690</t>
  </si>
  <si>
    <t>ORD01691</t>
  </si>
  <si>
    <t>C024</t>
  </si>
  <si>
    <t>Customer 24</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</si>
  <si>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</si>
  <si>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</si>
  <si>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</si>
  <si>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</si>
  <si>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</si>
  <si>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</si>
  <si>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</si>
  <si>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</si>
  <si>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</si>
  <si>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</si>
  <si>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</si>
  <si>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</si>
  <si>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</si>
  <si>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</si>
  <si>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</si>
  <si>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</si>
  <si>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</si>
  <si>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</si>
  <si>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</si>
  <si>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</si>
  <si>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C001</t>
  </si>
  <si>
    <t>Customer 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</si>
  <si>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</si>
  <si>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</si>
  <si>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</si>
  <si>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</si>
  <si>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</si>
  <si>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</si>
  <si>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</si>
  <si>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</si>
  <si>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</si>
  <si>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</si>
  <si>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</si>
  <si>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</si>
  <si>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</si>
  <si>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</si>
  <si>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</si>
  <si>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</si>
  <si>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</si>
  <si>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</si>
  <si>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</si>
  <si>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</si>
  <si>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</si>
  <si>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</si>
  <si>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</si>
  <si>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</si>
  <si>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</si>
  <si>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</si>
  <si>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</si>
  <si>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</si>
  <si>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</si>
  <si>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</si>
  <si>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</si>
  <si>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</si>
  <si>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</si>
  <si>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</si>
  <si>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</si>
  <si>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</si>
  <si>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</si>
  <si>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</si>
  <si>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</si>
  <si>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</si>
  <si>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</si>
  <si>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</si>
  <si>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</si>
  <si>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</si>
  <si>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</si>
  <si>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</si>
  <si>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</si>
  <si>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</si>
  <si>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</si>
  <si>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</si>
  <si>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</si>
  <si>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</si>
  <si>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</si>
  <si>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</si>
  <si>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</si>
  <si>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</si>
  <si>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</si>
  <si>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</si>
  <si>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</si>
  <si>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</si>
  <si>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</si>
  <si>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</si>
  <si>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</si>
  <si>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</si>
  <si>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</si>
  <si>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</si>
  <si>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</si>
  <si>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</si>
  <si>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</si>
  <si>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</si>
  <si>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</si>
  <si>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</si>
  <si>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</si>
  <si>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</si>
  <si>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</si>
  <si>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</si>
  <si>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</si>
  <si>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</si>
  <si>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</si>
  <si>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</si>
  <si>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</si>
  <si>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</si>
  <si>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</si>
  <si>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</si>
  <si>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</si>
  <si>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</si>
  <si>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</si>
  <si>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</si>
  <si>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</si>
  <si>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</si>
  <si>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</si>
  <si>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</si>
  <si>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</si>
  <si>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</si>
  <si>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</si>
  <si>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</si>
  <si>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</si>
  <si>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</si>
  <si>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</si>
  <si>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</si>
  <si>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</si>
  <si>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</si>
  <si>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</si>
  <si>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</si>
  <si>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</si>
  <si>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</si>
  <si>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</si>
  <si>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</si>
  <si>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</si>
  <si>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</si>
  <si>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</si>
  <si>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</si>
  <si>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</si>
  <si>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</si>
  <si>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</si>
  <si>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</si>
  <si>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</si>
  <si>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</si>
  <si>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</si>
  <si>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</si>
  <si>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</si>
  <si>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</si>
  <si>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</si>
  <si>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</si>
  <si>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</si>
  <si>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</si>
  <si>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</si>
  <si>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</si>
  <si>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</si>
  <si>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</si>
  <si>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</si>
  <si>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</si>
  <si>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</si>
  <si>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</si>
  <si>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</si>
  <si>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</si>
  <si>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</si>
  <si>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</si>
  <si>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</si>
  <si>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</si>
  <si>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</si>
  <si>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</si>
  <si>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</si>
  <si>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</si>
  <si>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</si>
  <si>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</si>
  <si>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</si>
  <si>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</si>
  <si>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</si>
  <si>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</si>
  <si>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</si>
  <si>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</si>
  <si>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</si>
  <si>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</si>
  <si>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</si>
  <si>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</si>
  <si>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</si>
  <si>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</si>
  <si>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</si>
  <si>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</si>
  <si>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</si>
  <si>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</si>
  <si>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</si>
  <si>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</si>
  <si>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</si>
  <si>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</si>
  <si>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</si>
  <si>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</si>
  <si>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</si>
  <si>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</si>
  <si>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</si>
  <si>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</si>
  <si>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</si>
  <si>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</si>
  <si>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</si>
  <si>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</si>
  <si>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</si>
  <si>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</si>
  <si>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</si>
  <si>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</si>
  <si>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</si>
  <si>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</si>
  <si>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C439</t>
  </si>
  <si>
    <t>Customer 439</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</si>
  <si>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</si>
  <si>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</si>
  <si>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</si>
  <si>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</si>
  <si>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</si>
  <si>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</si>
  <si>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</si>
  <si>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</si>
  <si>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</si>
  <si>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</si>
  <si>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</si>
  <si>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</si>
  <si>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</si>
  <si>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</si>
  <si>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</si>
  <si>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</si>
  <si>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</si>
  <si>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</si>
  <si>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</si>
  <si>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</si>
  <si>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</si>
  <si>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</si>
  <si>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</si>
  <si>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</si>
  <si>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</si>
  <si>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</si>
  <si>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</si>
  <si>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</si>
  <si>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</si>
  <si>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</si>
  <si>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</si>
  <si>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</si>
  <si>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</si>
  <si>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</si>
  <si>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</si>
  <si>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</si>
  <si>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</si>
  <si>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</si>
  <si>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</si>
  <si>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</si>
  <si>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</si>
  <si>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</si>
  <si>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</si>
  <si>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</si>
  <si>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</si>
  <si>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</si>
  <si>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</si>
  <si>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</si>
  <si>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</si>
  <si>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</si>
  <si>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</si>
  <si>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</si>
  <si>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</si>
  <si>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</si>
  <si>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</si>
  <si>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</si>
  <si>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</si>
  <si>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</si>
  <si>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</si>
  <si>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</si>
  <si>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</si>
  <si>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</si>
  <si>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</si>
  <si>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</si>
  <si>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</si>
  <si>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</si>
  <si>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</si>
  <si>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</si>
  <si>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</si>
  <si>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</si>
  <si>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</si>
  <si>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C205</t>
  </si>
  <si>
    <t>Customer 205</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</si>
  <si>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</si>
  <si>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</si>
  <si>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</si>
  <si>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</si>
  <si>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</si>
  <si>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</si>
  <si>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</si>
  <si>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</si>
  <si>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</si>
  <si>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</si>
  <si>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</si>
  <si>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</si>
  <si>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</si>
  <si>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</si>
  <si>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</si>
  <si>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</si>
  <si>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</si>
  <si>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</si>
  <si>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</si>
  <si>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</si>
  <si>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C166</t>
  </si>
  <si>
    <t>Customer 166</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</si>
  <si>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</si>
  <si>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</si>
  <si>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</si>
  <si>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</si>
  <si>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</si>
  <si>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</si>
  <si>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</si>
  <si>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</si>
  <si>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</si>
  <si>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</si>
  <si>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</si>
  <si>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</si>
  <si>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</si>
  <si>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</si>
  <si>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</si>
  <si>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</si>
  <si>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</si>
  <si>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</si>
  <si>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</si>
  <si>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</si>
  <si>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</si>
  <si>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</si>
  <si>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</si>
  <si>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</si>
  <si>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</si>
  <si>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</si>
  <si>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</si>
  <si>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</si>
  <si>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</si>
  <si>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</si>
  <si>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</si>
  <si>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</si>
  <si>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</si>
  <si>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</si>
  <si>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</si>
  <si>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</si>
  <si>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</si>
  <si>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</si>
  <si>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</si>
  <si>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</si>
  <si>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</si>
  <si>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</si>
  <si>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</si>
  <si>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</si>
  <si>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</si>
  <si>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</si>
  <si>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</si>
  <si>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</si>
  <si>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</si>
  <si>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</si>
  <si>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</si>
  <si>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</si>
  <si>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</si>
  <si>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</si>
  <si>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</si>
  <si>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</si>
  <si>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</si>
  <si>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</si>
  <si>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</si>
  <si>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</si>
  <si>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</si>
  <si>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</si>
  <si>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</si>
  <si>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</si>
  <si>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</si>
  <si>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</si>
  <si>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</si>
  <si>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</si>
  <si>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</si>
  <si>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</si>
  <si>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</si>
  <si>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</si>
  <si>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</si>
  <si>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</si>
  <si>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</si>
  <si>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</si>
  <si>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</si>
  <si>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</si>
  <si>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</si>
  <si>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</si>
  <si>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</si>
  <si>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</si>
  <si>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C106</t>
  </si>
  <si>
    <t>Customer 106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</si>
  <si>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</si>
  <si>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</si>
  <si>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</si>
  <si>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</si>
  <si>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</si>
  <si>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</si>
  <si>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</si>
  <si>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</si>
  <si>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</si>
  <si>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</si>
  <si>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</si>
  <si>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</si>
  <si>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</si>
  <si>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</si>
  <si>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</si>
  <si>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</si>
  <si>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</si>
  <si>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</si>
  <si>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</si>
  <si>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</si>
  <si>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</si>
  <si>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</si>
  <si>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</si>
  <si>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</si>
  <si>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</si>
  <si>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</si>
  <si>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</si>
  <si>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</si>
  <si>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</si>
  <si>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</si>
  <si>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</si>
  <si>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</si>
  <si>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</si>
  <si>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</si>
  <si>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</si>
  <si>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</si>
  <si>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</si>
  <si>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</si>
  <si>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</si>
  <si>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</si>
  <si>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</si>
  <si>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</si>
  <si>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</si>
  <si>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</si>
  <si>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</si>
  <si>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</si>
  <si>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</si>
  <si>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</si>
  <si>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</si>
  <si>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C170</t>
  </si>
  <si>
    <t>Customer 170</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</si>
  <si>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</si>
  <si>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</si>
  <si>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</si>
  <si>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</si>
  <si>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</si>
  <si>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</si>
  <si>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</si>
  <si>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</si>
  <si>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</si>
  <si>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</si>
  <si>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</si>
  <si>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</si>
  <si>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</si>
  <si>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</si>
  <si>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</si>
  <si>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</si>
  <si>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</si>
  <si>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</si>
  <si>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</si>
  <si>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</si>
  <si>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</si>
  <si>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</si>
  <si>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</si>
  <si>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</si>
  <si>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</si>
  <si>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</si>
  <si>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</si>
  <si>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</si>
  <si>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</si>
  <si>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</si>
  <si>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</si>
  <si>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</si>
  <si>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</si>
  <si>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</si>
  <si>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</si>
  <si>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</si>
  <si>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</si>
  <si>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</si>
  <si>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</si>
  <si>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</si>
  <si>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</si>
  <si>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</si>
  <si>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</si>
  <si>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</si>
  <si>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</si>
  <si>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</si>
  <si>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</si>
  <si>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</si>
  <si>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</si>
  <si>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</si>
  <si>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</si>
  <si>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</si>
  <si>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</si>
  <si>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</si>
  <si>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</si>
  <si>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</si>
  <si>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</si>
  <si>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</si>
  <si>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</si>
  <si>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</si>
  <si>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</si>
  <si>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</si>
  <si>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</si>
  <si>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</si>
  <si>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</si>
  <si>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</si>
  <si>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</si>
  <si>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</si>
  <si>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</si>
  <si>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</si>
  <si>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</si>
  <si>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</si>
  <si>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</si>
  <si>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</si>
  <si>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</si>
  <si>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</si>
  <si>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</si>
  <si>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</si>
  <si>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C379</t>
  </si>
  <si>
    <t>Customer 379</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</si>
  <si>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</si>
  <si>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</si>
  <si>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</si>
  <si>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</si>
  <si>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</si>
  <si>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</si>
  <si>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</si>
  <si>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</si>
  <si>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</si>
  <si>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</si>
  <si>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</si>
  <si>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</si>
  <si>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</si>
  <si>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</si>
  <si>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</si>
  <si>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</si>
  <si>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</si>
  <si>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</si>
  <si>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</si>
  <si>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</si>
  <si>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</si>
  <si>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</si>
  <si>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</si>
  <si>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</si>
  <si>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</si>
  <si>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</si>
  <si>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</si>
  <si>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</si>
  <si>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</si>
  <si>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</si>
  <si>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</si>
  <si>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</si>
  <si>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</si>
  <si>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</si>
  <si>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</si>
  <si>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</si>
  <si>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</si>
  <si>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</si>
  <si>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</si>
  <si>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</si>
  <si>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</si>
  <si>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</si>
  <si>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</si>
  <si>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</si>
  <si>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</si>
  <si>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</si>
  <si>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</si>
  <si>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</si>
  <si>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</si>
  <si>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</si>
  <si>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</si>
  <si>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C316</t>
  </si>
  <si>
    <t>Customer 316</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</si>
  <si>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</si>
  <si>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</si>
  <si>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</si>
  <si>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</si>
  <si>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</si>
  <si>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</si>
  <si>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</si>
  <si>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</si>
  <si>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</si>
  <si>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</si>
  <si>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</si>
  <si>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</si>
  <si>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</si>
  <si>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</si>
  <si>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</si>
  <si>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</si>
  <si>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</si>
  <si>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</si>
  <si>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</si>
  <si>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</si>
  <si>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</si>
  <si>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</si>
  <si>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</si>
  <si>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</si>
  <si>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</si>
  <si>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</si>
  <si>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</si>
  <si>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</si>
  <si>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</si>
  <si>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</si>
  <si>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</si>
  <si>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</si>
  <si>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</si>
  <si>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</si>
  <si>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</si>
  <si>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</si>
  <si>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</si>
  <si>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</si>
  <si>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</si>
  <si>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</si>
  <si>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</si>
  <si>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</si>
  <si>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</si>
  <si>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</si>
  <si>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</si>
  <si>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</si>
  <si>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</si>
  <si>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</si>
  <si>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</si>
  <si>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</si>
  <si>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</si>
  <si>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</si>
  <si>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</si>
  <si>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</si>
  <si>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</si>
  <si>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</si>
  <si>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</si>
  <si>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</si>
  <si>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</si>
  <si>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</si>
  <si>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</si>
  <si>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</si>
  <si>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</si>
  <si>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</si>
  <si>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</si>
  <si>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</si>
  <si>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</si>
  <si>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</si>
  <si>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</si>
  <si>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</si>
  <si>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</si>
  <si>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</si>
  <si>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</si>
  <si>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</si>
  <si>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</si>
  <si>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</si>
  <si>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</si>
  <si>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</si>
  <si>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</si>
  <si>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</si>
  <si>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</si>
  <si>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</si>
  <si>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</si>
  <si>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</si>
  <si>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</si>
  <si>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</si>
  <si>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</si>
  <si>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</si>
  <si>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</si>
  <si>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</si>
  <si>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</si>
  <si>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</si>
  <si>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</si>
  <si>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</si>
  <si>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</si>
  <si>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</si>
  <si>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</si>
  <si>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</si>
  <si>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</si>
  <si>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</si>
  <si>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</si>
  <si>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</si>
  <si>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</si>
  <si>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</si>
  <si>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</si>
  <si>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</si>
  <si>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</si>
  <si>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</si>
  <si>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</si>
  <si>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</si>
  <si>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</si>
  <si>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</si>
  <si>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</si>
  <si>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</si>
  <si>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</si>
  <si>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</si>
  <si>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</si>
  <si>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</si>
  <si>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</si>
  <si>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</si>
  <si>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</si>
  <si>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</si>
  <si>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</si>
  <si>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</si>
  <si>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</si>
  <si>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</si>
  <si>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</si>
  <si>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</si>
  <si>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</si>
  <si>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</si>
  <si>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</si>
  <si>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</si>
  <si>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</si>
  <si>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</si>
  <si>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</si>
  <si>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</si>
  <si>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</si>
  <si>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</si>
  <si>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</si>
  <si>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</si>
  <si>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</si>
  <si>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</si>
  <si>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</si>
  <si>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</si>
  <si>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</si>
  <si>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</si>
  <si>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</si>
  <si>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</si>
  <si>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</si>
  <si>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</si>
  <si>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</si>
  <si>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</si>
  <si>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</si>
  <si>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</si>
  <si>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</si>
  <si>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</si>
  <si>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</si>
  <si>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</si>
  <si>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</si>
  <si>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</si>
  <si>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</si>
  <si>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</si>
  <si>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</si>
  <si>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</si>
  <si>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</si>
  <si>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</si>
  <si>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</si>
  <si>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</si>
  <si>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</si>
  <si>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</si>
  <si>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</si>
  <si>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</si>
  <si>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</si>
  <si>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</si>
  <si>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</si>
  <si>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</si>
  <si>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</si>
  <si>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</si>
  <si>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</si>
  <si>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</si>
  <si>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</si>
  <si>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</si>
  <si>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</si>
  <si>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</si>
  <si>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</si>
  <si>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</si>
  <si>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</si>
  <si>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</si>
  <si>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</si>
  <si>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</si>
  <si>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</si>
  <si>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</si>
  <si>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</si>
  <si>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</si>
  <si>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</si>
  <si>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</si>
  <si>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</si>
  <si>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</si>
  <si>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</si>
  <si>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</si>
  <si>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</si>
  <si>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</si>
  <si>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</si>
  <si>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</si>
  <si>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</si>
  <si>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</si>
  <si>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</si>
  <si>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</si>
  <si>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</si>
  <si>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</si>
  <si>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</si>
  <si>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</si>
  <si>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</si>
  <si>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</si>
  <si>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</si>
  <si>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</si>
  <si>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</si>
  <si>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</si>
  <si>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</si>
  <si>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</si>
  <si>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</si>
  <si>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</si>
  <si>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</si>
  <si>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</si>
  <si>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</si>
  <si>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</si>
  <si>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</si>
  <si>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</si>
  <si>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</si>
  <si>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</si>
  <si>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</si>
  <si>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</si>
  <si>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</si>
  <si>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</si>
  <si>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</si>
  <si>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</si>
  <si>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</si>
  <si>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</si>
  <si>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</si>
  <si>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</si>
  <si>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</si>
  <si>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</si>
  <si>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</si>
  <si>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</si>
  <si>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</si>
  <si>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</si>
  <si>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</si>
  <si>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</si>
  <si>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</si>
  <si>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</si>
  <si>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</si>
  <si>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</si>
  <si>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</si>
  <si>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</si>
  <si>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</si>
  <si>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</si>
  <si>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</si>
  <si>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</si>
  <si>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</si>
  <si>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</si>
  <si>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</si>
  <si>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</si>
  <si>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</si>
  <si>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</si>
  <si>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</si>
  <si>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</si>
  <si>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</si>
  <si>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</si>
  <si>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</si>
  <si>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</si>
  <si>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</si>
  <si>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</si>
  <si>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</si>
  <si>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</si>
  <si>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</si>
  <si>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</si>
  <si>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</si>
  <si>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</si>
  <si>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</si>
  <si>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</si>
  <si>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</si>
  <si>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</si>
  <si>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</si>
  <si>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</si>
  <si>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</si>
  <si>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</si>
  <si>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</si>
  <si>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</si>
  <si>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</si>
  <si>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</si>
  <si>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</si>
  <si>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</si>
  <si>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</si>
  <si>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</si>
  <si>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</si>
  <si>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</si>
  <si>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</si>
  <si>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</si>
  <si>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</si>
  <si>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</si>
  <si>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</si>
  <si>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</si>
  <si>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</si>
  <si>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</si>
  <si>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</si>
  <si>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</si>
  <si>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</si>
  <si>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</si>
  <si>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</si>
  <si>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</si>
  <si>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</si>
  <si>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</si>
  <si>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</si>
  <si>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</si>
  <si>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</si>
  <si>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</si>
  <si>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</si>
  <si>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</si>
  <si>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</si>
  <si>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</si>
  <si>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</si>
  <si>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</si>
  <si>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</si>
  <si>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</si>
  <si>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</si>
  <si>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</si>
  <si>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</si>
  <si>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</si>
  <si>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</si>
  <si>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</si>
  <si>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</si>
  <si>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</si>
  <si>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</si>
  <si>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</si>
  <si>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</si>
  <si>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</si>
  <si>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</si>
  <si>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</si>
  <si>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</si>
  <si>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</si>
  <si>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</si>
  <si>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</si>
  <si>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</si>
  <si>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</si>
  <si>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</si>
  <si>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</si>
  <si>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</si>
  <si>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</si>
  <si>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</si>
  <si>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</si>
  <si>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</si>
  <si>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</si>
  <si>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</si>
  <si>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</si>
  <si>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</si>
  <si>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</si>
  <si>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</si>
  <si>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</si>
  <si>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</si>
  <si>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</si>
  <si>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</si>
  <si>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</si>
  <si>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</si>
  <si>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</si>
  <si>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</si>
  <si>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</si>
  <si>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</si>
  <si>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</si>
  <si>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</si>
  <si>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</si>
  <si>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</si>
  <si>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</si>
  <si>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</si>
  <si>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</si>
  <si>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</si>
  <si>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</si>
  <si>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</si>
  <si>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C154</t>
  </si>
  <si>
    <t>Customer 154</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</si>
  <si>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</si>
  <si>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</si>
  <si>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</si>
  <si>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</si>
  <si>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</si>
  <si>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</si>
  <si>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</si>
  <si>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</si>
  <si>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</si>
  <si>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</si>
  <si>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</si>
  <si>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</si>
  <si>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</si>
  <si>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</si>
  <si>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</si>
  <si>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</si>
  <si>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</si>
  <si>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</si>
  <si>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</si>
  <si>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</si>
  <si>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</si>
  <si>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</si>
  <si>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</si>
  <si>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</si>
  <si>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</si>
  <si>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</si>
  <si>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</si>
  <si>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</si>
  <si>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</si>
  <si>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</si>
  <si>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</si>
  <si>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</si>
  <si>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</si>
  <si>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</si>
  <si>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</si>
  <si>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</si>
  <si>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</si>
  <si>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</si>
  <si>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</si>
  <si>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</si>
  <si>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</si>
  <si>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</si>
  <si>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</si>
  <si>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</si>
  <si>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</si>
  <si>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</si>
  <si>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</si>
  <si>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</si>
  <si>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</si>
  <si>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</si>
  <si>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</si>
  <si>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</si>
  <si>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</si>
  <si>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</si>
  <si>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</si>
  <si>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</si>
  <si>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</si>
  <si>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</si>
  <si>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</si>
  <si>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</si>
  <si>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</si>
  <si>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</si>
  <si>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</si>
  <si>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</si>
  <si>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</si>
  <si>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</si>
  <si>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</si>
  <si>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</si>
  <si>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</si>
  <si>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</si>
  <si>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</si>
  <si>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</si>
  <si>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</si>
  <si>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</si>
  <si>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</si>
  <si>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</si>
  <si>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</si>
  <si>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</si>
  <si>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</si>
  <si>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</si>
  <si>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</si>
  <si>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</si>
  <si>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</si>
  <si>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</si>
  <si>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</si>
  <si>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</si>
  <si>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</si>
  <si>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</si>
  <si>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</si>
  <si>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</si>
  <si>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</si>
  <si>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</si>
  <si>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</si>
  <si>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</si>
  <si>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</si>
  <si>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</si>
  <si>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</si>
  <si>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</si>
  <si>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</si>
  <si>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</si>
  <si>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</si>
  <si>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</si>
  <si>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</si>
  <si>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</si>
  <si>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</si>
  <si>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</si>
  <si>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</si>
  <si>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</si>
  <si>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</si>
  <si>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</si>
  <si>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</si>
  <si>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</si>
  <si>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</si>
  <si>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</si>
  <si>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</si>
  <si>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</si>
  <si>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</si>
  <si>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</si>
  <si>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</si>
  <si>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</si>
  <si>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</si>
  <si>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</si>
  <si>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</si>
  <si>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</si>
  <si>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</si>
  <si>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</si>
  <si>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</si>
  <si>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</si>
  <si>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</si>
  <si>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</si>
  <si>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</si>
  <si>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</si>
  <si>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</si>
  <si>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</si>
  <si>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</si>
  <si>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</si>
  <si>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</si>
  <si>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</si>
  <si>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</si>
  <si>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</si>
  <si>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</si>
  <si>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</si>
  <si>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</si>
  <si>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</si>
  <si>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</si>
  <si>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</si>
  <si>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</si>
  <si>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</si>
  <si>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</si>
  <si>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</si>
  <si>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</si>
  <si>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</si>
  <si>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</si>
  <si>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</si>
  <si>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</si>
  <si>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</si>
  <si>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</si>
  <si>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</si>
  <si>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</si>
  <si>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</si>
  <si>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</si>
  <si>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</si>
  <si>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</si>
  <si>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</si>
  <si>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</si>
  <si>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</si>
  <si>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</si>
  <si>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</si>
  <si>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</si>
  <si>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</si>
  <si>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</si>
  <si>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</si>
  <si>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</si>
  <si>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</si>
  <si>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</si>
  <si>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</si>
  <si>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</si>
  <si>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</si>
  <si>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</si>
  <si>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</si>
  <si>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</si>
  <si>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</si>
  <si>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</si>
  <si>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</si>
  <si>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</si>
  <si>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</si>
  <si>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</si>
  <si>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</si>
  <si>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</si>
  <si>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</si>
  <si>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</si>
  <si>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</si>
  <si>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</si>
  <si>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</si>
  <si>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</si>
  <si>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</si>
  <si>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</si>
  <si>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</si>
  <si>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</si>
  <si>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</si>
  <si>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</si>
  <si>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</si>
  <si>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</si>
  <si>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</si>
  <si>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</si>
  <si>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</si>
  <si>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</si>
  <si>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</si>
  <si>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</si>
  <si>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</si>
  <si>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</si>
  <si>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</si>
  <si>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</si>
  <si>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</si>
  <si>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</si>
  <si>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</si>
  <si>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</si>
  <si>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</si>
  <si>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</si>
  <si>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</si>
  <si>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</si>
  <si>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</si>
  <si>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</si>
  <si>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</si>
  <si>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</si>
  <si>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</si>
  <si>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</si>
  <si>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</si>
  <si>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</si>
  <si>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</si>
  <si>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</si>
  <si>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</si>
  <si>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</si>
  <si>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</si>
  <si>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</si>
  <si>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</si>
  <si>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</si>
  <si>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</si>
  <si>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</si>
  <si>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</si>
  <si>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</si>
  <si>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</si>
  <si>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</si>
  <si>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</si>
  <si>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</si>
  <si>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</si>
  <si>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</si>
  <si>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</si>
  <si>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</si>
  <si>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</si>
  <si>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</si>
  <si>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</si>
  <si>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</si>
  <si>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</si>
  <si>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</si>
  <si>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</si>
  <si>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</si>
  <si>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</si>
  <si>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</si>
  <si>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</si>
  <si>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</si>
  <si>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</si>
  <si>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</si>
  <si>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</si>
  <si>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</si>
  <si>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</si>
  <si>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</si>
  <si>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</si>
  <si>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</si>
  <si>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</si>
  <si>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</si>
  <si>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</si>
  <si>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</si>
  <si>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</si>
  <si>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</si>
  <si>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</si>
  <si>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</si>
  <si>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</si>
  <si>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</si>
  <si>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</si>
  <si>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</si>
  <si>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</si>
  <si>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</si>
  <si>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</si>
  <si>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</si>
  <si>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</si>
  <si>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</si>
  <si>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</si>
  <si>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</si>
  <si>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C047</t>
  </si>
  <si>
    <t>Customer 47</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</si>
  <si>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</si>
  <si>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</si>
  <si>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</si>
  <si>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</si>
  <si>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</si>
  <si>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</si>
  <si>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</si>
  <si>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</si>
  <si>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</si>
  <si>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</si>
  <si>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</si>
  <si>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</si>
  <si>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</si>
  <si>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</si>
  <si>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</si>
  <si>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</si>
  <si>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</si>
  <si>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</si>
  <si>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</si>
  <si>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</si>
  <si>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</si>
  <si>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</si>
  <si>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</si>
  <si>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</si>
  <si>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</si>
  <si>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</si>
  <si>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</si>
  <si>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</si>
  <si>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</si>
  <si>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</si>
  <si>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</si>
  <si>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</si>
  <si>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</si>
  <si>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</si>
  <si>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</si>
  <si>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</si>
  <si>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</si>
  <si>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</si>
  <si>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</si>
  <si>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</si>
  <si>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</si>
  <si>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</si>
  <si>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</si>
  <si>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</si>
  <si>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</si>
  <si>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</si>
  <si>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</si>
  <si>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</si>
  <si>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</si>
  <si>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</si>
  <si>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</si>
  <si>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</si>
  <si>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</si>
  <si>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</si>
  <si>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</si>
  <si>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</si>
  <si>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</si>
  <si>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</si>
  <si>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</si>
  <si>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</si>
  <si>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</si>
  <si>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</si>
  <si>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</si>
  <si>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</si>
  <si>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</si>
  <si>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</si>
  <si>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</si>
  <si>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</si>
  <si>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</si>
  <si>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</si>
  <si>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</si>
  <si>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</si>
  <si>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</si>
  <si>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</si>
  <si>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</si>
  <si>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</si>
  <si>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</si>
  <si>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</si>
  <si>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</si>
  <si>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</si>
  <si>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</si>
  <si>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</si>
  <si>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</si>
  <si>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</si>
  <si>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</si>
  <si>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</si>
  <si>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</si>
  <si>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</si>
  <si>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</si>
  <si>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</si>
  <si>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</si>
  <si>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</si>
  <si>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</si>
  <si>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</si>
  <si>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</si>
  <si>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</si>
  <si>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</si>
  <si>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</si>
  <si>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</si>
  <si>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</si>
  <si>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</si>
  <si>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</si>
  <si>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</si>
  <si>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</si>
  <si>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</si>
  <si>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</si>
  <si>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</si>
  <si>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</si>
  <si>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</si>
  <si>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</si>
  <si>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</si>
  <si>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</si>
  <si>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</si>
  <si>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</si>
  <si>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</si>
  <si>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</si>
  <si>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</si>
  <si>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</si>
  <si>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</si>
  <si>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</si>
  <si>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</si>
  <si>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</si>
  <si>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</si>
  <si>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C469</t>
  </si>
  <si>
    <t>Customer 469</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</si>
  <si>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</si>
  <si>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</si>
  <si>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</si>
  <si>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</si>
  <si>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</si>
  <si>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</si>
  <si>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</si>
  <si>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</si>
  <si>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</si>
  <si>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</si>
  <si>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</si>
  <si>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</si>
  <si>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</si>
  <si>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</si>
  <si>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</si>
  <si>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</si>
  <si>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</si>
  <si>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</si>
  <si>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</si>
  <si>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</si>
  <si>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</si>
  <si>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</si>
  <si>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</si>
  <si>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</si>
  <si>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</si>
  <si>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</si>
  <si>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</si>
  <si>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</si>
  <si>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</si>
  <si>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</si>
  <si>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</si>
  <si>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</si>
  <si>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</si>
  <si>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</si>
  <si>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</si>
  <si>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</si>
  <si>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</si>
  <si>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</si>
  <si>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</si>
  <si>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</si>
  <si>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</si>
  <si>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</si>
  <si>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</si>
  <si>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</si>
  <si>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</si>
  <si>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</si>
  <si>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</si>
  <si>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</si>
  <si>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</si>
  <si>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</si>
  <si>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</si>
  <si>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</si>
  <si>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</si>
  <si>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</si>
  <si>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</si>
  <si>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</si>
  <si>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</si>
  <si>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</si>
  <si>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</si>
  <si>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</si>
  <si>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</si>
  <si>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</si>
  <si>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</si>
  <si>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</si>
  <si>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</si>
  <si>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</si>
  <si>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</si>
  <si>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</si>
  <si>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</si>
  <si>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</si>
  <si>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</si>
  <si>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</si>
  <si>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</si>
  <si>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</si>
  <si>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</si>
  <si>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</si>
  <si>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</si>
  <si>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</si>
  <si>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</si>
  <si>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</si>
  <si>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</si>
  <si>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</si>
  <si>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</si>
  <si>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</si>
  <si>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</si>
  <si>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</si>
  <si>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</si>
  <si>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</si>
  <si>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</si>
  <si>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</si>
  <si>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</si>
  <si>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</si>
  <si>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</si>
  <si>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</si>
  <si>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</si>
  <si>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</si>
  <si>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</si>
  <si>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</si>
  <si>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</si>
  <si>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</si>
  <si>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</si>
  <si>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</si>
  <si>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</si>
  <si>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</si>
  <si>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</si>
  <si>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</si>
  <si>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</si>
  <si>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</si>
  <si>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</si>
  <si>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</si>
  <si>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</si>
  <si>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</si>
  <si>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</si>
  <si>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</si>
  <si>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</si>
  <si>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</si>
  <si>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</si>
  <si>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</si>
  <si>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</si>
  <si>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</si>
  <si>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</si>
  <si>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</si>
  <si>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</si>
  <si>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</si>
  <si>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</si>
  <si>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</si>
  <si>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</si>
  <si>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</si>
  <si>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</si>
  <si>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</si>
  <si>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</si>
  <si>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</si>
  <si>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</si>
  <si>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</si>
  <si>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</si>
  <si>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</si>
  <si>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</si>
  <si>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</si>
  <si>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</si>
  <si>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</si>
  <si>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</si>
  <si>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</si>
  <si>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</si>
  <si>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</si>
  <si>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</si>
  <si>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</si>
  <si>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</si>
  <si>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</si>
  <si>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</si>
  <si>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</si>
  <si>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</si>
  <si>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</si>
  <si>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</si>
  <si>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</si>
  <si>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</si>
  <si>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</si>
  <si>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</si>
  <si>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</si>
  <si>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</si>
  <si>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</si>
  <si>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</si>
  <si>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</si>
  <si>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</si>
  <si>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</si>
  <si>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</si>
  <si>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</si>
  <si>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</si>
  <si>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</si>
  <si>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</si>
  <si>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</si>
  <si>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</si>
  <si>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</si>
  <si>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</si>
  <si>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</si>
  <si>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</si>
  <si>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</si>
  <si>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</si>
  <si>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</si>
  <si>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</si>
  <si>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</si>
  <si>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</si>
  <si>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</si>
  <si>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</si>
  <si>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</si>
  <si>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</si>
  <si>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</si>
  <si>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</si>
  <si>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</si>
  <si>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</si>
  <si>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</si>
  <si>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</si>
  <si>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</si>
  <si>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</si>
  <si>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</si>
  <si>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</si>
  <si>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</si>
  <si>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</si>
  <si>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</si>
  <si>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</si>
  <si>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</si>
  <si>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</si>
  <si>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</si>
  <si>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</si>
  <si>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</si>
  <si>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</si>
  <si>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</si>
  <si>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</si>
  <si>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</si>
  <si>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</si>
  <si>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</si>
  <si>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</si>
  <si>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</si>
  <si>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</si>
  <si>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</si>
  <si>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</si>
  <si>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</si>
  <si>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</si>
  <si>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</si>
  <si>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</si>
  <si>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</si>
  <si>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</si>
  <si>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</si>
  <si>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</si>
  <si>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</si>
  <si>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</si>
  <si>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</si>
  <si>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</si>
  <si>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</si>
  <si>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</si>
  <si>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</si>
  <si>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</si>
  <si>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</si>
  <si>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</si>
  <si>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</si>
  <si>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</si>
  <si>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</si>
  <si>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</si>
  <si>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</si>
  <si>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</si>
  <si>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</si>
  <si>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</si>
  <si>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</si>
  <si>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</si>
  <si>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</si>
  <si>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</si>
  <si>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</si>
  <si>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</si>
  <si>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</si>
  <si>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</si>
  <si>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</si>
  <si>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</si>
  <si>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</si>
  <si>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</si>
  <si>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</si>
  <si>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</si>
  <si>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</si>
  <si>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</si>
  <si>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</si>
  <si>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</si>
  <si>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</si>
  <si>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</si>
  <si>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</si>
  <si>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</si>
  <si>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</si>
  <si>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</si>
  <si>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</si>
  <si>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</si>
  <si>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</si>
  <si>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</si>
  <si>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</si>
  <si>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</si>
  <si>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</si>
  <si>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</si>
  <si>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</si>
  <si>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</si>
  <si>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</si>
  <si>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</si>
  <si>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</si>
  <si>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</si>
  <si>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</si>
  <si>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</si>
  <si>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</si>
  <si>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</si>
  <si>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</si>
  <si>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</si>
  <si>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</si>
  <si>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</si>
  <si>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</si>
  <si>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</si>
  <si>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</si>
  <si>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</si>
  <si>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</si>
  <si>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</si>
  <si>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</si>
  <si>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</si>
  <si>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</si>
  <si>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</si>
  <si>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</si>
  <si>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</si>
  <si>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</si>
  <si>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</si>
  <si>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</si>
  <si>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</si>
  <si>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</si>
  <si>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</si>
  <si>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</si>
  <si>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</si>
  <si>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</si>
  <si>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</si>
  <si>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</si>
  <si>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</si>
  <si>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</si>
  <si>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</si>
  <si>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</si>
  <si>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</si>
  <si>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</si>
  <si>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</si>
  <si>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</si>
  <si>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</si>
  <si>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</si>
  <si>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</si>
  <si>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</si>
  <si>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</si>
  <si>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</si>
  <si>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</si>
  <si>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</si>
  <si>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</si>
  <si>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</si>
  <si>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</si>
  <si>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</si>
  <si>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</si>
  <si>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</si>
  <si>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</si>
  <si>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</si>
  <si>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</si>
  <si>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</si>
  <si>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</si>
  <si>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</si>
  <si>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</si>
  <si>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</si>
  <si>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</si>
  <si>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</si>
  <si>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</si>
  <si>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</si>
  <si>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</si>
  <si>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</si>
  <si>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</si>
  <si>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</si>
  <si>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</si>
  <si>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</si>
  <si>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</si>
  <si>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</si>
  <si>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</si>
  <si>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</si>
  <si>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</si>
  <si>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</si>
  <si>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</si>
  <si>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</si>
  <si>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</si>
  <si>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</si>
  <si>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</si>
  <si>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</si>
  <si>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</si>
  <si>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</si>
  <si>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</si>
  <si>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</si>
  <si>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</si>
  <si>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</si>
  <si>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</si>
  <si>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</si>
  <si>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</si>
  <si>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</si>
  <si>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</si>
  <si>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</si>
  <si>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</si>
  <si>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</si>
  <si>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</si>
  <si>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</si>
  <si>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</si>
  <si>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</si>
  <si>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</si>
  <si>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</si>
  <si>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</si>
  <si>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</si>
  <si>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</si>
  <si>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</si>
  <si>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</si>
  <si>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</si>
  <si>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</si>
  <si>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</si>
  <si>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</si>
  <si>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</si>
  <si>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</si>
  <si>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</si>
  <si>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</si>
  <si>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</si>
  <si>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</si>
  <si>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</si>
  <si>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</si>
  <si>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</si>
  <si>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</si>
  <si>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</si>
  <si>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</si>
  <si>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</si>
  <si>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</si>
  <si>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</si>
  <si>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</si>
  <si>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</si>
  <si>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</si>
  <si>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</si>
  <si>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</si>
  <si>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</si>
  <si>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</si>
  <si>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</si>
  <si>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</si>
  <si>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</si>
  <si>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</si>
  <si>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</si>
  <si>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</si>
  <si>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</si>
  <si>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</si>
  <si>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</si>
  <si>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</si>
  <si>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</si>
  <si>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</si>
  <si>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</si>
  <si>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</si>
  <si>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</si>
  <si>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</si>
  <si>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</si>
  <si>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</si>
  <si>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</si>
  <si>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</si>
  <si>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</si>
  <si>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</si>
  <si>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</si>
  <si>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</si>
  <si>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</si>
  <si>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</si>
  <si>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</si>
  <si>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</si>
  <si>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</si>
  <si>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</si>
  <si>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</si>
  <si>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</si>
  <si>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</si>
  <si>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</si>
  <si>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</si>
  <si>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</si>
  <si>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</si>
  <si>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</si>
  <si>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</si>
  <si>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</si>
  <si>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</si>
  <si>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</si>
  <si>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</si>
  <si>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</si>
  <si>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</si>
  <si>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</si>
  <si>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</si>
  <si>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</si>
  <si>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</si>
  <si>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</si>
  <si>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</si>
  <si>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</si>
  <si>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</si>
  <si>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</si>
  <si>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</si>
  <si>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</si>
  <si>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</si>
  <si>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</si>
  <si>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</si>
  <si>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</si>
  <si>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</si>
  <si>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</si>
  <si>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</si>
  <si>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</si>
  <si>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</si>
  <si>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</si>
  <si>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</si>
  <si>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</si>
  <si>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</si>
  <si>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</si>
  <si>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</si>
  <si>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</si>
  <si>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</si>
  <si>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</si>
  <si>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</si>
  <si>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</si>
  <si>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</si>
  <si>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</si>
  <si>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</si>
  <si>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</si>
  <si>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</si>
  <si>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</si>
  <si>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</si>
  <si>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</si>
  <si>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</si>
  <si>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</si>
  <si>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</si>
  <si>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</si>
  <si>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</si>
  <si>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</si>
  <si>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</si>
  <si>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</si>
  <si>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</si>
  <si>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</si>
  <si>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</si>
  <si>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</si>
  <si>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</si>
  <si>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</si>
  <si>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</si>
  <si>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</si>
  <si>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</si>
  <si>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</si>
  <si>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</si>
  <si>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</si>
  <si>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</si>
  <si>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</si>
  <si>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</si>
  <si>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</si>
  <si>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</si>
  <si>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</si>
  <si>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</si>
  <si>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</si>
  <si>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</si>
  <si>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</si>
  <si>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</si>
  <si>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</si>
  <si>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</si>
  <si>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</si>
  <si>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</si>
  <si>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</si>
  <si>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</si>
  <si>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</si>
  <si>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</si>
  <si>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</si>
  <si>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</si>
  <si>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</si>
  <si>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</si>
  <si>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</si>
  <si>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</si>
  <si>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</si>
  <si>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</si>
  <si>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</si>
  <si>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</si>
  <si>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</si>
  <si>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</si>
  <si>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</si>
  <si>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</si>
  <si>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</si>
  <si>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</si>
  <si>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</si>
  <si>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</si>
  <si>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</si>
  <si>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</si>
  <si>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</si>
  <si>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</si>
  <si>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</si>
  <si>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</si>
  <si>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</si>
  <si>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</si>
  <si>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</si>
  <si>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</si>
  <si>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</si>
  <si>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</si>
  <si>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</si>
  <si>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</si>
  <si>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</si>
  <si>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C043</t>
  </si>
  <si>
    <t>Customer 43</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</si>
  <si>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</si>
  <si>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</si>
  <si>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</si>
  <si>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</si>
  <si>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</si>
  <si>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</si>
  <si>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</si>
  <si>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</si>
  <si>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</si>
  <si>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</si>
  <si>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</si>
  <si>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</si>
  <si>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</si>
  <si>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</si>
  <si>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</si>
  <si>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</si>
  <si>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</si>
  <si>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</si>
  <si>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</si>
  <si>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</si>
  <si>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</si>
  <si>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</si>
  <si>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</si>
  <si>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</si>
  <si>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</si>
  <si>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</si>
  <si>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</si>
  <si>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</si>
  <si>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</si>
  <si>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</si>
  <si>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</si>
  <si>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</si>
  <si>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</si>
  <si>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</si>
  <si>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</si>
  <si>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</si>
  <si>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</si>
  <si>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</si>
  <si>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</si>
  <si>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</si>
  <si>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</si>
  <si>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</si>
  <si>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</si>
  <si>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</si>
  <si>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</si>
  <si>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</si>
  <si>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</si>
  <si>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</si>
  <si>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</si>
  <si>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</si>
  <si>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</si>
  <si>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</si>
  <si>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</si>
  <si>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</si>
  <si>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</si>
  <si>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</si>
  <si>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</si>
  <si>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</si>
  <si>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</si>
  <si>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</si>
  <si>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</si>
  <si>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</si>
  <si>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</si>
  <si>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</si>
  <si>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</si>
  <si>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</si>
  <si>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</si>
  <si>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</si>
  <si>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</si>
  <si>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</si>
  <si>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</si>
  <si>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</si>
  <si>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</si>
  <si>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</si>
  <si>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</si>
  <si>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</si>
  <si>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</si>
  <si>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</si>
  <si>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</si>
  <si>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</si>
  <si>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</si>
  <si>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</si>
  <si>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</si>
  <si>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</si>
  <si>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</si>
  <si>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</si>
  <si>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</si>
  <si>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</si>
  <si>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</si>
  <si>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</si>
  <si>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</si>
  <si>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</si>
  <si>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</si>
  <si>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</si>
  <si>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</si>
  <si>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</si>
  <si>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</si>
  <si>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</si>
  <si>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</si>
  <si>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</si>
  <si>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</si>
  <si>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</si>
  <si>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</si>
  <si>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</si>
  <si>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</si>
  <si>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</si>
  <si>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</si>
  <si>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</si>
  <si>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</si>
  <si>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</si>
  <si>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</si>
  <si>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</si>
  <si>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</si>
  <si>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</si>
  <si>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</si>
  <si>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</si>
  <si>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</si>
  <si>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</si>
  <si>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</si>
  <si>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</si>
  <si>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</si>
  <si>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</si>
  <si>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</si>
  <si>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</si>
  <si>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</si>
  <si>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</si>
  <si>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</si>
  <si>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</si>
  <si>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</si>
  <si>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</si>
  <si>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</si>
  <si>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</si>
  <si>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</si>
  <si>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</si>
  <si>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</si>
  <si>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</si>
  <si>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</si>
  <si>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</si>
  <si>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</si>
  <si>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</si>
  <si>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</si>
  <si>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</si>
  <si>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</si>
  <si>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</si>
  <si>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</si>
  <si>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</si>
  <si>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</si>
  <si>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</si>
  <si>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</si>
  <si>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</si>
  <si>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</si>
  <si>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</si>
  <si>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</si>
  <si>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</si>
  <si>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</si>
  <si>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</si>
  <si>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</si>
  <si>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</si>
  <si>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</si>
  <si>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</si>
  <si>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</si>
  <si>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</si>
  <si>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</si>
  <si>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</si>
  <si>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</si>
  <si>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</si>
  <si>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</si>
  <si>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</si>
  <si>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</si>
  <si>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</si>
  <si>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</si>
  <si>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</si>
  <si>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</si>
  <si>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</si>
  <si>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</si>
  <si>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</si>
  <si>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</si>
  <si>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</si>
  <si>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</si>
  <si>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</si>
  <si>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</si>
  <si>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</si>
  <si>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</si>
  <si>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</si>
  <si>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</si>
  <si>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</si>
  <si>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</si>
  <si>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</si>
  <si>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</si>
  <si>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</si>
  <si>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</si>
  <si>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</si>
  <si>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</si>
  <si>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</si>
  <si>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</si>
  <si>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</si>
  <si>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</si>
  <si>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</si>
  <si>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</si>
  <si>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</si>
  <si>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</si>
  <si>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</si>
  <si>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</si>
  <si>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</si>
  <si>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</si>
  <si>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</si>
  <si>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</si>
  <si>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</si>
  <si>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</si>
  <si>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</si>
  <si>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</si>
  <si>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</si>
  <si>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</si>
  <si>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</si>
  <si>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</si>
  <si>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</si>
  <si>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</si>
  <si>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</si>
  <si>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</si>
  <si>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</si>
  <si>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</si>
  <si>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</si>
  <si>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</si>
  <si>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</si>
  <si>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</si>
  <si>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</si>
  <si>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</si>
  <si>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</si>
  <si>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</si>
  <si>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</si>
  <si>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</si>
  <si>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</si>
  <si>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</si>
  <si>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</si>
  <si>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</si>
  <si>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</si>
  <si>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</si>
  <si>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</si>
  <si>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</si>
  <si>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</si>
  <si>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</si>
  <si>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</si>
  <si>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</si>
  <si>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</si>
  <si>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</si>
  <si>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</si>
  <si>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</si>
  <si>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</si>
  <si>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</si>
  <si>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</si>
  <si>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</si>
  <si>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</si>
  <si>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</si>
  <si>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</si>
  <si>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</si>
  <si>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</si>
  <si>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</si>
  <si>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</si>
  <si>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</si>
  <si>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</si>
  <si>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</si>
  <si>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</si>
  <si>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</si>
  <si>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</si>
  <si>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</si>
  <si>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</si>
  <si>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</si>
  <si>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</si>
  <si>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</si>
  <si>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</si>
  <si>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</si>
  <si>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</si>
  <si>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</si>
  <si>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</si>
  <si>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</si>
  <si>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</si>
  <si>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</si>
  <si>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</si>
  <si>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</si>
  <si>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</si>
  <si>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</si>
  <si>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</si>
  <si>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</si>
  <si>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</si>
  <si>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</si>
  <si>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</si>
  <si>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</si>
  <si>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</si>
  <si>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</si>
  <si>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</si>
  <si>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</si>
  <si>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</si>
  <si>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</si>
  <si>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</si>
  <si>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</si>
  <si>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</si>
  <si>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</si>
  <si>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</si>
  <si>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</si>
  <si>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</si>
  <si>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</si>
  <si>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</si>
  <si>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</si>
  <si>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</si>
  <si>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</si>
  <si>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</si>
  <si>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</si>
  <si>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</si>
  <si>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</si>
  <si>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</si>
  <si>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</si>
  <si>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</si>
  <si>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</si>
  <si>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</si>
  <si>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</si>
  <si>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</si>
  <si>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</si>
  <si>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</si>
  <si>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</si>
  <si>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</si>
  <si>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</si>
  <si>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</si>
  <si>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</si>
  <si>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</si>
  <si>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</si>
  <si>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</si>
  <si>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</si>
  <si>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</si>
  <si>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</si>
  <si>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</si>
  <si>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</si>
  <si>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</si>
  <si>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</si>
  <si>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</si>
  <si>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</si>
  <si>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</si>
  <si>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</si>
  <si>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</si>
  <si>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</si>
  <si>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</si>
  <si>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</si>
  <si>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</si>
  <si>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</si>
  <si>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</si>
  <si>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</si>
  <si>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</si>
  <si>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</si>
  <si>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</si>
  <si>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</si>
  <si>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</si>
  <si>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</si>
  <si>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</si>
  <si>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</si>
  <si>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</si>
  <si>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</si>
  <si>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</si>
  <si>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</si>
  <si>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</si>
  <si>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</si>
  <si>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</si>
  <si>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</si>
  <si>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</si>
  <si>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</si>
  <si>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</si>
  <si>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</si>
  <si>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</si>
  <si>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</si>
  <si>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</si>
  <si>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</si>
  <si>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</si>
  <si>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</si>
  <si>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</si>
  <si>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</si>
  <si>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</si>
  <si>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</si>
  <si>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</si>
  <si>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</si>
  <si>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</si>
  <si>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</si>
  <si>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</si>
  <si>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</si>
  <si>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</si>
  <si>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</si>
  <si>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</si>
  <si>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</si>
  <si>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</si>
  <si>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</si>
  <si>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</si>
  <si>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</si>
  <si>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</si>
  <si>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</si>
  <si>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</si>
  <si>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</si>
  <si>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</si>
  <si>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</si>
  <si>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</si>
  <si>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</si>
  <si>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</si>
  <si>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</si>
  <si>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</si>
  <si>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</si>
  <si>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</si>
  <si>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</si>
  <si>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</si>
  <si>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</si>
  <si>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</si>
  <si>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</si>
  <si>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</si>
  <si>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</si>
  <si>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</si>
  <si>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</si>
  <si>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</si>
  <si>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</si>
  <si>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</si>
  <si>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</si>
  <si>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</si>
  <si>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</si>
  <si>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</si>
  <si>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</si>
  <si>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</si>
  <si>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</si>
  <si>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</si>
  <si>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</si>
  <si>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</si>
  <si>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</si>
  <si>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</si>
  <si>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</si>
  <si>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</si>
  <si>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</si>
  <si>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</si>
  <si>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</si>
  <si>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</si>
  <si>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</si>
  <si>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</si>
  <si>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</si>
  <si>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</si>
  <si>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</si>
  <si>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</si>
  <si>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</si>
  <si>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</si>
  <si>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</si>
  <si>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</si>
  <si>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</si>
  <si>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</si>
  <si>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</si>
  <si>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</si>
  <si>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</si>
  <si>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</si>
  <si>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</si>
  <si>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</si>
  <si>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</si>
  <si>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</si>
  <si>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</si>
  <si>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</si>
  <si>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</si>
  <si>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</si>
  <si>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</si>
  <si>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</si>
  <si>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</si>
  <si>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</si>
  <si>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</si>
  <si>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</si>
  <si>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</si>
  <si>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</si>
  <si>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</si>
  <si>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</si>
  <si>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</si>
  <si>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</si>
  <si>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</si>
  <si>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</si>
  <si>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</si>
  <si>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</si>
  <si>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</si>
  <si>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</si>
  <si>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</si>
  <si>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</si>
  <si>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</si>
  <si>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</si>
  <si>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</si>
  <si>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</si>
  <si>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</si>
  <si>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</si>
  <si>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</si>
  <si>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</si>
  <si>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</si>
  <si>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</si>
  <si>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</si>
  <si>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</si>
  <si>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</si>
  <si>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</si>
  <si>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</si>
  <si>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</si>
  <si>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</si>
  <si>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</si>
  <si>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</si>
  <si>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</si>
  <si>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</si>
  <si>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</si>
  <si>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</si>
  <si>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</si>
  <si>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</si>
  <si>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</si>
  <si>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</si>
  <si>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</si>
  <si>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</si>
  <si>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</si>
  <si>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</si>
  <si>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</si>
  <si>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</si>
  <si>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</si>
  <si>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</si>
  <si>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</si>
  <si>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</si>
  <si>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</si>
  <si>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</si>
  <si>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</si>
  <si>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</si>
  <si>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</si>
  <si>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</si>
  <si>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</si>
  <si>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</si>
  <si>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</si>
  <si>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</si>
  <si>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</si>
  <si>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</si>
  <si>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</si>
  <si>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</si>
  <si>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</si>
  <si>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</si>
  <si>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</si>
  <si>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</si>
  <si>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</si>
  <si>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</si>
  <si>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</si>
  <si>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</si>
  <si>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</si>
  <si>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</si>
  <si>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</si>
  <si>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</si>
  <si>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</si>
  <si>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</si>
  <si>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</si>
  <si>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</si>
  <si>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</si>
  <si>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</si>
  <si>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</si>
  <si>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</si>
  <si>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</si>
  <si>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</si>
  <si>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</si>
  <si>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</si>
  <si>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</si>
  <si>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</si>
  <si>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</si>
  <si>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</si>
  <si>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</si>
  <si>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</si>
  <si>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</si>
  <si>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</si>
  <si>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</si>
  <si>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</si>
  <si>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</si>
  <si>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</si>
  <si>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</si>
  <si>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</si>
  <si>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</si>
  <si>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</si>
  <si>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</si>
  <si>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</si>
  <si>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</si>
  <si>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</si>
  <si>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</si>
  <si>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</si>
  <si>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</si>
  <si>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</si>
  <si>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</si>
  <si>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</si>
  <si>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</si>
  <si>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</si>
  <si>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</si>
  <si>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</si>
  <si>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</si>
  <si>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</si>
  <si>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</si>
  <si>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</si>
  <si>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</si>
  <si>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</si>
  <si>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</si>
  <si>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</si>
  <si>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</si>
  <si>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</si>
  <si>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</si>
  <si>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</si>
  <si>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</si>
  <si>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</si>
  <si>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</si>
  <si>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</si>
  <si>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</si>
  <si>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</si>
  <si>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</si>
  <si>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</si>
  <si>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</si>
  <si>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</si>
  <si>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</si>
  <si>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</si>
  <si>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</si>
  <si>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</si>
  <si>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</si>
  <si>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</si>
  <si>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</si>
  <si>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</si>
  <si>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</si>
  <si>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</si>
  <si>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</si>
  <si>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</si>
  <si>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</si>
  <si>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</si>
  <si>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</si>
  <si>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</si>
  <si>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</si>
  <si>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</si>
  <si>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</si>
  <si>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</si>
  <si>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</si>
  <si>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</si>
  <si>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</si>
  <si>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</si>
  <si>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</si>
  <si>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</si>
  <si>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</si>
  <si>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</si>
  <si>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</si>
  <si>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</si>
  <si>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</si>
  <si>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</si>
  <si>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</si>
  <si>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</si>
  <si>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</si>
  <si>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</si>
  <si>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</si>
  <si>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</si>
  <si>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</si>
  <si>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</si>
  <si>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</si>
  <si>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</si>
  <si>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</si>
  <si>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</si>
  <si>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</si>
  <si>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</si>
  <si>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</si>
  <si>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</si>
  <si>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</si>
  <si>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</si>
  <si>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</si>
  <si>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</si>
  <si>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</si>
  <si>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</si>
  <si>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</si>
  <si>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</si>
  <si>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</si>
  <si>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</si>
  <si>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</si>
  <si>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</si>
  <si>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</si>
  <si>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</si>
  <si>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</si>
  <si>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</si>
  <si>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</si>
  <si>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</si>
  <si>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</si>
  <si>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</si>
  <si>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</si>
  <si>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</si>
  <si>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</si>
  <si>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</si>
  <si>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</si>
  <si>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</si>
  <si>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</si>
  <si>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</si>
  <si>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</si>
  <si>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</si>
  <si>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</si>
  <si>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</si>
  <si>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</si>
  <si>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</si>
  <si>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</si>
  <si>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</si>
  <si>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</si>
  <si>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</si>
  <si>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</si>
  <si>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</si>
  <si>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</si>
  <si>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</si>
  <si>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</si>
  <si>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</si>
  <si>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</si>
  <si>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</si>
  <si>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</si>
  <si>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</si>
  <si>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</si>
  <si>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</si>
  <si>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</si>
  <si>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</si>
  <si>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</si>
  <si>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</si>
  <si>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</si>
  <si>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</si>
  <si>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</si>
  <si>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</si>
  <si>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</si>
  <si>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</si>
  <si>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</si>
  <si>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</si>
  <si>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</si>
  <si>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</si>
  <si>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</si>
  <si>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</si>
  <si>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</si>
  <si>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</si>
  <si>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</si>
  <si>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</si>
  <si>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</si>
  <si>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</si>
  <si>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</si>
  <si>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</si>
  <si>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</si>
  <si>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</si>
  <si>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</si>
  <si>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</si>
  <si>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</si>
  <si>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</si>
  <si>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</si>
  <si>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</si>
  <si>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</si>
  <si>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</si>
  <si>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</si>
  <si>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</si>
  <si>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</si>
  <si>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</si>
  <si>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</si>
  <si>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</si>
  <si>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</si>
  <si>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</si>
  <si>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</si>
  <si>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</si>
  <si>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</si>
  <si>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</si>
  <si>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</si>
  <si>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</si>
  <si>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</si>
  <si>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</si>
  <si>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</si>
  <si>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</si>
  <si>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</si>
  <si>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</si>
  <si>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</si>
  <si>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</si>
  <si>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</si>
  <si>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</si>
  <si>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</si>
  <si>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</si>
  <si>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</si>
  <si>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</si>
  <si>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</si>
  <si>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</si>
  <si>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</si>
  <si>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</si>
  <si>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</si>
  <si>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</si>
  <si>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</si>
  <si>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</si>
  <si>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</si>
  <si>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</si>
  <si>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</si>
  <si>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</si>
  <si>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</si>
  <si>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</si>
  <si>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</si>
  <si>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</si>
  <si>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</si>
  <si>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</si>
  <si>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</si>
  <si>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</si>
  <si>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</si>
  <si>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</si>
  <si>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</si>
  <si>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</si>
  <si>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</si>
  <si>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</si>
  <si>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</si>
  <si>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</si>
  <si>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</si>
  <si>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</si>
  <si>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</si>
  <si>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</si>
  <si>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</si>
  <si>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</si>
  <si>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</si>
  <si>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</si>
  <si>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</si>
  <si>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</si>
  <si>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</si>
  <si>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</si>
  <si>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</si>
  <si>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</si>
  <si>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</si>
  <si>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</si>
  <si>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</si>
  <si>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</si>
  <si>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</si>
  <si>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</si>
  <si>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</si>
  <si>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</si>
  <si>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</si>
  <si>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</si>
  <si>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</si>
  <si>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</si>
  <si>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</si>
  <si>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</si>
  <si>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</si>
  <si>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</si>
  <si>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</si>
  <si>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</si>
  <si>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</si>
  <si>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</si>
  <si>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</si>
  <si>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</si>
  <si>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</si>
  <si>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</si>
  <si>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</si>
  <si>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</si>
  <si>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</si>
  <si>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</si>
  <si>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</si>
  <si>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</si>
  <si>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</si>
  <si>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</si>
  <si>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</si>
  <si>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</si>
  <si>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</si>
  <si>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</si>
  <si>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</si>
  <si>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</si>
  <si>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</si>
  <si>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</si>
  <si>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</si>
  <si>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</si>
  <si>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</si>
  <si>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</si>
  <si>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</si>
  <si>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</si>
  <si>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</si>
  <si>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</si>
  <si>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</si>
  <si>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</si>
  <si>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</si>
  <si>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</si>
  <si>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</si>
  <si>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</si>
  <si>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</si>
  <si>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</si>
  <si>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</si>
  <si>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</si>
  <si>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</si>
  <si>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</si>
  <si>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</si>
  <si>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</si>
  <si>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</si>
  <si>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</si>
  <si>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</si>
  <si>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</si>
  <si>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</si>
  <si>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</si>
  <si>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</si>
  <si>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</si>
  <si>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</si>
  <si>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</si>
  <si>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</si>
  <si>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</si>
  <si>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</si>
  <si>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</si>
  <si>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</si>
  <si>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</si>
  <si>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</si>
  <si>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</si>
  <si>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</si>
  <si>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</si>
  <si>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</si>
  <si>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</si>
  <si>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</si>
  <si>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</si>
  <si>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</si>
  <si>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</si>
  <si>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</si>
  <si>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</si>
  <si>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</si>
  <si>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</si>
  <si>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</si>
  <si>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</si>
  <si>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</si>
  <si>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</si>
  <si>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</si>
  <si>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</si>
  <si>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</si>
  <si>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</si>
  <si>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</si>
  <si>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</si>
  <si>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</si>
  <si>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</si>
  <si>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</si>
  <si>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</si>
  <si>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</si>
  <si>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</si>
  <si>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</si>
  <si>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</si>
  <si>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</si>
  <si>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</si>
  <si>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</si>
  <si>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</si>
  <si>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</si>
  <si>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</si>
  <si>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</si>
  <si>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</si>
  <si>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</si>
  <si>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</si>
  <si>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</si>
  <si>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</si>
  <si>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</si>
  <si>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</si>
  <si>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</si>
  <si>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</si>
  <si>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</si>
  <si>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</si>
  <si>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</si>
  <si>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</si>
  <si>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</si>
  <si>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</si>
  <si>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</si>
  <si>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</si>
  <si>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</si>
  <si>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</si>
  <si>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</si>
  <si>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</si>
  <si>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</si>
  <si>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</si>
  <si>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</si>
  <si>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</si>
  <si>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</si>
  <si>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</si>
  <si>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</si>
  <si>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</si>
  <si>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</si>
  <si>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</si>
  <si>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</si>
  <si>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</si>
  <si>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</si>
  <si>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</si>
  <si>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</si>
  <si>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</si>
  <si>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</si>
  <si>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</si>
  <si>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</si>
  <si>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</si>
  <si>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</si>
  <si>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</si>
  <si>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</si>
  <si>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</si>
  <si>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</si>
  <si>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</si>
  <si>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</si>
  <si>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</si>
  <si>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</si>
  <si>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</si>
  <si>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</si>
  <si>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</si>
  <si>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</si>
  <si>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</si>
  <si>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</si>
  <si>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</si>
  <si>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</si>
  <si>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</si>
  <si>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</si>
  <si>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</si>
  <si>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</si>
  <si>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</si>
  <si>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</si>
  <si>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</si>
  <si>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</si>
  <si>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</si>
  <si>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</si>
  <si>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</si>
  <si>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</si>
  <si>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</si>
  <si>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</si>
  <si>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</si>
  <si>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</si>
  <si>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</si>
  <si>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</si>
  <si>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</si>
  <si>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</si>
  <si>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</si>
  <si>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</si>
  <si>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</si>
  <si>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</si>
  <si>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</si>
  <si>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</si>
  <si>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</si>
  <si>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</si>
  <si>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</si>
  <si>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</si>
  <si>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</si>
  <si>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</si>
  <si>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</si>
  <si>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</si>
  <si>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</si>
  <si>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</si>
  <si>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</si>
  <si>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</si>
  <si>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</si>
  <si>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</si>
  <si>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</si>
  <si>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</si>
  <si>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</si>
  <si>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</si>
  <si>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</si>
  <si>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</si>
  <si>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</si>
  <si>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</si>
  <si>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</si>
  <si>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</si>
  <si>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</si>
  <si>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</si>
  <si>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</si>
  <si>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</si>
  <si>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</si>
  <si>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</si>
  <si>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</si>
  <si>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</si>
  <si>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</si>
  <si>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</si>
  <si>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</si>
  <si>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</si>
  <si>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</si>
  <si>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</si>
  <si>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</si>
  <si>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</si>
  <si>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</si>
  <si>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</si>
  <si>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</si>
  <si>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</si>
  <si>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</si>
  <si>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</si>
  <si>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</si>
  <si>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</si>
  <si>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</si>
  <si>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</si>
  <si>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</si>
  <si>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</si>
  <si>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</si>
  <si>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</si>
  <si>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</si>
  <si>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</si>
  <si>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</si>
  <si>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</si>
  <si>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</si>
  <si>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</si>
  <si>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</si>
  <si>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</si>
  <si>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</si>
  <si>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</si>
  <si>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</si>
  <si>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</si>
  <si>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</si>
  <si>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</si>
  <si>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</si>
  <si>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</si>
  <si>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</si>
  <si>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</si>
  <si>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</si>
  <si>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</si>
  <si>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</si>
  <si>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</si>
  <si>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</si>
  <si>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</si>
  <si>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</si>
  <si>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</si>
  <si>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</si>
  <si>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</si>
  <si>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</si>
  <si>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</si>
  <si>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</si>
  <si>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</si>
  <si>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</si>
  <si>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</si>
  <si>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</si>
  <si>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</si>
  <si>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</si>
  <si>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</si>
  <si>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</si>
  <si>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</si>
  <si>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</si>
  <si>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</si>
  <si>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</si>
  <si>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</si>
  <si>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</si>
  <si>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</si>
  <si>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</si>
  <si>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</si>
  <si>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</si>
  <si>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</si>
  <si>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</si>
  <si>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</si>
  <si>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</si>
  <si>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</si>
  <si>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</si>
  <si>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</si>
  <si>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</si>
  <si>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</si>
  <si>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</si>
  <si>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</si>
  <si>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</si>
  <si>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</si>
  <si>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</si>
  <si>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</si>
  <si>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</si>
  <si>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</si>
  <si>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</si>
  <si>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</si>
  <si>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</si>
  <si>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</si>
  <si>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</si>
  <si>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</si>
  <si>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</si>
  <si>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</si>
  <si>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</si>
  <si>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</si>
  <si>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</si>
  <si>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</si>
  <si>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</si>
  <si>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</si>
  <si>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</si>
  <si>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</si>
  <si>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</si>
  <si>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</si>
  <si>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</si>
  <si>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</si>
  <si>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</si>
  <si>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</si>
  <si>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</si>
  <si>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</si>
  <si>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</si>
  <si>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</si>
  <si>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</si>
  <si>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</si>
  <si>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</si>
  <si>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</si>
  <si>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</si>
  <si>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</si>
  <si>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</si>
  <si>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</si>
  <si>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</si>
  <si>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</si>
  <si>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</si>
  <si>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</si>
  <si>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</si>
  <si>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</si>
  <si>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</si>
  <si>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</si>
  <si>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</si>
  <si>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</si>
  <si>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</si>
  <si>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</si>
  <si>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</si>
  <si>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</si>
  <si>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</si>
  <si>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</si>
  <si>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</si>
  <si>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</si>
  <si>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</si>
  <si>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</si>
  <si>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</si>
  <si>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</si>
  <si>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</si>
  <si>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</si>
  <si>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</si>
  <si>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</si>
  <si>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</si>
  <si>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</si>
  <si>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</si>
  <si>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</si>
  <si>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</si>
  <si>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</si>
  <si>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</si>
  <si>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</si>
  <si>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</si>
  <si>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</si>
  <si>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</si>
  <si>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</si>
  <si>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</si>
  <si>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</si>
  <si>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</si>
  <si>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</si>
  <si>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</si>
  <si>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</si>
  <si>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</si>
  <si>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</si>
  <si>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</si>
  <si>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</si>
  <si>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</si>
  <si>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</si>
  <si>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</si>
  <si>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</si>
  <si>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</si>
  <si>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</si>
  <si>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</si>
  <si>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</si>
  <si>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</si>
  <si>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</si>
  <si>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</si>
  <si>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</si>
  <si>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</si>
  <si>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</si>
  <si>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</si>
  <si>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</si>
  <si>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</si>
  <si>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</si>
  <si>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</si>
  <si>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</si>
  <si>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</si>
  <si>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</si>
  <si>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</si>
  <si>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</si>
  <si>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</si>
  <si>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</si>
  <si>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</si>
  <si>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</si>
  <si>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</si>
  <si>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</si>
  <si>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</si>
  <si>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</si>
  <si>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</si>
  <si>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</si>
  <si>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</si>
  <si>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</si>
  <si>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</si>
  <si>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</si>
  <si>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</si>
  <si>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</si>
  <si>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</si>
  <si>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</si>
  <si>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</si>
  <si>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</si>
  <si>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</si>
  <si>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</si>
  <si>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</si>
  <si>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</si>
  <si>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</si>
  <si>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</si>
  <si>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</si>
  <si>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</si>
  <si>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</si>
  <si>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</si>
  <si>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</si>
  <si>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</si>
  <si>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</si>
  <si>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</si>
  <si>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</si>
  <si>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</si>
  <si>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</si>
  <si>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</si>
  <si>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</si>
  <si>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</si>
  <si>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</si>
  <si>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</si>
  <si>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</si>
  <si>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</si>
  <si>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</si>
  <si>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</si>
  <si>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</si>
  <si>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</si>
  <si>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</si>
  <si>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</si>
  <si>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</si>
  <si>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</si>
  <si>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</si>
  <si>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</si>
  <si>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</si>
  <si>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</si>
  <si>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</si>
  <si>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</si>
  <si>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</si>
  <si>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</si>
  <si>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</si>
  <si>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</si>
  <si>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</si>
  <si>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</si>
  <si>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</si>
  <si>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</si>
  <si>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</si>
  <si>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</si>
  <si>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</si>
  <si>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</si>
  <si>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</si>
  <si>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</si>
  <si>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</si>
  <si>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</si>
  <si>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</si>
  <si>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</si>
  <si>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</si>
  <si>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</si>
  <si>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</si>
  <si>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</si>
  <si>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</si>
  <si>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</si>
  <si>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</si>
  <si>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</si>
  <si>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</si>
  <si>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</si>
  <si>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</si>
  <si>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</si>
  <si>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</si>
  <si>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</si>
  <si>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</si>
  <si>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</si>
  <si>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</si>
  <si>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</si>
  <si>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</si>
  <si>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</si>
  <si>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</si>
  <si>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</si>
  <si>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</si>
  <si>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</si>
  <si>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</si>
  <si>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</si>
  <si>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</si>
  <si>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</si>
  <si>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</si>
  <si>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</si>
  <si>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</si>
  <si>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</si>
  <si>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</si>
  <si>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</si>
  <si>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</si>
  <si>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</si>
  <si>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</si>
  <si>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</si>
  <si>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</si>
  <si>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</si>
  <si>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</si>
  <si>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</si>
  <si>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</si>
  <si>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</si>
  <si>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</si>
  <si>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</si>
  <si>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</si>
  <si>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</si>
  <si>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</si>
  <si>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</si>
  <si>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</si>
  <si>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</si>
  <si>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</si>
  <si>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</si>
  <si>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</si>
  <si>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</si>
  <si>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</si>
  <si>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</si>
  <si>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</si>
  <si>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</si>
  <si>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</si>
  <si>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</si>
  <si>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</si>
  <si>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</si>
  <si>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</si>
  <si>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</si>
  <si>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</si>
  <si>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</si>
  <si>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</si>
  <si>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</si>
  <si>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</si>
  <si>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</si>
  <si>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</si>
  <si>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</si>
  <si>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</si>
  <si>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</si>
  <si>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</si>
  <si>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</si>
  <si>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</si>
  <si>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</si>
  <si>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</si>
  <si>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</si>
  <si>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</si>
  <si>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</si>
  <si>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</si>
  <si>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</si>
  <si>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</si>
  <si>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</si>
  <si>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</si>
  <si>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</si>
  <si>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Total Revenue</t>
  </si>
  <si>
    <t>Total Orders</t>
  </si>
  <si>
    <t>Total Customers</t>
  </si>
  <si>
    <t>Total Products</t>
  </si>
  <si>
    <t>Average Order Value</t>
  </si>
  <si>
    <t>Row Labels</t>
  </si>
  <si>
    <t>Grand Total</t>
  </si>
  <si>
    <t>Jan</t>
  </si>
  <si>
    <t>Feb</t>
  </si>
  <si>
    <t>Mar</t>
  </si>
  <si>
    <t>Apr</t>
  </si>
  <si>
    <t>May</t>
  </si>
  <si>
    <t>Jun</t>
  </si>
  <si>
    <t>Jul</t>
  </si>
  <si>
    <t>Aug</t>
  </si>
  <si>
    <t>Sep</t>
  </si>
  <si>
    <t>Oct</t>
  </si>
  <si>
    <t>Nov</t>
  </si>
  <si>
    <t>Dec</t>
  </si>
  <si>
    <t>Sum of Revenue</t>
  </si>
  <si>
    <t>Sum of Quantity</t>
  </si>
  <si>
    <t>Customer Count</t>
  </si>
  <si>
    <t>Count of Customer_Name</t>
  </si>
  <si>
    <t>Average of Revenue</t>
  </si>
  <si>
    <t>Product Revenue</t>
  </si>
  <si>
    <t>Average Product Price</t>
  </si>
  <si>
    <t>Average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</si>
</sst>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4" x14ac:knownFonts="1">
    <font>
      <sz val="12"/>
      <color theme="1"/>
      <name val="Aptos Narrow"/>
      <family val="2"/>
      <scheme val="minor"/>
    </font>
    <font>
      <sz val="12"/>
      <color theme="1"/>
      <name val="Aptos Narrow"/>
      <family val="2"/>
      <scheme val="minor"/>
    </font>
    <font>
      <b/>
      <sz val="16"/>
      <color theme="9"/>
      <name val="Aptos Narrow"/>
      <scheme val="minor"/>
    </font>
    <font>
      <b/>
      <sz val="22"/>
      <color theme="1"/>
      <name val="Aptos Narrow"/>
      <scheme val="minor"/>
    </font>
  </fonts>
  <fills count="4">
    <fill>
      <patternFill patternType="none"/>
    </fill>
    <fill>
      <patternFill patternType="gray125"/>
    </fill>
    <fill>
      <patternFill patternType="solid">
        <fgColor theme="2" tint="-0.249977111117893"/>
        <bgColor indexed="64"/>
      </patternFill>
    </fill>
    <fill>
      <patternFill patternType="solid">
        <fgColor theme="2" tint="-9.9978637043366805E-2"/>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0" borderId="0" xfId="0" applyNumberFormat="1"/>
    <xf numFmtId="14" fontId="0" fillId="0" borderId="0" xfId="0" applyNumberFormat="1"/>
    <xf numFmtId="44" fontId="0" fillId="0" borderId="0" xfId="1" applyFont="1"/>
    <xf numFmtId="44" fontId="2" fillId="3" borderId="1" xfId="1" applyFont="1" applyFill="1" applyBorder="1"/>
    <xf numFmtId="0" fontId="0" fillId="0" borderId="0" xfId="0" pivotButton="1"/>
    <xf numFmtId="44" fontId="0" fillId="0" borderId="0" xfId="0" applyNumberFormat="1"/>
    <xf numFmtId="0" fontId="0" fillId="0" borderId="0" xfId="0" applyAlignment="1">
      <alignment horizontal="left"/>
    </xf>
    <xf numFmtId="0" fontId="3" fillId="2" borderId="1" xfId="0" applyFont="1" applyFill="1" applyBorder="1"/>
    <xf numFmtId="8" fontId="0" fillId="0" borderId="0" xfId="0" applyNumberFormat="1"/>
    <xf numFmtId="0" fontId="0" fillId="0" borderId="0" xfId="0" applyAlignment="1">
      <alignment horizontal="left" indent="1"/>
    </xf>
  </cellXfs>
  <cellStyles count="2">
    <cellStyle name="Currency" xfId="1" builtinId="4"/>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s>
  <tableStyles count="0" defaultTableStyle="TableStyleMedium2" defaultPivotStyle="PivotStyleLight16"/>
  <colors>
    <mruColors>
      <color rgb="FFBD04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1.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[TT DASHBOARDS.xlsx]Sheet3!PivotTable8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IN" b="1"/>
              <a:t>Revenue by Industry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950228812122824E-2"/>
          <c:y val="0.12363333333333333"/>
          <c:w val="0.76233139660038318"/>
          <c:h val="0.79930577427821525"/>
        </c:manualLayout>
      </c:layout>
      <c:barChart>
        <c:barDir val="bar"/>
        <c:grouping val="clustered"/>
        <c:varyColors val="0"/>
        <c:ser>
          <c:idx val="1"/>
          <c:order val="0"/>
          <c:tx>
            <c:strRef>
              <c:f>Sheet3!$O$36</c:f>
              <c:strCache>
                <c:ptCount val="1"/>
                <c:pt idx="0">
                  <c:v>Total</c:v>
                </c:pt>
              </c:strCache>
            </c:strRef>
          </c:tx>
          <c:spPr>
            <a:solidFill>
              <a:schemeClr val="accent4">
                <a:shade val="76000"/>
              </a:schemeClr>
            </a:solidFill>
            <a:ln>
              <a:noFill/>
            </a:ln>
            <a:effectLst/>
          </c:spPr>
          <c:invertIfNegative val="0"/>
          <c:cat>
            <c:strRef>
              <c:f>Sheet3!$N$37:$N$42</c:f>
              <c:strCache>
                <c:ptCount val="5"/>
                <c:pt idx="0">
                  <c:v>Appliance</c:v>
                </c:pt>
                <c:pt idx="1">
                  <c:v>Automotive</c:v>
                </c:pt>
                <c:pt idx="2">
                  <c:v>Electrical</c:v>
                </c:pt>
                <c:pt idx="3">
                  <c:v>Electronics</c:v>
                </c:pt>
                <c:pt idx="4">
                  <c:v>EV</c:v>
                </c:pt>
              </c:strCache>
            </c:strRef>
          </c:cat>
          <c:val>
            <c:numRef>
              <c:f>Sheet3!$O$37:$O$42</c:f>
              <c:numCache>
                <c:formatCode>General</c:formatCode>
                <c:ptCount val="5"/>
                <c:pt idx="0">
                  <c:v>46716978</c:v>
                </c:pt>
                <c:pt idx="1">
                  <c:v>56456128</c:v>
                </c:pt>
                <c:pt idx="2">
                  <c:v>56408735</c:v>
                </c:pt>
                <c:pt idx="3">
                  <c:v>48379277</c:v>
                </c:pt>
                <c:pt idx="4">
                  <c:v>46829623</c:v>
                </c:pt>
              </c:numCache>
            </c:numRef>
          </c:val>
          <c:extLst>
            <c:ext xmlns:c16="http://schemas.microsoft.com/office/drawing/2014/chart" uri="{C3380CC4-5D6E-409C-BE32-E72D297353CC}">
              <c16:uniqueId val="{00000005-CC37-D549-A5A9-5DA1D6ED33F8}"/>
            </c:ext>
          </c:extLst>
        </c:ser>
        <c:dLbls>
          <c:showLegendKey val="0"/>
          <c:showVal val="0"/>
          <c:showCatName val="0"/>
          <c:showSerName val="0"/>
          <c:showPercent val="0"/>
          <c:showBubbleSize val="0"/>
        </c:dLbls>
        <c:gapWidth val="219"/>
        <c:axId val="1804109567"/>
        <c:axId val="1804584255"/>
      </c:barChart>
      <c:catAx>
        <c:axId val="180410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584255"/>
        <c:crosses val="autoZero"/>
        <c:auto val="1"/>
        <c:lblAlgn val="ctr"/>
        <c:lblOffset val="100"/>
        <c:noMultiLvlLbl val="0"/>
      </c:catAx>
      <c:valAx>
        <c:axId val="1804584255"/>
        <c:scaling>
          <c:orientation val="minMax"/>
        </c:scaling>
        <c:delete val="0"/>
        <c:axPos val="b"/>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109567"/>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[TT DASHBOARDS.xlsx]Sheet3!PivotTable7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Trend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Sheet3!$G$25</c:f>
              <c:strCache>
                <c:ptCount val="1"/>
                <c:pt idx="0">
                  <c:v>Total</c:v>
                </c:pt>
              </c:strCache>
            </c:strRef>
          </c:tx>
          <c:spPr>
            <a:solidFill>
              <a:schemeClr val="accent4"/>
            </a:solidFill>
            <a:ln>
              <a:noFill/>
            </a:ln>
            <a:effectLst/>
          </c:spPr>
          <c:invertIfNegative val="0"/>
          <c:cat>
            <c:strRef>
              <c:f>Sheet3!$F$26:$F$38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Sheet3!$G$26:$G$38</c:f>
              <c:numCache>
                <c:formatCode>_("₹"* #,##0.00_);_("₹"* \(#,##0.00\);_("₹"* "-"??_);_(@_)</c:formatCode>
                <c:ptCount val="12"/>
                <c:pt idx="0">
                  <c:v>559373624.03000021</c:v>
                </c:pt>
                <c:pt idx="1">
                  <c:v>568544956.5</c:v>
                </c:pt>
                <c:pt idx="2">
                  <c:v>571098448.90999985</c:v>
                </c:pt>
                <c:pt idx="3">
                  <c:v>519995160.18999988</c:v>
                </c:pt>
                <c:pt idx="4">
                  <c:v>597664009.1000005</c:v>
                </c:pt>
                <c:pt idx="5">
                  <c:v>548912659.35999978</c:v>
                </c:pt>
                <c:pt idx="6">
                  <c:v>574598993.31999981</c:v>
                </c:pt>
                <c:pt idx="7">
                  <c:v>533596504.61000019</c:v>
                </c:pt>
                <c:pt idx="8">
                  <c:v>519896947.11999995</c:v>
                </c:pt>
                <c:pt idx="9">
                  <c:v>503857850.42999989</c:v>
                </c:pt>
                <c:pt idx="10">
                  <c:v>530548104.74000043</c:v>
                </c:pt>
                <c:pt idx="11">
                  <c:v>611695872.78999925</c:v>
                </c:pt>
              </c:numCache>
            </c:numRef>
          </c:val>
          <c:extLst>
            <c:ext xmlns:c16="http://schemas.microsoft.com/office/drawing/2014/chart" uri="{C3380CC4-5D6E-409C-BE32-E72D297353CC}">
              <c16:uniqueId val="{00000000-D5A1-5D4A-9431-4873C93CF3A2}"/>
            </c:ext>
          </c:extLst>
        </c:ser>
        <c:dLbls>
          <c:showLegendKey val="0"/>
          <c:showVal val="0"/>
          <c:showCatName val="0"/>
          <c:showSerName val="0"/>
          <c:showPercent val="0"/>
          <c:showBubbleSize val="0"/>
        </c:dLbls>
        <c:gapWidth val="219"/>
        <c:overlap val="-27"/>
        <c:axId val="353440128"/>
        <c:axId val="353443264"/>
      </c:barChart>
      <c:catAx>
        <c:axId val="35344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443264"/>
        <c:crosses val="autoZero"/>
        <c:auto val="1"/>
        <c:lblAlgn val="ctr"/>
        <c:lblOffset val="100"/>
        <c:noMultiLvlLbl val="0"/>
      </c:catAx>
      <c:valAx>
        <c:axId val="35344326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44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[TT DASHBOARDS.xlsx]Sheet3!PivotTable9</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IN" b="1"/>
              <a:t>Top 10 Customers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Sheet3!$K$40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Sheet3!$J$41:$J$51</c:f>
              <c:strCache>
                <c:ptCount val="10"/>
                <c:pt idx="0">
                  <c:v>Customer 177</c:v>
                </c:pt>
                <c:pt idx="1">
                  <c:v>Customer 187</c:v>
                </c:pt>
                <c:pt idx="2">
                  <c:v>Customer 188</c:v>
                </c:pt>
                <c:pt idx="3">
                  <c:v>Customer 189</c:v>
                </c:pt>
                <c:pt idx="4">
                  <c:v>Customer 213</c:v>
                </c:pt>
                <c:pt idx="5">
                  <c:v>Customer 267</c:v>
                </c:pt>
                <c:pt idx="6">
                  <c:v>Customer 339</c:v>
                </c:pt>
                <c:pt idx="7">
                  <c:v>Customer 457</c:v>
                </c:pt>
                <c:pt idx="8">
                  <c:v>Customer 472</c:v>
                </c:pt>
                <c:pt idx="9">
                  <c:v>Customer 77</c:v>
                </c:pt>
              </c:strCache>
            </c:strRef>
          </c:cat>
          <c:val>
            <c:numRef>
              <c:f>Sheet3!$K$41:$K$51</c:f>
              <c:numCache>
                <c:formatCode>_("₹"* #,##0.00_);_("₹"* \(#,##0.00\);_("₹"* "-"??_);_(@_)</c:formatCode>
                <c:ptCount val="10"/>
                <c:pt idx="0">
                  <c:v>26146148.609999999</c:v>
                </c:pt>
                <c:pt idx="1">
                  <c:v>24995681.899999999</c:v>
                </c:pt>
                <c:pt idx="2">
                  <c:v>28245684.239999998</c:v>
                </c:pt>
                <c:pt idx="3">
                  <c:v>30882721.540000003</c:v>
                </c:pt>
                <c:pt idx="4">
                  <c:v>25398805.25</c:v>
                </c:pt>
                <c:pt idx="5">
                  <c:v>27659803.900000002</c:v>
                </c:pt>
                <c:pt idx="6">
                  <c:v>28305753.109999999</c:v>
                </c:pt>
                <c:pt idx="7">
                  <c:v>34023394.880000003</c:v>
                </c:pt>
                <c:pt idx="8">
                  <c:v>28416056.179999992</c:v>
                </c:pt>
                <c:pt idx="9">
                  <c:v>24731576.729999997</c:v>
                </c:pt>
              </c:numCache>
            </c:numRef>
          </c:val>
          <c:smooth val="0"/>
          <c:extLst>
            <c:ext xmlns:c16="http://schemas.microsoft.com/office/drawing/2014/chart" uri="{C3380CC4-5D6E-409C-BE32-E72D297353CC}">
              <c16:uniqueId val="{00000000-6950-0649-BE34-AE70176E0F66}"/>
            </c:ext>
          </c:extLst>
        </c:ser>
        <c:dLbls>
          <c:showLegendKey val="0"/>
          <c:showVal val="0"/>
          <c:showCatName val="0"/>
          <c:showSerName val="0"/>
          <c:showPercent val="0"/>
          <c:showBubbleSize val="0"/>
        </c:dLbls>
        <c:marker val="1"/>
        <c:smooth val="0"/>
        <c:axId val="1804699839"/>
        <c:axId val="631749952"/>
      </c:lineChart>
      <c:catAx>
        <c:axId val="180469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749952"/>
        <c:crosses val="autoZero"/>
        <c:auto val="1"/>
        <c:lblAlgn val="ctr"/>
        <c:lblOffset val="100"/>
        <c:noMultiLvlLbl val="0"/>
      </c:catAx>
      <c:valAx>
        <c:axId val="6317499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69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[TT DASHBOARDS.xlsx]Sheet3!PivotTable10</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IN" b="1"/>
              <a:t>Top 10 Products</a:t>
            </a:r>
          </a:p>
        </c:rich>
      </c:tx>
      <c:layout>
        <c:manualLayout>
          <c:xMode val="edge"/>
          <c:yMode val="edge"/>
          <c:x val="0.37964540030418531"/>
          <c:y val="1.861783840196632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Sheet3!$C$26</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Sheet3!$B$27:$B$37</c:f>
              <c:strCache>
                <c:ptCount val="10"/>
                <c:pt idx="0">
                  <c:v>TT Product 16</c:v>
                </c:pt>
                <c:pt idx="1">
                  <c:v>TT Product 17</c:v>
                </c:pt>
                <c:pt idx="2">
                  <c:v>TT Product 20</c:v>
                </c:pt>
                <c:pt idx="3">
                  <c:v>TT Product 21</c:v>
                </c:pt>
                <c:pt idx="4">
                  <c:v>TT Product 28</c:v>
                </c:pt>
                <c:pt idx="5">
                  <c:v>TT Product 30</c:v>
                </c:pt>
                <c:pt idx="6">
                  <c:v>TT Product 36</c:v>
                </c:pt>
                <c:pt idx="7">
                  <c:v>TT Product 38</c:v>
                </c:pt>
                <c:pt idx="8">
                  <c:v>TT Product 40</c:v>
                </c:pt>
                <c:pt idx="9">
                  <c:v>TT Product 46</c:v>
                </c:pt>
              </c:strCache>
            </c:strRef>
          </c:cat>
          <c:val>
            <c:numRef>
              <c:f>Sheet3!$C$27:$C$37</c:f>
              <c:numCache>
                <c:formatCode>_("₹"* #,##0.00_);_("₹"* \(#,##0.00\);_("₹"* "-"??_);_(@_)</c:formatCode>
                <c:ptCount val="10"/>
                <c:pt idx="0">
                  <c:v>163309919.64000002</c:v>
                </c:pt>
                <c:pt idx="1">
                  <c:v>150585271.38999993</c:v>
                </c:pt>
                <c:pt idx="2">
                  <c:v>149322851.1500001</c:v>
                </c:pt>
                <c:pt idx="3">
                  <c:v>167778236.88999999</c:v>
                </c:pt>
                <c:pt idx="4">
                  <c:v>155761981.04000002</c:v>
                </c:pt>
                <c:pt idx="5">
                  <c:v>149693633.63999993</c:v>
                </c:pt>
                <c:pt idx="6">
                  <c:v>148675588.12999988</c:v>
                </c:pt>
                <c:pt idx="7">
                  <c:v>162893929.05999997</c:v>
                </c:pt>
                <c:pt idx="8">
                  <c:v>153492688.04999995</c:v>
                </c:pt>
                <c:pt idx="9">
                  <c:v>149043701.88</c:v>
                </c:pt>
              </c:numCache>
            </c:numRef>
          </c:val>
          <c:extLst>
            <c:ext xmlns:c16="http://schemas.microsoft.com/office/drawing/2014/chart" uri="{C3380CC4-5D6E-409C-BE32-E72D297353CC}">
              <c16:uniqueId val="{00000000-4016-F24B-9A0D-1BAA5E24588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[TT DASHBOARDS.xlsx]Sheet7!PivotTable11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IN"/>
              <a:t>Customer Distribution by Industry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Sheet7!$E$6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Sheet7!$D$7:$D$12</c:f>
              <c:strCache>
                <c:ptCount val="5"/>
                <c:pt idx="0">
                  <c:v>Appliance</c:v>
                </c:pt>
                <c:pt idx="1">
                  <c:v>Automotive</c:v>
                </c:pt>
                <c:pt idx="2">
                  <c:v>Electrical</c:v>
                </c:pt>
                <c:pt idx="3">
                  <c:v>Electronics</c:v>
                </c:pt>
                <c:pt idx="4">
                  <c:v>EV</c:v>
                </c:pt>
              </c:strCache>
            </c:strRef>
          </c:cat>
          <c:val>
            <c:numRef>
              <c:f>Sheet7!$E$7:$E$12</c:f>
              <c:numCache>
                <c:formatCode>General</c:formatCode>
                <c:ptCount val="5"/>
                <c:pt idx="0">
                  <c:v>910</c:v>
                </c:pt>
                <c:pt idx="1">
                  <c:v>1113</c:v>
                </c:pt>
                <c:pt idx="2">
                  <c:v>1113</c:v>
                </c:pt>
                <c:pt idx="3">
                  <c:v>955</c:v>
                </c:pt>
                <c:pt idx="4">
                  <c:v>909</c:v>
                </c:pt>
              </c:numCache>
            </c:numRef>
          </c:val>
          <c:extLst>
            <c:ext xmlns:c16="http://schemas.microsoft.com/office/drawing/2014/chart" uri="{C3380CC4-5D6E-409C-BE32-E72D297353CC}">
              <c16:uniqueId val="{00000002-80F3-D84E-A3A6-F597EA584069}"/>
            </c:ext>
          </c:extLst>
        </c:ser>
        <c:dLbls>
          <c:dLblPos val="inEnd"/>
          <c:showLegendKey val="0"/>
          <c:showVal val="1"/>
          <c:showCatName val="0"/>
          <c:showSerName val="0"/>
          <c:showPercent val="0"/>
          <c:showBubbleSize val="0"/>
        </c:dLbls>
        <c:gapWidth val="65"/>
        <c:axId val="1784683071"/>
        <c:axId val="1784685311"/>
      </c:barChart>
      <c:catAx>
        <c:axId val="17846830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84685311"/>
        <c:crosses val="autoZero"/>
        <c:auto val="1"/>
        <c:lblAlgn val="ctr"/>
        <c:lblOffset val="100"/>
        <c:noMultiLvlLbl val="0"/>
      </c:catAx>
      <c:valAx>
        <c:axId val="17846853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846830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[TT DASHBOARDS.xlsx]Sheet7!PivotTable12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IN"/>
              <a:t>Top 20 Customers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9430555555555556"/>
          <c:w val="0.81714531460594453"/>
          <c:h val="0.48412875473899097"/>
        </c:manualLayout>
      </c:layout>
      <c:barChart>
        <c:barDir val="col"/>
        <c:grouping val="clustered"/>
        <c:varyColors val="0"/>
        <c:ser>
          <c:idx val="0"/>
          <c:order val="0"/>
          <c:tx>
            <c:strRef>
              <c:f>Sheet7!$K$11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Sheet7!$J$12:$J$32</c:f>
              <c:strCache>
                <c:ptCount val="20"/>
                <c:pt idx="0">
                  <c:v>Customer 145</c:v>
                </c:pt>
                <c:pt idx="1">
                  <c:v>Customer 177</c:v>
                </c:pt>
                <c:pt idx="2">
                  <c:v>Customer 187</c:v>
                </c:pt>
                <c:pt idx="3">
                  <c:v>Customer 188</c:v>
                </c:pt>
                <c:pt idx="4">
                  <c:v>Customer 189</c:v>
                </c:pt>
                <c:pt idx="5">
                  <c:v>Customer 213</c:v>
                </c:pt>
                <c:pt idx="6">
                  <c:v>Customer 242</c:v>
                </c:pt>
                <c:pt idx="7">
                  <c:v>Customer 267</c:v>
                </c:pt>
                <c:pt idx="8">
                  <c:v>Customer 277</c:v>
                </c:pt>
                <c:pt idx="9">
                  <c:v>Customer 296</c:v>
                </c:pt>
                <c:pt idx="10">
                  <c:v>Customer 339</c:v>
                </c:pt>
                <c:pt idx="11">
                  <c:v>Customer 403</c:v>
                </c:pt>
                <c:pt idx="12">
                  <c:v>Customer 444</c:v>
                </c:pt>
                <c:pt idx="13">
                  <c:v>Customer 457</c:v>
                </c:pt>
                <c:pt idx="14">
                  <c:v>Customer 458</c:v>
                </c:pt>
                <c:pt idx="15">
                  <c:v>Customer 470</c:v>
                </c:pt>
                <c:pt idx="16">
                  <c:v>Customer 472</c:v>
                </c:pt>
                <c:pt idx="17">
                  <c:v>Customer 477</c:v>
                </c:pt>
                <c:pt idx="18">
                  <c:v>Customer 478</c:v>
                </c:pt>
                <c:pt idx="19">
                  <c:v>Customer 77</c:v>
                </c:pt>
              </c:strCache>
            </c:strRef>
          </c:cat>
          <c:val>
            <c:numRef>
              <c:f>Sheet7!$K$12:$K$32</c:f>
              <c:numCache>
                <c:formatCode>_("₹"* #,##0.00_);_("₹"* \(#,##0.00\);_("₹"* "-"??_);_(@_)</c:formatCode>
                <c:ptCount val="20"/>
                <c:pt idx="0">
                  <c:v>23607871.629999999</c:v>
                </c:pt>
                <c:pt idx="1">
                  <c:v>26146148.609999999</c:v>
                </c:pt>
                <c:pt idx="2">
                  <c:v>24995681.899999999</c:v>
                </c:pt>
                <c:pt idx="3">
                  <c:v>28245684.239999998</c:v>
                </c:pt>
                <c:pt idx="4">
                  <c:v>30882721.540000003</c:v>
                </c:pt>
                <c:pt idx="5">
                  <c:v>25398805.25</c:v>
                </c:pt>
                <c:pt idx="6">
                  <c:v>23731885.870000001</c:v>
                </c:pt>
                <c:pt idx="7">
                  <c:v>27659803.900000002</c:v>
                </c:pt>
                <c:pt idx="8">
                  <c:v>23348770.689999998</c:v>
                </c:pt>
                <c:pt idx="9">
                  <c:v>24159057.170000002</c:v>
                </c:pt>
                <c:pt idx="10">
                  <c:v>28305753.109999999</c:v>
                </c:pt>
                <c:pt idx="11">
                  <c:v>24724364.510000002</c:v>
                </c:pt>
                <c:pt idx="12">
                  <c:v>23950156.879999999</c:v>
                </c:pt>
                <c:pt idx="13">
                  <c:v>34023394.880000003</c:v>
                </c:pt>
                <c:pt idx="14">
                  <c:v>24332813.109999999</c:v>
                </c:pt>
                <c:pt idx="15">
                  <c:v>24578903.379999999</c:v>
                </c:pt>
                <c:pt idx="16">
                  <c:v>28416056.179999992</c:v>
                </c:pt>
                <c:pt idx="17">
                  <c:v>24180619.750000004</c:v>
                </c:pt>
                <c:pt idx="18">
                  <c:v>24564716.580000002</c:v>
                </c:pt>
                <c:pt idx="19">
                  <c:v>24731576.729999997</c:v>
                </c:pt>
              </c:numCache>
            </c:numRef>
          </c:val>
          <c:extLst>
            <c:ext xmlns:c16="http://schemas.microsoft.com/office/drawing/2014/chart" uri="{C3380CC4-5D6E-409C-BE32-E72D297353CC}">
              <c16:uniqueId val="{00000000-9207-9441-8D14-CFB1867493A3}"/>
            </c:ext>
          </c:extLst>
        </c:ser>
        <c:dLbls>
          <c:dLblPos val="inEnd"/>
          <c:showLegendKey val="0"/>
          <c:showVal val="0"/>
          <c:showCatName val="0"/>
          <c:showSerName val="0"/>
          <c:showPercent val="0"/>
          <c:showBubbleSize val="0"/>
        </c:dLbls>
        <c:gapWidth val="65"/>
        <c:axId val="1785771583"/>
        <c:axId val="1795291135"/>
      </c:barChart>
      <c:catAx>
        <c:axId val="17857715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95291135"/>
        <c:crosses val="autoZero"/>
        <c:auto val="1"/>
        <c:lblAlgn val="ctr"/>
        <c:lblOffset val="100"/>
        <c:noMultiLvlLbl val="0"/>
      </c:catAx>
      <c:valAx>
        <c:axId val="17952911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crossAx val="17857715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[TT DASHBOARDS.xlsx]Sheet7!PivotTable13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IN"/>
              <a:t>Revenue Contribution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Sheet7!$O$11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multiLvlStrRef>
              <c:f>Sheet7!$N$12:$N$42</c:f>
              <c:multiLvlStrCache>
                <c:ptCount val="25"/>
                <c:lvl>
                  <c:pt idx="0">
                    <c:v>Appliance</c:v>
                  </c:pt>
                  <c:pt idx="1">
                    <c:v>Automotive</c:v>
                  </c:pt>
                  <c:pt idx="2">
                    <c:v>Electrical</c:v>
                  </c:pt>
                  <c:pt idx="3">
                    <c:v>Electronics</c:v>
                  </c:pt>
                  <c:pt idx="4">
                    <c:v>EV</c:v>
                  </c:pt>
                  <c:pt idx="5">
                    <c:v>Appliance</c:v>
                  </c:pt>
                  <c:pt idx="6">
                    <c:v>Automotive</c:v>
                  </c:pt>
                  <c:pt idx="7">
                    <c:v>Electrical</c:v>
                  </c:pt>
                  <c:pt idx="8">
                    <c:v>Electronics</c:v>
                  </c:pt>
                  <c:pt idx="9">
                    <c:v>EV</c:v>
                  </c:pt>
                  <c:pt idx="10">
                    <c:v>Appliance</c:v>
                  </c:pt>
                  <c:pt idx="11">
                    <c:v>Automotive</c:v>
                  </c:pt>
                  <c:pt idx="12">
                    <c:v>Electrical</c:v>
                  </c:pt>
                  <c:pt idx="13">
                    <c:v>Electronics</c:v>
                  </c:pt>
                  <c:pt idx="14">
                    <c:v>EV</c:v>
                  </c:pt>
                  <c:pt idx="15">
                    <c:v>Appliance</c:v>
                  </c:pt>
                  <c:pt idx="16">
                    <c:v>Automotive</c:v>
                  </c:pt>
                  <c:pt idx="17">
                    <c:v>Electrical</c:v>
                  </c:pt>
                  <c:pt idx="18">
                    <c:v>Electronics</c:v>
                  </c:pt>
                  <c:pt idx="19">
                    <c:v>EV</c:v>
                  </c:pt>
                  <c:pt idx="20">
                    <c:v>Appliance</c:v>
                  </c:pt>
                  <c:pt idx="21">
                    <c:v>Automotive</c:v>
                  </c:pt>
                  <c:pt idx="22">
                    <c:v>Electrical</c:v>
                  </c:pt>
                  <c:pt idx="23">
                    <c:v>Electronics</c:v>
                  </c:pt>
                  <c:pt idx="24">
                    <c:v>EV</c:v>
                  </c:pt>
                </c:lvl>
                <c:lvl>
                  <c:pt idx="0">
                    <c:v>Connector</c:v>
                  </c:pt>
                  <c:pt idx="5">
                    <c:v>Electrical</c:v>
                  </c:pt>
                  <c:pt idx="10">
                    <c:v>EV Components</c:v>
                  </c:pt>
                  <c:pt idx="15">
                    <c:v>Relay</c:v>
                  </c:pt>
                  <c:pt idx="20">
                    <c:v>Terminal</c:v>
                  </c:pt>
                </c:lvl>
              </c:multiLvlStrCache>
            </c:multiLvlStrRef>
          </c:cat>
          <c:val>
            <c:numRef>
              <c:f>Sheet7!$O$12:$O$42</c:f>
              <c:numCache>
                <c:formatCode>_("₹"* #,##0.00_);_("₹"* \(#,##0.00\);_("₹"* "-"??_);_(@_)</c:formatCode>
                <c:ptCount val="25"/>
                <c:pt idx="0">
                  <c:v>1335267.3368639052</c:v>
                </c:pt>
                <c:pt idx="1">
                  <c:v>1335246.5673191482</c:v>
                </c:pt>
                <c:pt idx="2">
                  <c:v>1413964.0330222219</c:v>
                </c:pt>
                <c:pt idx="3">
                  <c:v>1433030.8480904531</c:v>
                </c:pt>
                <c:pt idx="4">
                  <c:v>1381724.8478918921</c:v>
                </c:pt>
                <c:pt idx="5">
                  <c:v>1461160.2141871925</c:v>
                </c:pt>
                <c:pt idx="6">
                  <c:v>1387399.1540284352</c:v>
                </c:pt>
                <c:pt idx="7">
                  <c:v>1259233.9623245604</c:v>
                </c:pt>
                <c:pt idx="8">
                  <c:v>1241069.7621348316</c:v>
                </c:pt>
                <c:pt idx="9">
                  <c:v>1316967.1107303367</c:v>
                </c:pt>
                <c:pt idx="10">
                  <c:v>1363605.3853939397</c:v>
                </c:pt>
                <c:pt idx="11">
                  <c:v>1256983.0306034479</c:v>
                </c:pt>
                <c:pt idx="12">
                  <c:v>1354118.7482222221</c:v>
                </c:pt>
                <c:pt idx="13">
                  <c:v>1277724.9063054186</c:v>
                </c:pt>
                <c:pt idx="14">
                  <c:v>1203029.8452941168</c:v>
                </c:pt>
                <c:pt idx="15">
                  <c:v>1367328.9058064523</c:v>
                </c:pt>
                <c:pt idx="16">
                  <c:v>1488985.2201754388</c:v>
                </c:pt>
                <c:pt idx="17">
                  <c:v>1209689.5624019604</c:v>
                </c:pt>
                <c:pt idx="18">
                  <c:v>1310129.2351075269</c:v>
                </c:pt>
                <c:pt idx="19">
                  <c:v>1445206.8146596861</c:v>
                </c:pt>
                <c:pt idx="20">
                  <c:v>1214045.1097860967</c:v>
                </c:pt>
                <c:pt idx="21">
                  <c:v>1258724.8449275361</c:v>
                </c:pt>
                <c:pt idx="22">
                  <c:v>1298900.9677922081</c:v>
                </c:pt>
                <c:pt idx="23">
                  <c:v>1244917.2915343912</c:v>
                </c:pt>
                <c:pt idx="24">
                  <c:v>1313998.9232738088</c:v>
                </c:pt>
              </c:numCache>
            </c:numRef>
          </c:val>
          <c:extLst>
            <c:ext xmlns:c16="http://schemas.microsoft.com/office/drawing/2014/chart" uri="{C3380CC4-5D6E-409C-BE32-E72D297353CC}">
              <c16:uniqueId val="{00000000-1FCE-724E-81A9-1C29325B8360}"/>
            </c:ext>
          </c:extLst>
        </c:ser>
        <c:dLbls>
          <c:dLblPos val="inEnd"/>
          <c:showLegendKey val="0"/>
          <c:showVal val="0"/>
          <c:showCatName val="0"/>
          <c:showSerName val="0"/>
          <c:showPercent val="0"/>
          <c:showBubbleSize val="0"/>
        </c:dLbls>
        <c:gapWidth val="65"/>
        <c:axId val="1790968703"/>
        <c:axId val="1799118271"/>
      </c:barChart>
      <c:catAx>
        <c:axId val="17909687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99118271"/>
        <c:crosses val="autoZero"/>
        <c:auto val="1"/>
        <c:lblAlgn val="ctr"/>
        <c:lblOffset val="100"/>
        <c:noMultiLvlLbl val="0"/>
      </c:catAx>
      <c:valAx>
        <c:axId val="17991182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crossAx val="179096870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[TT DASHBOARDS.xlsx]Sheet9!PivotTable14</c:name>
    <c:fmtId val="0"/>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Sheet9!$K$24</c:f>
              <c:strCache>
                <c:ptCount val="1"/>
                <c:pt idx="0">
                  <c:v>Total</c:v>
                </c:pt>
              </c:strCache>
            </c:strRef>
          </c:tx>
          <c:spPr>
            <a:solidFill>
              <a:schemeClr val="accent1"/>
            </a:solidFill>
            <a:ln>
              <a:noFill/>
            </a:ln>
            <a:effectLst/>
          </c:spPr>
          <c:invertIfNegative val="0"/>
          <c:cat>
            <c:strRef>
              <c:f>Sheet9!$J$25:$J$75</c:f>
              <c:strCache>
                <c:ptCount val="50"/>
                <c:pt idx="0">
                  <c:v>TT Product 1</c:v>
                </c:pt>
                <c:pt idx="1">
                  <c:v>TT Product 10</c:v>
                </c:pt>
                <c:pt idx="2">
                  <c:v>TT Product 11</c:v>
                </c:pt>
                <c:pt idx="3">
                  <c:v>TT Product 12</c:v>
                </c:pt>
                <c:pt idx="4">
                  <c:v>TT Product 13</c:v>
                </c:pt>
                <c:pt idx="5">
                  <c:v>TT Product 14</c:v>
                </c:pt>
                <c:pt idx="6">
                  <c:v>TT Product 15</c:v>
                </c:pt>
                <c:pt idx="7">
                  <c:v>TT Product 16</c:v>
                </c:pt>
                <c:pt idx="8">
                  <c:v>TT Product 17</c:v>
                </c:pt>
                <c:pt idx="9">
                  <c:v>TT Product 18</c:v>
                </c:pt>
                <c:pt idx="10">
                  <c:v>TT Product 19</c:v>
                </c:pt>
                <c:pt idx="11">
                  <c:v>TT Product 2</c:v>
                </c:pt>
                <c:pt idx="12">
                  <c:v>TT Product 20</c:v>
                </c:pt>
                <c:pt idx="13">
                  <c:v>TT Product 21</c:v>
                </c:pt>
                <c:pt idx="14">
                  <c:v>TT Product 22</c:v>
                </c:pt>
                <c:pt idx="15">
                  <c:v>TT Product 23</c:v>
                </c:pt>
                <c:pt idx="16">
                  <c:v>TT Product 24</c:v>
                </c:pt>
                <c:pt idx="17">
                  <c:v>TT Product 25</c:v>
                </c:pt>
                <c:pt idx="18">
                  <c:v>TT Product 26</c:v>
                </c:pt>
                <c:pt idx="19">
                  <c:v>TT Product 27</c:v>
                </c:pt>
                <c:pt idx="20">
                  <c:v>TT Product 28</c:v>
                </c:pt>
                <c:pt idx="21">
                  <c:v>TT Product 29</c:v>
                </c:pt>
                <c:pt idx="22">
                  <c:v>TT Product 3</c:v>
                </c:pt>
                <c:pt idx="23">
                  <c:v>TT Product 30</c:v>
                </c:pt>
                <c:pt idx="24">
                  <c:v>TT Product 31</c:v>
                </c:pt>
                <c:pt idx="25">
                  <c:v>TT Product 32</c:v>
                </c:pt>
                <c:pt idx="26">
                  <c:v>TT Product 33</c:v>
                </c:pt>
                <c:pt idx="27">
                  <c:v>TT Product 34</c:v>
                </c:pt>
                <c:pt idx="28">
                  <c:v>TT Product 35</c:v>
                </c:pt>
                <c:pt idx="29">
                  <c:v>TT Product 36</c:v>
                </c:pt>
                <c:pt idx="30">
                  <c:v>TT Product 37</c:v>
                </c:pt>
                <c:pt idx="31">
                  <c:v>TT Product 38</c:v>
                </c:pt>
                <c:pt idx="32">
                  <c:v>TT Product 39</c:v>
                </c:pt>
                <c:pt idx="33">
                  <c:v>TT Product 4</c:v>
                </c:pt>
                <c:pt idx="34">
                  <c:v>TT Product 40</c:v>
                </c:pt>
                <c:pt idx="35">
                  <c:v>TT Product 41</c:v>
                </c:pt>
                <c:pt idx="36">
                  <c:v>TT Product 42</c:v>
                </c:pt>
                <c:pt idx="37">
                  <c:v>TT Product 43</c:v>
                </c:pt>
                <c:pt idx="38">
                  <c:v>TT Product 44</c:v>
                </c:pt>
                <c:pt idx="39">
                  <c:v>TT Product 45</c:v>
                </c:pt>
                <c:pt idx="40">
                  <c:v>TT Product 46</c:v>
                </c:pt>
                <c:pt idx="41">
                  <c:v>TT Product 47</c:v>
                </c:pt>
                <c:pt idx="42">
                  <c:v>TT Product 48</c:v>
                </c:pt>
                <c:pt idx="43">
                  <c:v>TT Product 49</c:v>
                </c:pt>
                <c:pt idx="44">
                  <c:v>TT Product 5</c:v>
                </c:pt>
                <c:pt idx="45">
                  <c:v>TT Product 50</c:v>
                </c:pt>
                <c:pt idx="46">
                  <c:v>TT Product 6</c:v>
                </c:pt>
                <c:pt idx="47">
                  <c:v>TT Product 7</c:v>
                </c:pt>
                <c:pt idx="48">
                  <c:v>TT Product 8</c:v>
                </c:pt>
                <c:pt idx="49">
                  <c:v>TT Product 9</c:v>
                </c:pt>
              </c:strCache>
            </c:strRef>
          </c:cat>
          <c:val>
            <c:numRef>
              <c:f>Sheet9!$K$25:$K$75</c:f>
              <c:numCache>
                <c:formatCode>_("₹"* #,##0.00_);_("₹"* \(#,##0.00\);_("₹"* "-"??_);_(@_)</c:formatCode>
                <c:ptCount val="50"/>
                <c:pt idx="0">
                  <c:v>143213180.30999997</c:v>
                </c:pt>
                <c:pt idx="1">
                  <c:v>143388793.48000005</c:v>
                </c:pt>
                <c:pt idx="2">
                  <c:v>129817944.45999998</c:v>
                </c:pt>
                <c:pt idx="3">
                  <c:v>105508875.42999995</c:v>
                </c:pt>
                <c:pt idx="4">
                  <c:v>107410236.14000003</c:v>
                </c:pt>
                <c:pt idx="5">
                  <c:v>120933980.76999992</c:v>
                </c:pt>
                <c:pt idx="6">
                  <c:v>112729786.12</c:v>
                </c:pt>
                <c:pt idx="7">
                  <c:v>163309919.64000002</c:v>
                </c:pt>
                <c:pt idx="8">
                  <c:v>150585271.38999993</c:v>
                </c:pt>
                <c:pt idx="9">
                  <c:v>122203353.61000003</c:v>
                </c:pt>
                <c:pt idx="10">
                  <c:v>124230471.57000007</c:v>
                </c:pt>
                <c:pt idx="11">
                  <c:v>103248427.77999999</c:v>
                </c:pt>
                <c:pt idx="12">
                  <c:v>149322851.1500001</c:v>
                </c:pt>
                <c:pt idx="13">
                  <c:v>167778236.88999999</c:v>
                </c:pt>
                <c:pt idx="14">
                  <c:v>136747598.83000004</c:v>
                </c:pt>
                <c:pt idx="15">
                  <c:v>116533025.21999997</c:v>
                </c:pt>
                <c:pt idx="16">
                  <c:v>141461080.56000003</c:v>
                </c:pt>
                <c:pt idx="17">
                  <c:v>140317801.5</c:v>
                </c:pt>
                <c:pt idx="18">
                  <c:v>118757122.17000003</c:v>
                </c:pt>
                <c:pt idx="19">
                  <c:v>137882427.96000001</c:v>
                </c:pt>
                <c:pt idx="20">
                  <c:v>155761981.04000002</c:v>
                </c:pt>
                <c:pt idx="21">
                  <c:v>113927200.77000001</c:v>
                </c:pt>
                <c:pt idx="22">
                  <c:v>147987653.58999994</c:v>
                </c:pt>
                <c:pt idx="23">
                  <c:v>149693633.63999993</c:v>
                </c:pt>
                <c:pt idx="24">
                  <c:v>142382191.82999995</c:v>
                </c:pt>
                <c:pt idx="25">
                  <c:v>130664551.92000002</c:v>
                </c:pt>
                <c:pt idx="26">
                  <c:v>123580660.86000004</c:v>
                </c:pt>
                <c:pt idx="27">
                  <c:v>117815435.93999997</c:v>
                </c:pt>
                <c:pt idx="28">
                  <c:v>145797148.64000008</c:v>
                </c:pt>
                <c:pt idx="29">
                  <c:v>148675588.12999988</c:v>
                </c:pt>
                <c:pt idx="30">
                  <c:v>110945229.15000001</c:v>
                </c:pt>
                <c:pt idx="31">
                  <c:v>162893929.05999997</c:v>
                </c:pt>
                <c:pt idx="32">
                  <c:v>143693863.38</c:v>
                </c:pt>
                <c:pt idx="33">
                  <c:v>143581891.44000003</c:v>
                </c:pt>
                <c:pt idx="34">
                  <c:v>153492688.04999995</c:v>
                </c:pt>
                <c:pt idx="35">
                  <c:v>122445158.47999999</c:v>
                </c:pt>
                <c:pt idx="36">
                  <c:v>132318288.52000004</c:v>
                </c:pt>
                <c:pt idx="37">
                  <c:v>140522760.72</c:v>
                </c:pt>
                <c:pt idx="38">
                  <c:v>134039420.98000006</c:v>
                </c:pt>
                <c:pt idx="39">
                  <c:v>136885617.05000001</c:v>
                </c:pt>
                <c:pt idx="40">
                  <c:v>149043701.88</c:v>
                </c:pt>
                <c:pt idx="41">
                  <c:v>106534053.61999999</c:v>
                </c:pt>
                <c:pt idx="42">
                  <c:v>136857692.09000003</c:v>
                </c:pt>
                <c:pt idx="43">
                  <c:v>135974190.27000004</c:v>
                </c:pt>
                <c:pt idx="44">
                  <c:v>110964665.86000003</c:v>
                </c:pt>
                <c:pt idx="45">
                  <c:v>117714031.25000001</c:v>
                </c:pt>
                <c:pt idx="46">
                  <c:v>112954222.52000001</c:v>
                </c:pt>
                <c:pt idx="47">
                  <c:v>129235064.60000001</c:v>
                </c:pt>
                <c:pt idx="48">
                  <c:v>118041359.43000001</c:v>
                </c:pt>
                <c:pt idx="49">
                  <c:v>129978871.41000001</c:v>
                </c:pt>
              </c:numCache>
            </c:numRef>
          </c:val>
          <c:extLst>
            <c:ext xmlns:c16="http://schemas.microsoft.com/office/drawing/2014/chart" uri="{C3380CC4-5D6E-409C-BE32-E72D297353CC}">
              <c16:uniqueId val="{00000000-0F4C-2E45-9653-703788A019A4}"/>
            </c:ext>
          </c:extLst>
        </c:ser>
        <c:dLbls>
          <c:showLegendKey val="0"/>
          <c:showVal val="0"/>
          <c:showCatName val="0"/>
          <c:showSerName val="0"/>
          <c:showPercent val="0"/>
          <c:showBubbleSize val="0"/>
        </c:dLbls>
        <c:gapWidth val="219"/>
        <c:overlap val="-27"/>
        <c:axId val="1791649407"/>
        <c:axId val="1759869375"/>
      </c:barChart>
      <c:catAx>
        <c:axId val="179164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869375"/>
        <c:crosses val="autoZero"/>
        <c:auto val="1"/>
        <c:lblAlgn val="ctr"/>
        <c:lblOffset val="100"/>
        <c:noMultiLvlLbl val="0"/>
      </c:catAx>
      <c:valAx>
        <c:axId val="17598693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64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[TT DASHBOARDS.xlsx]Sheet9!PivotTable15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IN" b="1"/>
              <a:t>Quantity by Product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Sheet9!$E$11</c:f>
              <c:strCache>
                <c:ptCount val="1"/>
                <c:pt idx="0">
                  <c:v>Total</c:v>
                </c:pt>
              </c:strCache>
            </c:strRef>
          </c:tx>
          <c:spPr>
            <a:solidFill>
              <a:schemeClr val="accent1"/>
            </a:solidFill>
            <a:ln>
              <a:noFill/>
            </a:ln>
            <a:effectLst/>
          </c:spPr>
          <c:invertIfNegative val="0"/>
          <c:cat>
            <c:strRef>
              <c:f>Sheet9!$D$12:$D$62</c:f>
              <c:strCache>
                <c:ptCount val="50"/>
                <c:pt idx="0">
                  <c:v>TT Product 1</c:v>
                </c:pt>
                <c:pt idx="1">
                  <c:v>TT Product 10</c:v>
                </c:pt>
                <c:pt idx="2">
                  <c:v>TT Product 11</c:v>
                </c:pt>
                <c:pt idx="3">
                  <c:v>TT Product 12</c:v>
                </c:pt>
                <c:pt idx="4">
                  <c:v>TT Product 13</c:v>
                </c:pt>
                <c:pt idx="5">
                  <c:v>TT Product 14</c:v>
                </c:pt>
                <c:pt idx="6">
                  <c:v>TT Product 15</c:v>
                </c:pt>
                <c:pt idx="7">
                  <c:v>TT Product 16</c:v>
                </c:pt>
                <c:pt idx="8">
                  <c:v>TT Product 17</c:v>
                </c:pt>
                <c:pt idx="9">
                  <c:v>TT Product 18</c:v>
                </c:pt>
                <c:pt idx="10">
                  <c:v>TT Product 19</c:v>
                </c:pt>
                <c:pt idx="11">
                  <c:v>TT Product 2</c:v>
                </c:pt>
                <c:pt idx="12">
                  <c:v>TT Product 20</c:v>
                </c:pt>
                <c:pt idx="13">
                  <c:v>TT Product 21</c:v>
                </c:pt>
                <c:pt idx="14">
                  <c:v>TT Product 22</c:v>
                </c:pt>
                <c:pt idx="15">
                  <c:v>TT Product 23</c:v>
                </c:pt>
                <c:pt idx="16">
                  <c:v>TT Product 24</c:v>
                </c:pt>
                <c:pt idx="17">
                  <c:v>TT Product 25</c:v>
                </c:pt>
                <c:pt idx="18">
                  <c:v>TT Product 26</c:v>
                </c:pt>
                <c:pt idx="19">
                  <c:v>TT Product 27</c:v>
                </c:pt>
                <c:pt idx="20">
                  <c:v>TT Product 28</c:v>
                </c:pt>
                <c:pt idx="21">
                  <c:v>TT Product 29</c:v>
                </c:pt>
                <c:pt idx="22">
                  <c:v>TT Product 3</c:v>
                </c:pt>
                <c:pt idx="23">
                  <c:v>TT Product 30</c:v>
                </c:pt>
                <c:pt idx="24">
                  <c:v>TT Product 31</c:v>
                </c:pt>
                <c:pt idx="25">
                  <c:v>TT Product 32</c:v>
                </c:pt>
                <c:pt idx="26">
                  <c:v>TT Product 33</c:v>
                </c:pt>
                <c:pt idx="27">
                  <c:v>TT Product 34</c:v>
                </c:pt>
                <c:pt idx="28">
                  <c:v>TT Product 35</c:v>
                </c:pt>
                <c:pt idx="29">
                  <c:v>TT Product 36</c:v>
                </c:pt>
                <c:pt idx="30">
                  <c:v>TT Product 37</c:v>
                </c:pt>
                <c:pt idx="31">
                  <c:v>TT Product 38</c:v>
                </c:pt>
                <c:pt idx="32">
                  <c:v>TT Product 39</c:v>
                </c:pt>
                <c:pt idx="33">
                  <c:v>TT Product 4</c:v>
                </c:pt>
                <c:pt idx="34">
                  <c:v>TT Product 40</c:v>
                </c:pt>
                <c:pt idx="35">
                  <c:v>TT Product 41</c:v>
                </c:pt>
                <c:pt idx="36">
                  <c:v>TT Product 42</c:v>
                </c:pt>
                <c:pt idx="37">
                  <c:v>TT Product 43</c:v>
                </c:pt>
                <c:pt idx="38">
                  <c:v>TT Product 44</c:v>
                </c:pt>
                <c:pt idx="39">
                  <c:v>TT Product 45</c:v>
                </c:pt>
                <c:pt idx="40">
                  <c:v>TT Product 46</c:v>
                </c:pt>
                <c:pt idx="41">
                  <c:v>TT Product 47</c:v>
                </c:pt>
                <c:pt idx="42">
                  <c:v>TT Product 48</c:v>
                </c:pt>
                <c:pt idx="43">
                  <c:v>TT Product 49</c:v>
                </c:pt>
                <c:pt idx="44">
                  <c:v>TT Product 5</c:v>
                </c:pt>
                <c:pt idx="45">
                  <c:v>TT Product 50</c:v>
                </c:pt>
                <c:pt idx="46">
                  <c:v>TT Product 6</c:v>
                </c:pt>
                <c:pt idx="47">
                  <c:v>TT Product 7</c:v>
                </c:pt>
                <c:pt idx="48">
                  <c:v>TT Product 8</c:v>
                </c:pt>
                <c:pt idx="49">
                  <c:v>TT Product 9</c:v>
                </c:pt>
              </c:strCache>
            </c:strRef>
          </c:cat>
          <c:val>
            <c:numRef>
              <c:f>Sheet9!$E$12:$E$62</c:f>
              <c:numCache>
                <c:formatCode>General</c:formatCode>
                <c:ptCount val="50"/>
                <c:pt idx="0">
                  <c:v>54639.879120879123</c:v>
                </c:pt>
                <c:pt idx="1">
                  <c:v>53470.905660377357</c:v>
                </c:pt>
                <c:pt idx="2">
                  <c:v>51276.645833333336</c:v>
                </c:pt>
                <c:pt idx="3">
                  <c:v>49494.329787234041</c:v>
                </c:pt>
                <c:pt idx="4">
                  <c:v>50579.712765957447</c:v>
                </c:pt>
                <c:pt idx="5">
                  <c:v>52160.15217391304</c:v>
                </c:pt>
                <c:pt idx="6">
                  <c:v>49183.022222222222</c:v>
                </c:pt>
                <c:pt idx="7">
                  <c:v>53777.556521739134</c:v>
                </c:pt>
                <c:pt idx="8">
                  <c:v>52993.888888888891</c:v>
                </c:pt>
                <c:pt idx="9">
                  <c:v>48579.188679245286</c:v>
                </c:pt>
                <c:pt idx="10">
                  <c:v>50590.435643564357</c:v>
                </c:pt>
                <c:pt idx="11">
                  <c:v>44797.262626262629</c:v>
                </c:pt>
                <c:pt idx="12">
                  <c:v>53145.875</c:v>
                </c:pt>
                <c:pt idx="13">
                  <c:v>53733.355932203391</c:v>
                </c:pt>
                <c:pt idx="14">
                  <c:v>48015.114285714284</c:v>
                </c:pt>
                <c:pt idx="15">
                  <c:v>51528.370786516854</c:v>
                </c:pt>
                <c:pt idx="16">
                  <c:v>51325.8</c:v>
                </c:pt>
                <c:pt idx="17">
                  <c:v>50526.585106382976</c:v>
                </c:pt>
                <c:pt idx="18">
                  <c:v>46581.666666666664</c:v>
                </c:pt>
                <c:pt idx="19">
                  <c:v>51557.133333333331</c:v>
                </c:pt>
                <c:pt idx="20">
                  <c:v>48143.086206896551</c:v>
                </c:pt>
                <c:pt idx="21">
                  <c:v>53414.25</c:v>
                </c:pt>
                <c:pt idx="22">
                  <c:v>50434.315789473687</c:v>
                </c:pt>
                <c:pt idx="23">
                  <c:v>50413.634615384617</c:v>
                </c:pt>
                <c:pt idx="24">
                  <c:v>50316.578431372553</c:v>
                </c:pt>
                <c:pt idx="25">
                  <c:v>50947.404255319147</c:v>
                </c:pt>
                <c:pt idx="26">
                  <c:v>54855.719101123599</c:v>
                </c:pt>
                <c:pt idx="27">
                  <c:v>52344.09375</c:v>
                </c:pt>
                <c:pt idx="28">
                  <c:v>50589.454545454544</c:v>
                </c:pt>
                <c:pt idx="29">
                  <c:v>56272.214285714283</c:v>
                </c:pt>
                <c:pt idx="30">
                  <c:v>46497.553191489358</c:v>
                </c:pt>
                <c:pt idx="31">
                  <c:v>55036.732142857145</c:v>
                </c:pt>
                <c:pt idx="32">
                  <c:v>50387.134615384617</c:v>
                </c:pt>
                <c:pt idx="33">
                  <c:v>50082.099099099098</c:v>
                </c:pt>
                <c:pt idx="34">
                  <c:v>50208.769230769234</c:v>
                </c:pt>
                <c:pt idx="35">
                  <c:v>48631</c:v>
                </c:pt>
                <c:pt idx="36">
                  <c:v>48785.25</c:v>
                </c:pt>
                <c:pt idx="37">
                  <c:v>51699.864583333336</c:v>
                </c:pt>
                <c:pt idx="38">
                  <c:v>51931.877358490565</c:v>
                </c:pt>
                <c:pt idx="39">
                  <c:v>50468.89</c:v>
                </c:pt>
                <c:pt idx="40">
                  <c:v>54268.129629629628</c:v>
                </c:pt>
                <c:pt idx="41">
                  <c:v>44996.752688172041</c:v>
                </c:pt>
                <c:pt idx="42">
                  <c:v>54717</c:v>
                </c:pt>
                <c:pt idx="43">
                  <c:v>51253.5</c:v>
                </c:pt>
                <c:pt idx="44">
                  <c:v>54065</c:v>
                </c:pt>
                <c:pt idx="45">
                  <c:v>48879.18681318681</c:v>
                </c:pt>
                <c:pt idx="46">
                  <c:v>48545.216867469877</c:v>
                </c:pt>
                <c:pt idx="47">
                  <c:v>51903.76666666667</c:v>
                </c:pt>
                <c:pt idx="48">
                  <c:v>53085.4</c:v>
                </c:pt>
                <c:pt idx="49">
                  <c:v>47041.616822429904</c:v>
                </c:pt>
              </c:numCache>
            </c:numRef>
          </c:val>
          <c:extLst>
            <c:ext xmlns:c16="http://schemas.microsoft.com/office/drawing/2014/chart" uri="{C3380CC4-5D6E-409C-BE32-E72D297353CC}">
              <c16:uniqueId val="{00000000-04D9-F348-88C4-4C69B454309E}"/>
            </c:ext>
          </c:extLst>
        </c:ser>
        <c:dLbls>
          <c:showLegendKey val="0"/>
          <c:showVal val="0"/>
          <c:showCatName val="0"/>
          <c:showSerName val="0"/>
          <c:showPercent val="0"/>
          <c:showBubbleSize val="0"/>
        </c:dLbls>
        <c:gapWidth val="219"/>
        <c:overlap val="-27"/>
        <c:axId val="632333056"/>
        <c:axId val="1760684991"/>
      </c:barChart>
      <c:catAx>
        <c:axId val="63233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684991"/>
        <c:crosses val="autoZero"/>
        <c:auto val="1"/>
        <c:lblAlgn val="ctr"/>
        <c:lblOffset val="100"/>
        <c:noMultiLvlLbl val="0"/>
      </c:catAx>
      <c:valAx>
        <c:axId val="1760684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33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[TT DASHBOARDS.xlsx]Sheet9!PivotTable16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Sheet9!$P$13</c:f>
              <c:strCache>
                <c:ptCount val="1"/>
                <c:pt idx="0">
                  <c:v>Total</c:v>
                </c:pt>
              </c:strCache>
            </c:strRef>
          </c:tx>
          <c:spPr>
            <a:solidFill>
              <a:schemeClr val="accent1"/>
            </a:solidFill>
            <a:ln>
              <a:noFill/>
            </a:ln>
            <a:effectLst/>
          </c:spPr>
          <c:invertIfNegative val="0"/>
          <c:cat>
            <c:strRef>
              <c:f>Sheet9!$O$14:$O$24</c:f>
              <c:strCache>
                <c:ptCount val="10"/>
                <c:pt idx="0">
                  <c:v>P016</c:v>
                </c:pt>
                <c:pt idx="1">
                  <c:v>P017</c:v>
                </c:pt>
                <c:pt idx="2">
                  <c:v>P020</c:v>
                </c:pt>
                <c:pt idx="3">
                  <c:v>P021</c:v>
                </c:pt>
                <c:pt idx="4">
                  <c:v>P028</c:v>
                </c:pt>
                <c:pt idx="5">
                  <c:v>P030</c:v>
                </c:pt>
                <c:pt idx="6">
                  <c:v>P036</c:v>
                </c:pt>
                <c:pt idx="7">
                  <c:v>P038</c:v>
                </c:pt>
                <c:pt idx="8">
                  <c:v>P040</c:v>
                </c:pt>
                <c:pt idx="9">
                  <c:v>P046</c:v>
                </c:pt>
              </c:strCache>
            </c:strRef>
          </c:cat>
          <c:val>
            <c:numRef>
              <c:f>Sheet9!$P$14:$P$24</c:f>
              <c:numCache>
                <c:formatCode>_("₹"* #,##0.00_);_("₹"* \(#,##0.00\);_("₹"* "-"??_);_(@_)</c:formatCode>
                <c:ptCount val="10"/>
                <c:pt idx="0">
                  <c:v>163309919.64000002</c:v>
                </c:pt>
                <c:pt idx="1">
                  <c:v>150585271.38999993</c:v>
                </c:pt>
                <c:pt idx="2">
                  <c:v>149322851.1500001</c:v>
                </c:pt>
                <c:pt idx="3">
                  <c:v>167778236.88999999</c:v>
                </c:pt>
                <c:pt idx="4">
                  <c:v>155761981.04000002</c:v>
                </c:pt>
                <c:pt idx="5">
                  <c:v>149693633.63999993</c:v>
                </c:pt>
                <c:pt idx="6">
                  <c:v>148675588.12999988</c:v>
                </c:pt>
                <c:pt idx="7">
                  <c:v>162893929.05999997</c:v>
                </c:pt>
                <c:pt idx="8">
                  <c:v>153492688.04999995</c:v>
                </c:pt>
                <c:pt idx="9">
                  <c:v>149043701.88</c:v>
                </c:pt>
              </c:numCache>
            </c:numRef>
          </c:val>
          <c:extLst>
            <c:ext xmlns:c16="http://schemas.microsoft.com/office/drawing/2014/chart" uri="{C3380CC4-5D6E-409C-BE32-E72D297353CC}">
              <c16:uniqueId val="{00000000-8B24-A745-90B5-D8B0560ED533}"/>
            </c:ext>
          </c:extLst>
        </c:ser>
        <c:dLbls>
          <c:showLegendKey val="0"/>
          <c:showVal val="0"/>
          <c:showCatName val="0"/>
          <c:showSerName val="0"/>
          <c:showPercent val="0"/>
          <c:showBubbleSize val="0"/>
        </c:dLbls>
        <c:gapWidth val="219"/>
        <c:overlap val="-27"/>
        <c:axId val="1803159295"/>
        <c:axId val="1753332159"/>
      </c:barChart>
      <c:catAx>
        <c:axId val="180315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332159"/>
        <c:crosses val="autoZero"/>
        <c:auto val="1"/>
        <c:lblAlgn val="ctr"/>
        <c:lblOffset val="100"/>
        <c:noMultiLvlLbl val="0"/>
      </c:catAx>
      <c:valAx>
        <c:axId val="17533321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15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6">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2.png"/><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3.png"/><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342900</xdr:colOff>
      <xdr:row>0</xdr:row>
      <xdr:rowOff>88900</xdr:rowOff>
    </xdr:from>
    <xdr:to>
      <xdr:col>1</xdr:col>
      <xdr:colOff>952500</xdr:colOff>
      <xdr:row>5</xdr:row>
      <xdr:rowOff>300</xdr:rowOff>
    </xdr:to>
    <xdr:pic>
      <xdr:nvPicPr>
        <xdr:cNvPr id="3" name="Picture 2">
          <a:extLst>
            <a:ext uri="{FF2B5EF4-FFF2-40B4-BE49-F238E27FC236}">
              <a16:creationId xmlns:a16="http://schemas.microsoft.com/office/drawing/2014/main" id="{53EDFD16-FF73-D4F5-E724-83C2A0021B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2900" y="88900"/>
          <a:ext cx="1435100" cy="1061974"/>
        </a:xfrm>
        <a:prstGeom prst="rect">
          <a:avLst/>
        </a:prstGeom>
      </xdr:spPr>
    </xdr:pic>
    <xdr:clientData/>
  </xdr:twoCellAnchor>
  <xdr:twoCellAnchor>
    <xdr:from>
      <xdr:col>6</xdr:col>
      <xdr:colOff>50224</xdr:colOff>
      <xdr:row>4</xdr:row>
      <xdr:rowOff>59267</xdr:rowOff>
    </xdr:from>
    <xdr:to>
      <xdr:col>11</xdr:col>
      <xdr:colOff>691574</xdr:colOff>
      <xdr:row>23</xdr:row>
      <xdr:rowOff>8467</xdr:rowOff>
    </xdr:to>
    <xdr:graphicFrame macro="">
      <xdr:nvGraphicFramePr>
        <xdr:cNvPr id="5" name="Chart 4">
          <a:extLst>
            <a:ext uri="{FF2B5EF4-FFF2-40B4-BE49-F238E27FC236}">
              <a16:creationId xmlns:a16="http://schemas.microsoft.com/office/drawing/2014/main" id="{70930F9F-658A-B919-4142-368B1F93B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1236133</xdr:colOff>
      <xdr:row>4</xdr:row>
      <xdr:rowOff>33867</xdr:rowOff>
    </xdr:from>
    <xdr:to>
      <xdr:col>5</xdr:col>
      <xdr:colOff>1711739</xdr:colOff>
      <xdr:row>22</xdr:row>
      <xdr:rowOff>151848</xdr:rowOff>
    </xdr:to>
    <xdr:graphicFrame macro="">
      <xdr:nvGraphicFramePr>
        <xdr:cNvPr id="27" name="Chart 26">
          <a:extLst>
            <a:ext uri="{FF2B5EF4-FFF2-40B4-BE49-F238E27FC236}">
              <a16:creationId xmlns:a16="http://schemas.microsoft.com/office/drawing/2014/main" id="{1A8B9F5D-FC45-B443-BAFE-3FA55FE2D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1202266</xdr:colOff>
      <xdr:row>24</xdr:row>
      <xdr:rowOff>16933</xdr:rowOff>
    </xdr:from>
    <xdr:to>
      <xdr:col>5</xdr:col>
      <xdr:colOff>1761067</xdr:colOff>
      <xdr:row>40</xdr:row>
      <xdr:rowOff>186267</xdr:rowOff>
    </xdr:to>
    <xdr:graphicFrame macro="">
      <xdr:nvGraphicFramePr>
        <xdr:cNvPr id="29" name="Chart 28">
          <a:extLst>
            <a:ext uri="{FF2B5EF4-FFF2-40B4-BE49-F238E27FC236}">
              <a16:creationId xmlns:a16="http://schemas.microsoft.com/office/drawing/2014/main" id="{9E55F4E7-9BF5-E04A-B137-3C1178CF4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734646</xdr:colOff>
      <xdr:row>4</xdr:row>
      <xdr:rowOff>63500</xdr:rowOff>
    </xdr:from>
    <xdr:to>
      <xdr:col>13</xdr:col>
      <xdr:colOff>762000</xdr:colOff>
      <xdr:row>11</xdr:row>
      <xdr:rowOff>16608</xdr:rowOff>
    </xdr:to>
    <mc:AlternateContent xmlns:mc="http://schemas.openxmlformats.org/markup-compatibility/2006">
      <mc:Choice xmlns:tsle="http://schemas.microsoft.com/office/drawing/2012/timeslicer" Requires="tsle">
        <xdr:graphicFrame macro="">
          <xdr:nvGraphicFramePr>
            <xdr:cNvPr id="30" name="Date 1">
              <a:extLst>
                <a:ext uri="{FF2B5EF4-FFF2-40B4-BE49-F238E27FC236}">
                  <a16:creationId xmlns:a16="http://schemas.microsoft.com/office/drawing/2014/main" id="{4E8522D7-768B-5B60-9313-DFA31C0B6E10}"/>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8427060" y="1005052"/>
              <a:ext cx="4319078" cy="133259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13</xdr:col>
      <xdr:colOff>857193</xdr:colOff>
      <xdr:row>4</xdr:row>
      <xdr:rowOff>71184</xdr:rowOff>
    </xdr:from>
    <xdr:to>
      <xdr:col>14</xdr:col>
      <xdr:colOff>1689532</xdr:colOff>
      <xdr:row>17</xdr:row>
      <xdr:rowOff>148899</xdr:rowOff>
    </xdr:to>
    <mc:AlternateContent xmlns:mc="http://schemas.openxmlformats.org/markup-compatibility/2006">
      <mc:Choice xmlns:a14="http://schemas.microsoft.com/office/drawing/2010/main" Requires="a14">
        <xdr:graphicFrame macro="">
          <xdr:nvGraphicFramePr>
            <xdr:cNvPr id="31" name="Industry 1">
              <a:extLst>
                <a:ext uri="{FF2B5EF4-FFF2-40B4-BE49-F238E27FC236}">
                  <a16:creationId xmlns:a16="http://schemas.microsoft.com/office/drawing/2014/main" id="{D6286D62-5A38-503A-DA30-5FA3FF6EF428}"/>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dr:sp macro="" textlink="">
          <xdr:nvSpPr>
            <xdr:cNvPr id="0" name=""/>
            <xdr:cNvSpPr>
              <a:spLocks noTextEdit="1"/>
            </xdr:cNvSpPr>
          </xdr:nvSpPr>
          <xdr:spPr>
            <a:xfrm>
              <a:off x="22841331" y="1012736"/>
              <a:ext cx="1817684" cy="26396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512883</xdr:colOff>
      <xdr:row>26</xdr:row>
      <xdr:rowOff>34192</xdr:rowOff>
    </xdr:from>
    <xdr:to>
      <xdr:col>13</xdr:col>
      <xdr:colOff>925592</xdr:colOff>
      <xdr:row>40</xdr:row>
      <xdr:rowOff>190500</xdr:rowOff>
    </xdr:to>
    <mc:AlternateContent xmlns:mc="http://schemas.openxmlformats.org/markup-compatibility/2006">
      <mc:Choice xmlns:a14="http://schemas.microsoft.com/office/drawing/2010/main" Requires="a14">
        <xdr:graphicFrame macro="">
          <xdr:nvGraphicFramePr>
            <xdr:cNvPr id="32" name="Product_Name 1">
              <a:extLst>
                <a:ext uri="{FF2B5EF4-FFF2-40B4-BE49-F238E27FC236}">
                  <a16:creationId xmlns:a16="http://schemas.microsoft.com/office/drawing/2014/main" id="{7E5B8FF4-3AE2-9728-9D75-0E8B93A81340}"/>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20570124" y="5311261"/>
              <a:ext cx="2339606" cy="29152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761024</xdr:colOff>
      <xdr:row>26</xdr:row>
      <xdr:rowOff>8792</xdr:rowOff>
    </xdr:from>
    <xdr:to>
      <xdr:col>12</xdr:col>
      <xdr:colOff>225670</xdr:colOff>
      <xdr:row>40</xdr:row>
      <xdr:rowOff>190500</xdr:rowOff>
    </xdr:to>
    <mc:AlternateContent xmlns:mc="http://schemas.openxmlformats.org/markup-compatibility/2006">
      <mc:Choice xmlns:a14="http://schemas.microsoft.com/office/drawing/2010/main" Requires="a14">
        <xdr:graphicFrame macro="">
          <xdr:nvGraphicFramePr>
            <xdr:cNvPr id="33" name="Category">
              <a:extLst>
                <a:ext uri="{FF2B5EF4-FFF2-40B4-BE49-F238E27FC236}">
                  <a16:creationId xmlns:a16="http://schemas.microsoft.com/office/drawing/2014/main" id="{E4A1CDD6-32A4-8301-FD75-876B915989D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8453438" y="5285861"/>
              <a:ext cx="1829473" cy="29406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481623</xdr:colOff>
      <xdr:row>11</xdr:row>
      <xdr:rowOff>120162</xdr:rowOff>
    </xdr:from>
    <xdr:to>
      <xdr:col>13</xdr:col>
      <xdr:colOff>796441</xdr:colOff>
      <xdr:row>25</xdr:row>
      <xdr:rowOff>4149</xdr:rowOff>
    </xdr:to>
    <mc:AlternateContent xmlns:mc="http://schemas.openxmlformats.org/markup-compatibility/2006">
      <mc:Choice xmlns:a14="http://schemas.microsoft.com/office/drawing/2010/main" Requires="a14">
        <xdr:graphicFrame macro="">
          <xdr:nvGraphicFramePr>
            <xdr:cNvPr id="34" name="Quarters (Date)">
              <a:extLst>
                <a:ext uri="{FF2B5EF4-FFF2-40B4-BE49-F238E27FC236}">
                  <a16:creationId xmlns:a16="http://schemas.microsoft.com/office/drawing/2014/main" id="{DB0234E0-E19E-8EF9-6CA7-9FE3BDB4DDAA}"/>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dr:sp macro="" textlink="">
          <xdr:nvSpPr>
            <xdr:cNvPr id="0" name=""/>
            <xdr:cNvSpPr>
              <a:spLocks noTextEdit="1"/>
            </xdr:cNvSpPr>
          </xdr:nvSpPr>
          <xdr:spPr>
            <a:xfrm>
              <a:off x="20538864" y="2441196"/>
              <a:ext cx="2241715" cy="26429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768839</xdr:colOff>
      <xdr:row>11</xdr:row>
      <xdr:rowOff>114300</xdr:rowOff>
    </xdr:from>
    <xdr:to>
      <xdr:col>12</xdr:col>
      <xdr:colOff>233485</xdr:colOff>
      <xdr:row>24</xdr:row>
      <xdr:rowOff>193672</xdr:rowOff>
    </xdr:to>
    <mc:AlternateContent xmlns:mc="http://schemas.openxmlformats.org/markup-compatibility/2006">
      <mc:Choice xmlns:a14="http://schemas.microsoft.com/office/drawing/2010/main" Requires="a14">
        <xdr:graphicFrame macro="">
          <xdr:nvGraphicFramePr>
            <xdr:cNvPr id="35" name="Years (Date) 1">
              <a:extLst>
                <a:ext uri="{FF2B5EF4-FFF2-40B4-BE49-F238E27FC236}">
                  <a16:creationId xmlns:a16="http://schemas.microsoft.com/office/drawing/2014/main" id="{B8E0B3A7-C790-4E0E-3938-38778026186F}"/>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18461253" y="2435334"/>
              <a:ext cx="1829473" cy="26412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41412</xdr:colOff>
      <xdr:row>24</xdr:row>
      <xdr:rowOff>27610</xdr:rowOff>
    </xdr:from>
    <xdr:to>
      <xdr:col>11</xdr:col>
      <xdr:colOff>607391</xdr:colOff>
      <xdr:row>40</xdr:row>
      <xdr:rowOff>69022</xdr:rowOff>
    </xdr:to>
    <xdr:graphicFrame macro="">
      <xdr:nvGraphicFramePr>
        <xdr:cNvPr id="36" name="Chart 35">
          <a:extLst>
            <a:ext uri="{FF2B5EF4-FFF2-40B4-BE49-F238E27FC236}">
              <a16:creationId xmlns:a16="http://schemas.microsoft.com/office/drawing/2014/main" id="{E631196F-84E1-7946-9BF5-11A551CA5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241301</xdr:colOff>
      <xdr:row>1</xdr:row>
      <xdr:rowOff>25400</xdr:rowOff>
    </xdr:from>
    <xdr:to>
      <xdr:col>1</xdr:col>
      <xdr:colOff>533401</xdr:colOff>
      <xdr:row>4</xdr:row>
      <xdr:rowOff>52324</xdr:rowOff>
    </xdr:to>
    <xdr:pic>
      <xdr:nvPicPr>
        <xdr:cNvPr id="3" name="Picture 2">
          <a:extLst>
            <a:ext uri="{FF2B5EF4-FFF2-40B4-BE49-F238E27FC236}">
              <a16:creationId xmlns:a16="http://schemas.microsoft.com/office/drawing/2014/main" id="{EC68ED98-D834-4CD1-D433-53BC8CDEFE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1301" y="228600"/>
          <a:ext cx="1117600" cy="827024"/>
        </a:xfrm>
        <a:prstGeom prst="rect">
          <a:avLst/>
        </a:prstGeom>
      </xdr:spPr>
    </xdr:pic>
    <xdr:clientData/>
  </xdr:twoCellAnchor>
  <xdr:twoCellAnchor>
    <xdr:from>
      <xdr:col>1</xdr:col>
      <xdr:colOff>749300</xdr:colOff>
      <xdr:row>4</xdr:row>
      <xdr:rowOff>0</xdr:rowOff>
    </xdr:from>
    <xdr:to>
      <xdr:col>6</xdr:col>
      <xdr:colOff>101600</xdr:colOff>
      <xdr:row>17</xdr:row>
      <xdr:rowOff>101600</xdr:rowOff>
    </xdr:to>
    <xdr:graphicFrame macro="">
      <xdr:nvGraphicFramePr>
        <xdr:cNvPr id="4" name="Chart 3">
          <a:extLst>
            <a:ext uri="{FF2B5EF4-FFF2-40B4-BE49-F238E27FC236}">
              <a16:creationId xmlns:a16="http://schemas.microsoft.com/office/drawing/2014/main" id="{581CF2D6-1AD9-8E61-AA7A-89620D221E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241300</xdr:colOff>
      <xdr:row>4</xdr:row>
      <xdr:rowOff>0</xdr:rowOff>
    </xdr:from>
    <xdr:to>
      <xdr:col>12</xdr:col>
      <xdr:colOff>304800</xdr:colOff>
      <xdr:row>17</xdr:row>
      <xdr:rowOff>101600</xdr:rowOff>
    </xdr:to>
    <xdr:graphicFrame macro="">
      <xdr:nvGraphicFramePr>
        <xdr:cNvPr id="5" name="Chart 4">
          <a:extLst>
            <a:ext uri="{FF2B5EF4-FFF2-40B4-BE49-F238E27FC236}">
              <a16:creationId xmlns:a16="http://schemas.microsoft.com/office/drawing/2014/main" id="{0FAB134A-C7F3-DB38-3143-70B1BCCBD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781352</xdr:colOff>
      <xdr:row>17</xdr:row>
      <xdr:rowOff>160262</xdr:rowOff>
    </xdr:from>
    <xdr:to>
      <xdr:col>10</xdr:col>
      <xdr:colOff>241905</xdr:colOff>
      <xdr:row>38</xdr:row>
      <xdr:rowOff>7862</xdr:rowOff>
    </xdr:to>
    <xdr:graphicFrame macro="">
      <xdr:nvGraphicFramePr>
        <xdr:cNvPr id="6" name="Chart 5">
          <a:extLst>
            <a:ext uri="{FF2B5EF4-FFF2-40B4-BE49-F238E27FC236}">
              <a16:creationId xmlns:a16="http://schemas.microsoft.com/office/drawing/2014/main" id="{1FDF79DA-135A-5C95-852B-0987447E1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321129</xdr:colOff>
      <xdr:row>18</xdr:row>
      <xdr:rowOff>18142</xdr:rowOff>
    </xdr:from>
    <xdr:to>
      <xdr:col>12</xdr:col>
      <xdr:colOff>33263</xdr:colOff>
      <xdr:row>31</xdr:row>
      <xdr:rowOff>82395</xdr:rowOff>
    </xdr:to>
    <mc:AlternateContent xmlns:mc="http://schemas.openxmlformats.org/markup-compatibility/2006">
      <mc:Choice xmlns:a14="http://schemas.microsoft.com/office/drawing/2010/main" Requires="a14">
        <xdr:graphicFrame macro="">
          <xdr:nvGraphicFramePr>
            <xdr:cNvPr id="7" name="Industry">
              <a:extLst>
                <a:ext uri="{FF2B5EF4-FFF2-40B4-BE49-F238E27FC236}">
                  <a16:creationId xmlns:a16="http://schemas.microsoft.com/office/drawing/2014/main" id="{CB921803-9C4D-6ED2-C8A3-68B951E52F6B}"/>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11675534" y="3752547"/>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153610</xdr:colOff>
      <xdr:row>18</xdr:row>
      <xdr:rowOff>32052</xdr:rowOff>
    </xdr:from>
    <xdr:to>
      <xdr:col>14</xdr:col>
      <xdr:colOff>319314</xdr:colOff>
      <xdr:row>31</xdr:row>
      <xdr:rowOff>96305</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52EE946D-49D1-3517-144D-B8AA7C0651E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3624681" y="3766457"/>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520014</xdr:colOff>
      <xdr:row>0</xdr:row>
      <xdr:rowOff>127000</xdr:rowOff>
    </xdr:from>
    <xdr:to>
      <xdr:col>2</xdr:col>
      <xdr:colOff>190500</xdr:colOff>
      <xdr:row>4</xdr:row>
      <xdr:rowOff>101600</xdr:rowOff>
    </xdr:to>
    <xdr:pic>
      <xdr:nvPicPr>
        <xdr:cNvPr id="3" name="Picture 2">
          <a:extLst>
            <a:ext uri="{FF2B5EF4-FFF2-40B4-BE49-F238E27FC236}">
              <a16:creationId xmlns:a16="http://schemas.microsoft.com/office/drawing/2014/main" id="{46F1B5C3-EEAA-0BE8-F793-8900A416AA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0014" y="127000"/>
          <a:ext cx="1321486" cy="977900"/>
        </a:xfrm>
        <a:prstGeom prst="rect">
          <a:avLst/>
        </a:prstGeom>
      </xdr:spPr>
    </xdr:pic>
    <xdr:clientData/>
  </xdr:twoCellAnchor>
  <xdr:twoCellAnchor>
    <xdr:from>
      <xdr:col>2</xdr:col>
      <xdr:colOff>488950</xdr:colOff>
      <xdr:row>4</xdr:row>
      <xdr:rowOff>38100</xdr:rowOff>
    </xdr:from>
    <xdr:to>
      <xdr:col>6</xdr:col>
      <xdr:colOff>2667000</xdr:colOff>
      <xdr:row>17</xdr:row>
      <xdr:rowOff>139700</xdr:rowOff>
    </xdr:to>
    <xdr:graphicFrame macro="">
      <xdr:nvGraphicFramePr>
        <xdr:cNvPr id="4" name="Chart 3">
          <a:extLst>
            <a:ext uri="{FF2B5EF4-FFF2-40B4-BE49-F238E27FC236}">
              <a16:creationId xmlns:a16="http://schemas.microsoft.com/office/drawing/2014/main" id="{D44D9DA2-30C6-77B7-C226-6B1A0D7B9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2800350</xdr:colOff>
      <xdr:row>4</xdr:row>
      <xdr:rowOff>50800</xdr:rowOff>
    </xdr:from>
    <xdr:to>
      <xdr:col>11</xdr:col>
      <xdr:colOff>361950</xdr:colOff>
      <xdr:row>17</xdr:row>
      <xdr:rowOff>152400</xdr:rowOff>
    </xdr:to>
    <xdr:graphicFrame macro="">
      <xdr:nvGraphicFramePr>
        <xdr:cNvPr id="5" name="Chart 4">
          <a:extLst>
            <a:ext uri="{FF2B5EF4-FFF2-40B4-BE49-F238E27FC236}">
              <a16:creationId xmlns:a16="http://schemas.microsoft.com/office/drawing/2014/main" id="{0C00019A-C1A0-9841-BFC0-DDD3AEEFA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476250</xdr:colOff>
      <xdr:row>18</xdr:row>
      <xdr:rowOff>0</xdr:rowOff>
    </xdr:from>
    <xdr:to>
      <xdr:col>6</xdr:col>
      <xdr:colOff>2654300</xdr:colOff>
      <xdr:row>31</xdr:row>
      <xdr:rowOff>101600</xdr:rowOff>
    </xdr:to>
    <xdr:graphicFrame macro="">
      <xdr:nvGraphicFramePr>
        <xdr:cNvPr id="6" name="Chart 5">
          <a:extLst>
            <a:ext uri="{FF2B5EF4-FFF2-40B4-BE49-F238E27FC236}">
              <a16:creationId xmlns:a16="http://schemas.microsoft.com/office/drawing/2014/main" id="{0A60968C-2659-7F1E-334C-CAA1E0228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2667000</xdr:colOff>
      <xdr:row>18</xdr:row>
      <xdr:rowOff>25400</xdr:rowOff>
    </xdr:from>
    <xdr:to>
      <xdr:col>8</xdr:col>
      <xdr:colOff>457200</xdr:colOff>
      <xdr:row>31</xdr:row>
      <xdr:rowOff>3172</xdr:rowOff>
    </xdr:to>
    <mc:AlternateContent xmlns:mc="http://schemas.openxmlformats.org/markup-compatibility/2006">
      <mc:Choice xmlns:a14="http://schemas.microsoft.com/office/drawing/2010/main" Requires="a14">
        <xdr:graphicFrame macro="">
          <xdr:nvGraphicFramePr>
            <xdr:cNvPr id="7" name="Product_ID">
              <a:extLst>
                <a:ext uri="{FF2B5EF4-FFF2-40B4-BE49-F238E27FC236}">
                  <a16:creationId xmlns:a16="http://schemas.microsoft.com/office/drawing/2014/main" id="{26204CDC-14F5-D51E-D48A-D2D726DE7596}"/>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dr:sp macro="" textlink="">
          <xdr:nvSpPr>
            <xdr:cNvPr id="0" name=""/>
            <xdr:cNvSpPr>
              <a:spLocks noTextEdit="1"/>
            </xdr:cNvSpPr>
          </xdr:nvSpPr>
          <xdr:spPr>
            <a:xfrm>
              <a:off x="8966200" y="3873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228600</xdr:colOff>
      <xdr:row>18</xdr:row>
      <xdr:rowOff>38100</xdr:rowOff>
    </xdr:from>
    <xdr:to>
      <xdr:col>12</xdr:col>
      <xdr:colOff>406400</xdr:colOff>
      <xdr:row>31</xdr:row>
      <xdr:rowOff>15872</xdr:rowOff>
    </xdr:to>
    <mc:AlternateContent xmlns:mc="http://schemas.openxmlformats.org/markup-compatibility/2006">
      <mc:Choice xmlns:a14="http://schemas.microsoft.com/office/drawing/2010/main" Requires="a14">
        <xdr:graphicFrame macro="">
          <xdr:nvGraphicFramePr>
            <xdr:cNvPr id="8" name="Product_Name">
              <a:extLst>
                <a:ext uri="{FF2B5EF4-FFF2-40B4-BE49-F238E27FC236}">
                  <a16:creationId xmlns:a16="http://schemas.microsoft.com/office/drawing/2014/main" id="{0DEE9191-3A7D-7DFB-06AF-A28D7A645345}"/>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12712700" y="3886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495300</xdr:colOff>
      <xdr:row>18</xdr:row>
      <xdr:rowOff>38100</xdr:rowOff>
    </xdr:from>
    <xdr:to>
      <xdr:col>10</xdr:col>
      <xdr:colOff>177800</xdr:colOff>
      <xdr:row>31</xdr:row>
      <xdr:rowOff>15872</xdr:rowOff>
    </xdr:to>
    <mc:AlternateContent xmlns:mc="http://schemas.openxmlformats.org/markup-compatibility/2006">
      <mc:Choice xmlns:a14="http://schemas.microsoft.com/office/drawing/2010/main" Requires="a14">
        <xdr:graphicFrame macro="">
          <xdr:nvGraphicFramePr>
            <xdr:cNvPr id="9" name="Category 2">
              <a:extLst>
                <a:ext uri="{FF2B5EF4-FFF2-40B4-BE49-F238E27FC236}">
                  <a16:creationId xmlns:a16="http://schemas.microsoft.com/office/drawing/2014/main" id="{0238D234-9A8D-1C62-25B0-1EF05DC6B73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0833100" y="3886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itanya" refreshedDate="46183.88229548611" createdVersion="8" refreshedVersion="8" minRefreshableVersion="3" recordCount="5000" xr:uid="{BDCE7B89-3381-B744-B478-983FEBD2863B}">
  <cacheSource type="worksheet">
    <worksheetSource name="sales_5000"/>
  </cacheSource>
  <cacheFields count="14">
    <cacheField name="Order_ID" numFmtId="0">
      <sharedItems/>
    </cacheField>
    <cacheField name="Date" numFmtId="14">
      <sharedItems containsSemiMixedTypes="0" containsNonDate="0" containsDate="1" containsString="0" minDate="2024-01-01T00:00:00" maxDate="2026-01-01T00:00:00" count="730">
        <d v="2025-06-05T00:00:00"/>
        <d v="2024-02-09T00:00:00"/>
        <d v="2024-11-19T00:00:00"/>
        <d v="2025-08-20T00:00:00"/>
        <d v="2025-11-19T00:00:00"/>
        <d v="2025-05-02T00:00:00"/>
        <d v="2024-06-14T00:00:00"/>
        <d v="2024-05-17T00:00:00"/>
        <d v="2024-10-25T00:00:00"/>
        <d v="2025-03-09T00:00:00"/>
        <d v="2024-08-20T00:00:00"/>
        <d v="2024-07-16T00:00:00"/>
        <d v="2025-11-22T00:00:00"/>
        <d v="2024-08-19T00:00:00"/>
        <d v="2024-01-11T00:00:00"/>
        <d v="2024-04-14T00:00:00"/>
        <d v="2025-12-11T00:00:00"/>
        <d v="2024-08-24T00:00:00"/>
        <d v="2025-02-19T00:00:00"/>
        <d v="2025-01-25T00:00:00"/>
        <d v="2025-02-24T00:00:00"/>
        <d v="2025-09-09T00:00:00"/>
        <d v="2024-09-25T00:00:00"/>
        <d v="2024-09-01T00:00:00"/>
        <d v="2024-02-17T00:00:00"/>
        <d v="2024-03-23T00:00:00"/>
        <d v="2024-07-27T00:00:00"/>
        <d v="2024-11-03T00:00:00"/>
        <d v="2025-08-27T00:00:00"/>
        <d v="2025-10-27T00:00:00"/>
        <d v="2024-09-16T00:00:00"/>
        <d v="2024-01-24T00:00:00"/>
        <d v="2025-08-15T00:00:00"/>
        <d v="2024-03-01T00:00:00"/>
        <d v="2024-11-18T00:00:00"/>
        <d v="2024-11-06T00:00:00"/>
        <d v="2025-07-30T00:00:00"/>
        <d v="2024-09-22T00:00:00"/>
        <d v="2025-06-06T00:00:00"/>
        <d v="2024-01-09T00:00:00"/>
        <d v="2025-10-10T00:00:00"/>
        <d v="2024-01-16T00:00:00"/>
        <d v="2025-05-27T00:00:00"/>
        <d v="2024-04-26T00:00:00"/>
        <d v="2025-07-05T00:00:00"/>
        <d v="2024-06-05T00:00:00"/>
        <d v="2025-04-14T00:00:00"/>
        <d v="2025-02-09T00:00:00"/>
        <d v="2025-06-13T00:00:00"/>
        <d v="2025-08-05T00:00:00"/>
        <d v="2025-01-09T00:00:00"/>
        <d v="2025-05-23T00:00:00"/>
        <d v="2025-12-16T00:00:00"/>
        <d v="2025-07-23T00:00:00"/>
        <d v="2025-04-07T00:00:00"/>
        <d v="2025-03-05T00:00:00"/>
        <d v="2025-03-30T00:00:00"/>
        <d v="2025-01-29T00:00:00"/>
        <d v="2024-04-28T00:00:00"/>
        <d v="2024-07-09T00:00:00"/>
        <d v="2025-11-16T00:00:00"/>
        <d v="2024-03-17T00:00:00"/>
        <d v="2025-09-07T00:00:00"/>
        <d v="2024-01-02T00:00:00"/>
        <d v="2025-01-02T00:00:00"/>
        <d v="2024-04-21T00:00:00"/>
        <d v="2024-06-29T00:00:00"/>
        <d v="2025-05-04T00:00:00"/>
        <d v="2025-10-26T00:00:00"/>
        <d v="2024-05-11T00:00:00"/>
        <d v="2025-12-23T00:00:00"/>
        <d v="2024-08-11T00:00:00"/>
        <d v="2025-12-27T00:00:00"/>
        <d v="2025-12-22T00:00:00"/>
        <d v="2024-09-06T00:00:00"/>
        <d v="2024-01-28T00:00:00"/>
        <d v="2024-12-16T00:00:00"/>
        <d v="2025-07-14T00:00:00"/>
        <d v="2025-06-11T00:00:00"/>
        <d v="2024-10-23T00:00:00"/>
        <d v="2025-01-18T00:00:00"/>
        <d v="2025-10-11T00:00:00"/>
        <d v="2025-06-03T00:00:00"/>
        <d v="2025-05-25T00:00:00"/>
        <d v="2025-12-29T00:00:00"/>
        <d v="2025-05-30T00:00:00"/>
        <d v="2025-10-18T00:00:00"/>
        <d v="2024-06-11T00:00:00"/>
        <d v="2024-01-13T00:00:00"/>
        <d v="2025-04-05T00:00:00"/>
        <d v="2025-12-24T00:00:00"/>
        <d v="2024-08-18T00:00:00"/>
        <d v="2025-08-25T00:00:00"/>
        <d v="2025-11-12T00:00:00"/>
        <d v="2025-10-21T00:00:00"/>
        <d v="2025-02-16T00:00:00"/>
        <d v="2024-06-07T00:00:00"/>
        <d v="2025-10-04T00:00:00"/>
        <d v="2025-03-16T00:00:00"/>
        <d v="2025-05-15T00:00:00"/>
        <d v="2025-10-14T00:00:00"/>
        <d v="2024-12-20T00:00:00"/>
        <d v="2024-11-17T00:00:00"/>
        <d v="2025-07-06T00:00:00"/>
        <d v="2024-10-30T00:00:00"/>
        <d v="2025-03-31T00:00:00"/>
        <d v="2024-07-12T00:00:00"/>
        <d v="2024-03-25T00:00:00"/>
        <d v="2025-04-22T00:00:00"/>
        <d v="2025-02-25T00:00:00"/>
        <d v="2025-09-13T00:00:00"/>
        <d v="2024-10-05T00:00:00"/>
        <d v="2024-04-01T00:00:00"/>
        <d v="2024-06-22T00:00:00"/>
        <d v="2025-09-24T00:00:00"/>
        <d v="2024-07-28T00:00:00"/>
        <d v="2024-10-14T00:00:00"/>
        <d v="2025-02-22T00:00:00"/>
        <d v="2025-11-17T00:00:00"/>
        <d v="2024-04-13T00:00:00"/>
        <d v="2025-06-24T00:00:00"/>
        <d v="2025-06-10T00:00:00"/>
        <d v="2024-03-24T00:00:00"/>
        <d v="2024-04-29T00:00:00"/>
        <d v="2024-03-03T00:00:00"/>
        <d v="2024-08-23T00:00:00"/>
        <d v="2024-04-24T00:00:00"/>
        <d v="2025-02-28T00:00:00"/>
        <d v="2024-06-18T00:00:00"/>
        <d v="2024-02-07T00:00:00"/>
        <d v="2024-09-21T00:00:00"/>
        <d v="2025-02-15T00:00:00"/>
        <d v="2024-12-12T00:00:00"/>
        <d v="2024-09-07T00:00:00"/>
        <d v="2025-05-31T00:00:00"/>
        <d v="2024-03-04T00:00:00"/>
        <d v="2025-11-03T00:00:00"/>
        <d v="2025-08-07T00:00:00"/>
        <d v="2025-02-26T00:00:00"/>
        <d v="2024-01-25T00:00:00"/>
        <d v="2024-01-22T00:00:00"/>
        <d v="2025-03-14T00:00:00"/>
        <d v="2025-07-21T00:00:00"/>
        <d v="2024-06-19T00:00:00"/>
        <d v="2025-12-04T00:00:00"/>
        <d v="2025-12-08T00:00:00"/>
        <d v="2025-09-01T00:00:00"/>
        <d v="2025-11-20T00:00:00"/>
        <d v="2025-12-09T00:00:00"/>
        <d v="2025-12-07T00:00:00"/>
        <d v="2024-03-14T00:00:00"/>
        <d v="2024-05-10T00:00:00"/>
        <d v="2025-08-04T00:00:00"/>
        <d v="2024-07-18T00:00:00"/>
        <d v="2025-02-13T00:00:00"/>
        <d v="2025-06-07T00:00:00"/>
        <d v="2024-10-31T00:00:00"/>
        <d v="2025-07-20T00:00:00"/>
        <d v="2025-08-31T00:00:00"/>
        <d v="2025-03-25T00:00:00"/>
        <d v="2024-12-27T00:00:00"/>
        <d v="2024-02-15T00:00:00"/>
        <d v="2025-04-06T00:00:00"/>
        <d v="2024-06-28T00:00:00"/>
        <d v="2024-07-01T00:00:00"/>
        <d v="2025-04-15T00:00:00"/>
        <d v="2024-04-07T00:00:00"/>
        <d v="2025-04-02T00:00:00"/>
        <d v="2025-01-16T00:00:00"/>
        <d v="2024-05-19T00:00:00"/>
        <d v="2024-02-13T00:00:00"/>
        <d v="2025-06-01T00:00:00"/>
        <d v="2025-07-25T00:00:00"/>
        <d v="2024-03-05T00:00:00"/>
        <d v="2024-03-16T00:00:00"/>
        <d v="2025-09-29T00:00:00"/>
        <d v="2024-10-16T00:00:00"/>
        <d v="2025-08-28T00:00:00"/>
        <d v="2025-12-15T00:00:00"/>
        <d v="2025-08-03T00:00:00"/>
        <d v="2024-10-08T00:00:00"/>
        <d v="2025-04-18T00:00:00"/>
        <d v="2024-07-13T00:00:00"/>
        <d v="2024-01-06T00:00:00"/>
        <d v="2025-01-10T00:00:00"/>
        <d v="2025-04-11T00:00:00"/>
        <d v="2025-03-20T00:00:00"/>
        <d v="2025-10-30T00:00:00"/>
        <d v="2024-06-06T00:00:00"/>
        <d v="2024-12-07T00:00:00"/>
        <d v="2024-05-09T00:00:00"/>
        <d v="2024-11-11T00:00:00"/>
        <d v="2024-08-12T00:00:00"/>
        <d v="2025-10-13T00:00:00"/>
        <d v="2024-02-10T00:00:00"/>
        <d v="2024-11-14T00:00:00"/>
        <d v="2025-09-08T00:00:00"/>
        <d v="2024-05-31T00:00:00"/>
        <d v="2025-02-18T00:00:00"/>
        <d v="2024-12-15T00:00:00"/>
        <d v="2025-01-01T00:00:00"/>
        <d v="2025-12-25T00:00:00"/>
        <d v="2024-12-04T00:00:00"/>
        <d v="2024-04-20T00:00:00"/>
        <d v="2024-10-19T00:00:00"/>
        <d v="2025-08-16T00:00:00"/>
        <d v="2025-01-06T00:00:00"/>
        <d v="2025-10-05T00:00:00"/>
        <d v="2024-01-21T00:00:00"/>
        <d v="2025-12-03T00:00:00"/>
        <d v="2024-02-01T00:00:00"/>
        <d v="2024-12-03T00:00:00"/>
        <d v="2025-07-08T00:00:00"/>
        <d v="2024-12-13T00:00:00"/>
        <d v="2024-03-13T00:00:00"/>
        <d v="2024-03-27T00:00:00"/>
        <d v="2025-01-14T00:00:00"/>
        <d v="2025-08-01T00:00:00"/>
        <d v="2025-12-06T00:00:00"/>
        <d v="2025-12-10T00:00:00"/>
        <d v="2024-12-18T00:00:00"/>
        <d v="2024-06-13T00:00:00"/>
        <d v="2024-10-15T00:00:00"/>
        <d v="2024-06-26T00:00:00"/>
        <d v="2024-02-19T00:00:00"/>
        <d v="2025-05-10T00:00:00"/>
        <d v="2025-10-28T00:00:00"/>
        <d v="2024-07-26T00:00:00"/>
        <d v="2025-03-11T00:00:00"/>
        <d v="2024-05-01T00:00:00"/>
        <d v="2025-08-09T00:00:00"/>
        <d v="2024-06-02T00:00:00"/>
        <d v="2024-12-08T00:00:00"/>
        <d v="2025-01-28T00:00:00"/>
        <d v="2024-05-23T00:00:00"/>
        <d v="2024-11-10T00:00:00"/>
        <d v="2025-05-01T00:00:00"/>
        <d v="2024-02-18T00:00:00"/>
        <d v="2025-10-09T00:00:00"/>
        <d v="2024-09-28T00:00:00"/>
        <d v="2025-11-14T00:00:00"/>
        <d v="2024-08-14T00:00:00"/>
        <d v="2025-04-25T00:00:00"/>
        <d v="2025-06-21T00:00:00"/>
        <d v="2024-01-07T00:00:00"/>
        <d v="2025-06-12T00:00:00"/>
        <d v="2025-05-17T00:00:00"/>
        <d v="2024-07-20T00:00:00"/>
        <d v="2024-09-08T00:00:00"/>
        <d v="2024-03-02T00:00:00"/>
        <d v="2025-09-12T00:00:00"/>
        <d v="2024-02-16T00:00:00"/>
        <d v="2024-09-09T00:00:00"/>
        <d v="2025-01-15T00:00:00"/>
        <d v="2024-03-11T00:00:00"/>
        <d v="2025-11-15T00:00:00"/>
        <d v="2025-05-24T00:00:00"/>
        <d v="2025-10-24T00:00:00"/>
        <d v="2025-11-27T00:00:00"/>
        <d v="2025-04-12T00:00:00"/>
        <d v="2025-07-09T00:00:00"/>
        <d v="2025-01-04T00:00:00"/>
        <d v="2024-11-02T00:00:00"/>
        <d v="2025-09-05T00:00:00"/>
        <d v="2025-01-20T00:00:00"/>
        <d v="2024-07-03T00:00:00"/>
        <d v="2025-08-18T00:00:00"/>
        <d v="2025-04-26T00:00:00"/>
        <d v="2025-06-17T00:00:00"/>
        <d v="2025-11-21T00:00:00"/>
        <d v="2025-06-23T00:00:00"/>
        <d v="2024-03-07T00:00:00"/>
        <d v="2024-01-17T00:00:00"/>
        <d v="2025-06-29T00:00:00"/>
        <d v="2024-02-26T00:00:00"/>
        <d v="2025-04-24T00:00:00"/>
        <d v="2024-08-30T00:00:00"/>
        <d v="2024-03-30T00:00:00"/>
        <d v="2024-01-08T00:00:00"/>
        <d v="2024-04-10T00:00:00"/>
        <d v="2025-07-02T00:00:00"/>
        <d v="2024-01-30T00:00:00"/>
        <d v="2024-12-22T00:00:00"/>
        <d v="2024-06-09T00:00:00"/>
        <d v="2025-04-29T00:00:00"/>
        <d v="2024-05-13T00:00:00"/>
        <d v="2024-02-25T00:00:00"/>
        <d v="2024-02-05T00:00:00"/>
        <d v="2025-04-21T00:00:00"/>
        <d v="2024-01-10T00:00:00"/>
        <d v="2024-06-04T00:00:00"/>
        <d v="2025-01-31T00:00:00"/>
        <d v="2025-09-06T00:00:00"/>
        <d v="2025-02-10T00:00:00"/>
        <d v="2025-09-03T00:00:00"/>
        <d v="2024-06-15T00:00:00"/>
        <d v="2025-01-24T00:00:00"/>
        <d v="2024-04-06T00:00:00"/>
        <d v="2024-02-29T00:00:00"/>
        <d v="2024-10-28T00:00:00"/>
        <d v="2025-07-31T00:00:00"/>
        <d v="2025-08-21T00:00:00"/>
        <d v="2025-07-04T00:00:00"/>
        <d v="2024-02-06T00:00:00"/>
        <d v="2025-08-14T00:00:00"/>
        <d v="2024-12-24T00:00:00"/>
        <d v="2025-10-23T00:00:00"/>
        <d v="2025-09-23T00:00:00"/>
        <d v="2024-11-20T00:00:00"/>
        <d v="2025-11-30T00:00:00"/>
        <d v="2024-12-02T00:00:00"/>
        <d v="2025-10-01T00:00:00"/>
        <d v="2025-04-04T00:00:00"/>
        <d v="2024-09-14T00:00:00"/>
        <d v="2025-08-24T00:00:00"/>
        <d v="2024-07-21T00:00:00"/>
        <d v="2024-10-27T00:00:00"/>
        <d v="2025-05-19T00:00:00"/>
        <d v="2025-04-03T00:00:00"/>
        <d v="2024-05-06T00:00:00"/>
        <d v="2024-05-26T00:00:00"/>
        <d v="2024-11-15T00:00:00"/>
        <d v="2024-04-18T00:00:00"/>
        <d v="2025-01-21T00:00:00"/>
        <d v="2025-08-06T00:00:00"/>
        <d v="2025-01-27T00:00:00"/>
        <d v="2025-11-24T00:00:00"/>
        <d v="2024-05-02T00:00:00"/>
        <d v="2025-06-25T00:00:00"/>
        <d v="2025-09-25T00:00:00"/>
        <d v="2025-05-14T00:00:00"/>
        <d v="2025-09-15T00:00:00"/>
        <d v="2024-10-01T00:00:00"/>
        <d v="2025-08-22T00:00:00"/>
        <d v="2025-02-05T00:00:00"/>
        <d v="2025-05-18T00:00:00"/>
        <d v="2024-11-24T00:00:00"/>
        <d v="2025-05-22T00:00:00"/>
        <d v="2025-11-11T00:00:00"/>
        <d v="2024-04-04T00:00:00"/>
        <d v="2024-03-06T00:00:00"/>
        <d v="2025-04-09T00:00:00"/>
        <d v="2025-10-19T00:00:00"/>
        <d v="2025-02-04T00:00:00"/>
        <d v="2024-04-17T00:00:00"/>
        <d v="2024-01-19T00:00:00"/>
        <d v="2024-01-05T00:00:00"/>
        <d v="2024-01-01T00:00:00"/>
        <d v="2025-03-27T00:00:00"/>
        <d v="2025-11-09T00:00:00"/>
        <d v="2025-06-26T00:00:00"/>
        <d v="2025-04-27T00:00:00"/>
        <d v="2025-06-04T00:00:00"/>
        <d v="2024-11-25T00:00:00"/>
        <d v="2024-05-27T00:00:00"/>
        <d v="2025-12-28T00:00:00"/>
        <d v="2025-04-30T00:00:00"/>
        <d v="2025-10-16T00:00:00"/>
        <d v="2024-01-12T00:00:00"/>
        <d v="2024-12-10T00:00:00"/>
        <d v="2024-08-15T00:00:00"/>
        <d v="2024-05-18T00:00:00"/>
        <d v="2024-12-30T00:00:00"/>
        <d v="2025-10-25T00:00:00"/>
        <d v="2024-06-03T00:00:00"/>
        <d v="2024-12-09T00:00:00"/>
        <d v="2024-03-12T00:00:00"/>
        <d v="2024-10-09T00:00:00"/>
        <d v="2024-06-10T00:00:00"/>
        <d v="2025-08-17T00:00:00"/>
        <d v="2025-10-20T00:00:00"/>
        <d v="2025-04-28T00:00:00"/>
        <d v="2025-04-16T00:00:00"/>
        <d v="2024-10-07T00:00:00"/>
        <d v="2025-07-29T00:00:00"/>
        <d v="2025-08-11T00:00:00"/>
        <d v="2025-12-02T00:00:00"/>
        <d v="2024-07-10T00:00:00"/>
        <d v="2024-11-28T00:00:00"/>
        <d v="2024-09-03T00:00:00"/>
        <d v="2024-11-08T00:00:00"/>
        <d v="2025-02-12T00:00:00"/>
        <d v="2024-09-27T00:00:00"/>
        <d v="2024-08-02T00:00:00"/>
        <d v="2024-08-26T00:00:00"/>
        <d v="2024-07-30T00:00:00"/>
        <d v="2025-09-19T00:00:00"/>
        <d v="2024-07-17T00:00:00"/>
        <d v="2025-09-14T00:00:00"/>
        <d v="2025-01-05T00:00:00"/>
        <d v="2024-12-28T00:00:00"/>
        <d v="2024-12-17T00:00:00"/>
        <d v="2025-03-26T00:00:00"/>
        <d v="2024-03-19T00:00:00"/>
        <d v="2024-07-04T00:00:00"/>
        <d v="2025-05-16T00:00:00"/>
        <d v="2024-06-20T00:00:00"/>
        <d v="2025-07-27T00:00:00"/>
        <d v="2024-11-04T00:00:00"/>
        <d v="2024-09-02T00:00:00"/>
        <d v="2024-11-13T00:00:00"/>
        <d v="2025-03-08T00:00:00"/>
        <d v="2025-01-23T00:00:00"/>
        <d v="2025-04-23T00:00:00"/>
        <d v="2025-12-14T00:00:00"/>
        <d v="2024-09-17T00:00:00"/>
        <d v="2025-07-01T00:00:00"/>
        <d v="2024-05-16T00:00:00"/>
        <d v="2025-06-19T00:00:00"/>
        <d v="2024-11-12T00:00:00"/>
        <d v="2025-02-07T00:00:00"/>
        <d v="2025-06-16T00:00:00"/>
        <d v="2025-07-22T00:00:00"/>
        <d v="2024-05-20T00:00:00"/>
        <d v="2024-05-24T00:00:00"/>
        <d v="2024-02-28T00:00:00"/>
        <d v="2025-01-26T00:00:00"/>
        <d v="2024-06-23T00:00:00"/>
        <d v="2025-12-05T00:00:00"/>
        <d v="2025-11-13T00:00:00"/>
        <d v="2024-09-05T00:00:00"/>
        <d v="2025-03-10T00:00:00"/>
        <d v="2025-11-01T00:00:00"/>
        <d v="2024-06-08T00:00:00"/>
        <d v="2024-07-23T00:00:00"/>
        <d v="2025-01-13T00:00:00"/>
        <d v="2024-08-25T00:00:00"/>
        <d v="2025-11-28T00:00:00"/>
        <d v="2024-11-09T00:00:00"/>
        <d v="2024-09-20T00:00:00"/>
        <d v="2024-12-06T00:00:00"/>
        <d v="2025-02-21T00:00:00"/>
        <d v="2025-11-07T00:00:00"/>
        <d v="2025-03-07T00:00:00"/>
        <d v="2025-10-03T00:00:00"/>
        <d v="2025-11-25T00:00:00"/>
        <d v="2025-07-10T00:00:00"/>
        <d v="2025-10-22T00:00:00"/>
        <d v="2024-08-27T00:00:00"/>
        <d v="2025-11-18T00:00:00"/>
        <d v="2025-02-27T00:00:00"/>
        <d v="2024-07-02T00:00:00"/>
        <d v="2025-09-16T00:00:00"/>
        <d v="2024-09-23T00:00:00"/>
        <d v="2024-09-26T00:00:00"/>
        <d v="2024-07-05T00:00:00"/>
        <d v="2024-09-15T00:00:00"/>
        <d v="2024-09-10T00:00:00"/>
        <d v="2025-07-11T00:00:00"/>
        <d v="2025-09-28T00:00:00"/>
        <d v="2024-02-11T00:00:00"/>
        <d v="2025-01-17T00:00:00"/>
        <d v="2024-08-16T00:00:00"/>
        <d v="2024-07-24T00:00:00"/>
        <d v="2024-09-12T00:00:00"/>
        <d v="2024-03-29T00:00:00"/>
        <d v="2024-06-24T00:00:00"/>
        <d v="2025-12-12T00:00:00"/>
        <d v="2025-08-13T00:00:00"/>
        <d v="2025-02-02T00:00:00"/>
        <d v="2025-06-15T00:00:00"/>
        <d v="2025-06-09T00:00:00"/>
        <d v="2024-03-21T00:00:00"/>
        <d v="2024-05-03T00:00:00"/>
        <d v="2024-07-07T00:00:00"/>
        <d v="2024-02-03T00:00:00"/>
        <d v="2024-11-16T00:00:00"/>
        <d v="2025-09-11T00:00:00"/>
        <d v="2025-08-26T00:00:00"/>
        <d v="2025-11-10T00:00:00"/>
        <d v="2024-01-03T00:00:00"/>
        <d v="2025-12-01T00:00:00"/>
        <d v="2024-05-30T00:00:00"/>
        <d v="2025-06-27T00:00:00"/>
        <d v="2025-03-06T00:00:00"/>
        <d v="2024-08-28T00:00:00"/>
        <d v="2024-09-18T00:00:00"/>
        <d v="2024-11-21T00:00:00"/>
        <d v="2024-02-23T00:00:00"/>
        <d v="2025-03-24T00:00:00"/>
        <d v="2024-03-15T00:00:00"/>
        <d v="2024-04-23T00:00:00"/>
        <d v="2025-03-28T00:00:00"/>
        <d v="2024-08-07T00:00:00"/>
        <d v="2024-01-14T00:00:00"/>
        <d v="2025-03-04T00:00:00"/>
        <d v="2024-05-15T00:00:00"/>
        <d v="2024-01-26T00:00:00"/>
        <d v="2025-08-23T00:00:00"/>
        <d v="2024-05-05T00:00:00"/>
        <d v="2025-08-29T00:00:00"/>
        <d v="2024-04-11T00:00:00"/>
        <d v="2024-10-22T00:00:00"/>
        <d v="2024-11-29T00:00:00"/>
        <d v="2025-11-02T00:00:00"/>
        <d v="2024-04-19T00:00:00"/>
        <d v="2025-09-17T00:00:00"/>
        <d v="2025-07-15T00:00:00"/>
        <d v="2024-10-21T00:00:00"/>
        <d v="2024-08-10T00:00:00"/>
        <d v="2024-12-31T00:00:00"/>
        <d v="2025-04-19T00:00:00"/>
        <d v="2025-10-06T00:00:00"/>
        <d v="2024-10-29T00:00:00"/>
        <d v="2025-01-07T00:00:00"/>
        <d v="2025-06-08T00:00:00"/>
        <d v="2024-02-22T00:00:00"/>
        <d v="2024-07-22T00:00:00"/>
        <d v="2025-05-03T00:00:00"/>
        <d v="2025-11-04T00:00:00"/>
        <d v="2025-05-12T00:00:00"/>
        <d v="2024-07-31T00:00:00"/>
        <d v="2024-08-22T00:00:00"/>
        <d v="2024-02-14T00:00:00"/>
        <d v="2024-08-31T00:00:00"/>
        <d v="2025-01-19T00:00:00"/>
        <d v="2025-06-20T00:00:00"/>
        <d v="2025-08-10T00:00:00"/>
        <d v="2025-04-13T00:00:00"/>
        <d v="2025-12-18T00:00:00"/>
        <d v="2025-10-29T00:00:00"/>
        <d v="2025-03-12T00:00:00"/>
        <d v="2025-08-19T00:00:00"/>
        <d v="2025-03-18T00:00:00"/>
        <d v="2024-12-21T00:00:00"/>
        <d v="2024-12-26T00:00:00"/>
        <d v="2024-04-02T00:00:00"/>
        <d v="2025-07-17T00:00:00"/>
        <d v="2024-01-27T00:00:00"/>
        <d v="2024-12-29T00:00:00"/>
        <d v="2024-03-28T00:00:00"/>
        <d v="2024-07-29T00:00:00"/>
        <d v="2024-02-24T00:00:00"/>
        <d v="2024-05-04T00:00:00"/>
        <d v="2024-02-20T00:00:00"/>
        <d v="2024-12-25T00:00:00"/>
        <d v="2024-07-19T00:00:00"/>
        <d v="2024-07-08T00:00:00"/>
        <d v="2025-06-30T00:00:00"/>
        <d v="2024-07-14T00:00:00"/>
        <d v="2024-08-05T00:00:00"/>
        <d v="2024-10-18T00:00:00"/>
        <d v="2025-03-13T00:00:00"/>
        <d v="2024-08-08T00:00:00"/>
        <d v="2025-10-07T00:00:00"/>
        <d v="2024-05-07T00:00:00"/>
        <d v="2024-08-06T00:00:00"/>
        <d v="2024-11-22T00:00:00"/>
        <d v="2025-05-21T00:00:00"/>
        <d v="2024-11-27T00:00:00"/>
        <d v="2024-11-23T00:00:00"/>
        <d v="2025-04-01T00:00:00"/>
        <d v="2024-04-03T00:00:00"/>
        <d v="2025-04-17T00:00:00"/>
        <d v="2025-07-24T00:00:00"/>
        <d v="2025-07-03T00:00:00"/>
        <d v="2025-12-31T00:00:00"/>
        <d v="2025-05-20T00:00:00"/>
        <d v="2024-08-03T00:00:00"/>
        <d v="2024-12-11T00:00:00"/>
        <d v="2025-05-28T00:00:00"/>
        <d v="2024-11-05T00:00:00"/>
        <d v="2025-02-20T00:00:00"/>
        <d v="2024-10-13T00:00:00"/>
        <d v="2024-03-20T00:00:00"/>
        <d v="2024-10-10T00:00:00"/>
        <d v="2025-08-12T00:00:00"/>
        <d v="2025-03-01T00:00:00"/>
        <d v="2025-05-09T00:00:00"/>
        <d v="2024-05-08T00:00:00"/>
        <d v="2025-03-21T00:00:00"/>
        <d v="2024-05-21T00:00:00"/>
        <d v="2024-02-02T00:00:00"/>
        <d v="2025-11-08T00:00:00"/>
        <d v="2024-07-06T00:00:00"/>
        <d v="2024-04-22T00:00:00"/>
        <d v="2025-10-15T00:00:00"/>
        <d v="2025-12-19T00:00:00"/>
        <d v="2024-10-03T00:00:00"/>
        <d v="2024-09-13T00:00:00"/>
        <d v="2024-10-12T00:00:00"/>
        <d v="2024-04-27T00:00:00"/>
        <d v="2024-03-26T00:00:00"/>
        <d v="2025-11-23T00:00:00"/>
        <d v="2025-03-19T00:00:00"/>
        <d v="2024-08-21T00:00:00"/>
        <d v="2025-02-08T00:00:00"/>
        <d v="2025-09-10T00:00:00"/>
        <d v="2025-10-17T00:00:00"/>
        <d v="2025-03-02T00:00:00"/>
        <d v="2024-06-27T00:00:00"/>
        <d v="2024-03-09T00:00:00"/>
        <d v="2024-03-18T00:00:00"/>
        <d v="2024-08-09T00:00:00"/>
        <d v="2025-02-11T00:00:00"/>
        <d v="2024-09-29T00:00:00"/>
        <d v="2024-04-09T00:00:00"/>
        <d v="2025-09-26T00:00:00"/>
        <d v="2024-10-11T00:00:00"/>
        <d v="2025-07-07T00:00:00"/>
        <d v="2024-02-21T00:00:00"/>
        <d v="2025-12-30T00:00:00"/>
        <d v="2024-02-04T00:00:00"/>
        <d v="2025-10-02T00:00:00"/>
        <d v="2025-06-18T00:00:00"/>
        <d v="2024-06-25T00:00:00"/>
        <d v="2025-12-26T00:00:00"/>
        <d v="2024-04-25T00:00:00"/>
        <d v="2024-07-25T00:00:00"/>
        <d v="2024-08-01T00:00:00"/>
        <d v="2024-01-29T00:00:00"/>
        <d v="2024-09-04T00:00:00"/>
        <d v="2024-01-23T00:00:00"/>
        <d v="2024-04-05T00:00:00"/>
        <d v="2024-04-08T00:00:00"/>
        <d v="2024-03-31T00:00:00"/>
        <d v="2024-08-13T00:00:00"/>
        <d v="2025-01-11T00:00:00"/>
        <d v="2025-12-21T00:00:00"/>
        <d v="2024-04-30T00:00:00"/>
        <d v="2024-04-15T00:00:00"/>
        <d v="2024-01-20T00:00:00"/>
        <d v="2024-10-17T00:00:00"/>
        <d v="2025-01-22T00:00:00"/>
        <d v="2024-10-02T00:00:00"/>
        <d v="2024-06-12T00:00:00"/>
        <d v="2025-03-29T00:00:00"/>
        <d v="2025-02-17T00:00:00"/>
        <d v="2024-06-16T00:00:00"/>
        <d v="2024-01-15T00:00:00"/>
        <d v="2025-05-26T00:00:00"/>
        <d v="2025-05-08T00:00:00"/>
        <d v="2024-11-01T00:00:00"/>
        <d v="2025-01-30T00:00:00"/>
        <d v="2024-04-12T00:00:00"/>
        <d v="2024-11-30T00:00:00"/>
        <d v="2024-01-04T00:00:00"/>
        <d v="2024-06-30T00:00:00"/>
        <d v="2025-05-06T00:00:00"/>
        <d v="2025-09-27T00:00:00"/>
        <d v="2024-11-07T00:00:00"/>
        <d v="2025-07-26T00:00:00"/>
        <d v="2024-12-05T00:00:00"/>
        <d v="2025-05-29T00:00:00"/>
        <d v="2025-05-13T00:00:00"/>
        <d v="2025-03-03T00:00:00"/>
        <d v="2025-07-19T00:00:00"/>
        <d v="2024-08-29T00:00:00"/>
        <d v="2024-01-31T00:00:00"/>
        <d v="2025-10-08T00:00:00"/>
        <d v="2025-06-02T00:00:00"/>
        <d v="2025-09-02T00:00:00"/>
        <d v="2025-08-30T00:00:00"/>
        <d v="2025-02-14T00:00:00"/>
        <d v="2024-06-01T00:00:00"/>
        <d v="2024-09-30T00:00:00"/>
        <d v="2024-12-23T00:00:00"/>
        <d v="2025-07-13T00:00:00"/>
        <d v="2024-05-25T00:00:00"/>
        <d v="2024-10-04T00:00:00"/>
        <d v="2025-04-20T00:00:00"/>
        <d v="2024-07-15T00:00:00"/>
        <d v="2024-05-28T00:00:00"/>
        <d v="2024-08-04T00:00:00"/>
        <d v="2025-07-16T00:00:00"/>
        <d v="2025-09-30T00:00:00"/>
        <d v="2025-05-05T00:00:00"/>
        <d v="2025-09-20T00:00:00"/>
        <d v="2024-12-14T00:00:00"/>
        <d v="2025-09-22T00:00:00"/>
        <d v="2025-05-11T00:00:00"/>
        <d v="2024-10-20T00:00:00"/>
        <d v="2025-12-17T00:00:00"/>
        <d v="2024-02-12T00:00:00"/>
        <d v="2025-09-21T00:00:00"/>
        <d v="2024-03-10T00:00:00"/>
        <d v="2025-07-12T00:00:00"/>
        <d v="2025-11-05T00:00:00"/>
        <d v="2025-01-12T00:00:00"/>
        <d v="2025-02-06T00:00:00"/>
        <d v="2025-05-07T00:00:00"/>
        <d v="2025-10-31T00:00:00"/>
        <d v="2025-06-28T00:00:00"/>
        <d v="2024-05-12T00:00:00"/>
        <d v="2024-10-06T00:00:00"/>
        <d v="2024-09-24T00:00:00"/>
        <d v="2025-11-26T00:00:00"/>
        <d v="2025-01-03T00:00:00"/>
        <d v="2025-09-18T00:00:00"/>
        <d v="2025-02-03T00:00:00"/>
        <d v="2025-08-08T00:00:00"/>
        <d v="2024-04-16T00:00:00"/>
        <d v="2024-09-19T00:00:00"/>
        <d v="2025-03-23T00:00:00"/>
        <d v="2025-03-15T00:00:00"/>
        <d v="2024-12-19T00:00:00"/>
        <d v="2024-05-29T00:00:00"/>
        <d v="2025-07-28T00:00:00"/>
        <d v="2025-02-23T00:00:00"/>
        <d v="2024-05-14T00:00:00"/>
        <d v="2025-08-02T00:00:00"/>
        <d v="2024-10-24T00:00:00"/>
        <d v="2025-12-20T00:00:00"/>
        <d v="2024-02-27T00:00:00"/>
        <d v="2025-04-08T00:00:00"/>
        <d v="2025-03-17T00:00:00"/>
        <d v="2025-10-12T00:00:00"/>
        <d v="2024-05-22T00:00:00"/>
        <d v="2024-01-18T00:00:00"/>
        <d v="2025-11-29T00:00:00"/>
        <d v="2025-11-06T00:00:00"/>
        <d v="2025-12-13T00:00:00"/>
        <d v="2024-03-22T00:00:00"/>
        <d v="2025-06-14T00:00:00"/>
        <d v="2025-01-08T00:00:00"/>
        <d v="2025-04-10T00:00:00"/>
        <d v="2024-10-26T00:00:00"/>
        <d v="2025-02-01T00:00:00"/>
        <d v="2024-09-11T00:00:00"/>
        <d v="2025-06-22T00:00:00"/>
        <d v="2025-07-18T00:00:00"/>
        <d v="2024-12-01T00:00:00"/>
        <d v="2024-07-11T00:00:00"/>
        <d v="2024-11-26T00:00:00"/>
        <d v="2025-03-22T00:00:00"/>
        <d v="2024-06-17T00:00:00"/>
        <d v="2025-09-04T00:00:00"/>
        <d v="2024-08-17T00:00:00"/>
        <d v="2024-06-21T00:00:00"/>
        <d v="2024-02-08T00:00:00"/>
      </sharedItems>
      <fieldGroup par="13"/>
    </cacheField>
    <cacheField name="Customer_ID" numFmtId="0">
      <sharedItems/>
    </cacheField>
    <cacheField name="Customer_Name" numFmtId="0">
      <sharedItems count="500">
        <s v="Customer 198"/>
        <s v="Customer 196"/>
        <s v="Customer 411"/>
        <s v="Customer 472"/>
        <s v="Customer 271"/>
        <s v="Customer 393"/>
        <s v="Customer 444"/>
        <s v="Customer 368"/>
        <s v="Customer 121"/>
        <s v="Customer 362"/>
        <s v="Customer 314"/>
        <s v="Customer 420"/>
        <s v="Customer 239"/>
        <s v="Customer 65"/>
        <s v="Customer 432"/>
        <s v="Customer 345"/>
        <s v="Customer 402"/>
        <s v="Customer 460"/>
        <s v="Customer 15"/>
        <s v="Customer 34"/>
        <s v="Customer 102"/>
        <s v="Customer 104"/>
        <s v="Customer 412"/>
        <s v="Customer 466"/>
        <s v="Customer 211"/>
        <s v="Customer 236"/>
        <s v="Customer 174"/>
        <s v="Customer 156"/>
        <s v="Customer 11"/>
        <s v="Customer 175"/>
        <s v="Customer 29"/>
        <s v="Customer 359"/>
        <s v="Customer 491"/>
        <s v="Customer 475"/>
        <s v="Customer 225"/>
        <s v="Customer 376"/>
        <s v="Customer 259"/>
        <s v="Customer 146"/>
        <s v="Customer 62"/>
        <s v="Customer 100"/>
        <s v="Customer 36"/>
        <s v="Customer 78"/>
        <s v="Customer 9"/>
        <s v="Customer 219"/>
        <s v="Customer 87"/>
        <s v="Customer 408"/>
        <s v="Customer 229"/>
        <s v="Customer 216"/>
        <s v="Customer 330"/>
        <s v="Customer 297"/>
        <s v="Customer 406"/>
        <s v="Customer 226"/>
        <s v="Customer 387"/>
        <s v="Customer 208"/>
        <s v="Customer 124"/>
        <s v="Customer 94"/>
        <s v="Customer 481"/>
        <s v="Customer 424"/>
        <s v="Customer 479"/>
        <s v="Customer 403"/>
        <s v="Customer 435"/>
        <s v="Customer 463"/>
        <s v="Customer 361"/>
        <s v="Customer 398"/>
        <s v="Customer 250"/>
        <s v="Customer 264"/>
        <s v="Customer 51"/>
        <s v="Customer 135"/>
        <s v="Customer 498"/>
        <s v="Customer 228"/>
        <s v="Customer 407"/>
        <s v="Customer 133"/>
        <s v="Customer 363"/>
        <s v="Customer 440"/>
        <s v="Customer 118"/>
        <s v="Customer 232"/>
        <s v="Customer 468"/>
        <s v="Customer 112"/>
        <s v="Customer 109"/>
        <s v="Customer 89"/>
        <s v="Customer 20"/>
        <s v="Customer 355"/>
        <s v="Customer 496"/>
        <s v="Customer 88"/>
        <s v="Customer 13"/>
        <s v="Customer 195"/>
        <s v="Customer 500"/>
        <s v="Customer 477"/>
        <s v="Customer 19"/>
        <s v="Customer 183"/>
        <s v="Customer 212"/>
        <s v="Customer 97"/>
        <s v="Customer 360"/>
        <s v="Customer 181"/>
        <s v="Customer 145"/>
        <s v="Customer 397"/>
        <s v="Customer 8"/>
        <s v="Customer 354"/>
        <s v="Customer 272"/>
        <s v="Customer 266"/>
        <s v="Customer 499"/>
        <s v="Customer 305"/>
        <s v="Customer 473"/>
        <s v="Customer 458"/>
        <s v="Customer 341"/>
        <s v="Customer 443"/>
        <s v="Customer 194"/>
        <s v="Customer 134"/>
        <s v="Customer 187"/>
        <s v="Customer 67"/>
        <s v="Customer 421"/>
        <s v="Customer 252"/>
        <s v="Customer 68"/>
        <s v="Customer 381"/>
        <s v="Customer 110"/>
        <s v="Customer 441"/>
        <s v="Customer 286"/>
        <s v="Customer 158"/>
        <s v="Customer 464"/>
        <s v="Customer 200"/>
        <s v="Customer 101"/>
        <s v="Customer 152"/>
        <s v="Customer 119"/>
        <s v="Customer 262"/>
        <s v="Customer 484"/>
        <s v="Customer 184"/>
        <s v="Customer 275"/>
        <s v="Customer 193"/>
        <s v="Customer 311"/>
        <s v="Customer 54"/>
        <s v="Customer 83"/>
        <s v="Customer 467"/>
        <s v="Customer 315"/>
        <s v="Customer 3"/>
        <s v="Customer 14"/>
        <s v="Customer 334"/>
        <s v="Customer 382"/>
        <s v="Customer 245"/>
        <s v="Customer 188"/>
        <s v="Customer 17"/>
        <s v="Customer 465"/>
        <s v="Customer 490"/>
        <s v="Customer 251"/>
        <s v="Customer 255"/>
        <s v="Customer 425"/>
        <s v="Customer 217"/>
        <s v="Customer 447"/>
        <s v="Customer 224"/>
        <s v="Customer 452"/>
        <s v="Customer 308"/>
        <s v="Customer 33"/>
        <s v="Customer 28"/>
        <s v="Customer 415"/>
        <s v="Customer 260"/>
        <s v="Customer 192"/>
        <s v="Customer 365"/>
        <s v="Customer 419"/>
        <s v="Customer 220"/>
        <s v="Customer 277"/>
        <s v="Customer 182"/>
        <s v="Customer 471"/>
        <s v="Customer 57"/>
        <s v="Customer 352"/>
        <s v="Customer 426"/>
        <s v="Customer 461"/>
        <s v="Customer 377"/>
        <s v="Customer 302"/>
        <s v="Customer 331"/>
        <s v="Customer 453"/>
        <s v="Customer 161"/>
        <s v="Customer 16"/>
        <s v="Customer 346"/>
        <s v="Customer 267"/>
        <s v="Customer 233"/>
        <s v="Customer 45"/>
        <s v="Customer 42"/>
        <s v="Customer 221"/>
        <s v="Customer 288"/>
        <s v="Customer 61"/>
        <s v="Customer 401"/>
        <s v="Customer 127"/>
        <s v="Customer 4"/>
        <s v="Customer 137"/>
        <s v="Customer 177"/>
        <s v="Customer 489"/>
        <s v="Customer 273"/>
        <s v="Customer 191"/>
        <s v="Customer 384"/>
        <s v="Customer 39"/>
        <s v="Customer 333"/>
        <s v="Customer 470"/>
        <s v="Customer 388"/>
        <s v="Customer 130"/>
        <s v="Customer 380"/>
        <s v="Customer 399"/>
        <s v="Customer 437"/>
        <s v="Customer 457"/>
        <s v="Customer 338"/>
        <s v="Customer 291"/>
        <s v="Customer 235"/>
        <s v="Customer 180"/>
        <s v="Customer 476"/>
        <s v="Customer 44"/>
        <s v="Customer 474"/>
        <s v="Customer 300"/>
        <s v="Customer 442"/>
        <s v="Customer 76"/>
        <s v="Customer 172"/>
        <s v="Customer 324"/>
        <s v="Customer 326"/>
        <s v="Customer 319"/>
        <s v="Customer 317"/>
        <s v="Customer 52"/>
        <s v="Customer 394"/>
        <s v="Customer 483"/>
        <s v="Customer 497"/>
        <s v="Customer 378"/>
        <s v="Customer 372"/>
        <s v="Customer 240"/>
        <s v="Customer 165"/>
        <s v="Customer 10"/>
        <s v="Customer 26"/>
        <s v="Customer 80"/>
        <s v="Customer 85"/>
        <s v="Customer 115"/>
        <s v="Customer 451"/>
        <s v="Customer 103"/>
        <s v="Customer 278"/>
        <s v="Customer 287"/>
        <s v="Customer 343"/>
        <s v="Customer 405"/>
        <s v="Customer 312"/>
        <s v="Customer 383"/>
        <s v="Customer 390"/>
        <s v="Customer 32"/>
        <s v="Customer 318"/>
        <s v="Customer 95"/>
        <s v="Customer 66"/>
        <s v="Customer 322"/>
        <s v="Customer 336"/>
        <s v="Customer 204"/>
        <s v="Customer 185"/>
        <s v="Customer 332"/>
        <s v="Customer 159"/>
        <s v="Customer 280"/>
        <s v="Customer 178"/>
        <s v="Customer 418"/>
        <s v="Customer 210"/>
        <s v="Customer 445"/>
        <s v="Customer 70"/>
        <s v="Customer 132"/>
        <s v="Customer 138"/>
        <s v="Customer 299"/>
        <s v="Customer 189"/>
        <s v="Customer 142"/>
        <s v="Customer 37"/>
        <s v="Customer 59"/>
        <s v="Customer 320"/>
        <s v="Customer 342"/>
        <s v="Customer 244"/>
        <s v="Customer 428"/>
        <s v="Customer 395"/>
        <s v="Customer 303"/>
        <s v="Customer 218"/>
        <s v="Customer 242"/>
        <s v="Customer 72"/>
        <s v="Customer 434"/>
        <s v="Customer 494"/>
        <s v="Customer 292"/>
        <s v="Customer 478"/>
        <s v="Customer 279"/>
        <s v="Customer 153"/>
        <s v="Customer 386"/>
        <s v="Customer 56"/>
        <s v="Customer 306"/>
        <s v="Customer 163"/>
        <s v="Customer 258"/>
        <s v="Customer 449"/>
        <s v="Customer 227"/>
        <s v="Customer 71"/>
        <s v="Customer 350"/>
        <s v="Customer 257"/>
        <s v="Customer 63"/>
        <s v="Customer 213"/>
        <s v="Customer 123"/>
        <s v="Customer 168"/>
        <s v="Customer 111"/>
        <s v="Customer 284"/>
        <s v="Customer 423"/>
        <s v="Customer 27"/>
        <s v="Customer 282"/>
        <s v="Customer 84"/>
        <s v="Customer 93"/>
        <s v="Customer 427"/>
        <s v="Customer 53"/>
        <s v="Customer 459"/>
        <s v="Customer 31"/>
        <s v="Customer 122"/>
        <s v="Customer 413"/>
        <s v="Customer 492"/>
        <s v="Customer 40"/>
        <s v="Customer 55"/>
        <s v="Customer 99"/>
        <s v="Customer 22"/>
        <s v="Customer 23"/>
        <s v="Customer 375"/>
        <s v="Customer 186"/>
        <s v="Customer 344"/>
        <s v="Customer 147"/>
        <s v="Customer 385"/>
        <s v="Customer 108"/>
        <s v="Customer 358"/>
        <s v="Customer 488"/>
        <s v="Customer 268"/>
        <s v="Customer 2"/>
        <s v="Customer 231"/>
        <s v="Customer 349"/>
        <s v="Customer 281"/>
        <s v="Customer 307"/>
        <s v="Customer 6"/>
        <s v="Customer 269"/>
        <s v="Customer 296"/>
        <s v="Customer 433"/>
        <s v="Customer 116"/>
        <s v="Customer 107"/>
        <s v="Customer 35"/>
        <s v="Customer 410"/>
        <s v="Customer 157"/>
        <s v="Customer 151"/>
        <s v="Customer 74"/>
        <s v="Customer 339"/>
        <s v="Customer 480"/>
        <s v="Customer 18"/>
        <s v="Customer 21"/>
        <s v="Customer 129"/>
        <s v="Customer 328"/>
        <s v="Customer 290"/>
        <s v="Customer 367"/>
        <s v="Customer 456"/>
        <s v="Customer 486"/>
        <s v="Customer 164"/>
        <s v="Customer 414"/>
        <s v="Customer 173"/>
        <s v="Customer 323"/>
        <s v="Customer 162"/>
        <s v="Customer 454"/>
        <s v="Customer 190"/>
        <s v="Customer 249"/>
        <s v="Customer 495"/>
        <s v="Customer 298"/>
        <s v="Customer 313"/>
        <s v="Customer 50"/>
        <s v="Customer 207"/>
        <s v="Customer 243"/>
        <s v="Customer 493"/>
        <s v="Customer 371"/>
        <s v="Customer 150"/>
        <s v="Customer 357"/>
        <s v="Customer 223"/>
        <s v="Customer 201"/>
        <s v="Customer 276"/>
        <s v="Customer 128"/>
        <s v="Customer 86"/>
        <s v="Customer 430"/>
        <s v="Customer 98"/>
        <s v="Customer 148"/>
        <s v="Customer 455"/>
        <s v="Customer 431"/>
        <s v="Customer 327"/>
        <s v="Customer 482"/>
        <s v="Customer 114"/>
        <s v="Customer 446"/>
        <s v="Customer 293"/>
        <s v="Customer 5"/>
        <s v="Customer 485"/>
        <s v="Customer 169"/>
        <s v="Customer 400"/>
        <s v="Customer 179"/>
        <s v="Customer 404"/>
        <s v="Customer 253"/>
        <s v="Customer 90"/>
        <s v="Customer 304"/>
        <s v="Customer 265"/>
        <s v="Customer 392"/>
        <s v="Customer 49"/>
        <s v="Customer 139"/>
        <s v="Customer 105"/>
        <s v="Customer 64"/>
        <s v="Customer 329"/>
        <s v="Customer 41"/>
        <s v="Customer 261"/>
        <s v="Customer 270"/>
        <s v="Customer 248"/>
        <s v="Customer 140"/>
        <s v="Customer 389"/>
        <s v="Customer 73"/>
        <s v="Customer 25"/>
        <s v="Customer 256"/>
        <s v="Customer 364"/>
        <s v="Customer 374"/>
        <s v="Customer 202"/>
        <s v="Customer 206"/>
        <s v="Customer 335"/>
        <s v="Customer 203"/>
        <s v="Customer 167"/>
        <s v="Customer 92"/>
        <s v="Customer 234"/>
        <s v="Customer 155"/>
        <s v="Customer 289"/>
        <s v="Customer 209"/>
        <s v="Customer 69"/>
        <s v="Customer 48"/>
        <s v="Customer 12"/>
        <s v="Customer 348"/>
        <s v="Customer 325"/>
        <s v="Customer 422"/>
        <s v="Customer 356"/>
        <s v="Customer 417"/>
        <s v="Customer 301"/>
        <s v="Customer 199"/>
        <s v="Customer 60"/>
        <s v="Customer 285"/>
        <s v="Customer 351"/>
        <s v="Customer 171"/>
        <s v="Customer 126"/>
        <s v="Customer 391"/>
        <s v="Customer 77"/>
        <s v="Customer 396"/>
        <s v="Customer 136"/>
        <s v="Customer 450"/>
        <s v="Customer 149"/>
        <s v="Customer 254"/>
        <s v="Customer 263"/>
        <s v="Customer 247"/>
        <s v="Customer 448"/>
        <s v="Customer 373"/>
        <s v="Customer 487"/>
        <s v="Customer 197"/>
        <s v="Customer 141"/>
        <s v="Customer 79"/>
        <s v="Customer 309"/>
        <s v="Customer 117"/>
        <s v="Customer 113"/>
        <s v="Customer 436"/>
        <s v="Customer 340"/>
        <s v="Customer 120"/>
        <s v="Customer 46"/>
        <s v="Customer 366"/>
        <s v="Customer 143"/>
        <s v="Customer 131"/>
        <s v="Customer 238"/>
        <s v="Customer 416"/>
        <s v="Customer 38"/>
        <s v="Customer 222"/>
        <s v="Customer 96"/>
        <s v="Customer 321"/>
        <s v="Customer 81"/>
        <s v="Customer 241"/>
        <s v="Customer 91"/>
        <s v="Customer 215"/>
        <s v="Customer 75"/>
        <s v="Customer 274"/>
        <s v="Customer 82"/>
        <s v="Customer 214"/>
        <s v="Customer 369"/>
        <s v="Customer 230"/>
        <s v="Customer 409"/>
        <s v="Customer 310"/>
        <s v="Customer 30"/>
        <s v="Customer 176"/>
        <s v="Customer 144"/>
        <s v="Customer 7"/>
        <s v="Customer 353"/>
        <s v="Customer 125"/>
        <s v="Customer 429"/>
        <s v="Customer 438"/>
        <s v="Customer 347"/>
        <s v="Customer 462"/>
        <s v="Customer 283"/>
        <s v="Customer 58"/>
        <s v="Customer 246"/>
        <s v="Customer 160"/>
        <s v="Customer 237"/>
        <s v="Customer 337"/>
        <s v="Customer 294"/>
        <s v="Customer 295"/>
        <s v="Customer 370"/>
        <s v="Customer 24"/>
        <s v="Customer 1"/>
        <s v="Customer 439"/>
        <s v="Customer 205"/>
        <s v="Customer 166"/>
        <s v="Customer 106"/>
        <s v="Customer 170"/>
        <s v="Customer 379"/>
        <s v="Customer 316"/>
        <s v="Customer 154"/>
        <s v="Customer 47"/>
        <s v="Customer 469"/>
        <s v="Customer 43"/>
      </sharedItems>
    </cacheField>
    <cacheField name="Industry" numFmtId="0">
      <sharedItems count="5">
        <s v="Automotive"/>
        <s v="Appliance"/>
        <s v="Electronics"/>
        <s v="EV"/>
        <s v="Electrical"/>
      </sharedItems>
    </cacheField>
    <cacheField name="Product_ID" numFmtId="0">
      <sharedItems count="50">
        <s v="P012"/>
        <s v="P041"/>
        <s v="P046"/>
        <s v="P048"/>
        <s v="P031"/>
        <s v="P050"/>
        <s v="P042"/>
        <s v="P035"/>
        <s v="P030"/>
        <s v="P024"/>
        <s v="P010"/>
        <s v="P004"/>
        <s v="P039"/>
        <s v="P023"/>
        <s v="P043"/>
        <s v="P003"/>
        <s v="P011"/>
        <s v="P026"/>
        <s v="P032"/>
        <s v="P040"/>
        <s v="P036"/>
        <s v="P038"/>
        <s v="P047"/>
        <s v="P027"/>
        <s v="P005"/>
        <s v="P044"/>
        <s v="P037"/>
        <s v="P009"/>
        <s v="P045"/>
        <s v="P002"/>
        <s v="P049"/>
        <s v="P022"/>
        <s v="P029"/>
        <s v="P021"/>
        <s v="P028"/>
        <s v="P016"/>
        <s v="P014"/>
        <s v="P001"/>
        <s v="P018"/>
        <s v="P015"/>
        <s v="P017"/>
        <s v="P034"/>
        <s v="P006"/>
        <s v="P019"/>
        <s v="P033"/>
        <s v="P025"/>
        <s v="P007"/>
        <s v="P008"/>
        <s v="P013"/>
        <s v="P020"/>
      </sharedItems>
    </cacheField>
    <cacheField name="Product_Name" numFmtId="0">
      <sharedItems count="50">
        <s v="TT Product 12"/>
        <s v="TT Product 41"/>
        <s v="TT Product 46"/>
        <s v="TT Product 48"/>
        <s v="TT Product 31"/>
        <s v="TT Product 50"/>
        <s v="TT Product 42"/>
        <s v="TT Product 35"/>
        <s v="TT Product 30"/>
        <s v="TT Product 24"/>
        <s v="TT Product 10"/>
        <s v="TT Product 4"/>
        <s v="TT Product 39"/>
        <s v="TT Product 23"/>
        <s v="TT Product 43"/>
        <s v="TT Product 3"/>
        <s v="TT Product 11"/>
        <s v="TT Product 26"/>
        <s v="TT Product 32"/>
        <s v="TT Product 40"/>
        <s v="TT Product 36"/>
        <s v="TT Product 38"/>
        <s v="TT Product 47"/>
        <s v="TT Product 27"/>
        <s v="TT Product 5"/>
        <s v="TT Product 44"/>
        <s v="TT Product 37"/>
        <s v="TT Product 9"/>
        <s v="TT Product 45"/>
        <s v="TT Product 2"/>
        <s v="TT Product 49"/>
        <s v="TT Product 22"/>
        <s v="TT Product 29"/>
        <s v="TT Product 21"/>
        <s v="TT Product 28"/>
        <s v="TT Product 16"/>
        <s v="TT Product 14"/>
        <s v="TT Product 1"/>
        <s v="TT Product 18"/>
        <s v="TT Product 15"/>
        <s v="TT Product 17"/>
        <s v="TT Product 34"/>
        <s v="TT Product 6"/>
        <s v="TT Product 19"/>
        <s v="TT Product 33"/>
        <s v="TT Product 25"/>
        <s v="TT Product 7"/>
        <s v="TT Product 8"/>
        <s v="TT Product 13"/>
        <s v="TT Product 20"/>
      </sharedItems>
    </cacheField>
    <cacheField name="Category" numFmtId="0">
      <sharedItems count="5">
        <s v="Terminal"/>
        <s v="Connector"/>
        <s v="Electrical"/>
        <s v="Relay"/>
        <s v="EV Components"/>
      </sharedItems>
    </cacheField>
    <cacheField name="Quantity" numFmtId="0">
      <sharedItems containsSemiMixedTypes="0" containsString="0" containsNumber="1" containsInteger="1" minValue="1009" maxValue="99991" count="4877">
        <n v="68779"/>
        <n v="2591"/>
        <n v="9906"/>
        <n v="38900"/>
        <n v="84375"/>
        <n v="59283"/>
        <n v="72291"/>
        <n v="87724"/>
        <n v="60993"/>
        <n v="53975"/>
        <n v="87006"/>
        <n v="38011"/>
        <n v="25502"/>
        <n v="39563"/>
        <n v="43719"/>
        <n v="85294"/>
        <n v="56673"/>
        <n v="51893"/>
        <n v="92110"/>
        <n v="24241"/>
        <n v="42628"/>
        <n v="49348"/>
        <n v="85196"/>
        <n v="45406"/>
        <n v="15263"/>
        <n v="10953"/>
        <n v="35560"/>
        <n v="67836"/>
        <n v="88073"/>
        <n v="58443"/>
        <n v="16015"/>
        <n v="29830"/>
        <n v="10605"/>
        <n v="38443"/>
        <n v="66714"/>
        <n v="50993"/>
        <n v="9177"/>
        <n v="28235"/>
        <n v="88829"/>
        <n v="2927"/>
        <n v="84962"/>
        <n v="58600"/>
        <n v="32301"/>
        <n v="16161"/>
        <n v="25707"/>
        <n v="20734"/>
        <n v="38269"/>
        <n v="69737"/>
        <n v="72484"/>
        <n v="73353"/>
        <n v="71632"/>
        <n v="26236"/>
        <n v="50178"/>
        <n v="65367"/>
        <n v="59861"/>
        <n v="71224"/>
        <n v="67542"/>
        <n v="56123"/>
        <n v="56557"/>
        <n v="78162"/>
        <n v="35581"/>
        <n v="9312"/>
        <n v="53310"/>
        <n v="68607"/>
        <n v="88899"/>
        <n v="29031"/>
        <n v="22762"/>
        <n v="91282"/>
        <n v="57173"/>
        <n v="19540"/>
        <n v="4449"/>
        <n v="57350"/>
        <n v="84417"/>
        <n v="46256"/>
        <n v="7661"/>
        <n v="69426"/>
        <n v="53166"/>
        <n v="26977"/>
        <n v="86194"/>
        <n v="60051"/>
        <n v="84031"/>
        <n v="65757"/>
        <n v="89035"/>
        <n v="78632"/>
        <n v="64404"/>
        <n v="36013"/>
        <n v="2702"/>
        <n v="35907"/>
        <n v="89620"/>
        <n v="2310"/>
        <n v="95550"/>
        <n v="91500"/>
        <n v="32626"/>
        <n v="41105"/>
        <n v="31517"/>
        <n v="85027"/>
        <n v="33349"/>
        <n v="50894"/>
        <n v="50202"/>
        <n v="88601"/>
        <n v="81614"/>
        <n v="80842"/>
        <n v="6036"/>
        <n v="55758"/>
        <n v="48318"/>
        <n v="12678"/>
        <n v="37720"/>
        <n v="43951"/>
        <n v="38935"/>
        <n v="5408"/>
        <n v="16609"/>
        <n v="6440"/>
        <n v="7734"/>
        <n v="33419"/>
        <n v="34516"/>
        <n v="18726"/>
        <n v="93272"/>
        <n v="75181"/>
        <n v="50778"/>
        <n v="13767"/>
        <n v="39531"/>
        <n v="97299"/>
        <n v="43131"/>
        <n v="79665"/>
        <n v="75824"/>
        <n v="78329"/>
        <n v="26927"/>
        <n v="31988"/>
        <n v="62154"/>
        <n v="75348"/>
        <n v="2314"/>
        <n v="59998"/>
        <n v="79539"/>
        <n v="4551"/>
        <n v="87497"/>
        <n v="15275"/>
        <n v="78990"/>
        <n v="53071"/>
        <n v="76434"/>
        <n v="26408"/>
        <n v="76158"/>
        <n v="90218"/>
        <n v="89811"/>
        <n v="17891"/>
        <n v="86615"/>
        <n v="61524"/>
        <n v="7466"/>
        <n v="66263"/>
        <n v="17141"/>
        <n v="48965"/>
        <n v="52338"/>
        <n v="35280"/>
        <n v="84174"/>
        <n v="91135"/>
        <n v="46435"/>
        <n v="85967"/>
        <n v="74269"/>
        <n v="4934"/>
        <n v="61328"/>
        <n v="61673"/>
        <n v="39732"/>
        <n v="28164"/>
        <n v="18087"/>
        <n v="10816"/>
        <n v="87492"/>
        <n v="17705"/>
        <n v="13231"/>
        <n v="99573"/>
        <n v="39923"/>
        <n v="27576"/>
        <n v="91905"/>
        <n v="66122"/>
        <n v="73241"/>
        <n v="78188"/>
        <n v="76101"/>
        <n v="27674"/>
        <n v="23429"/>
        <n v="33089"/>
        <n v="29673"/>
        <n v="79695"/>
        <n v="4540"/>
        <n v="77382"/>
        <n v="42050"/>
        <n v="8895"/>
        <n v="65134"/>
        <n v="13054"/>
        <n v="78775"/>
        <n v="72957"/>
        <n v="18523"/>
        <n v="74260"/>
        <n v="35974"/>
        <n v="50960"/>
        <n v="80361"/>
        <n v="92707"/>
        <n v="15936"/>
        <n v="24043"/>
        <n v="81228"/>
        <n v="5781"/>
        <n v="1802"/>
        <n v="69627"/>
        <n v="56366"/>
        <n v="54006"/>
        <n v="48007"/>
        <n v="53278"/>
        <n v="16849"/>
        <n v="91356"/>
        <n v="36959"/>
        <n v="51602"/>
        <n v="32528"/>
        <n v="5507"/>
        <n v="51579"/>
        <n v="71965"/>
        <n v="80659"/>
        <n v="63265"/>
        <n v="75975"/>
        <n v="61317"/>
        <n v="98089"/>
        <n v="9720"/>
        <n v="14091"/>
        <n v="32137"/>
        <n v="67319"/>
        <n v="93891"/>
        <n v="83805"/>
        <n v="78744"/>
        <n v="91871"/>
        <n v="84512"/>
        <n v="4698"/>
        <n v="82344"/>
        <n v="5099"/>
        <n v="52672"/>
        <n v="66606"/>
        <n v="32370"/>
        <n v="90404"/>
        <n v="6470"/>
        <n v="10749"/>
        <n v="75757"/>
        <n v="79590"/>
        <n v="73847"/>
        <n v="3391"/>
        <n v="47946"/>
        <n v="65820"/>
        <n v="10727"/>
        <n v="64111"/>
        <n v="92602"/>
        <n v="79522"/>
        <n v="93187"/>
        <n v="52070"/>
        <n v="57112"/>
        <n v="20540"/>
        <n v="30664"/>
        <n v="68611"/>
        <n v="9965"/>
        <n v="96461"/>
        <n v="48125"/>
        <n v="12186"/>
        <n v="98956"/>
        <n v="69630"/>
        <n v="73814"/>
        <n v="27097"/>
        <n v="29856"/>
        <n v="35985"/>
        <n v="94518"/>
        <n v="61471"/>
        <n v="38388"/>
        <n v="92564"/>
        <n v="34678"/>
        <n v="19313"/>
        <n v="54183"/>
        <n v="67015"/>
        <n v="3349"/>
        <n v="62750"/>
        <n v="43381"/>
        <n v="19079"/>
        <n v="19164"/>
        <n v="18293"/>
        <n v="19948"/>
        <n v="76969"/>
        <n v="41768"/>
        <n v="44155"/>
        <n v="95797"/>
        <n v="15222"/>
        <n v="77800"/>
        <n v="57109"/>
        <n v="96582"/>
        <n v="54812"/>
        <n v="60574"/>
        <n v="80145"/>
        <n v="26433"/>
        <n v="44216"/>
        <n v="43811"/>
        <n v="48486"/>
        <n v="19110"/>
        <n v="39520"/>
        <n v="32466"/>
        <n v="44479"/>
        <n v="24402"/>
        <n v="34755"/>
        <n v="23430"/>
        <n v="63292"/>
        <n v="74034"/>
        <n v="4183"/>
        <n v="26500"/>
        <n v="21147"/>
        <n v="32470"/>
        <n v="30813"/>
        <n v="31562"/>
        <n v="37035"/>
        <n v="87792"/>
        <n v="26855"/>
        <n v="34491"/>
        <n v="72776"/>
        <n v="1457"/>
        <n v="69872"/>
        <n v="69977"/>
        <n v="27953"/>
        <n v="94949"/>
        <n v="78428"/>
        <n v="69523"/>
        <n v="94308"/>
        <n v="2290"/>
        <n v="75667"/>
        <n v="49724"/>
        <n v="6503"/>
        <n v="56163"/>
        <n v="17058"/>
        <n v="51775"/>
        <n v="78573"/>
        <n v="77533"/>
        <n v="54584"/>
        <n v="75635"/>
        <n v="48634"/>
        <n v="81996"/>
        <n v="37454"/>
        <n v="19048"/>
        <n v="18700"/>
        <n v="46197"/>
        <n v="60709"/>
        <n v="70110"/>
        <n v="91680"/>
        <n v="38756"/>
        <n v="41406"/>
        <n v="57014"/>
        <n v="89606"/>
        <n v="58406"/>
        <n v="45929"/>
        <n v="96207"/>
        <n v="11714"/>
        <n v="53460"/>
        <n v="27851"/>
        <n v="80403"/>
        <n v="75186"/>
        <n v="45348"/>
        <n v="94023"/>
        <n v="4477"/>
        <n v="80837"/>
        <n v="39291"/>
        <n v="75292"/>
        <n v="84988"/>
        <n v="27436"/>
        <n v="68528"/>
        <n v="30473"/>
        <n v="85586"/>
        <n v="10698"/>
        <n v="58135"/>
        <n v="60868"/>
        <n v="64062"/>
        <n v="94451"/>
        <n v="37755"/>
        <n v="52666"/>
        <n v="39888"/>
        <n v="99277"/>
        <n v="90511"/>
        <n v="44907"/>
        <n v="97446"/>
        <n v="77925"/>
        <n v="91920"/>
        <n v="69191"/>
        <n v="66740"/>
        <n v="4526"/>
        <n v="96692"/>
        <n v="43843"/>
        <n v="59791"/>
        <n v="40910"/>
        <n v="38980"/>
        <n v="67546"/>
        <n v="18629"/>
        <n v="59984"/>
        <n v="42239"/>
        <n v="47005"/>
        <n v="72452"/>
        <n v="59466"/>
        <n v="61509"/>
        <n v="1029"/>
        <n v="46714"/>
        <n v="14248"/>
        <n v="13671"/>
        <n v="98407"/>
        <n v="99266"/>
        <n v="98133"/>
        <n v="89579"/>
        <n v="60705"/>
        <n v="95669"/>
        <n v="18198"/>
        <n v="94455"/>
        <n v="90792"/>
        <n v="93463"/>
        <n v="59703"/>
        <n v="4388"/>
        <n v="91838"/>
        <n v="92757"/>
        <n v="79563"/>
        <n v="26218"/>
        <n v="65625"/>
        <n v="38901"/>
        <n v="60527"/>
        <n v="42471"/>
        <n v="9260"/>
        <n v="62423"/>
        <n v="80212"/>
        <n v="85743"/>
        <n v="59713"/>
        <n v="63589"/>
        <n v="18240"/>
        <n v="2952"/>
        <n v="26369"/>
        <n v="18258"/>
        <n v="86095"/>
        <n v="48076"/>
        <n v="19253"/>
        <n v="97102"/>
        <n v="19897"/>
        <n v="2734"/>
        <n v="58438"/>
        <n v="15727"/>
        <n v="28027"/>
        <n v="21019"/>
        <n v="62981"/>
        <n v="87837"/>
        <n v="9378"/>
        <n v="29575"/>
        <n v="53883"/>
        <n v="80303"/>
        <n v="87490"/>
        <n v="8629"/>
        <n v="98056"/>
        <n v="96860"/>
        <n v="4837"/>
        <n v="4066"/>
        <n v="12868"/>
        <n v="2195"/>
        <n v="83719"/>
        <n v="67763"/>
        <n v="52173"/>
        <n v="63552"/>
        <n v="10634"/>
        <n v="67122"/>
        <n v="98807"/>
        <n v="95785"/>
        <n v="85955"/>
        <n v="89475"/>
        <n v="8659"/>
        <n v="77433"/>
        <n v="26567"/>
        <n v="61489"/>
        <n v="24874"/>
        <n v="84002"/>
        <n v="69528"/>
        <n v="96341"/>
        <n v="64801"/>
        <n v="24656"/>
        <n v="71253"/>
        <n v="91883"/>
        <n v="2547"/>
        <n v="86296"/>
        <n v="63680"/>
        <n v="70880"/>
        <n v="2099"/>
        <n v="20097"/>
        <n v="63706"/>
        <n v="78698"/>
        <n v="53763"/>
        <n v="79573"/>
        <n v="57004"/>
        <n v="88024"/>
        <n v="66129"/>
        <n v="44291"/>
        <n v="31652"/>
        <n v="65224"/>
        <n v="56208"/>
        <n v="91607"/>
        <n v="67176"/>
        <n v="59615"/>
        <n v="21716"/>
        <n v="96707"/>
        <n v="74312"/>
        <n v="27318"/>
        <n v="32276"/>
        <n v="78152"/>
        <n v="25202"/>
        <n v="7843"/>
        <n v="88657"/>
        <n v="75898"/>
        <n v="46454"/>
        <n v="90336"/>
        <n v="26784"/>
        <n v="2372"/>
        <n v="46674"/>
        <n v="54077"/>
        <n v="67618"/>
        <n v="23385"/>
        <n v="85031"/>
        <n v="96975"/>
        <n v="38941"/>
        <n v="56868"/>
        <n v="87461"/>
        <n v="2639"/>
        <n v="34195"/>
        <n v="26780"/>
        <n v="52554"/>
        <n v="82856"/>
        <n v="46092"/>
        <n v="10589"/>
        <n v="6208"/>
        <n v="94172"/>
        <n v="90378"/>
        <n v="27620"/>
        <n v="5635"/>
        <n v="28144"/>
        <n v="69674"/>
        <n v="62230"/>
        <n v="17553"/>
        <n v="56609"/>
        <n v="3914"/>
        <n v="45290"/>
        <n v="15956"/>
        <n v="76667"/>
        <n v="17884"/>
        <n v="24405"/>
        <n v="50346"/>
        <n v="39034"/>
        <n v="67936"/>
        <n v="46367"/>
        <n v="80077"/>
        <n v="52915"/>
        <n v="77730"/>
        <n v="75904"/>
        <n v="75504"/>
        <n v="97708"/>
        <n v="5531"/>
        <n v="55777"/>
        <n v="9048"/>
        <n v="43059"/>
        <n v="54837"/>
        <n v="93262"/>
        <n v="77353"/>
        <n v="16140"/>
        <n v="94621"/>
        <n v="6656"/>
        <n v="29137"/>
        <n v="57810"/>
        <n v="15284"/>
        <n v="37579"/>
        <n v="62591"/>
        <n v="70113"/>
        <n v="48517"/>
        <n v="65569"/>
        <n v="50129"/>
        <n v="12144"/>
        <n v="59884"/>
        <n v="68032"/>
        <n v="35933"/>
        <n v="83248"/>
        <n v="75864"/>
        <n v="66457"/>
        <n v="25749"/>
        <n v="96398"/>
        <n v="17252"/>
        <n v="10796"/>
        <n v="49396"/>
        <n v="97296"/>
        <n v="16873"/>
        <n v="11021"/>
        <n v="87755"/>
        <n v="71653"/>
        <n v="77341"/>
        <n v="27584"/>
        <n v="38526"/>
        <n v="4016"/>
        <n v="31030"/>
        <n v="54274"/>
        <n v="40587"/>
        <n v="56970"/>
        <n v="45860"/>
        <n v="98759"/>
        <n v="8774"/>
        <n v="77150"/>
        <n v="68727"/>
        <n v="96328"/>
        <n v="8278"/>
        <n v="36199"/>
        <n v="23563"/>
        <n v="91372"/>
        <n v="4575"/>
        <n v="20523"/>
        <n v="61725"/>
        <n v="9729"/>
        <n v="52944"/>
        <n v="28442"/>
        <n v="81909"/>
        <n v="37165"/>
        <n v="61209"/>
        <n v="70591"/>
        <n v="42653"/>
        <n v="94340"/>
        <n v="15186"/>
        <n v="70570"/>
        <n v="55031"/>
        <n v="59436"/>
        <n v="8372"/>
        <n v="3595"/>
        <n v="3515"/>
        <n v="73345"/>
        <n v="99203"/>
        <n v="36768"/>
        <n v="37530"/>
        <n v="56156"/>
        <n v="6442"/>
        <n v="62633"/>
        <n v="69654"/>
        <n v="30046"/>
        <n v="44744"/>
        <n v="11249"/>
        <n v="39780"/>
        <n v="43634"/>
        <n v="90644"/>
        <n v="3488"/>
        <n v="58446"/>
        <n v="93225"/>
        <n v="28722"/>
        <n v="78347"/>
        <n v="33805"/>
        <n v="60501"/>
        <n v="99214"/>
        <n v="48387"/>
        <n v="98801"/>
        <n v="84302"/>
        <n v="50307"/>
        <n v="38150"/>
        <n v="81823"/>
        <n v="95480"/>
        <n v="2425"/>
        <n v="97477"/>
        <n v="6061"/>
        <n v="69764"/>
        <n v="68816"/>
        <n v="87468"/>
        <n v="30590"/>
        <n v="68691"/>
        <n v="47006"/>
        <n v="35938"/>
        <n v="82550"/>
        <n v="96376"/>
        <n v="99617"/>
        <n v="23832"/>
        <n v="87708"/>
        <n v="93078"/>
        <n v="41106"/>
        <n v="82129"/>
        <n v="28912"/>
        <n v="81480"/>
        <n v="98203"/>
        <n v="72800"/>
        <n v="17099"/>
        <n v="8088"/>
        <n v="18339"/>
        <n v="46977"/>
        <n v="27357"/>
        <n v="9812"/>
        <n v="28398"/>
        <n v="96198"/>
        <n v="58898"/>
        <n v="74370"/>
        <n v="60553"/>
        <n v="18841"/>
        <n v="36453"/>
        <n v="45662"/>
        <n v="57076"/>
        <n v="2280"/>
        <n v="41472"/>
        <n v="39453"/>
        <n v="61550"/>
        <n v="29381"/>
        <n v="57632"/>
        <n v="26412"/>
        <n v="48950"/>
        <n v="30410"/>
        <n v="25688"/>
        <n v="51320"/>
        <n v="51541"/>
        <n v="74852"/>
        <n v="90807"/>
        <n v="9026"/>
        <n v="71887"/>
        <n v="60034"/>
        <n v="87995"/>
        <n v="80175"/>
        <n v="1326"/>
        <n v="46755"/>
        <n v="30101"/>
        <n v="29498"/>
        <n v="86225"/>
        <n v="71845"/>
        <n v="74228"/>
        <n v="15183"/>
        <n v="6067"/>
        <n v="5292"/>
        <n v="84170"/>
        <n v="65655"/>
        <n v="99778"/>
        <n v="84235"/>
        <n v="17399"/>
        <n v="80360"/>
        <n v="93494"/>
        <n v="92822"/>
        <n v="11313"/>
        <n v="42017"/>
        <n v="70645"/>
        <n v="93646"/>
        <n v="92778"/>
        <n v="1628"/>
        <n v="52768"/>
        <n v="5312"/>
        <n v="40200"/>
        <n v="3717"/>
        <n v="76719"/>
        <n v="41361"/>
        <n v="34442"/>
        <n v="16313"/>
        <n v="43214"/>
        <n v="92850"/>
        <n v="34357"/>
        <n v="92282"/>
        <n v="33590"/>
        <n v="98127"/>
        <n v="14859"/>
        <n v="56558"/>
        <n v="14724"/>
        <n v="60663"/>
        <n v="72165"/>
        <n v="12083"/>
        <n v="11020"/>
        <n v="71391"/>
        <n v="1199"/>
        <n v="42851"/>
        <n v="50024"/>
        <n v="6128"/>
        <n v="13368"/>
        <n v="78963"/>
        <n v="87074"/>
        <n v="82528"/>
        <n v="16596"/>
        <n v="90168"/>
        <n v="67173"/>
        <n v="49828"/>
        <n v="70840"/>
        <n v="23136"/>
        <n v="50924"/>
        <n v="17756"/>
        <n v="58830"/>
        <n v="21430"/>
        <n v="45799"/>
        <n v="63956"/>
        <n v="18341"/>
        <n v="33181"/>
        <n v="95438"/>
        <n v="89636"/>
        <n v="16343"/>
        <n v="26292"/>
        <n v="59340"/>
        <n v="8527"/>
        <n v="6893"/>
        <n v="91611"/>
        <n v="71435"/>
        <n v="82335"/>
        <n v="28298"/>
        <n v="43453"/>
        <n v="27064"/>
        <n v="10436"/>
        <n v="52323"/>
        <n v="36192"/>
        <n v="47680"/>
        <n v="25915"/>
        <n v="53004"/>
        <n v="27869"/>
        <n v="17516"/>
        <n v="1173"/>
        <n v="62969"/>
        <n v="56577"/>
        <n v="36702"/>
        <n v="16191"/>
        <n v="85867"/>
        <n v="96523"/>
        <n v="57685"/>
        <n v="74418"/>
        <n v="1493"/>
        <n v="49289"/>
        <n v="11765"/>
        <n v="47193"/>
        <n v="32535"/>
        <n v="36525"/>
        <n v="30767"/>
        <n v="75754"/>
        <n v="69887"/>
        <n v="82714"/>
        <n v="32306"/>
        <n v="85122"/>
        <n v="92164"/>
        <n v="69052"/>
        <n v="63590"/>
        <n v="26057"/>
        <n v="74774"/>
        <n v="30467"/>
        <n v="60519"/>
        <n v="84701"/>
        <n v="25279"/>
        <n v="97161"/>
        <n v="89042"/>
        <n v="55230"/>
        <n v="65581"/>
        <n v="23119"/>
        <n v="88316"/>
        <n v="98825"/>
        <n v="15206"/>
        <n v="40147"/>
        <n v="85696"/>
        <n v="39458"/>
        <n v="93277"/>
        <n v="7548"/>
        <n v="21578"/>
        <n v="18467"/>
        <n v="23084"/>
        <n v="40839"/>
        <n v="47747"/>
        <n v="31829"/>
        <n v="77073"/>
        <n v="28905"/>
        <n v="13295"/>
        <n v="91802"/>
        <n v="27091"/>
        <n v="22622"/>
        <n v="74133"/>
        <n v="89403"/>
        <n v="37202"/>
        <n v="82420"/>
        <n v="40336"/>
        <n v="63514"/>
        <n v="37911"/>
        <n v="68524"/>
        <n v="88803"/>
        <n v="97980"/>
        <n v="77061"/>
        <n v="90216"/>
        <n v="77210"/>
        <n v="93246"/>
        <n v="2282"/>
        <n v="59708"/>
        <n v="54365"/>
        <n v="43327"/>
        <n v="11982"/>
        <n v="88212"/>
        <n v="29719"/>
        <n v="96630"/>
        <n v="20012"/>
        <n v="12553"/>
        <n v="32976"/>
        <n v="29706"/>
        <n v="77837"/>
        <n v="6837"/>
        <n v="95633"/>
        <n v="72090"/>
        <n v="91557"/>
        <n v="25234"/>
        <n v="69736"/>
        <n v="85260"/>
        <n v="83091"/>
        <n v="6689"/>
        <n v="18325"/>
        <n v="49554"/>
        <n v="29067"/>
        <n v="67321"/>
        <n v="2740"/>
        <n v="69163"/>
        <n v="73257"/>
        <n v="77807"/>
        <n v="40340"/>
        <n v="76634"/>
        <n v="26981"/>
        <n v="93507"/>
        <n v="93604"/>
        <n v="50682"/>
        <n v="15434"/>
        <n v="71521"/>
        <n v="72195"/>
        <n v="36852"/>
        <n v="79408"/>
        <n v="42688"/>
        <n v="37521"/>
        <n v="63840"/>
        <n v="97283"/>
        <n v="29550"/>
        <n v="74386"/>
        <n v="99819"/>
        <n v="94864"/>
        <n v="59983"/>
        <n v="49996"/>
        <n v="41566"/>
        <n v="13422"/>
        <n v="66968"/>
        <n v="94280"/>
        <n v="51335"/>
        <n v="98253"/>
        <n v="11702"/>
        <n v="16225"/>
        <n v="70240"/>
        <n v="71076"/>
        <n v="41899"/>
        <n v="39454"/>
        <n v="89130"/>
        <n v="47422"/>
        <n v="74208"/>
        <n v="99219"/>
        <n v="33925"/>
        <n v="6828"/>
        <n v="39515"/>
        <n v="64152"/>
        <n v="71545"/>
        <n v="9961"/>
        <n v="37644"/>
        <n v="46240"/>
        <n v="73269"/>
        <n v="28393"/>
        <n v="21754"/>
        <n v="50132"/>
        <n v="21223"/>
        <n v="64303"/>
        <n v="86873"/>
        <n v="8767"/>
        <n v="4756"/>
        <n v="45460"/>
        <n v="2029"/>
        <n v="60521"/>
        <n v="95504"/>
        <n v="93180"/>
        <n v="90494"/>
        <n v="10555"/>
        <n v="20812"/>
        <n v="74803"/>
        <n v="63951"/>
        <n v="89895"/>
        <n v="34987"/>
        <n v="76053"/>
        <n v="33744"/>
        <n v="36070"/>
        <n v="70718"/>
        <n v="30949"/>
        <n v="51932"/>
        <n v="85892"/>
        <n v="89676"/>
        <n v="47551"/>
        <n v="23146"/>
        <n v="90090"/>
        <n v="43446"/>
        <n v="49440"/>
        <n v="4219"/>
        <n v="82086"/>
        <n v="94658"/>
        <n v="81155"/>
        <n v="43698"/>
        <n v="2968"/>
        <n v="37696"/>
        <n v="45333"/>
        <n v="25826"/>
        <n v="61344"/>
        <n v="84233"/>
        <n v="35305"/>
        <n v="53875"/>
        <n v="53566"/>
        <n v="63471"/>
        <n v="20427"/>
        <n v="48963"/>
        <n v="44136"/>
        <n v="52094"/>
        <n v="86953"/>
        <n v="32573"/>
        <n v="74287"/>
        <n v="27452"/>
        <n v="3983"/>
        <n v="81526"/>
        <n v="11781"/>
        <n v="13817"/>
        <n v="53484"/>
        <n v="15606"/>
        <n v="49295"/>
        <n v="60394"/>
        <n v="21781"/>
        <n v="30944"/>
        <n v="32440"/>
        <n v="2809"/>
        <n v="61919"/>
        <n v="98243"/>
        <n v="1446"/>
        <n v="8821"/>
        <n v="10262"/>
        <n v="79258"/>
        <n v="29050"/>
        <n v="51907"/>
        <n v="98902"/>
        <n v="46896"/>
        <n v="90309"/>
        <n v="85406"/>
        <n v="12785"/>
        <n v="48721"/>
        <n v="72615"/>
        <n v="33104"/>
        <n v="86883"/>
        <n v="58863"/>
        <n v="98252"/>
        <n v="19758"/>
        <n v="53323"/>
        <n v="29845"/>
        <n v="95689"/>
        <n v="60134"/>
        <n v="61266"/>
        <n v="96705"/>
        <n v="65666"/>
        <n v="64874"/>
        <n v="95278"/>
        <n v="76725"/>
        <n v="7977"/>
        <n v="1047"/>
        <n v="86550"/>
        <n v="3739"/>
        <n v="6592"/>
        <n v="99585"/>
        <n v="52868"/>
        <n v="84916"/>
        <n v="71347"/>
        <n v="65987"/>
        <n v="62454"/>
        <n v="82755"/>
        <n v="82521"/>
        <n v="89019"/>
        <n v="9895"/>
        <n v="46553"/>
        <n v="94573"/>
        <n v="84813"/>
        <n v="13276"/>
        <n v="47796"/>
        <n v="1053"/>
        <n v="6420"/>
        <n v="48337"/>
        <n v="68262"/>
        <n v="57712"/>
        <n v="52576"/>
        <n v="21885"/>
        <n v="20660"/>
        <n v="13800"/>
        <n v="93416"/>
        <n v="90075"/>
        <n v="45995"/>
        <n v="33165"/>
        <n v="99308"/>
        <n v="11385"/>
        <n v="87952"/>
        <n v="89608"/>
        <n v="80672"/>
        <n v="89244"/>
        <n v="24729"/>
        <n v="87259"/>
        <n v="97324"/>
        <n v="80571"/>
        <n v="13917"/>
        <n v="77379"/>
        <n v="14259"/>
        <n v="96979"/>
        <n v="83656"/>
        <n v="85440"/>
        <n v="97558"/>
        <n v="83318"/>
        <n v="55019"/>
        <n v="4992"/>
        <n v="69001"/>
        <n v="18913"/>
        <n v="32036"/>
        <n v="53256"/>
        <n v="66537"/>
        <n v="42304"/>
        <n v="44199"/>
        <n v="17924"/>
        <n v="23369"/>
        <n v="24695"/>
        <n v="35565"/>
        <n v="34471"/>
        <n v="15199"/>
        <n v="54853"/>
        <n v="77171"/>
        <n v="19619"/>
        <n v="18791"/>
        <n v="30002"/>
        <n v="98233"/>
        <n v="81115"/>
        <n v="76666"/>
        <n v="42008"/>
        <n v="37878"/>
        <n v="88203"/>
        <n v="33523"/>
        <n v="60491"/>
        <n v="37096"/>
        <n v="71739"/>
        <n v="26774"/>
        <n v="64459"/>
        <n v="55127"/>
        <n v="74374"/>
        <n v="45361"/>
        <n v="50330"/>
        <n v="65468"/>
        <n v="33082"/>
        <n v="24518"/>
        <n v="78518"/>
        <n v="84579"/>
        <n v="28268"/>
        <n v="71663"/>
        <n v="62800"/>
        <n v="83412"/>
        <n v="57077"/>
        <n v="7035"/>
        <n v="30586"/>
        <n v="10410"/>
        <n v="38346"/>
        <n v="91112"/>
        <n v="44293"/>
        <n v="87028"/>
        <n v="36916"/>
        <n v="86959"/>
        <n v="46047"/>
        <n v="64775"/>
        <n v="45993"/>
        <n v="56078"/>
        <n v="42900"/>
        <n v="49220"/>
        <n v="33308"/>
        <n v="59024"/>
        <n v="11590"/>
        <n v="21854"/>
        <n v="69077"/>
        <n v="34996"/>
        <n v="25931"/>
        <n v="48174"/>
        <n v="25684"/>
        <n v="48772"/>
        <n v="70131"/>
        <n v="95405"/>
        <n v="18540"/>
        <n v="35714"/>
        <n v="97499"/>
        <n v="89009"/>
        <n v="8093"/>
        <n v="27343"/>
        <n v="96905"/>
        <n v="3507"/>
        <n v="77132"/>
        <n v="21200"/>
        <n v="13048"/>
        <n v="21532"/>
        <n v="3281"/>
        <n v="90899"/>
        <n v="31112"/>
        <n v="54406"/>
        <n v="65743"/>
        <n v="78043"/>
        <n v="83597"/>
        <n v="34502"/>
        <n v="7633"/>
        <n v="15687"/>
        <n v="3103"/>
        <n v="12713"/>
        <n v="56633"/>
        <n v="83294"/>
        <n v="58702"/>
        <n v="5133"/>
        <n v="20699"/>
        <n v="80976"/>
        <n v="58965"/>
        <n v="97402"/>
        <n v="10806"/>
        <n v="23305"/>
        <n v="52981"/>
        <n v="50880"/>
        <n v="25561"/>
        <n v="73161"/>
        <n v="39375"/>
        <n v="15373"/>
        <n v="71278"/>
        <n v="68114"/>
        <n v="46212"/>
        <n v="11400"/>
        <n v="86111"/>
        <n v="39214"/>
        <n v="45342"/>
        <n v="14988"/>
        <n v="51665"/>
        <n v="20091"/>
        <n v="61574"/>
        <n v="17890"/>
        <n v="73643"/>
        <n v="14569"/>
        <n v="30741"/>
        <n v="23412"/>
        <n v="22556"/>
        <n v="50413"/>
        <n v="5034"/>
        <n v="62352"/>
        <n v="5905"/>
        <n v="59854"/>
        <n v="64272"/>
        <n v="66472"/>
        <n v="33722"/>
        <n v="71743"/>
        <n v="71319"/>
        <n v="74908"/>
        <n v="79226"/>
        <n v="48698"/>
        <n v="84274"/>
        <n v="86948"/>
        <n v="17603"/>
        <n v="23125"/>
        <n v="98530"/>
        <n v="96907"/>
        <n v="70915"/>
        <n v="62214"/>
        <n v="16606"/>
        <n v="74649"/>
        <n v="7440"/>
        <n v="19615"/>
        <n v="44497"/>
        <n v="11964"/>
        <n v="96822"/>
        <n v="69414"/>
        <n v="46482"/>
        <n v="91536"/>
        <n v="77590"/>
        <n v="6091"/>
        <n v="91653"/>
        <n v="82287"/>
        <n v="59087"/>
        <n v="85978"/>
        <n v="4714"/>
        <n v="68518"/>
        <n v="45678"/>
        <n v="10112"/>
        <n v="71952"/>
        <n v="16342"/>
        <n v="12718"/>
        <n v="62228"/>
        <n v="96383"/>
        <n v="92036"/>
        <n v="5508"/>
        <n v="23096"/>
        <n v="66685"/>
        <n v="61450"/>
        <n v="69644"/>
        <n v="54429"/>
        <n v="75081"/>
        <n v="30984"/>
        <n v="1485"/>
        <n v="99608"/>
        <n v="26776"/>
        <n v="48202"/>
        <n v="39325"/>
        <n v="6380"/>
        <n v="71059"/>
        <n v="58879"/>
        <n v="18278"/>
        <n v="59962"/>
        <n v="31463"/>
        <n v="41045"/>
        <n v="1532"/>
        <n v="59534"/>
        <n v="20181"/>
        <n v="96080"/>
        <n v="62764"/>
        <n v="62756"/>
        <n v="32431"/>
        <n v="48173"/>
        <n v="62330"/>
        <n v="57944"/>
        <n v="87392"/>
        <n v="50521"/>
        <n v="55259"/>
        <n v="12133"/>
        <n v="69807"/>
        <n v="34192"/>
        <n v="76530"/>
        <n v="43897"/>
        <n v="22237"/>
        <n v="16803"/>
        <n v="70647"/>
        <n v="80666"/>
        <n v="59317"/>
        <n v="62135"/>
        <n v="59821"/>
        <n v="62109"/>
        <n v="69419"/>
        <n v="16158"/>
        <n v="63524"/>
        <n v="34954"/>
        <n v="39135"/>
        <n v="47532"/>
        <n v="80725"/>
        <n v="44970"/>
        <n v="62041"/>
        <n v="57604"/>
        <n v="6809"/>
        <n v="54852"/>
        <n v="37442"/>
        <n v="23498"/>
        <n v="84025"/>
        <n v="65481"/>
        <n v="44432"/>
        <n v="76275"/>
        <n v="31510"/>
        <n v="12573"/>
        <n v="58024"/>
        <n v="87121"/>
        <n v="12699"/>
        <n v="35365"/>
        <n v="64187"/>
        <n v="12375"/>
        <n v="99288"/>
        <n v="39673"/>
        <n v="60252"/>
        <n v="56237"/>
        <n v="65283"/>
        <n v="14022"/>
        <n v="11046"/>
        <n v="30227"/>
        <n v="12902"/>
        <n v="21704"/>
        <n v="69151"/>
        <n v="58472"/>
        <n v="66552"/>
        <n v="18402"/>
        <n v="15055"/>
        <n v="80437"/>
        <n v="91461"/>
        <n v="33985"/>
        <n v="58571"/>
        <n v="19230"/>
        <n v="75227"/>
        <n v="53662"/>
        <n v="74874"/>
        <n v="92248"/>
        <n v="5180"/>
        <n v="58525"/>
        <n v="78505"/>
        <n v="93131"/>
        <n v="9526"/>
        <n v="28360"/>
        <n v="89293"/>
        <n v="16747"/>
        <n v="83603"/>
        <n v="70424"/>
        <n v="7175"/>
        <n v="80480"/>
        <n v="36499"/>
        <n v="6185"/>
        <n v="54339"/>
        <n v="73996"/>
        <n v="45448"/>
        <n v="95166"/>
        <n v="52799"/>
        <n v="80418"/>
        <n v="36833"/>
        <n v="79482"/>
        <n v="6904"/>
        <n v="1482"/>
        <n v="64531"/>
        <n v="36048"/>
        <n v="92115"/>
        <n v="73872"/>
        <n v="11001"/>
        <n v="95342"/>
        <n v="35711"/>
        <n v="33281"/>
        <n v="60471"/>
        <n v="36488"/>
        <n v="56294"/>
        <n v="33492"/>
        <n v="38487"/>
        <n v="36601"/>
        <n v="24712"/>
        <n v="5544"/>
        <n v="97401"/>
        <n v="80410"/>
        <n v="82991"/>
        <n v="21005"/>
        <n v="28828"/>
        <n v="41414"/>
        <n v="62577"/>
        <n v="96418"/>
        <n v="7295"/>
        <n v="71820"/>
        <n v="63691"/>
        <n v="72899"/>
        <n v="15440"/>
        <n v="4492"/>
        <n v="30290"/>
        <n v="43293"/>
        <n v="93951"/>
        <n v="40483"/>
        <n v="22413"/>
        <n v="47785"/>
        <n v="86970"/>
        <n v="59510"/>
        <n v="4876"/>
        <n v="46070"/>
        <n v="70667"/>
        <n v="46343"/>
        <n v="56623"/>
        <n v="11289"/>
        <n v="50705"/>
        <n v="29297"/>
        <n v="99665"/>
        <n v="95189"/>
        <n v="62334"/>
        <n v="92788"/>
        <n v="44093"/>
        <n v="3505"/>
        <n v="21231"/>
        <n v="12468"/>
        <n v="50891"/>
        <n v="40665"/>
        <n v="87070"/>
        <n v="16253"/>
        <n v="22959"/>
        <n v="2418"/>
        <n v="37646"/>
        <n v="42792"/>
        <n v="42204"/>
        <n v="99158"/>
        <n v="67111"/>
        <n v="12081"/>
        <n v="56981"/>
        <n v="50505"/>
        <n v="42914"/>
        <n v="12015"/>
        <n v="11736"/>
        <n v="69408"/>
        <n v="49625"/>
        <n v="19283"/>
        <n v="80391"/>
        <n v="35934"/>
        <n v="56135"/>
        <n v="57046"/>
        <n v="64524"/>
        <n v="73457"/>
        <n v="94544"/>
        <n v="32685"/>
        <n v="9159"/>
        <n v="94852"/>
        <n v="5059"/>
        <n v="37619"/>
        <n v="35595"/>
        <n v="7708"/>
        <n v="50932"/>
        <n v="4290"/>
        <n v="74421"/>
        <n v="99729"/>
        <n v="35364"/>
        <n v="74727"/>
        <n v="14679"/>
        <n v="69956"/>
        <n v="64546"/>
        <n v="94064"/>
        <n v="29094"/>
        <n v="87742"/>
        <n v="13175"/>
        <n v="51093"/>
        <n v="54913"/>
        <n v="32101"/>
        <n v="41001"/>
        <n v="97737"/>
        <n v="12970"/>
        <n v="28766"/>
        <n v="92048"/>
        <n v="62337"/>
        <n v="72454"/>
        <n v="55334"/>
        <n v="90108"/>
        <n v="34837"/>
        <n v="22956"/>
        <n v="59716"/>
        <n v="17547"/>
        <n v="85195"/>
        <n v="78178"/>
        <n v="85374"/>
        <n v="6367"/>
        <n v="44827"/>
        <n v="16857"/>
        <n v="37952"/>
        <n v="40676"/>
        <n v="39900"/>
        <n v="94298"/>
        <n v="51119"/>
        <n v="56457"/>
        <n v="66973"/>
        <n v="90207"/>
        <n v="2869"/>
        <n v="20459"/>
        <n v="1709"/>
        <n v="85736"/>
        <n v="26859"/>
        <n v="29201"/>
        <n v="81982"/>
        <n v="36375"/>
        <n v="21166"/>
        <n v="60506"/>
        <n v="21503"/>
        <n v="26141"/>
        <n v="54037"/>
        <n v="2332"/>
        <n v="29794"/>
        <n v="34411"/>
        <n v="92715"/>
        <n v="61419"/>
        <n v="19220"/>
        <n v="44444"/>
        <n v="83664"/>
        <n v="75262"/>
        <n v="96276"/>
        <n v="97060"/>
        <n v="69904"/>
        <n v="81236"/>
        <n v="87421"/>
        <n v="32037"/>
        <n v="4412"/>
        <n v="93741"/>
        <n v="81221"/>
        <n v="88378"/>
        <n v="89124"/>
        <n v="60414"/>
        <n v="44184"/>
        <n v="64264"/>
        <n v="90067"/>
        <n v="97140"/>
        <n v="97479"/>
        <n v="75763"/>
        <n v="15326"/>
        <n v="72681"/>
        <n v="12749"/>
        <n v="78690"/>
        <n v="14156"/>
        <n v="96861"/>
        <n v="96005"/>
        <n v="94049"/>
        <n v="61364"/>
        <n v="52518"/>
        <n v="81986"/>
        <n v="58350"/>
        <n v="4738"/>
        <n v="40191"/>
        <n v="73285"/>
        <n v="1530"/>
        <n v="91753"/>
        <n v="82004"/>
        <n v="60478"/>
        <n v="84294"/>
        <n v="44030"/>
        <n v="86360"/>
        <n v="78017"/>
        <n v="76232"/>
        <n v="87961"/>
        <n v="52126"/>
        <n v="37555"/>
        <n v="51226"/>
        <n v="2249"/>
        <n v="17319"/>
        <n v="49863"/>
        <n v="97399"/>
        <n v="2157"/>
        <n v="97562"/>
        <n v="72822"/>
        <n v="34632"/>
        <n v="15324"/>
        <n v="12995"/>
        <n v="3828"/>
        <n v="47140"/>
        <n v="18321"/>
        <n v="43771"/>
        <n v="44338"/>
        <n v="9768"/>
        <n v="7269"/>
        <n v="78337"/>
        <n v="42591"/>
        <n v="48251"/>
        <n v="98889"/>
        <n v="12461"/>
        <n v="46022"/>
        <n v="37680"/>
        <n v="95124"/>
        <n v="17070"/>
        <n v="59906"/>
        <n v="71566"/>
        <n v="19724"/>
        <n v="48503"/>
        <n v="46687"/>
        <n v="2935"/>
        <n v="63282"/>
        <n v="50879"/>
        <n v="2465"/>
        <n v="64282"/>
        <n v="68427"/>
        <n v="80174"/>
        <n v="25593"/>
        <n v="35190"/>
        <n v="26772"/>
        <n v="91068"/>
        <n v="28026"/>
        <n v="89145"/>
        <n v="94323"/>
        <n v="13049"/>
        <n v="50269"/>
        <n v="84337"/>
        <n v="34742"/>
        <n v="50339"/>
        <n v="37018"/>
        <n v="51668"/>
        <n v="33282"/>
        <n v="95654"/>
        <n v="81232"/>
        <n v="12830"/>
        <n v="60318"/>
        <n v="82348"/>
        <n v="46950"/>
        <n v="96902"/>
        <n v="67521"/>
        <n v="41441"/>
        <n v="3730"/>
        <n v="21017"/>
        <n v="83885"/>
        <n v="20516"/>
        <n v="6871"/>
        <n v="64797"/>
        <n v="73308"/>
        <n v="14675"/>
        <n v="50086"/>
        <n v="64503"/>
        <n v="39802"/>
        <n v="10848"/>
        <n v="70932"/>
        <n v="55475"/>
        <n v="63472"/>
        <n v="22850"/>
        <n v="3736"/>
        <n v="62787"/>
        <n v="55239"/>
        <n v="35838"/>
        <n v="32039"/>
        <n v="54815"/>
        <n v="8099"/>
        <n v="29968"/>
        <n v="52197"/>
        <n v="30995"/>
        <n v="60135"/>
        <n v="10206"/>
        <n v="66164"/>
        <n v="14920"/>
        <n v="5689"/>
        <n v="88089"/>
        <n v="16308"/>
        <n v="42451"/>
        <n v="16467"/>
        <n v="35435"/>
        <n v="83250"/>
        <n v="41462"/>
        <n v="84836"/>
        <n v="2965"/>
        <n v="36327"/>
        <n v="51425"/>
        <n v="40712"/>
        <n v="99261"/>
        <n v="87408"/>
        <n v="11678"/>
        <n v="51798"/>
        <n v="19027"/>
        <n v="98639"/>
        <n v="51973"/>
        <n v="45870"/>
        <n v="46611"/>
        <n v="5750"/>
        <n v="28215"/>
        <n v="51571"/>
        <n v="48130"/>
        <n v="29773"/>
        <n v="94836"/>
        <n v="15303"/>
        <n v="11388"/>
        <n v="18145"/>
        <n v="25379"/>
        <n v="35274"/>
        <n v="68257"/>
        <n v="52723"/>
        <n v="68927"/>
        <n v="93879"/>
        <n v="10997"/>
        <n v="73011"/>
        <n v="38475"/>
        <n v="90963"/>
        <n v="69374"/>
        <n v="87056"/>
        <n v="66231"/>
        <n v="98347"/>
        <n v="40205"/>
        <n v="76458"/>
        <n v="43757"/>
        <n v="79642"/>
        <n v="36468"/>
        <n v="68765"/>
        <n v="1153"/>
        <n v="70529"/>
        <n v="1668"/>
        <n v="9147"/>
        <n v="99389"/>
        <n v="32102"/>
        <n v="81618"/>
        <n v="76879"/>
        <n v="27147"/>
        <n v="34730"/>
        <n v="1952"/>
        <n v="27973"/>
        <n v="69106"/>
        <n v="29858"/>
        <n v="58212"/>
        <n v="92768"/>
        <n v="38304"/>
        <n v="46786"/>
        <n v="42473"/>
        <n v="70093"/>
        <n v="63288"/>
        <n v="8910"/>
        <n v="71615"/>
        <n v="71741"/>
        <n v="20344"/>
        <n v="10673"/>
        <n v="89601"/>
        <n v="46608"/>
        <n v="54886"/>
        <n v="84585"/>
        <n v="32059"/>
        <n v="52795"/>
        <n v="90584"/>
        <n v="17031"/>
        <n v="15101"/>
        <n v="49026"/>
        <n v="41799"/>
        <n v="26703"/>
        <n v="6144"/>
        <n v="39851"/>
        <n v="90032"/>
        <n v="22832"/>
        <n v="83949"/>
        <n v="86477"/>
        <n v="66289"/>
        <n v="88515"/>
        <n v="74598"/>
        <n v="86110"/>
        <n v="41119"/>
        <n v="72882"/>
        <n v="32293"/>
        <n v="24753"/>
        <n v="22048"/>
        <n v="5721"/>
        <n v="10253"/>
        <n v="35383"/>
        <n v="46871"/>
        <n v="75233"/>
        <n v="77706"/>
        <n v="75239"/>
        <n v="14665"/>
        <n v="33101"/>
        <n v="91951"/>
        <n v="37768"/>
        <n v="80936"/>
        <n v="52342"/>
        <n v="98622"/>
        <n v="1390"/>
        <n v="53279"/>
        <n v="88242"/>
        <n v="8606"/>
        <n v="14714"/>
        <n v="23128"/>
        <n v="26188"/>
        <n v="22168"/>
        <n v="98409"/>
        <n v="75934"/>
        <n v="34714"/>
        <n v="51548"/>
        <n v="72141"/>
        <n v="42764"/>
        <n v="28376"/>
        <n v="95412"/>
        <n v="78118"/>
        <n v="28863"/>
        <n v="22612"/>
        <n v="44334"/>
        <n v="1980"/>
        <n v="70205"/>
        <n v="4117"/>
        <n v="47298"/>
        <n v="42927"/>
        <n v="65263"/>
        <n v="83514"/>
        <n v="64881"/>
        <n v="98747"/>
        <n v="27450"/>
        <n v="68470"/>
        <n v="8120"/>
        <n v="82547"/>
        <n v="80168"/>
        <n v="52813"/>
        <n v="3174"/>
        <n v="11494"/>
        <n v="36251"/>
        <n v="75761"/>
        <n v="30894"/>
        <n v="65410"/>
        <n v="14560"/>
        <n v="18823"/>
        <n v="9370"/>
        <n v="72315"/>
        <n v="94986"/>
        <n v="64508"/>
        <n v="89338"/>
        <n v="53236"/>
        <n v="93132"/>
        <n v="84130"/>
        <n v="31860"/>
        <n v="49860"/>
        <n v="61762"/>
        <n v="77248"/>
        <n v="86053"/>
        <n v="27493"/>
        <n v="90800"/>
        <n v="8014"/>
        <n v="82363"/>
        <n v="49946"/>
        <n v="71806"/>
        <n v="88844"/>
        <n v="86639"/>
        <n v="19244"/>
        <n v="19659"/>
        <n v="91194"/>
        <n v="93944"/>
        <n v="35860"/>
        <n v="95724"/>
        <n v="2654"/>
        <n v="44253"/>
        <n v="25315"/>
        <n v="34847"/>
        <n v="88368"/>
        <n v="33395"/>
        <n v="59308"/>
        <n v="39647"/>
        <n v="36326"/>
        <n v="50640"/>
        <n v="77669"/>
        <n v="75163"/>
        <n v="98312"/>
        <n v="30558"/>
        <n v="94367"/>
        <n v="22034"/>
        <n v="77539"/>
        <n v="71852"/>
        <n v="40570"/>
        <n v="45900"/>
        <n v="60045"/>
        <n v="71075"/>
        <n v="3109"/>
        <n v="27843"/>
        <n v="55099"/>
        <n v="14291"/>
        <n v="8562"/>
        <n v="15174"/>
        <n v="75395"/>
        <n v="68740"/>
        <n v="1713"/>
        <n v="56071"/>
        <n v="47781"/>
        <n v="22458"/>
        <n v="63782"/>
        <n v="13495"/>
        <n v="69896"/>
        <n v="83181"/>
        <n v="64440"/>
        <n v="50074"/>
        <n v="24198"/>
        <n v="70476"/>
        <n v="44652"/>
        <n v="44707"/>
        <n v="71744"/>
        <n v="1190"/>
        <n v="67365"/>
        <n v="78289"/>
        <n v="86919"/>
        <n v="38866"/>
        <n v="8474"/>
        <n v="25493"/>
        <n v="27229"/>
        <n v="28971"/>
        <n v="1907"/>
        <n v="1197"/>
        <n v="62775"/>
        <n v="58377"/>
        <n v="34509"/>
        <n v="63001"/>
        <n v="18112"/>
        <n v="93938"/>
        <n v="82074"/>
        <n v="7449"/>
        <n v="59772"/>
        <n v="8079"/>
        <n v="43204"/>
        <n v="2538"/>
        <n v="25884"/>
        <n v="46609"/>
        <n v="29868"/>
        <n v="57742"/>
        <n v="63662"/>
        <n v="67489"/>
        <n v="67379"/>
        <n v="24662"/>
        <n v="79029"/>
        <n v="52016"/>
        <n v="2083"/>
        <n v="87334"/>
        <n v="78229"/>
        <n v="46129"/>
        <n v="84237"/>
        <n v="53264"/>
        <n v="67733"/>
        <n v="66999"/>
        <n v="88523"/>
        <n v="83451"/>
        <n v="14249"/>
        <n v="94377"/>
        <n v="71966"/>
        <n v="39145"/>
        <n v="35615"/>
        <n v="9315"/>
        <n v="92922"/>
        <n v="7212"/>
        <n v="88045"/>
        <n v="21483"/>
        <n v="25171"/>
        <n v="98263"/>
        <n v="62603"/>
        <n v="94610"/>
        <n v="34883"/>
        <n v="41184"/>
        <n v="96320"/>
        <n v="96821"/>
        <n v="47731"/>
        <n v="94524"/>
        <n v="48970"/>
        <n v="68024"/>
        <n v="82973"/>
        <n v="58262"/>
        <n v="74504"/>
        <n v="76568"/>
        <n v="80287"/>
        <n v="14901"/>
        <n v="85350"/>
        <n v="46567"/>
        <n v="51215"/>
        <n v="50490"/>
        <n v="3614"/>
        <n v="5714"/>
        <n v="30908"/>
        <n v="8721"/>
        <n v="88859"/>
        <n v="71182"/>
        <n v="41092"/>
        <n v="44521"/>
        <n v="56397"/>
        <n v="50557"/>
        <n v="76000"/>
        <n v="60923"/>
        <n v="61031"/>
        <n v="10648"/>
        <n v="80595"/>
        <n v="67428"/>
        <n v="88112"/>
        <n v="34211"/>
        <n v="27516"/>
        <n v="57962"/>
        <n v="74026"/>
        <n v="45257"/>
        <n v="15720"/>
        <n v="19516"/>
        <n v="43791"/>
        <n v="69502"/>
        <n v="75212"/>
        <n v="52253"/>
        <n v="21867"/>
        <n v="62715"/>
        <n v="30264"/>
        <n v="61251"/>
        <n v="74081"/>
        <n v="97776"/>
        <n v="95490"/>
        <n v="92092"/>
        <n v="44377"/>
        <n v="86581"/>
        <n v="70412"/>
        <n v="51341"/>
        <n v="45864"/>
        <n v="70284"/>
        <n v="51898"/>
        <n v="3798"/>
        <n v="27395"/>
        <n v="80061"/>
        <n v="81765"/>
        <n v="45705"/>
        <n v="77806"/>
        <n v="72341"/>
        <n v="10561"/>
        <n v="75332"/>
        <n v="99236"/>
        <n v="56759"/>
        <n v="94690"/>
        <n v="41808"/>
        <n v="91144"/>
        <n v="38430"/>
        <n v="58894"/>
        <n v="93752"/>
        <n v="94717"/>
        <n v="23474"/>
        <n v="90465"/>
        <n v="53555"/>
        <n v="31730"/>
        <n v="40474"/>
        <n v="65405"/>
        <n v="23338"/>
        <n v="45400"/>
        <n v="14779"/>
        <n v="37376"/>
        <n v="91882"/>
        <n v="59868"/>
        <n v="28240"/>
        <n v="92001"/>
        <n v="27990"/>
        <n v="49014"/>
        <n v="15872"/>
        <n v="84381"/>
        <n v="13841"/>
        <n v="69456"/>
        <n v="44380"/>
        <n v="3399"/>
        <n v="75093"/>
        <n v="90593"/>
        <n v="44816"/>
        <n v="9390"/>
        <n v="99967"/>
        <n v="67536"/>
        <n v="85261"/>
        <n v="48988"/>
        <n v="91625"/>
        <n v="64543"/>
        <n v="70295"/>
        <n v="71048"/>
        <n v="87009"/>
        <n v="46761"/>
        <n v="78565"/>
        <n v="85762"/>
        <n v="75891"/>
        <n v="21139"/>
        <n v="16248"/>
        <n v="15988"/>
        <n v="96026"/>
        <n v="37107"/>
        <n v="7955"/>
        <n v="77494"/>
        <n v="15415"/>
        <n v="21572"/>
        <n v="75396"/>
        <n v="3098"/>
        <n v="96560"/>
        <n v="67977"/>
        <n v="70542"/>
        <n v="90934"/>
        <n v="83582"/>
        <n v="26074"/>
        <n v="19832"/>
        <n v="5191"/>
        <n v="65893"/>
        <n v="84628"/>
        <n v="39017"/>
        <n v="91841"/>
        <n v="10663"/>
        <n v="39138"/>
        <n v="68158"/>
        <n v="24456"/>
        <n v="37153"/>
        <n v="69493"/>
        <n v="64246"/>
        <n v="73667"/>
        <n v="29257"/>
        <n v="53304"/>
        <n v="96506"/>
        <n v="11306"/>
        <n v="21343"/>
        <n v="25737"/>
        <n v="19386"/>
        <n v="58979"/>
        <n v="66946"/>
        <n v="49332"/>
        <n v="46507"/>
        <n v="24408"/>
        <n v="31117"/>
        <n v="98339"/>
        <n v="37737"/>
        <n v="48926"/>
        <n v="90711"/>
        <n v="9029"/>
        <n v="4686"/>
        <n v="14052"/>
        <n v="33013"/>
        <n v="33332"/>
        <n v="40171"/>
        <n v="79967"/>
        <n v="71864"/>
        <n v="47831"/>
        <n v="3227"/>
        <n v="43713"/>
        <n v="68729"/>
        <n v="90509"/>
        <n v="51791"/>
        <n v="40108"/>
        <n v="69794"/>
        <n v="11326"/>
        <n v="50110"/>
        <n v="9223"/>
        <n v="47482"/>
        <n v="26276"/>
        <n v="66400"/>
        <n v="28840"/>
        <n v="63425"/>
        <n v="34445"/>
        <n v="68623"/>
        <n v="1450"/>
        <n v="3592"/>
        <n v="10232"/>
        <n v="84937"/>
        <n v="82302"/>
        <n v="99317"/>
        <n v="16452"/>
        <n v="27513"/>
        <n v="68982"/>
        <n v="37697"/>
        <n v="84167"/>
        <n v="85457"/>
        <n v="39157"/>
        <n v="45010"/>
        <n v="71553"/>
        <n v="99293"/>
        <n v="80449"/>
        <n v="24461"/>
        <n v="26858"/>
        <n v="41655"/>
        <n v="27146"/>
        <n v="34431"/>
        <n v="31676"/>
        <n v="96416"/>
        <n v="62757"/>
        <n v="59965"/>
        <n v="32245"/>
        <n v="14867"/>
        <n v="82635"/>
        <n v="99390"/>
        <n v="32114"/>
        <n v="99716"/>
        <n v="7894"/>
        <n v="25207"/>
        <n v="85859"/>
        <n v="55856"/>
        <n v="86753"/>
        <n v="24318"/>
        <n v="59928"/>
        <n v="28738"/>
        <n v="80896"/>
        <n v="55610"/>
        <n v="99576"/>
        <n v="58156"/>
        <n v="2958"/>
        <n v="8553"/>
        <n v="52821"/>
        <n v="47245"/>
        <n v="14254"/>
        <n v="62819"/>
        <n v="15147"/>
        <n v="88783"/>
        <n v="26037"/>
        <n v="50998"/>
        <n v="20630"/>
        <n v="30938"/>
        <n v="37323"/>
        <n v="28982"/>
        <n v="72103"/>
        <n v="85169"/>
        <n v="9549"/>
        <n v="74622"/>
        <n v="88441"/>
        <n v="12832"/>
        <n v="88494"/>
        <n v="75812"/>
        <n v="90701"/>
        <n v="52485"/>
        <n v="8885"/>
        <n v="41715"/>
        <n v="64304"/>
        <n v="93136"/>
        <n v="93285"/>
        <n v="59671"/>
        <n v="40699"/>
        <n v="27603"/>
        <n v="44547"/>
        <n v="95567"/>
        <n v="72989"/>
        <n v="85113"/>
        <n v="34420"/>
        <n v="92746"/>
        <n v="24942"/>
        <n v="18482"/>
        <n v="97826"/>
        <n v="75893"/>
        <n v="69476"/>
        <n v="63503"/>
        <n v="91677"/>
        <n v="98307"/>
        <n v="45326"/>
        <n v="85564"/>
        <n v="21448"/>
        <n v="35186"/>
        <n v="20944"/>
        <n v="28830"/>
        <n v="87429"/>
        <n v="68739"/>
        <n v="93590"/>
        <n v="46094"/>
        <n v="12198"/>
        <n v="72821"/>
        <n v="49907"/>
        <n v="1227"/>
        <n v="94914"/>
        <n v="17572"/>
        <n v="30344"/>
        <n v="13905"/>
        <n v="93411"/>
        <n v="57176"/>
        <n v="47894"/>
        <n v="56432"/>
        <n v="8216"/>
        <n v="23177"/>
        <n v="80464"/>
        <n v="44467"/>
        <n v="22039"/>
        <n v="86179"/>
        <n v="4811"/>
        <n v="33462"/>
        <n v="21450"/>
        <n v="44772"/>
        <n v="13791"/>
        <n v="13442"/>
        <n v="58683"/>
        <n v="81372"/>
        <n v="55322"/>
        <n v="19280"/>
        <n v="17989"/>
        <n v="95463"/>
        <n v="29144"/>
        <n v="29916"/>
        <n v="2846"/>
        <n v="49185"/>
        <n v="56412"/>
        <n v="94102"/>
        <n v="50127"/>
        <n v="29309"/>
        <n v="31302"/>
        <n v="43010"/>
        <n v="67655"/>
        <n v="19877"/>
        <n v="11528"/>
        <n v="13169"/>
        <n v="84014"/>
        <n v="25195"/>
        <n v="21010"/>
        <n v="12215"/>
        <n v="50714"/>
        <n v="31114"/>
        <n v="76208"/>
        <n v="36684"/>
        <n v="20916"/>
        <n v="39442"/>
        <n v="73558"/>
        <n v="88629"/>
        <n v="61046"/>
        <n v="6373"/>
        <n v="25183"/>
        <n v="50181"/>
        <n v="76131"/>
        <n v="93339"/>
        <n v="76584"/>
        <n v="23419"/>
        <n v="37559"/>
        <n v="71893"/>
        <n v="60234"/>
        <n v="1770"/>
        <n v="65051"/>
        <n v="75336"/>
        <n v="24954"/>
        <n v="50803"/>
        <n v="41085"/>
        <n v="97251"/>
        <n v="63221"/>
        <n v="90700"/>
        <n v="46966"/>
        <n v="69536"/>
        <n v="70514"/>
        <n v="4255"/>
        <n v="97192"/>
        <n v="65264"/>
        <n v="80255"/>
        <n v="14509"/>
        <n v="98962"/>
        <n v="33442"/>
        <n v="71049"/>
        <n v="23713"/>
        <n v="83253"/>
        <n v="15733"/>
        <n v="44667"/>
        <n v="85123"/>
        <n v="38263"/>
        <n v="72153"/>
        <n v="75028"/>
        <n v="12185"/>
        <n v="51391"/>
        <n v="13794"/>
        <n v="28760"/>
        <n v="20206"/>
        <n v="69981"/>
        <n v="85023"/>
        <n v="17769"/>
        <n v="60097"/>
        <n v="10616"/>
        <n v="3601"/>
        <n v="32065"/>
        <n v="26075"/>
        <n v="61268"/>
        <n v="14109"/>
        <n v="83360"/>
        <n v="29537"/>
        <n v="79405"/>
        <n v="82773"/>
        <n v="55912"/>
        <n v="97973"/>
        <n v="29081"/>
        <n v="41694"/>
        <n v="84719"/>
        <n v="94723"/>
        <n v="76265"/>
        <n v="48647"/>
        <n v="7603"/>
        <n v="90532"/>
        <n v="34254"/>
        <n v="42649"/>
        <n v="50786"/>
        <n v="44810"/>
        <n v="76518"/>
        <n v="77056"/>
        <n v="36713"/>
        <n v="9940"/>
        <n v="27414"/>
        <n v="28192"/>
        <n v="8622"/>
        <n v="31489"/>
        <n v="51712"/>
        <n v="58575"/>
        <n v="95493"/>
        <n v="72734"/>
        <n v="6152"/>
        <n v="44428"/>
        <n v="94682"/>
        <n v="13655"/>
        <n v="64563"/>
        <n v="43934"/>
        <n v="15979"/>
        <n v="72386"/>
        <n v="27402"/>
        <n v="23386"/>
        <n v="90027"/>
        <n v="26643"/>
        <n v="98137"/>
        <n v="7662"/>
        <n v="70406"/>
        <n v="91089"/>
        <n v="49083"/>
        <n v="47564"/>
        <n v="85030"/>
        <n v="62467"/>
        <n v="76256"/>
        <n v="19644"/>
        <n v="23976"/>
        <n v="62923"/>
        <n v="55249"/>
        <n v="84434"/>
        <n v="12939"/>
        <n v="38604"/>
        <n v="65203"/>
        <n v="92205"/>
        <n v="93407"/>
        <n v="47792"/>
        <n v="40888"/>
        <n v="48447"/>
        <n v="2285"/>
        <n v="7666"/>
        <n v="79533"/>
        <n v="92045"/>
        <n v="65071"/>
        <n v="53713"/>
        <n v="96662"/>
        <n v="52975"/>
        <n v="25956"/>
        <n v="13649"/>
        <n v="94930"/>
        <n v="73279"/>
        <n v="66084"/>
        <n v="10083"/>
        <n v="3888"/>
        <n v="37272"/>
        <n v="75295"/>
        <n v="87741"/>
        <n v="84287"/>
        <n v="92216"/>
        <n v="94063"/>
        <n v="77007"/>
        <n v="2759"/>
        <n v="40103"/>
        <n v="32737"/>
        <n v="32185"/>
        <n v="17819"/>
        <n v="65191"/>
        <n v="6648"/>
        <n v="74889"/>
        <n v="95671"/>
        <n v="4211"/>
        <n v="59701"/>
        <n v="79867"/>
        <n v="23656"/>
        <n v="31521"/>
        <n v="32898"/>
        <n v="47621"/>
        <n v="76478"/>
        <n v="91590"/>
        <n v="28468"/>
        <n v="54835"/>
        <n v="94809"/>
        <n v="61954"/>
        <n v="72504"/>
        <n v="2223"/>
        <n v="95394"/>
        <n v="58963"/>
        <n v="75486"/>
        <n v="92898"/>
        <n v="9958"/>
        <n v="22973"/>
        <n v="13992"/>
        <n v="31307"/>
        <n v="30086"/>
        <n v="95659"/>
        <n v="1694"/>
        <n v="67459"/>
        <n v="5277"/>
        <n v="30782"/>
        <n v="2712"/>
        <n v="2668"/>
        <n v="80591"/>
        <n v="9336"/>
        <n v="95276"/>
        <n v="92867"/>
        <n v="1332"/>
        <n v="65016"/>
        <n v="98774"/>
        <n v="37937"/>
        <n v="4414"/>
        <n v="47505"/>
        <n v="15242"/>
        <n v="57753"/>
        <n v="71090"/>
        <n v="1563"/>
        <n v="76388"/>
        <n v="91033"/>
        <n v="15641"/>
        <n v="79475"/>
        <n v="49484"/>
        <n v="44904"/>
        <n v="43997"/>
        <n v="18739"/>
        <n v="60261"/>
        <n v="33543"/>
        <n v="74575"/>
        <n v="32371"/>
        <n v="52947"/>
        <n v="30540"/>
        <n v="93516"/>
        <n v="82923"/>
        <n v="56248"/>
        <n v="63463"/>
        <n v="48291"/>
        <n v="5111"/>
        <n v="22730"/>
        <n v="85363"/>
        <n v="94342"/>
        <n v="58173"/>
        <n v="77028"/>
        <n v="50453"/>
        <n v="35888"/>
        <n v="98404"/>
        <n v="9789"/>
        <n v="17339"/>
        <n v="37045"/>
        <n v="20894"/>
        <n v="4314"/>
        <n v="87977"/>
        <n v="5895"/>
        <n v="4884"/>
        <n v="23287"/>
        <n v="47829"/>
        <n v="74571"/>
        <n v="8763"/>
        <n v="88578"/>
        <n v="15595"/>
        <n v="21711"/>
        <n v="10204"/>
        <n v="93169"/>
        <n v="95720"/>
        <n v="69015"/>
        <n v="76248"/>
        <n v="87702"/>
        <n v="34090"/>
        <n v="57429"/>
        <n v="90945"/>
        <n v="4622"/>
        <n v="92191"/>
        <n v="52548"/>
        <n v="17762"/>
        <n v="54524"/>
        <n v="69024"/>
        <n v="77014"/>
        <n v="87350"/>
        <n v="52750"/>
        <n v="98500"/>
        <n v="64270"/>
        <n v="44759"/>
        <n v="11917"/>
        <n v="71327"/>
        <n v="73407"/>
        <n v="22987"/>
        <n v="12029"/>
        <n v="62003"/>
        <n v="16992"/>
        <n v="61461"/>
        <n v="7472"/>
        <n v="33478"/>
        <n v="24144"/>
        <n v="34177"/>
        <n v="18724"/>
        <n v="45692"/>
        <n v="46031"/>
        <n v="56017"/>
        <n v="35622"/>
        <n v="37436"/>
        <n v="22459"/>
        <n v="74662"/>
        <n v="42556"/>
        <n v="60639"/>
        <n v="37802"/>
        <n v="21533"/>
        <n v="85163"/>
        <n v="70382"/>
        <n v="56857"/>
        <n v="28675"/>
        <n v="31323"/>
        <n v="76757"/>
        <n v="48109"/>
        <n v="24550"/>
        <n v="27173"/>
        <n v="55861"/>
        <n v="74044"/>
        <n v="33888"/>
        <n v="91028"/>
        <n v="12136"/>
        <n v="5033"/>
        <n v="1833"/>
        <n v="75715"/>
        <n v="53026"/>
        <n v="6334"/>
        <n v="18982"/>
        <n v="12166"/>
        <n v="98103"/>
        <n v="66967"/>
        <n v="10792"/>
        <n v="17944"/>
        <n v="23886"/>
        <n v="82754"/>
        <n v="40944"/>
        <n v="2497"/>
        <n v="75220"/>
        <n v="44384"/>
        <n v="92114"/>
        <n v="84351"/>
        <n v="43772"/>
        <n v="84311"/>
        <n v="96459"/>
        <n v="97411"/>
        <n v="89379"/>
        <n v="19431"/>
        <n v="25361"/>
        <n v="83402"/>
        <n v="66595"/>
        <n v="39758"/>
        <n v="35398"/>
        <n v="42376"/>
        <n v="29961"/>
        <n v="32729"/>
        <n v="89997"/>
        <n v="67112"/>
        <n v="55985"/>
        <n v="12973"/>
        <n v="17400"/>
        <n v="99377"/>
        <n v="83832"/>
        <n v="36715"/>
        <n v="79368"/>
        <n v="29068"/>
        <n v="99844"/>
        <n v="14505"/>
        <n v="18335"/>
        <n v="23382"/>
        <n v="97535"/>
        <n v="59600"/>
        <n v="73349"/>
        <n v="94907"/>
        <n v="68043"/>
        <n v="66253"/>
        <n v="35641"/>
        <n v="15468"/>
        <n v="47384"/>
        <n v="19486"/>
        <n v="48175"/>
        <n v="58222"/>
        <n v="68849"/>
        <n v="66938"/>
        <n v="9845"/>
        <n v="80879"/>
        <n v="97579"/>
        <n v="94582"/>
        <n v="64353"/>
        <n v="45974"/>
        <n v="41658"/>
        <n v="20200"/>
        <n v="94613"/>
        <n v="25671"/>
        <n v="81839"/>
        <n v="96640"/>
        <n v="94703"/>
        <n v="92811"/>
        <n v="59629"/>
        <n v="70891"/>
        <n v="76924"/>
        <n v="29364"/>
        <n v="35866"/>
        <n v="78822"/>
        <n v="25439"/>
        <n v="93642"/>
        <n v="34579"/>
        <n v="97647"/>
        <n v="95710"/>
        <n v="71509"/>
        <n v="12712"/>
        <n v="93722"/>
        <n v="40278"/>
        <n v="5615"/>
        <n v="57909"/>
        <n v="40450"/>
        <n v="57526"/>
        <n v="47602"/>
        <n v="65583"/>
        <n v="51655"/>
        <n v="16968"/>
        <n v="93863"/>
        <n v="85541"/>
        <n v="44868"/>
        <n v="75746"/>
        <n v="35421"/>
        <n v="40026"/>
        <n v="94216"/>
        <n v="76981"/>
        <n v="95299"/>
        <n v="2711"/>
        <n v="14615"/>
        <n v="64990"/>
        <n v="87306"/>
        <n v="69103"/>
        <n v="49564"/>
        <n v="95808"/>
        <n v="47419"/>
        <n v="59688"/>
        <n v="74979"/>
        <n v="46147"/>
        <n v="32560"/>
        <n v="95036"/>
        <n v="77197"/>
        <n v="94500"/>
        <n v="67305"/>
        <n v="40478"/>
        <n v="3080"/>
        <n v="74704"/>
        <n v="77480"/>
        <n v="41164"/>
        <n v="92058"/>
        <n v="72690"/>
        <n v="60194"/>
        <n v="46537"/>
        <n v="5785"/>
        <n v="93233"/>
        <n v="26993"/>
        <n v="24736"/>
        <n v="61996"/>
        <n v="79675"/>
        <n v="67677"/>
        <n v="75033"/>
        <n v="77015"/>
        <n v="23059"/>
        <n v="81635"/>
        <n v="34943"/>
        <n v="58799"/>
        <n v="59776"/>
        <n v="29132"/>
        <n v="27262"/>
        <n v="88079"/>
        <n v="96359"/>
        <n v="71468"/>
        <n v="56025"/>
        <n v="59123"/>
        <n v="87472"/>
        <n v="2159"/>
        <n v="19271"/>
        <n v="39504"/>
        <n v="94321"/>
        <n v="41508"/>
        <n v="22306"/>
        <n v="74060"/>
        <n v="78025"/>
        <n v="49960"/>
        <n v="59889"/>
        <n v="84604"/>
        <n v="10236"/>
        <n v="69522"/>
        <n v="23626"/>
        <n v="96090"/>
        <n v="37907"/>
        <n v="96882"/>
        <n v="55176"/>
        <n v="73433"/>
        <n v="82823"/>
        <n v="72240"/>
        <n v="89311"/>
        <n v="8632"/>
        <n v="41196"/>
        <n v="25721"/>
        <n v="30789"/>
        <n v="57290"/>
        <n v="92175"/>
        <n v="78214"/>
        <n v="9693"/>
        <n v="79538"/>
        <n v="45774"/>
        <n v="74865"/>
        <n v="29694"/>
        <n v="94547"/>
        <n v="71390"/>
        <n v="67360"/>
        <n v="53829"/>
        <n v="8756"/>
        <n v="8560"/>
        <n v="12863"/>
        <n v="80692"/>
        <n v="50973"/>
        <n v="52920"/>
        <n v="66223"/>
        <n v="84221"/>
        <n v="53638"/>
        <n v="50795"/>
        <n v="3239"/>
        <n v="22419"/>
        <n v="80409"/>
        <n v="17251"/>
        <n v="79838"/>
        <n v="34323"/>
        <n v="82426"/>
        <n v="72358"/>
        <n v="91648"/>
        <n v="68803"/>
        <n v="48876"/>
        <n v="18749"/>
        <n v="65951"/>
        <n v="1289"/>
        <n v="22091"/>
        <n v="70430"/>
        <n v="21623"/>
        <n v="70257"/>
        <n v="24016"/>
        <n v="85615"/>
        <n v="21396"/>
        <n v="36076"/>
        <n v="38119"/>
        <n v="31894"/>
        <n v="85561"/>
        <n v="28999"/>
        <n v="22812"/>
        <n v="26204"/>
        <n v="59040"/>
        <n v="75865"/>
        <n v="52918"/>
        <n v="18371"/>
        <n v="52614"/>
        <n v="68533"/>
        <n v="41683"/>
        <n v="23961"/>
        <n v="29668"/>
        <n v="98256"/>
        <n v="1045"/>
        <n v="15235"/>
        <n v="9893"/>
        <n v="83323"/>
        <n v="36802"/>
        <n v="33530"/>
        <n v="57682"/>
        <n v="14617"/>
        <n v="15728"/>
        <n v="57125"/>
        <n v="12196"/>
        <n v="20500"/>
        <n v="14473"/>
        <n v="64609"/>
        <n v="59301"/>
        <n v="57852"/>
        <n v="36367"/>
        <n v="64124"/>
        <n v="2236"/>
        <n v="36252"/>
        <n v="33496"/>
        <n v="37473"/>
        <n v="96248"/>
        <n v="18280"/>
        <n v="69785"/>
        <n v="83571"/>
        <n v="88668"/>
        <n v="90418"/>
        <n v="96192"/>
        <n v="60990"/>
        <n v="87928"/>
        <n v="28524"/>
        <n v="89002"/>
        <n v="40446"/>
        <n v="60248"/>
        <n v="49971"/>
        <n v="14293"/>
        <n v="83085"/>
        <n v="66565"/>
        <n v="58453"/>
        <n v="22979"/>
        <n v="40007"/>
        <n v="87479"/>
        <n v="35203"/>
        <n v="34697"/>
        <n v="14258"/>
        <n v="3483"/>
        <n v="89799"/>
        <n v="33597"/>
        <n v="52427"/>
        <n v="27653"/>
        <n v="17451"/>
        <n v="68891"/>
        <n v="42840"/>
        <n v="81810"/>
        <n v="51610"/>
        <n v="2257"/>
        <n v="20330"/>
        <n v="71756"/>
        <n v="69087"/>
        <n v="85077"/>
        <n v="26092"/>
        <n v="93326"/>
        <n v="7868"/>
        <n v="10802"/>
        <n v="56388"/>
        <n v="54412"/>
        <n v="79422"/>
        <n v="39142"/>
        <n v="44561"/>
        <n v="34610"/>
        <n v="79531"/>
        <n v="99340"/>
        <n v="76838"/>
        <n v="1932"/>
        <n v="17536"/>
        <n v="16391"/>
        <n v="45960"/>
        <n v="37419"/>
        <n v="71239"/>
        <n v="43620"/>
        <n v="34889"/>
        <n v="62864"/>
        <n v="56799"/>
        <n v="41626"/>
        <n v="22018"/>
        <n v="34671"/>
        <n v="32946"/>
        <n v="17695"/>
        <n v="23180"/>
        <n v="92890"/>
        <n v="37736"/>
        <n v="47294"/>
        <n v="97545"/>
        <n v="79885"/>
        <n v="31904"/>
        <n v="91351"/>
        <n v="39457"/>
        <n v="55247"/>
        <n v="57324"/>
        <n v="24419"/>
        <n v="86272"/>
        <n v="15620"/>
        <n v="60499"/>
        <n v="91230"/>
        <n v="99044"/>
        <n v="98487"/>
        <n v="33095"/>
        <n v="20684"/>
        <n v="3229"/>
        <n v="86395"/>
        <n v="19179"/>
        <n v="90811"/>
        <n v="88236"/>
        <n v="9703"/>
        <n v="35802"/>
        <n v="87223"/>
        <n v="28386"/>
        <n v="75521"/>
        <n v="86994"/>
        <n v="67371"/>
        <n v="56612"/>
        <n v="56240"/>
        <n v="47303"/>
        <n v="83939"/>
        <n v="1276"/>
        <n v="43837"/>
        <n v="52637"/>
        <n v="40528"/>
        <n v="35263"/>
        <n v="51430"/>
        <n v="18443"/>
        <n v="41815"/>
        <n v="22982"/>
        <n v="50520"/>
        <n v="3788"/>
        <n v="28867"/>
        <n v="25378"/>
        <n v="21319"/>
        <n v="33850"/>
        <n v="28716"/>
        <n v="92366"/>
        <n v="94058"/>
        <n v="13713"/>
        <n v="44998"/>
        <n v="15460"/>
        <n v="68732"/>
        <n v="2098"/>
        <n v="78127"/>
        <n v="24028"/>
        <n v="24149"/>
        <n v="49501"/>
        <n v="68805"/>
        <n v="95579"/>
        <n v="52461"/>
        <n v="27107"/>
        <n v="24494"/>
        <n v="90153"/>
        <n v="20607"/>
        <n v="78504"/>
        <n v="56257"/>
        <n v="10005"/>
        <n v="82305"/>
        <n v="39259"/>
        <n v="51468"/>
        <n v="31024"/>
        <n v="12800"/>
        <n v="75092"/>
        <n v="75644"/>
        <n v="1629"/>
        <n v="52083"/>
        <n v="30400"/>
        <n v="16781"/>
        <n v="52329"/>
        <n v="9622"/>
        <n v="75334"/>
        <n v="80224"/>
        <n v="79810"/>
        <n v="8506"/>
        <n v="36111"/>
        <n v="55932"/>
        <n v="2334"/>
        <n v="10608"/>
        <n v="84595"/>
        <n v="21746"/>
        <n v="8958"/>
        <n v="16983"/>
        <n v="37058"/>
        <n v="54517"/>
        <n v="47637"/>
        <n v="67279"/>
        <n v="51546"/>
        <n v="58405"/>
        <n v="95472"/>
        <n v="39041"/>
        <n v="76267"/>
        <n v="34409"/>
        <n v="22823"/>
        <n v="60139"/>
        <n v="32087"/>
        <n v="70128"/>
        <n v="45182"/>
        <n v="1105"/>
        <n v="42609"/>
        <n v="21701"/>
        <n v="4308"/>
        <n v="75406"/>
        <n v="36027"/>
        <n v="74851"/>
        <n v="31525"/>
        <n v="71417"/>
        <n v="77865"/>
        <n v="90796"/>
        <n v="58995"/>
        <n v="43285"/>
        <n v="70231"/>
        <n v="48193"/>
        <n v="65794"/>
        <n v="54272"/>
        <n v="93172"/>
        <n v="18901"/>
        <n v="22042"/>
        <n v="23230"/>
        <n v="93378"/>
        <n v="31015"/>
        <n v="56317"/>
        <n v="1074"/>
        <n v="7355"/>
        <n v="36349"/>
        <n v="62660"/>
        <n v="64830"/>
        <n v="36785"/>
        <n v="27162"/>
        <n v="36961"/>
        <n v="67048"/>
        <n v="94457"/>
        <n v="99991"/>
        <n v="9382"/>
        <n v="85379"/>
        <n v="78658"/>
        <n v="2608"/>
        <n v="94945"/>
        <n v="64737"/>
        <n v="33611"/>
        <n v="53341"/>
        <n v="14562"/>
        <n v="87831"/>
        <n v="32420"/>
        <n v="54043"/>
        <n v="66777"/>
        <n v="7920"/>
        <n v="74928"/>
        <n v="50835"/>
        <n v="40897"/>
        <n v="84781"/>
        <n v="67342"/>
        <n v="2087"/>
        <n v="63238"/>
        <n v="41277"/>
        <n v="55802"/>
        <n v="68730"/>
        <n v="95937"/>
        <n v="12078"/>
        <n v="12584"/>
        <n v="79965"/>
        <n v="77879"/>
        <n v="53569"/>
        <n v="39332"/>
        <n v="33559"/>
        <n v="82897"/>
        <n v="37412"/>
        <n v="73247"/>
        <n v="43709"/>
        <n v="71901"/>
        <n v="73687"/>
        <n v="10619"/>
        <n v="71150"/>
        <n v="42555"/>
        <n v="2802"/>
        <n v="69749"/>
        <n v="74627"/>
        <n v="52142"/>
        <n v="88763"/>
        <n v="65216"/>
        <n v="89673"/>
        <n v="11699"/>
        <n v="2363"/>
        <n v="24483"/>
        <n v="79697"/>
        <n v="91067"/>
        <n v="12258"/>
        <n v="78867"/>
        <n v="30402"/>
        <n v="56872"/>
        <n v="99285"/>
        <n v="30220"/>
        <n v="95652"/>
        <n v="94890"/>
        <n v="74749"/>
        <n v="21125"/>
        <n v="83077"/>
        <n v="3643"/>
        <n v="6315"/>
        <n v="59575"/>
        <n v="65210"/>
        <n v="78841"/>
        <n v="79566"/>
        <n v="20651"/>
        <n v="14528"/>
        <n v="97362"/>
        <n v="50686"/>
        <n v="62134"/>
        <n v="1055"/>
        <n v="66748"/>
        <n v="20885"/>
        <n v="66711"/>
        <n v="97750"/>
        <n v="22448"/>
        <n v="92838"/>
        <n v="59426"/>
        <n v="99975"/>
        <n v="19372"/>
        <n v="8929"/>
        <n v="25312"/>
        <n v="98745"/>
        <n v="82342"/>
        <n v="51141"/>
        <n v="83957"/>
        <n v="44181"/>
        <n v="53029"/>
        <n v="42095"/>
        <n v="78297"/>
        <n v="27119"/>
        <n v="89911"/>
        <n v="44623"/>
        <n v="94482"/>
        <n v="59441"/>
        <n v="83132"/>
        <n v="31654"/>
        <n v="34681"/>
        <n v="14137"/>
        <n v="95439"/>
        <n v="23743"/>
        <n v="50522"/>
        <n v="89801"/>
        <n v="15421"/>
        <n v="42259"/>
        <n v="55318"/>
        <n v="3980"/>
        <n v="82814"/>
        <n v="22726"/>
        <n v="64646"/>
        <n v="26767"/>
        <n v="80256"/>
        <n v="96844"/>
        <n v="52265"/>
        <n v="21629"/>
        <n v="11988"/>
        <n v="57973"/>
        <n v="67906"/>
        <n v="20831"/>
        <n v="41219"/>
        <n v="98675"/>
        <n v="63306"/>
        <n v="13438"/>
        <n v="39051"/>
        <n v="88287"/>
        <n v="49819"/>
        <n v="88901"/>
        <n v="1117"/>
        <n v="81375"/>
        <n v="39627"/>
        <n v="56741"/>
        <n v="43062"/>
        <n v="69931"/>
        <n v="28586"/>
        <n v="41562"/>
        <n v="36871"/>
        <n v="28080"/>
        <n v="17167"/>
        <n v="34229"/>
        <n v="52732"/>
        <n v="34213"/>
        <n v="63092"/>
        <n v="17190"/>
        <n v="26062"/>
        <n v="84509"/>
        <n v="9555"/>
        <n v="9628"/>
        <n v="48600"/>
        <n v="8440"/>
        <n v="88740"/>
        <n v="57399"/>
        <n v="65586"/>
        <n v="1779"/>
        <n v="69741"/>
        <n v="52830"/>
        <n v="14751"/>
        <n v="11545"/>
        <n v="49359"/>
        <n v="27176"/>
        <n v="43722"/>
        <n v="91375"/>
        <n v="58611"/>
        <n v="44294"/>
        <n v="49344"/>
        <n v="5840"/>
        <n v="14694"/>
        <n v="61437"/>
        <n v="1761"/>
        <n v="14316"/>
        <n v="32795"/>
        <n v="1588"/>
        <n v="40327"/>
        <n v="56020"/>
        <n v="8911"/>
        <n v="80543"/>
        <n v="67299"/>
        <n v="17257"/>
        <n v="74454"/>
        <n v="10858"/>
        <n v="60273"/>
        <n v="10851"/>
        <n v="84561"/>
        <n v="85513"/>
        <n v="80554"/>
        <n v="83923"/>
        <n v="6351"/>
        <n v="76253"/>
        <n v="43636"/>
        <n v="84356"/>
        <n v="87736"/>
        <n v="81685"/>
        <n v="98888"/>
        <n v="59415"/>
        <n v="52905"/>
        <n v="95971"/>
        <n v="45682"/>
        <n v="91907"/>
        <n v="55679"/>
        <n v="19768"/>
        <n v="36298"/>
        <n v="23634"/>
        <n v="95478"/>
        <n v="38893"/>
        <n v="14343"/>
        <n v="33268"/>
        <n v="76493"/>
        <n v="7668"/>
        <n v="66831"/>
        <n v="87014"/>
        <n v="68848"/>
        <n v="45970"/>
        <n v="50036"/>
        <n v="83051"/>
        <n v="66942"/>
        <n v="41873"/>
        <n v="93478"/>
        <n v="90710"/>
        <n v="59166"/>
        <n v="83507"/>
        <n v="81724"/>
        <n v="91159"/>
        <n v="39410"/>
        <n v="83527"/>
        <n v="55049"/>
        <n v="23288"/>
        <n v="61149"/>
        <n v="66011"/>
        <n v="77244"/>
        <n v="77599"/>
        <n v="44208"/>
        <n v="82873"/>
        <n v="90175"/>
        <n v="14063"/>
        <n v="84576"/>
        <n v="2518"/>
        <n v="80928"/>
        <n v="48518"/>
        <n v="19157"/>
        <n v="26033"/>
        <n v="97870"/>
        <n v="62902"/>
        <n v="1035"/>
        <n v="65645"/>
        <n v="15927"/>
        <n v="46146"/>
        <n v="48858"/>
        <n v="15919"/>
        <n v="40896"/>
        <n v="67765"/>
        <n v="10127"/>
        <n v="9424"/>
        <n v="65613"/>
        <n v="3221"/>
        <n v="8058"/>
        <n v="21075"/>
        <n v="55731"/>
        <n v="23962"/>
        <n v="17499"/>
        <n v="26005"/>
        <n v="59226"/>
        <n v="18736"/>
        <n v="40169"/>
        <n v="26661"/>
        <n v="48378"/>
        <n v="82046"/>
        <n v="78643"/>
        <n v="60288"/>
        <n v="1215"/>
        <n v="15276"/>
        <n v="99733"/>
        <n v="30799"/>
        <n v="92004"/>
        <n v="32163"/>
        <n v="9483"/>
        <n v="61613"/>
        <n v="13596"/>
        <n v="26294"/>
        <n v="17407"/>
        <n v="35171"/>
        <n v="74922"/>
        <n v="79790"/>
        <n v="84989"/>
        <n v="28368"/>
        <n v="50228"/>
        <n v="85347"/>
        <n v="25012"/>
        <n v="5388"/>
        <n v="88162"/>
        <n v="79673"/>
        <n v="59068"/>
        <n v="70358"/>
        <n v="16419"/>
        <n v="62541"/>
        <n v="6703"/>
        <n v="7559"/>
        <n v="3126"/>
        <n v="83577"/>
        <n v="84380"/>
        <n v="55272"/>
        <n v="79431"/>
        <n v="71492"/>
        <n v="79365"/>
        <n v="88677"/>
        <n v="12436"/>
        <n v="91952"/>
        <n v="69852"/>
        <n v="61687"/>
        <n v="7988"/>
        <n v="62483"/>
        <n v="57623"/>
        <n v="82640"/>
        <n v="6644"/>
        <n v="90784"/>
        <n v="36902"/>
        <n v="96043"/>
        <n v="55360"/>
        <n v="13688"/>
        <n v="64051"/>
        <n v="37315"/>
        <n v="15523"/>
        <n v="39350"/>
        <n v="31362"/>
        <n v="70624"/>
        <n v="12879"/>
        <n v="38122"/>
        <n v="11295"/>
        <n v="17255"/>
        <n v="74832"/>
        <n v="71122"/>
        <n v="29411"/>
        <n v="58330"/>
        <n v="37682"/>
        <n v="73062"/>
        <n v="45416"/>
        <n v="98829"/>
        <n v="36910"/>
        <n v="75508"/>
        <n v="34731"/>
        <n v="47471"/>
        <n v="69564"/>
        <n v="10316"/>
        <n v="72416"/>
        <n v="19569"/>
        <n v="50262"/>
        <n v="93483"/>
        <n v="38111"/>
        <n v="59644"/>
        <n v="65730"/>
        <n v="42481"/>
        <n v="49506"/>
        <n v="23313"/>
        <n v="35526"/>
        <n v="7684"/>
        <n v="96104"/>
        <n v="88521"/>
        <n v="58690"/>
        <n v="97700"/>
        <n v="33528"/>
        <n v="58231"/>
        <n v="66794"/>
        <n v="83649"/>
        <n v="96133"/>
        <n v="56551"/>
        <n v="44258"/>
        <n v="25633"/>
        <n v="94178"/>
        <n v="89761"/>
        <n v="84059"/>
        <n v="39382"/>
        <n v="13267"/>
        <n v="9225"/>
        <n v="10489"/>
        <n v="11484"/>
        <n v="58522"/>
        <n v="46868"/>
        <n v="82285"/>
        <n v="7387"/>
        <n v="46953"/>
        <n v="70809"/>
        <n v="1573"/>
        <n v="51357"/>
        <n v="88661"/>
        <n v="20974"/>
        <n v="26565"/>
        <n v="21735"/>
        <n v="77224"/>
        <n v="43861"/>
        <n v="28091"/>
        <n v="69885"/>
        <n v="14065"/>
        <n v="63450"/>
        <n v="44999"/>
        <n v="56587"/>
        <n v="17809"/>
        <n v="15045"/>
        <n v="95350"/>
        <n v="59530"/>
        <n v="38325"/>
        <n v="96583"/>
        <n v="60762"/>
        <n v="47432"/>
        <n v="56505"/>
        <n v="47105"/>
        <n v="57495"/>
        <n v="30349"/>
        <n v="50525"/>
        <n v="51456"/>
        <n v="49409"/>
        <n v="5244"/>
        <n v="25508"/>
        <n v="28159"/>
        <n v="70448"/>
        <n v="61217"/>
        <n v="14625"/>
        <n v="88535"/>
        <n v="7137"/>
        <n v="69320"/>
        <n v="29322"/>
        <n v="96657"/>
        <n v="86062"/>
        <n v="81784"/>
        <n v="47037"/>
        <n v="21111"/>
        <n v="97286"/>
        <n v="32623"/>
        <n v="98079"/>
        <n v="53407"/>
        <n v="5787"/>
        <n v="10379"/>
        <n v="50600"/>
        <n v="81511"/>
        <n v="21774"/>
        <n v="39986"/>
        <n v="2066"/>
        <n v="80584"/>
        <n v="83143"/>
        <n v="55714"/>
        <n v="18505"/>
        <n v="54260"/>
        <n v="22831"/>
        <n v="70217"/>
        <n v="56296"/>
        <n v="53477"/>
        <n v="17560"/>
        <n v="18912"/>
        <n v="71529"/>
        <n v="14892"/>
        <n v="70198"/>
        <n v="26659"/>
        <n v="82658"/>
        <n v="10824"/>
        <n v="78788"/>
        <n v="59862"/>
        <n v="93502"/>
        <n v="15746"/>
        <n v="69678"/>
        <n v="58203"/>
        <n v="45882"/>
        <n v="97855"/>
        <n v="80632"/>
        <n v="35724"/>
        <n v="98782"/>
        <n v="16346"/>
        <n v="55983"/>
        <n v="33055"/>
        <n v="24684"/>
        <n v="36500"/>
        <n v="62370"/>
        <n v="79721"/>
        <n v="81395"/>
        <n v="14054"/>
        <n v="3401"/>
        <n v="55429"/>
        <n v="40291"/>
        <n v="80794"/>
        <n v="23596"/>
        <n v="82590"/>
        <n v="69211"/>
        <n v="21306"/>
        <n v="65966"/>
        <n v="88346"/>
        <n v="85207"/>
        <n v="49265"/>
        <n v="43742"/>
        <n v="38877"/>
        <n v="29991"/>
        <n v="83431"/>
        <n v="64829"/>
        <n v="76760"/>
        <n v="81226"/>
        <n v="6956"/>
        <n v="67421"/>
        <n v="38437"/>
        <n v="4633"/>
        <n v="86100"/>
        <n v="50438"/>
        <n v="88322"/>
        <n v="44465"/>
        <n v="80585"/>
        <n v="26950"/>
        <n v="51109"/>
        <n v="83744"/>
        <n v="80080"/>
        <n v="84818"/>
        <n v="31085"/>
        <n v="68735"/>
        <n v="53696"/>
        <n v="53306"/>
        <n v="94641"/>
        <n v="7710"/>
        <n v="73637"/>
        <n v="83267"/>
        <n v="54643"/>
        <n v="98646"/>
        <n v="73995"/>
        <n v="72149"/>
        <n v="25199"/>
        <n v="3913"/>
        <n v="28238"/>
        <n v="47709"/>
        <n v="45288"/>
        <n v="25135"/>
        <n v="52275"/>
        <n v="54086"/>
        <n v="2721"/>
        <n v="97349"/>
        <n v="30635"/>
        <n v="18088"/>
        <n v="26436"/>
        <n v="78719"/>
        <n v="45212"/>
        <n v="75699"/>
        <n v="53917"/>
        <n v="59122"/>
        <n v="8665"/>
        <n v="72319"/>
        <n v="33306"/>
        <n v="63625"/>
        <n v="94082"/>
        <n v="35747"/>
        <n v="48367"/>
        <n v="42324"/>
        <n v="67038"/>
        <n v="12576"/>
        <n v="16036"/>
        <n v="89137"/>
        <n v="96791"/>
        <n v="72938"/>
        <n v="43821"/>
        <n v="69551"/>
        <n v="58447"/>
        <n v="78917"/>
        <n v="45437"/>
        <n v="48390"/>
        <n v="74971"/>
        <n v="67578"/>
        <n v="17123"/>
        <n v="65925"/>
        <n v="2875"/>
        <n v="18648"/>
        <n v="84137"/>
        <n v="45017"/>
        <n v="57230"/>
        <n v="22943"/>
        <n v="70480"/>
        <n v="37659"/>
        <n v="68127"/>
        <n v="85292"/>
        <n v="39070"/>
        <n v="20917"/>
        <n v="41977"/>
        <n v="45337"/>
        <n v="59366"/>
        <n v="96411"/>
        <n v="76544"/>
        <n v="21243"/>
        <n v="63549"/>
        <n v="7253"/>
        <n v="8222"/>
        <n v="50250"/>
        <n v="79781"/>
        <n v="65110"/>
        <n v="58544"/>
        <n v="60991"/>
        <n v="36044"/>
        <n v="45221"/>
        <n v="13230"/>
        <n v="92690"/>
        <n v="83623"/>
        <n v="76628"/>
        <n v="56571"/>
        <n v="36136"/>
        <n v="62970"/>
        <n v="90687"/>
        <n v="26260"/>
        <n v="86351"/>
        <n v="23048"/>
        <n v="9837"/>
        <n v="72694"/>
        <n v="14327"/>
        <n v="50111"/>
        <n v="90790"/>
        <n v="69725"/>
        <n v="61895"/>
        <n v="18961"/>
        <n v="44167"/>
        <n v="57422"/>
        <n v="60407"/>
        <n v="44043"/>
        <n v="57098"/>
        <n v="5580"/>
        <n v="41943"/>
        <n v="53196"/>
        <n v="13960"/>
        <n v="70713"/>
        <n v="23460"/>
        <n v="31847"/>
        <n v="31124"/>
        <n v="28437"/>
        <n v="20869"/>
        <n v="88773"/>
        <n v="30288"/>
        <n v="80468"/>
        <n v="73492"/>
        <n v="34529"/>
        <n v="80156"/>
        <n v="40756"/>
        <n v="64059"/>
        <n v="57196"/>
        <n v="30902"/>
        <n v="2309"/>
        <n v="98605"/>
        <n v="50805"/>
        <n v="36969"/>
        <n v="49167"/>
        <n v="67498"/>
        <n v="78960"/>
        <n v="60217"/>
        <n v="59640"/>
        <n v="36442"/>
        <n v="52325"/>
        <n v="13286"/>
        <n v="97163"/>
        <n v="65260"/>
        <n v="17776"/>
        <n v="7331"/>
        <n v="33432"/>
        <n v="11251"/>
        <n v="94594"/>
        <n v="98387"/>
        <n v="74770"/>
        <n v="22745"/>
        <n v="24196"/>
        <n v="92708"/>
        <n v="78889"/>
        <n v="71336"/>
        <n v="26510"/>
        <n v="28299"/>
        <n v="9149"/>
        <n v="73001"/>
        <n v="28819"/>
        <n v="77524"/>
        <n v="52058"/>
        <n v="96609"/>
        <n v="58096"/>
        <n v="93006"/>
        <n v="32157"/>
        <n v="99361"/>
        <n v="70909"/>
        <n v="73191"/>
        <n v="86412"/>
        <n v="51010"/>
        <n v="40406"/>
        <n v="35304"/>
        <n v="75503"/>
        <n v="19805"/>
        <n v="76979"/>
        <n v="59408"/>
        <n v="93941"/>
        <n v="46093"/>
        <n v="98364"/>
        <n v="77717"/>
        <n v="32816"/>
        <n v="51406"/>
        <n v="59475"/>
        <n v="20267"/>
        <n v="90219"/>
        <n v="83564"/>
        <n v="90436"/>
        <n v="89057"/>
        <n v="6924"/>
        <n v="34015"/>
        <n v="37136"/>
        <n v="11532"/>
        <n v="17159"/>
        <n v="65070"/>
        <n v="43893"/>
        <n v="38642"/>
        <n v="26345"/>
        <n v="19997"/>
        <n v="15561"/>
        <n v="11740"/>
        <n v="75854"/>
        <n v="65213"/>
        <n v="90524"/>
        <n v="11832"/>
        <n v="6926"/>
        <n v="36473"/>
        <n v="22004"/>
        <n v="7396"/>
        <n v="52597"/>
        <n v="50859"/>
        <n v="79547"/>
        <n v="49189"/>
        <n v="30694"/>
        <n v="74167"/>
        <n v="46607"/>
        <n v="63640"/>
        <n v="4968"/>
        <n v="74915"/>
        <n v="43852"/>
        <n v="21325"/>
        <n v="24836"/>
        <n v="27781"/>
        <n v="46601"/>
        <n v="43819"/>
        <n v="34206"/>
        <n v="63642"/>
        <n v="21790"/>
        <n v="61053"/>
        <n v="85853"/>
        <n v="60144"/>
        <n v="14662"/>
        <n v="44096"/>
        <n v="1478"/>
        <n v="52568"/>
        <n v="7540"/>
        <n v="96930"/>
        <n v="28146"/>
        <n v="86985"/>
        <n v="29070"/>
        <n v="91918"/>
        <n v="78304"/>
        <n v="70661"/>
        <n v="17709"/>
        <n v="56517"/>
        <n v="37571"/>
        <n v="4026"/>
        <n v="44288"/>
        <n v="2722"/>
        <n v="3573"/>
        <n v="36699"/>
        <n v="88254"/>
        <n v="26787"/>
        <n v="68040"/>
        <n v="22085"/>
        <n v="47157"/>
        <n v="22891"/>
        <n v="76608"/>
        <n v="17356"/>
        <n v="15906"/>
        <n v="20990"/>
        <n v="27817"/>
        <n v="40447"/>
        <n v="63175"/>
        <n v="94775"/>
        <n v="1009"/>
        <n v="61840"/>
        <n v="2773"/>
        <n v="38088"/>
        <n v="87208"/>
        <n v="36701"/>
        <n v="15637"/>
        <n v="88683"/>
        <n v="97821"/>
        <n v="34933"/>
        <n v="19867"/>
        <n v="19849"/>
        <n v="87361"/>
        <n v="4817"/>
        <n v="59646"/>
        <n v="43728"/>
        <n v="9842"/>
        <n v="76756"/>
        <n v="62640"/>
        <n v="87997"/>
        <n v="63827"/>
        <n v="17091"/>
        <n v="68832"/>
        <n v="64329"/>
        <n v="55855"/>
        <n v="75062"/>
        <n v="82549"/>
        <n v="41392"/>
        <n v="34378"/>
        <n v="1811"/>
        <n v="19432"/>
        <n v="54083"/>
        <n v="94268"/>
        <n v="61809"/>
        <n v="83563"/>
        <n v="76456"/>
        <n v="69519"/>
        <n v="17067"/>
        <n v="23071"/>
        <n v="58349"/>
        <n v="27376"/>
        <n v="14244"/>
        <n v="25332"/>
        <n v="97703"/>
        <n v="50643"/>
        <n v="55617"/>
        <n v="15232"/>
        <n v="18646"/>
        <n v="76385"/>
        <n v="97639"/>
        <n v="45388"/>
        <n v="86493"/>
        <n v="36256"/>
        <n v="20845"/>
        <n v="61458"/>
        <n v="2050"/>
        <n v="20237"/>
        <n v="50711"/>
        <n v="41140"/>
        <n v="5290"/>
        <n v="61880"/>
        <n v="20878"/>
        <n v="97979"/>
        <n v="37653"/>
        <n v="44613"/>
        <n v="69979"/>
        <n v="88416"/>
        <n v="81915"/>
        <n v="83256"/>
        <n v="22512"/>
        <n v="52287"/>
        <n v="9101"/>
        <n v="63258"/>
        <n v="61281"/>
        <n v="16622"/>
        <n v="9850"/>
        <n v="97150"/>
        <n v="83217"/>
        <n v="11839"/>
        <n v="35824"/>
        <n v="96047"/>
        <n v="46484"/>
        <n v="55867"/>
        <n v="99165"/>
        <n v="92803"/>
        <n v="38546"/>
        <n v="94369"/>
        <n v="38625"/>
        <n v="76564"/>
        <n v="91627"/>
        <n v="46746"/>
        <n v="20829"/>
        <n v="28929"/>
        <n v="46999"/>
        <n v="39128"/>
        <n v="12836"/>
        <n v="74657"/>
        <n v="76851"/>
        <n v="75802"/>
        <n v="27753"/>
        <n v="70802"/>
        <n v="8957"/>
        <n v="48866"/>
        <n v="80642"/>
        <n v="70282"/>
        <n v="15627"/>
        <n v="11654"/>
        <n v="39908"/>
        <n v="24164"/>
        <n v="46762"/>
        <n v="94419"/>
        <n v="92897"/>
        <n v="75168"/>
        <n v="93269"/>
        <n v="76779"/>
        <n v="2941"/>
        <n v="7854"/>
        <n v="94583"/>
        <n v="94374"/>
        <n v="39292"/>
        <n v="96823"/>
        <n v="37750"/>
        <n v="31150"/>
        <n v="43756"/>
        <n v="36776"/>
        <n v="32436"/>
        <n v="92796"/>
        <n v="77936"/>
        <n v="99564"/>
        <n v="19113"/>
        <n v="7346"/>
        <n v="36550"/>
        <n v="19707"/>
        <n v="46449"/>
        <n v="20490"/>
        <n v="29440"/>
        <n v="61061"/>
        <n v="12069"/>
        <n v="21760"/>
        <n v="16394"/>
        <n v="82910"/>
        <n v="50538"/>
        <n v="59985"/>
        <n v="49540"/>
        <n v="65399"/>
        <n v="34273"/>
        <n v="18679"/>
        <n v="93653"/>
        <n v="13282"/>
        <n v="44392"/>
        <n v="81371"/>
        <n v="44647"/>
        <n v="6771"/>
        <n v="85413"/>
        <n v="55764"/>
        <n v="62476"/>
        <n v="69269"/>
        <n v="12267"/>
        <n v="54305"/>
        <n v="84858"/>
        <n v="44821"/>
        <n v="23122"/>
        <n v="23322"/>
        <n v="85002"/>
        <n v="59131"/>
        <n v="44165"/>
        <n v="78073"/>
        <n v="16428"/>
        <n v="82564"/>
        <n v="31493"/>
        <n v="83548"/>
        <n v="29337"/>
        <n v="87808"/>
        <n v="10803"/>
        <n v="91324"/>
        <n v="5214"/>
        <n v="32313"/>
        <n v="79898"/>
        <n v="8688"/>
        <n v="80909"/>
        <n v="7557"/>
        <n v="88852"/>
        <n v="25850"/>
        <n v="20655"/>
        <n v="56784"/>
        <n v="40122"/>
        <n v="51894"/>
        <n v="32755"/>
        <n v="31431"/>
        <n v="45869"/>
        <n v="48407"/>
        <n v="16722"/>
        <n v="67544"/>
        <n v="79065"/>
        <n v="57936"/>
        <n v="96762"/>
        <n v="46657"/>
        <n v="91481"/>
        <n v="78160"/>
        <n v="98273"/>
        <n v="47352"/>
        <n v="12022"/>
        <n v="98490"/>
        <n v="16699"/>
        <n v="37918"/>
        <n v="24224"/>
        <n v="11382"/>
        <n v="58761"/>
        <n v="20796"/>
        <n v="14574"/>
        <n v="14516"/>
        <n v="86181"/>
        <n v="70313"/>
        <n v="47347"/>
        <n v="14781"/>
        <n v="63938"/>
        <n v="31746"/>
        <n v="44383"/>
        <n v="25989"/>
        <n v="43019"/>
        <n v="36126"/>
        <n v="10185"/>
        <n v="97278"/>
        <n v="59402"/>
        <n v="76899"/>
        <n v="54998"/>
        <n v="50351"/>
        <n v="65650"/>
        <n v="10183"/>
        <n v="50676"/>
        <n v="40822"/>
        <n v="34432"/>
        <n v="3976"/>
        <n v="36824"/>
        <n v="9150"/>
        <n v="90842"/>
        <n v="8708"/>
        <n v="96973"/>
        <n v="48770"/>
        <n v="26897"/>
        <n v="37783"/>
        <n v="98144"/>
        <n v="83913"/>
        <n v="12717"/>
        <n v="22068"/>
        <n v="31955"/>
        <n v="22896"/>
        <n v="83159"/>
        <n v="1123"/>
        <n v="88658"/>
        <n v="75169"/>
        <n v="51433"/>
        <n v="61117"/>
        <n v="57218"/>
        <n v="97322"/>
        <n v="56869"/>
        <n v="97810"/>
        <n v="44063"/>
        <n v="38525"/>
        <n v="9354"/>
        <n v="80929"/>
        <n v="86737"/>
        <n v="60767"/>
        <n v="42743"/>
        <n v="24111"/>
        <n v="34048"/>
        <n v="77012"/>
        <n v="96600"/>
        <n v="85478"/>
        <n v="78537"/>
        <n v="35659"/>
        <n v="70293"/>
        <n v="45434"/>
        <n v="53738"/>
        <n v="39240"/>
        <n v="78218"/>
        <n v="5100"/>
        <n v="56229"/>
        <n v="28195"/>
        <n v="34880"/>
        <n v="28967"/>
        <n v="47633"/>
        <n v="72219"/>
        <n v="75255"/>
        <n v="30516"/>
        <n v="58264"/>
        <n v="65536"/>
        <n v="32156"/>
        <n v="56496"/>
        <n v="91153"/>
        <n v="25837"/>
        <n v="96127"/>
        <n v="87220"/>
        <n v="94600"/>
        <n v="35563"/>
        <n v="13540"/>
        <n v="95731"/>
        <n v="80695"/>
        <n v="34164"/>
        <n v="16929"/>
        <n v="7680"/>
        <n v="47519"/>
        <n v="31019"/>
        <n v="32487"/>
        <n v="68555"/>
        <n v="89150"/>
        <n v="70165"/>
        <n v="20090"/>
        <n v="67592"/>
        <n v="73934"/>
        <n v="35316"/>
        <n v="26512"/>
        <n v="30279"/>
        <n v="8437"/>
        <n v="7817"/>
        <n v="46239"/>
        <n v="88981"/>
        <n v="87264"/>
        <n v="43519"/>
        <n v="85558"/>
        <n v="54938"/>
        <n v="13365"/>
        <n v="25403"/>
        <n v="34612"/>
        <n v="99909"/>
        <n v="74795"/>
        <n v="38074"/>
        <n v="22785"/>
        <n v="71638"/>
        <n v="91215"/>
        <n v="24643"/>
        <n v="96691"/>
        <n v="37828"/>
        <n v="97036"/>
        <n v="70322"/>
        <n v="13870"/>
        <n v="81431"/>
        <n v="15130"/>
        <n v="51038"/>
        <n v="63026"/>
        <n v="66733"/>
        <n v="12345"/>
        <n v="57417"/>
        <n v="98299"/>
        <n v="70704"/>
        <n v="16884"/>
        <n v="33047"/>
        <n v="59638"/>
        <n v="29701"/>
        <n v="76931"/>
        <n v="21361"/>
        <n v="64125"/>
        <n v="35138"/>
        <n v="88050"/>
        <n v="49852"/>
        <n v="99971"/>
        <n v="1143"/>
        <n v="1306"/>
        <n v="32340"/>
        <n v="63939"/>
        <n v="94896"/>
        <n v="99366"/>
        <n v="13868"/>
        <n v="8166"/>
        <n v="19773"/>
        <n v="27957"/>
        <n v="90744"/>
        <n v="50975"/>
        <n v="2617"/>
        <n v="49061"/>
        <n v="79588"/>
        <n v="68412"/>
        <n v="89921"/>
        <n v="24120"/>
        <n v="72651"/>
        <n v="81963"/>
        <n v="78169"/>
        <n v="46113"/>
        <n v="51149"/>
        <n v="71352"/>
        <n v="8480"/>
        <n v="43966"/>
        <n v="37553"/>
        <n v="49523"/>
        <n v="54388"/>
        <n v="67710"/>
        <n v="42466"/>
        <n v="93120"/>
        <n v="94025"/>
        <n v="61623"/>
        <n v="81960"/>
        <n v="52458"/>
        <n v="40922"/>
        <n v="54943"/>
        <n v="87325"/>
        <n v="95177"/>
        <n v="68553"/>
        <n v="11588"/>
        <n v="14271"/>
        <n v="28313"/>
        <n v="26690"/>
        <n v="52055"/>
        <n v="48984"/>
        <n v="59497"/>
        <n v="63979"/>
        <n v="78194"/>
        <n v="60605"/>
        <n v="96322"/>
        <n v="60915"/>
        <n v="78171"/>
        <n v="23497"/>
        <n v="36209"/>
        <n v="63873"/>
        <n v="87900"/>
        <n v="29569"/>
        <n v="67995"/>
        <n v="3442"/>
        <n v="32473"/>
        <n v="78989"/>
        <n v="54912"/>
        <n v="81142"/>
        <n v="1826"/>
        <n v="86122"/>
        <n v="5841"/>
        <n v="73150"/>
        <n v="85750"/>
        <n v="61938"/>
        <n v="21452"/>
        <n v="83475"/>
        <n v="62589"/>
        <n v="55806"/>
        <n v="55118"/>
        <n v="53758"/>
        <n v="20947"/>
        <n v="78034"/>
        <n v="49325"/>
        <n v="40973"/>
        <n v="50876"/>
        <n v="6618"/>
        <n v="75630"/>
        <n v="26223"/>
        <n v="57521"/>
        <n v="51760"/>
        <n v="79292"/>
        <n v="61697"/>
        <n v="18312"/>
        <n v="90817"/>
        <n v="37801"/>
        <n v="10971"/>
        <n v="6612"/>
        <n v="22010"/>
        <n v="59289"/>
        <n v="53340"/>
        <n v="44604"/>
        <n v="19454"/>
        <n v="71540"/>
        <n v="78040"/>
        <n v="46278"/>
        <n v="34849"/>
        <n v="32850"/>
        <n v="90833"/>
        <n v="37923"/>
        <n v="4905"/>
        <n v="44932"/>
        <n v="35239"/>
        <n v="19592"/>
        <n v="47922"/>
        <n v="12777"/>
        <n v="33939"/>
        <n v="78506"/>
        <n v="29677"/>
        <n v="29042"/>
        <n v="59951"/>
        <n v="71996"/>
        <n v="82221"/>
        <n v="78019"/>
        <n v="31000"/>
        <n v="17475"/>
        <n v="7343"/>
        <n v="19876"/>
        <n v="37043"/>
        <n v="21901"/>
        <n v="37871"/>
        <n v="77091"/>
        <n v="73167"/>
        <n v="19761"/>
        <n v="34614"/>
        <n v="43956"/>
        <n v="67642"/>
        <n v="40134"/>
        <n v="55703"/>
        <n v="66485"/>
        <n v="6240"/>
        <n v="8127"/>
        <n v="92470"/>
        <n v="49035"/>
        <n v="20156"/>
        <n v="20265"/>
        <n v="48875"/>
        <n v="99760"/>
        <n v="54781"/>
        <n v="66924"/>
        <n v="34666"/>
        <n v="29976"/>
        <n v="85045"/>
        <n v="40764"/>
        <n v="42922"/>
        <n v="93509"/>
        <n v="1521"/>
        <n v="50766"/>
        <n v="54092"/>
        <n v="44437"/>
        <n v="93320"/>
        <n v="94152"/>
        <n v="41579"/>
        <n v="91052"/>
        <n v="51396"/>
        <n v="71058"/>
        <n v="52221"/>
        <n v="14538"/>
        <n v="47840"/>
        <n v="94792"/>
        <n v="45197"/>
        <n v="92350"/>
        <n v="62271"/>
        <n v="5131"/>
        <n v="94452"/>
        <n v="88105"/>
        <n v="31274"/>
        <n v="82098"/>
        <n v="20436"/>
        <n v="99950"/>
        <n v="27798"/>
        <n v="69756"/>
        <n v="37149"/>
        <n v="41142"/>
        <n v="38121"/>
        <n v="18309"/>
        <n v="18780"/>
        <n v="67693"/>
        <n v="27501"/>
        <n v="65992"/>
        <n v="28350"/>
        <n v="98994"/>
        <n v="91289"/>
        <n v="11203"/>
        <n v="14559"/>
        <n v="59041"/>
        <n v="7794"/>
        <n v="16820"/>
        <n v="33986"/>
        <n v="65293"/>
        <n v="49179"/>
        <n v="52067"/>
        <n v="75213"/>
        <n v="5063"/>
        <n v="98154"/>
        <n v="54469"/>
        <n v="43784"/>
        <n v="3760"/>
        <n v="73090"/>
        <n v="11029"/>
        <n v="36356"/>
        <n v="33111"/>
        <n v="30022"/>
        <n v="23621"/>
        <n v="97687"/>
        <n v="23996"/>
        <n v="52514"/>
        <n v="99639"/>
        <n v="34603"/>
        <n v="98833"/>
        <n v="88239"/>
        <n v="54446"/>
        <n v="3351"/>
        <n v="25291"/>
        <n v="78650"/>
        <n v="86456"/>
        <n v="38415"/>
        <n v="91525"/>
        <n v="3317"/>
        <n v="95997"/>
        <n v="58277"/>
        <n v="55005"/>
        <n v="24533"/>
        <n v="10632"/>
        <n v="12214"/>
        <n v="99480"/>
        <n v="67496"/>
        <n v="53985"/>
        <n v="8075"/>
        <n v="57583"/>
        <n v="75828"/>
        <n v="45094"/>
        <n v="60675"/>
        <n v="47773"/>
        <n v="55828"/>
        <n v="10565"/>
        <n v="85841"/>
        <n v="4505"/>
        <n v="73725"/>
        <n v="67730"/>
        <n v="87338"/>
        <n v="84179"/>
        <n v="84065"/>
        <n v="33565"/>
        <n v="73998"/>
        <n v="61348"/>
        <n v="3092"/>
        <n v="99692"/>
        <n v="43107"/>
        <n v="65977"/>
        <n v="23097"/>
        <n v="46518"/>
        <n v="26809"/>
        <n v="39511"/>
        <n v="61502"/>
        <n v="85426"/>
        <n v="94480"/>
        <n v="52237"/>
        <n v="13620"/>
        <n v="70001"/>
        <n v="58553"/>
        <n v="73291"/>
        <n v="80408"/>
        <n v="60975"/>
        <n v="53370"/>
        <n v="41074"/>
        <n v="55761"/>
        <n v="27858"/>
        <n v="22347"/>
        <n v="86195"/>
        <n v="35411"/>
        <n v="55848"/>
        <n v="92411"/>
        <n v="85377"/>
        <n v="91949"/>
        <n v="77053"/>
        <n v="48549"/>
        <n v="2610"/>
        <n v="63128"/>
        <n v="5181"/>
        <n v="49350"/>
        <n v="75240"/>
        <n v="73671"/>
        <n v="31594"/>
        <n v="90350"/>
        <n v="49803"/>
        <n v="49507"/>
        <n v="65638"/>
        <n v="23659"/>
        <n v="61199"/>
        <n v="19235"/>
        <n v="46623"/>
        <n v="52100"/>
        <n v="61218"/>
        <n v="77133"/>
        <n v="8465"/>
        <n v="7410"/>
        <n v="55992"/>
        <n v="76683"/>
        <n v="24322"/>
        <n v="85966"/>
        <n v="76500"/>
        <n v="84945"/>
        <n v="91085"/>
        <n v="44054"/>
        <n v="33709"/>
        <n v="52022"/>
        <n v="80327"/>
        <n v="58539"/>
        <n v="24572"/>
        <n v="13445"/>
        <n v="35745"/>
        <n v="50400"/>
        <n v="95431"/>
        <n v="99005"/>
        <n v="39703"/>
        <n v="70172"/>
        <n v="36524"/>
        <n v="5558"/>
        <n v="61827"/>
        <n v="76771"/>
        <n v="57811"/>
        <n v="33786"/>
        <n v="97612"/>
        <n v="84113"/>
        <n v="21612"/>
        <n v="34657"/>
        <n v="13010"/>
        <n v="50151"/>
        <n v="81137"/>
        <n v="77309"/>
        <n v="31314"/>
        <n v="17238"/>
        <n v="99698"/>
        <n v="38789"/>
        <n v="26487"/>
        <n v="43089"/>
        <n v="16320"/>
        <n v="99624"/>
        <n v="75496"/>
        <n v="90124"/>
        <n v="57191"/>
        <n v="57648"/>
        <n v="55626"/>
        <n v="6267"/>
        <n v="20870"/>
        <n v="80691"/>
        <n v="93439"/>
        <n v="18220"/>
        <n v="51465"/>
        <n v="2573"/>
        <n v="74855"/>
        <n v="51595"/>
        <n v="34262"/>
        <n v="86475"/>
        <n v="19879"/>
        <n v="58716"/>
        <n v="17150"/>
        <n v="19311"/>
        <n v="61036"/>
        <n v="40324"/>
        <n v="79462"/>
        <n v="17799"/>
        <n v="25155"/>
        <n v="46075"/>
        <n v="4109"/>
        <n v="75193"/>
        <n v="55146"/>
        <n v="31788"/>
        <n v="38155"/>
        <n v="71126"/>
        <n v="43804"/>
        <n v="91244"/>
        <n v="27751"/>
        <n v="87155"/>
        <n v="71462"/>
        <n v="45693"/>
        <n v="12016"/>
        <n v="13484"/>
        <n v="95926"/>
        <n v="52504"/>
        <n v="44834"/>
        <n v="8114"/>
        <n v="42919"/>
        <n v="86188"/>
        <n v="85871"/>
        <n v="43262"/>
        <n v="84085"/>
        <n v="18438"/>
        <n v="13833"/>
        <n v="82268"/>
        <n v="9117"/>
        <n v="3822"/>
        <n v="23453"/>
        <n v="42228"/>
        <n v="66961"/>
        <n v="77283"/>
        <n v="95948"/>
        <n v="4338"/>
        <n v="82256"/>
        <n v="46025"/>
        <n v="44426"/>
        <n v="70245"/>
        <n v="54275"/>
        <n v="40966"/>
        <n v="67734"/>
        <n v="52277"/>
        <n v="13680"/>
        <n v="56361"/>
        <n v="58842"/>
        <n v="92461"/>
        <n v="87705"/>
        <n v="38806"/>
        <n v="68314"/>
        <n v="34204"/>
        <n v="69036"/>
        <n v="18869"/>
        <n v="52524"/>
        <n v="87041"/>
        <n v="4669"/>
        <n v="44183"/>
        <n v="50497"/>
        <n v="25783"/>
        <n v="62251"/>
        <n v="61004"/>
        <n v="6223"/>
        <n v="21794"/>
        <n v="72467"/>
        <n v="53396"/>
        <n v="4100"/>
        <n v="9759"/>
        <n v="25717"/>
        <n v="83126"/>
        <n v="32548"/>
        <n v="51536"/>
        <n v="57653"/>
        <n v="93472"/>
        <n v="97459"/>
        <n v="87648"/>
        <n v="18009"/>
        <n v="58079"/>
        <n v="53989"/>
        <n v="39789"/>
        <n v="91656"/>
        <n v="38839"/>
        <n v="83528"/>
        <n v="86802"/>
        <n v="24427"/>
        <n v="40582"/>
        <n v="62102"/>
        <n v="39447"/>
        <n v="41636"/>
        <n v="10488"/>
        <n v="67660"/>
        <n v="7110"/>
        <n v="34338"/>
        <n v="30222"/>
        <n v="90724"/>
        <n v="82853"/>
        <n v="46232"/>
        <n v="91107"/>
        <n v="54231"/>
        <n v="3167"/>
        <n v="8891"/>
        <n v="75076"/>
        <n v="56815"/>
        <n v="37011"/>
        <n v="76990"/>
        <n v="2428"/>
        <n v="20701"/>
        <n v="47118"/>
        <n v="57134"/>
        <n v="79200"/>
        <n v="67831"/>
        <n v="53513"/>
        <n v="73866"/>
        <n v="90985"/>
        <n v="97351"/>
        <n v="30980"/>
        <n v="7290"/>
        <n v="70642"/>
        <n v="81346"/>
        <n v="50757"/>
        <n v="53080"/>
        <n v="11771"/>
        <n v="89893"/>
        <n v="4735"/>
        <n v="46500"/>
        <n v="86988"/>
        <n v="28420"/>
        <n v="22909"/>
        <n v="90379"/>
        <n v="37667"/>
        <n v="9836"/>
        <n v="85049"/>
        <n v="65318"/>
        <n v="29048"/>
        <n v="81838"/>
        <n v="16236"/>
        <n v="89062"/>
        <n v="68895"/>
        <n v="54731"/>
        <n v="97474"/>
        <n v="64178"/>
        <n v="4277"/>
        <n v="88556"/>
        <n v="52151"/>
        <n v="68291"/>
        <n v="93731"/>
        <n v="58178"/>
        <n v="41555"/>
        <n v="94310"/>
        <n v="69553"/>
        <n v="59038"/>
        <n v="86940"/>
        <n v="67333"/>
        <n v="54743"/>
        <n v="53046"/>
        <n v="28594"/>
        <n v="26309"/>
        <n v="30339"/>
        <n v="18872"/>
        <n v="82193"/>
        <n v="79008"/>
        <n v="21250"/>
        <n v="73619"/>
        <n v="2349"/>
        <n v="71769"/>
        <n v="70783"/>
        <n v="4819"/>
        <n v="39010"/>
        <n v="28595"/>
        <n v="52570"/>
        <n v="32980"/>
        <n v="36439"/>
        <n v="46109"/>
        <n v="77540"/>
        <n v="80989"/>
        <n v="98016"/>
        <n v="94415"/>
        <n v="1111"/>
        <n v="42959"/>
        <n v="13754"/>
        <n v="66640"/>
        <n v="69919"/>
        <n v="29481"/>
        <n v="94077"/>
        <n v="67025"/>
        <n v="58815"/>
        <n v="28415"/>
        <n v="2489"/>
        <n v="23489"/>
        <n v="37779"/>
        <n v="30343"/>
        <n v="28179"/>
        <n v="68522"/>
        <n v="2470"/>
        <n v="89593"/>
        <n v="77035"/>
        <n v="86747"/>
        <n v="49601"/>
        <n v="47569"/>
        <n v="26357"/>
        <n v="51402"/>
        <n v="63888"/>
        <n v="98091"/>
        <n v="39717"/>
        <n v="52326"/>
        <n v="86206"/>
        <n v="46696"/>
        <n v="45232"/>
        <n v="36659"/>
        <n v="58297"/>
        <n v="14113"/>
        <n v="76796"/>
        <n v="32955"/>
        <n v="89460"/>
        <n v="4843"/>
        <n v="59859"/>
        <n v="6746"/>
        <n v="27930"/>
        <n v="47572"/>
        <n v="90856"/>
        <n v="29093"/>
        <n v="41733"/>
        <n v="32507"/>
        <n v="46654"/>
        <n v="61214"/>
        <n v="41572"/>
        <n v="54733"/>
        <n v="8869"/>
        <n v="77977"/>
        <n v="10935"/>
        <n v="87537"/>
        <n v="44040"/>
        <n v="49857"/>
        <n v="79691"/>
        <n v="16411"/>
        <n v="62142"/>
        <n v="95719"/>
        <n v="96140"/>
        <n v="90126"/>
        <n v="26910"/>
        <n v="10846"/>
        <n v="73479"/>
        <n v="57722"/>
        <n v="15176"/>
        <n v="35502"/>
        <n v="72541"/>
        <n v="3236"/>
        <n v="46401"/>
        <n v="42419"/>
        <n v="88116"/>
        <n v="89034"/>
        <n v="86571"/>
        <n v="31786"/>
        <n v="34703"/>
        <n v="53857"/>
        <n v="55026"/>
        <n v="51945"/>
        <n v="4886"/>
        <n v="99696"/>
        <n v="53172"/>
        <n v="33814"/>
        <n v="39624"/>
        <n v="50440"/>
        <n v="14925"/>
        <n v="9803"/>
        <n v="11334"/>
        <n v="24595"/>
        <n v="23748"/>
        <n v="92480"/>
        <n v="99229"/>
        <n v="46664"/>
        <n v="76627"/>
        <n v="20160"/>
        <n v="96326"/>
        <n v="21429"/>
        <n v="64318"/>
        <n v="96524"/>
        <n v="62116"/>
        <n v="28823"/>
        <n v="6747"/>
        <n v="58000"/>
        <n v="12890"/>
        <n v="30140"/>
        <n v="78885"/>
        <n v="33381"/>
        <n v="35256"/>
        <n v="53028"/>
        <n v="79157"/>
        <n v="29741"/>
        <n v="46991"/>
        <n v="2342"/>
        <n v="21703"/>
        <n v="88700"/>
      </sharedItems>
    </cacheField>
    <cacheField name="Unit_Price" numFmtId="44">
      <sharedItems containsSemiMixedTypes="0" containsString="0" containsNumber="1" minValue="2.02" maxValue="50"/>
    </cacheField>
    <cacheField name="Revenue" numFmtId="44">
      <sharedItems containsSemiMixedTypes="0" containsString="0" containsNumber="1" minValue="5444.1" maxValue="4908094.5"/>
    </cacheField>
    <cacheField name="Months (Date)" numFmtId="0" databaseField="0">
      <fieldGroup base="1">
        <rangePr groupBy="months" startDate="2024-01-01T00:00:00" endDate="2026-01-01T00:00:00"/>
        <groupItems count="14">
          <s v="&lt;01/01/24"/>
          <s v="Jan"/>
          <s v="Feb"/>
          <s v="Mar"/>
          <s v="Apr"/>
          <s v="May"/>
          <s v="Jun"/>
          <s v="Jul"/>
          <s v="Aug"/>
          <s v="Sep"/>
          <s v="Oct"/>
          <s v="Nov"/>
          <s v="Dec"/>
          <s v="&gt;01/01/26"/>
        </groupItems>
      </fieldGroup>
    </cacheField>
    <cacheField name="Quarters (Date)" numFmtId="0" databaseField="0">
      <fieldGroup base="1">
        <rangePr groupBy="quarters" startDate="2024-01-01T00:00:00" endDate="2026-01-01T00:00:00"/>
        <groupItems count="6">
          <s v="&lt;01/01/24"/>
          <s v="Qtr1"/>
          <s v="Qtr2"/>
          <s v="Qtr3"/>
          <s v="Qtr4"/>
          <s v="&gt;01/01/26"/>
        </groupItems>
      </fieldGroup>
    </cacheField>
    <cacheField name="Years (Date)" numFmtId="0" databaseField="0">
      <fieldGroup base="1">
        <rangePr groupBy="years" startDate="2024-01-01T00:00:00" endDate="2026-01-01T00:00:00"/>
        <groupItems count="5">
          <s v="&lt;01/01/24"/>
          <s v="2024"/>
          <s v="2025"/>
          <s v="2026"/>
          <s v="&gt;01/01/26"/>
        </groupItems>
      </fieldGroup>
    </cacheField>
  </cacheFields>
  <extLst>
    <ext xmlns:x14="http://schemas.microsoft.com/office/spreadsheetml/2009/9/main" uri="{725AE2AE-9491-48be-B2B4-4EB974FC3084}">
      <x14:pivotCacheDefinition pivotCacheId="403102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00001"/>
    <x v="0"/>
    <s v="C198"/>
    <x v="0"/>
    <x v="0"/>
    <x v="0"/>
    <x v="0"/>
    <x v="0"/>
    <x v="0"/>
    <n v="29.35"/>
    <n v="2018663.65"/>
  </r>
  <r>
    <s v="ORD00002"/>
    <x v="1"/>
    <s v="C196"/>
    <x v="1"/>
    <x v="1"/>
    <x v="1"/>
    <x v="1"/>
    <x v="1"/>
    <x v="1"/>
    <n v="33.78"/>
    <n v="87523.98"/>
  </r>
  <r>
    <s v="ORD00003"/>
    <x v="2"/>
    <s v="C411"/>
    <x v="2"/>
    <x v="2"/>
    <x v="2"/>
    <x v="2"/>
    <x v="1"/>
    <x v="2"/>
    <n v="20.239999999999998"/>
    <n v="200497.44"/>
  </r>
  <r>
    <s v="ORD00004"/>
    <x v="3"/>
    <s v="C472"/>
    <x v="3"/>
    <x v="3"/>
    <x v="3"/>
    <x v="3"/>
    <x v="2"/>
    <x v="3"/>
    <n v="27.86"/>
    <n v="1083754"/>
  </r>
  <r>
    <s v="ORD00005"/>
    <x v="4"/>
    <s v="C271"/>
    <x v="4"/>
    <x v="1"/>
    <x v="4"/>
    <x v="4"/>
    <x v="1"/>
    <x v="4"/>
    <n v="15.47"/>
    <n v="1305281.25"/>
  </r>
  <r>
    <s v="ORD00006"/>
    <x v="5"/>
    <s v="C393"/>
    <x v="5"/>
    <x v="3"/>
    <x v="5"/>
    <x v="5"/>
    <x v="3"/>
    <x v="5"/>
    <n v="20.97"/>
    <n v="1243164.51"/>
  </r>
  <r>
    <s v="ORD00007"/>
    <x v="6"/>
    <s v="C444"/>
    <x v="6"/>
    <x v="1"/>
    <x v="6"/>
    <x v="6"/>
    <x v="0"/>
    <x v="6"/>
    <n v="28.38"/>
    <n v="2051618.58"/>
  </r>
  <r>
    <s v="ORD00008"/>
    <x v="7"/>
    <s v="C368"/>
    <x v="7"/>
    <x v="1"/>
    <x v="7"/>
    <x v="7"/>
    <x v="3"/>
    <x v="7"/>
    <n v="43.49"/>
    <n v="3815116.76"/>
  </r>
  <r>
    <s v="ORD00009"/>
    <x v="6"/>
    <s v="C121"/>
    <x v="8"/>
    <x v="2"/>
    <x v="2"/>
    <x v="2"/>
    <x v="1"/>
    <x v="8"/>
    <n v="9.49"/>
    <n v="578823.56999999995"/>
  </r>
  <r>
    <s v="ORD00010"/>
    <x v="8"/>
    <s v="C362"/>
    <x v="9"/>
    <x v="4"/>
    <x v="8"/>
    <x v="8"/>
    <x v="3"/>
    <x v="9"/>
    <n v="15.55"/>
    <n v="839311.25"/>
  </r>
  <r>
    <s v="ORD00011"/>
    <x v="9"/>
    <s v="C314"/>
    <x v="10"/>
    <x v="0"/>
    <x v="9"/>
    <x v="9"/>
    <x v="4"/>
    <x v="10"/>
    <n v="9.27"/>
    <n v="806545.62"/>
  </r>
  <r>
    <s v="ORD00012"/>
    <x v="10"/>
    <s v="C420"/>
    <x v="11"/>
    <x v="4"/>
    <x v="10"/>
    <x v="10"/>
    <x v="3"/>
    <x v="11"/>
    <n v="10.95"/>
    <n v="416220.45"/>
  </r>
  <r>
    <s v="ORD00013"/>
    <x v="11"/>
    <s v="C239"/>
    <x v="12"/>
    <x v="3"/>
    <x v="11"/>
    <x v="11"/>
    <x v="4"/>
    <x v="12"/>
    <n v="36.22"/>
    <n v="923682.44"/>
  </r>
  <r>
    <s v="ORD00014"/>
    <x v="12"/>
    <s v="C065"/>
    <x v="13"/>
    <x v="2"/>
    <x v="8"/>
    <x v="8"/>
    <x v="3"/>
    <x v="13"/>
    <n v="6.17"/>
    <n v="244103.71"/>
  </r>
  <r>
    <s v="ORD00015"/>
    <x v="13"/>
    <s v="C432"/>
    <x v="14"/>
    <x v="0"/>
    <x v="11"/>
    <x v="11"/>
    <x v="4"/>
    <x v="14"/>
    <n v="10.57"/>
    <n v="462109.83"/>
  </r>
  <r>
    <s v="ORD00016"/>
    <x v="14"/>
    <s v="C345"/>
    <x v="15"/>
    <x v="2"/>
    <x v="6"/>
    <x v="6"/>
    <x v="0"/>
    <x v="15"/>
    <n v="5.84"/>
    <n v="498116.96"/>
  </r>
  <r>
    <s v="ORD00017"/>
    <x v="15"/>
    <s v="C402"/>
    <x v="16"/>
    <x v="3"/>
    <x v="7"/>
    <x v="7"/>
    <x v="3"/>
    <x v="16"/>
    <n v="14.75"/>
    <n v="835926.75"/>
  </r>
  <r>
    <s v="ORD00018"/>
    <x v="16"/>
    <s v="C460"/>
    <x v="17"/>
    <x v="1"/>
    <x v="12"/>
    <x v="12"/>
    <x v="4"/>
    <x v="17"/>
    <n v="45.47"/>
    <n v="2359574.71"/>
  </r>
  <r>
    <s v="ORD00019"/>
    <x v="17"/>
    <s v="C015"/>
    <x v="18"/>
    <x v="4"/>
    <x v="13"/>
    <x v="13"/>
    <x v="2"/>
    <x v="18"/>
    <n v="17.68"/>
    <n v="1628504.8"/>
  </r>
  <r>
    <s v="ORD00020"/>
    <x v="18"/>
    <s v="C034"/>
    <x v="19"/>
    <x v="0"/>
    <x v="14"/>
    <x v="14"/>
    <x v="2"/>
    <x v="19"/>
    <n v="13.99"/>
    <n v="339131.59"/>
  </r>
  <r>
    <s v="ORD00021"/>
    <x v="19"/>
    <s v="C102"/>
    <x v="20"/>
    <x v="0"/>
    <x v="15"/>
    <x v="15"/>
    <x v="2"/>
    <x v="20"/>
    <n v="12.05"/>
    <n v="513667.4"/>
  </r>
  <r>
    <s v="ORD00022"/>
    <x v="13"/>
    <s v="C104"/>
    <x v="21"/>
    <x v="2"/>
    <x v="1"/>
    <x v="1"/>
    <x v="1"/>
    <x v="21"/>
    <n v="38.65"/>
    <n v="1907300.2"/>
  </r>
  <r>
    <s v="ORD00023"/>
    <x v="20"/>
    <s v="C412"/>
    <x v="22"/>
    <x v="2"/>
    <x v="8"/>
    <x v="8"/>
    <x v="3"/>
    <x v="22"/>
    <n v="30.87"/>
    <n v="2630000.52"/>
  </r>
  <r>
    <s v="ORD00024"/>
    <x v="21"/>
    <s v="C466"/>
    <x v="23"/>
    <x v="2"/>
    <x v="4"/>
    <x v="4"/>
    <x v="1"/>
    <x v="23"/>
    <n v="3.61"/>
    <n v="163915.66"/>
  </r>
  <r>
    <s v="ORD00025"/>
    <x v="22"/>
    <s v="C211"/>
    <x v="24"/>
    <x v="1"/>
    <x v="9"/>
    <x v="9"/>
    <x v="4"/>
    <x v="24"/>
    <n v="42.18"/>
    <n v="643793.34"/>
  </r>
  <r>
    <s v="ORD00026"/>
    <x v="23"/>
    <s v="C236"/>
    <x v="25"/>
    <x v="2"/>
    <x v="9"/>
    <x v="9"/>
    <x v="4"/>
    <x v="25"/>
    <n v="28.63"/>
    <n v="313584.39"/>
  </r>
  <r>
    <s v="ORD00027"/>
    <x v="24"/>
    <s v="C174"/>
    <x v="26"/>
    <x v="4"/>
    <x v="15"/>
    <x v="15"/>
    <x v="2"/>
    <x v="26"/>
    <n v="14.66"/>
    <n v="521309.6"/>
  </r>
  <r>
    <s v="ORD00028"/>
    <x v="25"/>
    <s v="C156"/>
    <x v="27"/>
    <x v="0"/>
    <x v="9"/>
    <x v="9"/>
    <x v="4"/>
    <x v="27"/>
    <n v="45.76"/>
    <n v="3104175.36"/>
  </r>
  <r>
    <s v="ORD00029"/>
    <x v="26"/>
    <s v="C011"/>
    <x v="28"/>
    <x v="4"/>
    <x v="16"/>
    <x v="16"/>
    <x v="1"/>
    <x v="28"/>
    <n v="48.07"/>
    <n v="4233669.1100000003"/>
  </r>
  <r>
    <s v="ORD00030"/>
    <x v="27"/>
    <s v="C175"/>
    <x v="29"/>
    <x v="4"/>
    <x v="17"/>
    <x v="17"/>
    <x v="1"/>
    <x v="29"/>
    <n v="6.44"/>
    <n v="376372.92"/>
  </r>
  <r>
    <s v="ORD00031"/>
    <x v="28"/>
    <s v="C029"/>
    <x v="30"/>
    <x v="4"/>
    <x v="16"/>
    <x v="16"/>
    <x v="1"/>
    <x v="30"/>
    <n v="40.04"/>
    <n v="641240.6"/>
  </r>
  <r>
    <s v="ORD00032"/>
    <x v="29"/>
    <s v="C359"/>
    <x v="31"/>
    <x v="0"/>
    <x v="18"/>
    <x v="18"/>
    <x v="0"/>
    <x v="31"/>
    <n v="20.61"/>
    <n v="614796.30000000005"/>
  </r>
  <r>
    <s v="ORD00033"/>
    <x v="30"/>
    <s v="C491"/>
    <x v="32"/>
    <x v="0"/>
    <x v="19"/>
    <x v="19"/>
    <x v="3"/>
    <x v="32"/>
    <n v="9.7200000000000006"/>
    <n v="103080.6"/>
  </r>
  <r>
    <s v="ORD00034"/>
    <x v="31"/>
    <s v="C475"/>
    <x v="33"/>
    <x v="1"/>
    <x v="14"/>
    <x v="14"/>
    <x v="2"/>
    <x v="33"/>
    <n v="45"/>
    <n v="1729935"/>
  </r>
  <r>
    <s v="ORD00035"/>
    <x v="32"/>
    <s v="C225"/>
    <x v="34"/>
    <x v="0"/>
    <x v="20"/>
    <x v="20"/>
    <x v="1"/>
    <x v="34"/>
    <n v="14.01"/>
    <n v="934663.14"/>
  </r>
  <r>
    <s v="ORD00036"/>
    <x v="33"/>
    <s v="C376"/>
    <x v="35"/>
    <x v="1"/>
    <x v="14"/>
    <x v="14"/>
    <x v="2"/>
    <x v="35"/>
    <n v="5.04"/>
    <n v="257004.72"/>
  </r>
  <r>
    <s v="ORD00037"/>
    <x v="34"/>
    <s v="C259"/>
    <x v="36"/>
    <x v="2"/>
    <x v="6"/>
    <x v="6"/>
    <x v="0"/>
    <x v="36"/>
    <n v="12.6"/>
    <n v="115630.2"/>
  </r>
  <r>
    <s v="ORD00038"/>
    <x v="35"/>
    <s v="C146"/>
    <x v="37"/>
    <x v="4"/>
    <x v="21"/>
    <x v="21"/>
    <x v="2"/>
    <x v="37"/>
    <n v="11.12"/>
    <n v="313973.2"/>
  </r>
  <r>
    <s v="ORD00039"/>
    <x v="36"/>
    <s v="C062"/>
    <x v="38"/>
    <x v="4"/>
    <x v="12"/>
    <x v="12"/>
    <x v="4"/>
    <x v="38"/>
    <n v="20.84"/>
    <n v="1851196.36"/>
  </r>
  <r>
    <s v="ORD00040"/>
    <x v="37"/>
    <s v="C100"/>
    <x v="39"/>
    <x v="0"/>
    <x v="22"/>
    <x v="22"/>
    <x v="0"/>
    <x v="39"/>
    <n v="30.16"/>
    <n v="88278.32"/>
  </r>
  <r>
    <s v="ORD00041"/>
    <x v="38"/>
    <s v="C036"/>
    <x v="40"/>
    <x v="3"/>
    <x v="23"/>
    <x v="23"/>
    <x v="0"/>
    <x v="40"/>
    <n v="35.380000000000003"/>
    <n v="3005955.56"/>
  </r>
  <r>
    <s v="ORD00042"/>
    <x v="39"/>
    <s v="C078"/>
    <x v="41"/>
    <x v="4"/>
    <x v="10"/>
    <x v="10"/>
    <x v="3"/>
    <x v="41"/>
    <n v="30.65"/>
    <n v="1796090"/>
  </r>
  <r>
    <s v="ORD00043"/>
    <x v="40"/>
    <s v="C368"/>
    <x v="7"/>
    <x v="1"/>
    <x v="24"/>
    <x v="24"/>
    <x v="3"/>
    <x v="42"/>
    <n v="38.340000000000003"/>
    <n v="1238420.3400000001"/>
  </r>
  <r>
    <s v="ORD00044"/>
    <x v="41"/>
    <s v="C009"/>
    <x v="42"/>
    <x v="1"/>
    <x v="0"/>
    <x v="0"/>
    <x v="0"/>
    <x v="43"/>
    <n v="7.65"/>
    <n v="123631.65"/>
  </r>
  <r>
    <s v="ORD00045"/>
    <x v="42"/>
    <s v="C219"/>
    <x v="43"/>
    <x v="0"/>
    <x v="25"/>
    <x v="25"/>
    <x v="4"/>
    <x v="44"/>
    <n v="4.55"/>
    <n v="116966.85"/>
  </r>
  <r>
    <s v="ORD00046"/>
    <x v="43"/>
    <s v="C087"/>
    <x v="44"/>
    <x v="0"/>
    <x v="26"/>
    <x v="26"/>
    <x v="0"/>
    <x v="45"/>
    <n v="46.37"/>
    <n v="961435.58"/>
  </r>
  <r>
    <s v="ORD00047"/>
    <x v="44"/>
    <s v="C408"/>
    <x v="45"/>
    <x v="4"/>
    <x v="20"/>
    <x v="20"/>
    <x v="1"/>
    <x v="46"/>
    <n v="14.79"/>
    <n v="565998.51"/>
  </r>
  <r>
    <s v="ORD00048"/>
    <x v="45"/>
    <s v="C102"/>
    <x v="20"/>
    <x v="0"/>
    <x v="11"/>
    <x v="11"/>
    <x v="4"/>
    <x v="47"/>
    <n v="15.82"/>
    <n v="1103239.3400000001"/>
  </r>
  <r>
    <s v="ORD00049"/>
    <x v="46"/>
    <s v="C229"/>
    <x v="46"/>
    <x v="1"/>
    <x v="27"/>
    <x v="27"/>
    <x v="4"/>
    <x v="48"/>
    <n v="28.72"/>
    <n v="2081740.48"/>
  </r>
  <r>
    <s v="ORD00050"/>
    <x v="47"/>
    <s v="C216"/>
    <x v="47"/>
    <x v="1"/>
    <x v="20"/>
    <x v="20"/>
    <x v="1"/>
    <x v="49"/>
    <n v="34.700000000000003"/>
    <n v="2545349.1"/>
  </r>
  <r>
    <s v="ORD00051"/>
    <x v="48"/>
    <s v="C330"/>
    <x v="48"/>
    <x v="2"/>
    <x v="9"/>
    <x v="9"/>
    <x v="4"/>
    <x v="50"/>
    <n v="6.95"/>
    <n v="497842.4"/>
  </r>
  <r>
    <s v="ORD00052"/>
    <x v="23"/>
    <s v="C297"/>
    <x v="49"/>
    <x v="3"/>
    <x v="28"/>
    <x v="28"/>
    <x v="3"/>
    <x v="51"/>
    <n v="22.18"/>
    <n v="581914.48"/>
  </r>
  <r>
    <s v="ORD00053"/>
    <x v="49"/>
    <s v="C406"/>
    <x v="50"/>
    <x v="3"/>
    <x v="0"/>
    <x v="0"/>
    <x v="0"/>
    <x v="52"/>
    <n v="21.43"/>
    <n v="1075314.54"/>
  </r>
  <r>
    <s v="ORD00054"/>
    <x v="50"/>
    <s v="C225"/>
    <x v="34"/>
    <x v="0"/>
    <x v="20"/>
    <x v="20"/>
    <x v="1"/>
    <x v="53"/>
    <n v="31.8"/>
    <n v="2078670.6"/>
  </r>
  <r>
    <s v="ORD00055"/>
    <x v="51"/>
    <s v="C226"/>
    <x v="51"/>
    <x v="0"/>
    <x v="29"/>
    <x v="29"/>
    <x v="0"/>
    <x v="54"/>
    <n v="46.17"/>
    <n v="2763782.37"/>
  </r>
  <r>
    <s v="ORD00056"/>
    <x v="52"/>
    <s v="C387"/>
    <x v="52"/>
    <x v="2"/>
    <x v="3"/>
    <x v="3"/>
    <x v="2"/>
    <x v="55"/>
    <n v="12.56"/>
    <n v="894573.44"/>
  </r>
  <r>
    <s v="ORD00057"/>
    <x v="20"/>
    <s v="C208"/>
    <x v="53"/>
    <x v="1"/>
    <x v="21"/>
    <x v="21"/>
    <x v="2"/>
    <x v="56"/>
    <n v="5.13"/>
    <n v="346490.46"/>
  </r>
  <r>
    <s v="ORD00058"/>
    <x v="53"/>
    <s v="C124"/>
    <x v="54"/>
    <x v="1"/>
    <x v="28"/>
    <x v="28"/>
    <x v="3"/>
    <x v="57"/>
    <n v="49.01"/>
    <n v="2750588.23"/>
  </r>
  <r>
    <s v="ORD00059"/>
    <x v="54"/>
    <s v="C094"/>
    <x v="55"/>
    <x v="1"/>
    <x v="30"/>
    <x v="30"/>
    <x v="4"/>
    <x v="58"/>
    <n v="8.3800000000000008"/>
    <n v="473947.66"/>
  </r>
  <r>
    <s v="ORD00060"/>
    <x v="55"/>
    <s v="C481"/>
    <x v="56"/>
    <x v="0"/>
    <x v="5"/>
    <x v="5"/>
    <x v="3"/>
    <x v="59"/>
    <n v="24.09"/>
    <n v="1882922.58"/>
  </r>
  <r>
    <s v="ORD00061"/>
    <x v="56"/>
    <s v="C424"/>
    <x v="57"/>
    <x v="2"/>
    <x v="18"/>
    <x v="18"/>
    <x v="0"/>
    <x v="60"/>
    <n v="48.15"/>
    <n v="1713225.15"/>
  </r>
  <r>
    <s v="ORD00062"/>
    <x v="53"/>
    <s v="C479"/>
    <x v="58"/>
    <x v="3"/>
    <x v="7"/>
    <x v="7"/>
    <x v="3"/>
    <x v="61"/>
    <n v="16.559999999999999"/>
    <n v="154206.72"/>
  </r>
  <r>
    <s v="ORD00063"/>
    <x v="57"/>
    <s v="C271"/>
    <x v="4"/>
    <x v="1"/>
    <x v="31"/>
    <x v="31"/>
    <x v="0"/>
    <x v="62"/>
    <n v="34.06"/>
    <n v="1815738.6"/>
  </r>
  <r>
    <s v="ORD00064"/>
    <x v="58"/>
    <s v="C403"/>
    <x v="59"/>
    <x v="0"/>
    <x v="32"/>
    <x v="32"/>
    <x v="4"/>
    <x v="63"/>
    <n v="36.21"/>
    <n v="2484259.4700000002"/>
  </r>
  <r>
    <s v="ORD00065"/>
    <x v="59"/>
    <s v="C435"/>
    <x v="60"/>
    <x v="4"/>
    <x v="33"/>
    <x v="33"/>
    <x v="1"/>
    <x v="64"/>
    <n v="48.21"/>
    <n v="4285820.79"/>
  </r>
  <r>
    <s v="ORD00066"/>
    <x v="60"/>
    <s v="C463"/>
    <x v="61"/>
    <x v="3"/>
    <x v="9"/>
    <x v="9"/>
    <x v="4"/>
    <x v="65"/>
    <n v="41.02"/>
    <n v="1190851.6200000001"/>
  </r>
  <r>
    <s v="ORD00067"/>
    <x v="61"/>
    <s v="C361"/>
    <x v="62"/>
    <x v="4"/>
    <x v="27"/>
    <x v="27"/>
    <x v="4"/>
    <x v="66"/>
    <n v="27.3"/>
    <n v="621402.6"/>
  </r>
  <r>
    <s v="ORD00068"/>
    <x v="62"/>
    <s v="C398"/>
    <x v="63"/>
    <x v="1"/>
    <x v="34"/>
    <x v="34"/>
    <x v="2"/>
    <x v="67"/>
    <n v="13.29"/>
    <n v="1213137.78"/>
  </r>
  <r>
    <s v="ORD00069"/>
    <x v="63"/>
    <s v="C250"/>
    <x v="64"/>
    <x v="1"/>
    <x v="6"/>
    <x v="6"/>
    <x v="0"/>
    <x v="68"/>
    <n v="15.94"/>
    <n v="911337.62"/>
  </r>
  <r>
    <s v="ORD00070"/>
    <x v="64"/>
    <s v="C271"/>
    <x v="4"/>
    <x v="1"/>
    <x v="19"/>
    <x v="19"/>
    <x v="3"/>
    <x v="69"/>
    <n v="19.98"/>
    <n v="390409.2"/>
  </r>
  <r>
    <s v="ORD00071"/>
    <x v="65"/>
    <s v="C264"/>
    <x v="65"/>
    <x v="0"/>
    <x v="15"/>
    <x v="15"/>
    <x v="2"/>
    <x v="70"/>
    <n v="15.21"/>
    <n v="67669.289999999994"/>
  </r>
  <r>
    <s v="ORD00072"/>
    <x v="66"/>
    <s v="C051"/>
    <x v="66"/>
    <x v="4"/>
    <x v="17"/>
    <x v="17"/>
    <x v="1"/>
    <x v="71"/>
    <n v="33.729999999999997"/>
    <n v="1934415.5"/>
  </r>
  <r>
    <s v="ORD00073"/>
    <x v="67"/>
    <s v="C135"/>
    <x v="67"/>
    <x v="1"/>
    <x v="13"/>
    <x v="13"/>
    <x v="2"/>
    <x v="72"/>
    <n v="24.25"/>
    <n v="2047112.25"/>
  </r>
  <r>
    <s v="ORD00074"/>
    <x v="68"/>
    <s v="C498"/>
    <x v="68"/>
    <x v="0"/>
    <x v="28"/>
    <x v="28"/>
    <x v="3"/>
    <x v="73"/>
    <n v="34.799999999999997"/>
    <n v="1609708.8"/>
  </r>
  <r>
    <s v="ORD00075"/>
    <x v="69"/>
    <s v="C228"/>
    <x v="69"/>
    <x v="2"/>
    <x v="10"/>
    <x v="10"/>
    <x v="3"/>
    <x v="74"/>
    <n v="17.05"/>
    <n v="130620.05"/>
  </r>
  <r>
    <s v="ORD00076"/>
    <x v="70"/>
    <s v="C432"/>
    <x v="14"/>
    <x v="0"/>
    <x v="15"/>
    <x v="15"/>
    <x v="2"/>
    <x v="75"/>
    <n v="18.510000000000002"/>
    <n v="1285075.26"/>
  </r>
  <r>
    <s v="ORD00077"/>
    <x v="71"/>
    <s v="C407"/>
    <x v="70"/>
    <x v="0"/>
    <x v="25"/>
    <x v="25"/>
    <x v="4"/>
    <x v="76"/>
    <n v="20.88"/>
    <n v="1110106.08"/>
  </r>
  <r>
    <s v="ORD00078"/>
    <x v="72"/>
    <s v="C133"/>
    <x v="71"/>
    <x v="4"/>
    <x v="13"/>
    <x v="13"/>
    <x v="2"/>
    <x v="77"/>
    <n v="27.92"/>
    <n v="753197.84"/>
  </r>
  <r>
    <s v="ORD00079"/>
    <x v="73"/>
    <s v="C363"/>
    <x v="72"/>
    <x v="4"/>
    <x v="24"/>
    <x v="24"/>
    <x v="3"/>
    <x v="78"/>
    <n v="28.54"/>
    <n v="2459976.7599999998"/>
  </r>
  <r>
    <s v="ORD00080"/>
    <x v="74"/>
    <s v="C440"/>
    <x v="73"/>
    <x v="0"/>
    <x v="29"/>
    <x v="29"/>
    <x v="0"/>
    <x v="79"/>
    <n v="6.25"/>
    <n v="375318.75"/>
  </r>
  <r>
    <s v="ORD00081"/>
    <x v="75"/>
    <s v="C118"/>
    <x v="74"/>
    <x v="1"/>
    <x v="24"/>
    <x v="24"/>
    <x v="3"/>
    <x v="80"/>
    <n v="31.52"/>
    <n v="2648657.12"/>
  </r>
  <r>
    <s v="ORD00082"/>
    <x v="76"/>
    <s v="C232"/>
    <x v="75"/>
    <x v="0"/>
    <x v="35"/>
    <x v="35"/>
    <x v="1"/>
    <x v="81"/>
    <n v="35.130000000000003"/>
    <n v="2310043.41"/>
  </r>
  <r>
    <s v="ORD00083"/>
    <x v="77"/>
    <s v="C468"/>
    <x v="76"/>
    <x v="1"/>
    <x v="20"/>
    <x v="20"/>
    <x v="1"/>
    <x v="82"/>
    <n v="22.74"/>
    <n v="2024655.9"/>
  </r>
  <r>
    <s v="ORD00084"/>
    <x v="78"/>
    <s v="C034"/>
    <x v="19"/>
    <x v="0"/>
    <x v="36"/>
    <x v="36"/>
    <x v="4"/>
    <x v="83"/>
    <n v="11.98"/>
    <n v="942011.36"/>
  </r>
  <r>
    <s v="ORD00085"/>
    <x v="79"/>
    <s v="C112"/>
    <x v="77"/>
    <x v="1"/>
    <x v="12"/>
    <x v="12"/>
    <x v="4"/>
    <x v="84"/>
    <n v="33.380000000000003"/>
    <n v="2149805.52"/>
  </r>
  <r>
    <s v="ORD00086"/>
    <x v="80"/>
    <s v="C109"/>
    <x v="78"/>
    <x v="1"/>
    <x v="31"/>
    <x v="31"/>
    <x v="0"/>
    <x v="85"/>
    <n v="30.05"/>
    <n v="1082190.6499999999"/>
  </r>
  <r>
    <s v="ORD00087"/>
    <x v="7"/>
    <s v="C219"/>
    <x v="43"/>
    <x v="0"/>
    <x v="37"/>
    <x v="37"/>
    <x v="1"/>
    <x v="86"/>
    <n v="46.77"/>
    <n v="126372.54"/>
  </r>
  <r>
    <s v="ORD00088"/>
    <x v="81"/>
    <s v="C089"/>
    <x v="79"/>
    <x v="4"/>
    <x v="16"/>
    <x v="16"/>
    <x v="1"/>
    <x v="87"/>
    <n v="42.98"/>
    <n v="1543282.86"/>
  </r>
  <r>
    <s v="ORD00089"/>
    <x v="82"/>
    <s v="C020"/>
    <x v="80"/>
    <x v="4"/>
    <x v="3"/>
    <x v="3"/>
    <x v="2"/>
    <x v="88"/>
    <n v="25.07"/>
    <n v="2246773.4"/>
  </r>
  <r>
    <s v="ORD00090"/>
    <x v="35"/>
    <s v="C355"/>
    <x v="81"/>
    <x v="2"/>
    <x v="38"/>
    <x v="38"/>
    <x v="2"/>
    <x v="89"/>
    <n v="49.37"/>
    <n v="114044.7"/>
  </r>
  <r>
    <s v="ORD00091"/>
    <x v="83"/>
    <s v="C496"/>
    <x v="82"/>
    <x v="0"/>
    <x v="14"/>
    <x v="14"/>
    <x v="2"/>
    <x v="90"/>
    <n v="16.489999999999998"/>
    <n v="1575619.5"/>
  </r>
  <r>
    <s v="ORD00092"/>
    <x v="84"/>
    <s v="C088"/>
    <x v="83"/>
    <x v="0"/>
    <x v="8"/>
    <x v="8"/>
    <x v="3"/>
    <x v="91"/>
    <n v="47.11"/>
    <n v="4310565"/>
  </r>
  <r>
    <s v="ORD00093"/>
    <x v="53"/>
    <s v="C013"/>
    <x v="84"/>
    <x v="3"/>
    <x v="31"/>
    <x v="31"/>
    <x v="0"/>
    <x v="92"/>
    <n v="24.34"/>
    <n v="794116.84"/>
  </r>
  <r>
    <s v="ORD00094"/>
    <x v="85"/>
    <s v="C195"/>
    <x v="85"/>
    <x v="4"/>
    <x v="21"/>
    <x v="21"/>
    <x v="2"/>
    <x v="93"/>
    <n v="19.48"/>
    <n v="800725.4"/>
  </r>
  <r>
    <s v="ORD00095"/>
    <x v="86"/>
    <s v="C500"/>
    <x v="86"/>
    <x v="0"/>
    <x v="13"/>
    <x v="13"/>
    <x v="2"/>
    <x v="94"/>
    <n v="12.38"/>
    <n v="390180.46"/>
  </r>
  <r>
    <s v="ORD00096"/>
    <x v="87"/>
    <s v="C477"/>
    <x v="87"/>
    <x v="4"/>
    <x v="16"/>
    <x v="16"/>
    <x v="1"/>
    <x v="95"/>
    <n v="5.29"/>
    <n v="449792.83"/>
  </r>
  <r>
    <s v="ORD00097"/>
    <x v="88"/>
    <s v="C019"/>
    <x v="88"/>
    <x v="0"/>
    <x v="1"/>
    <x v="1"/>
    <x v="1"/>
    <x v="96"/>
    <n v="18.440000000000001"/>
    <n v="614955.56000000006"/>
  </r>
  <r>
    <s v="ORD00098"/>
    <x v="89"/>
    <s v="C183"/>
    <x v="89"/>
    <x v="0"/>
    <x v="17"/>
    <x v="17"/>
    <x v="1"/>
    <x v="97"/>
    <n v="48.27"/>
    <n v="2456653.38"/>
  </r>
  <r>
    <s v="ORD00099"/>
    <x v="90"/>
    <s v="C212"/>
    <x v="90"/>
    <x v="4"/>
    <x v="4"/>
    <x v="4"/>
    <x v="1"/>
    <x v="98"/>
    <n v="48.03"/>
    <n v="2411202.06"/>
  </r>
  <r>
    <s v="ORD00100"/>
    <x v="91"/>
    <s v="C477"/>
    <x v="87"/>
    <x v="4"/>
    <x v="31"/>
    <x v="31"/>
    <x v="0"/>
    <x v="99"/>
    <n v="45.42"/>
    <n v="4024257.42"/>
  </r>
  <r>
    <s v="ORD00101"/>
    <x v="92"/>
    <s v="C297"/>
    <x v="49"/>
    <x v="3"/>
    <x v="35"/>
    <x v="35"/>
    <x v="1"/>
    <x v="100"/>
    <n v="32.04"/>
    <n v="2614912.56"/>
  </r>
  <r>
    <s v="ORD00102"/>
    <x v="93"/>
    <s v="C097"/>
    <x v="91"/>
    <x v="3"/>
    <x v="17"/>
    <x v="17"/>
    <x v="1"/>
    <x v="101"/>
    <n v="14.41"/>
    <n v="1164933.22"/>
  </r>
  <r>
    <s v="ORD00103"/>
    <x v="94"/>
    <s v="C360"/>
    <x v="92"/>
    <x v="3"/>
    <x v="0"/>
    <x v="0"/>
    <x v="0"/>
    <x v="102"/>
    <n v="19.93"/>
    <n v="120297.48"/>
  </r>
  <r>
    <s v="ORD00104"/>
    <x v="95"/>
    <s v="C181"/>
    <x v="93"/>
    <x v="0"/>
    <x v="20"/>
    <x v="20"/>
    <x v="1"/>
    <x v="103"/>
    <n v="16.68"/>
    <n v="930043.44"/>
  </r>
  <r>
    <s v="ORD00105"/>
    <x v="96"/>
    <s v="C145"/>
    <x v="94"/>
    <x v="4"/>
    <x v="22"/>
    <x v="22"/>
    <x v="0"/>
    <x v="104"/>
    <n v="25.11"/>
    <n v="1213264.98"/>
  </r>
  <r>
    <s v="ORD00106"/>
    <x v="97"/>
    <s v="C330"/>
    <x v="48"/>
    <x v="2"/>
    <x v="39"/>
    <x v="39"/>
    <x v="3"/>
    <x v="105"/>
    <n v="13.41"/>
    <n v="170011.98"/>
  </r>
  <r>
    <s v="ORD00107"/>
    <x v="98"/>
    <s v="C397"/>
    <x v="95"/>
    <x v="3"/>
    <x v="18"/>
    <x v="18"/>
    <x v="0"/>
    <x v="106"/>
    <n v="25.73"/>
    <n v="970535.6"/>
  </r>
  <r>
    <s v="ORD00108"/>
    <x v="99"/>
    <s v="C008"/>
    <x v="96"/>
    <x v="1"/>
    <x v="2"/>
    <x v="2"/>
    <x v="1"/>
    <x v="107"/>
    <n v="20.88"/>
    <n v="917696.88"/>
  </r>
  <r>
    <s v="ORD00109"/>
    <x v="100"/>
    <s v="C393"/>
    <x v="5"/>
    <x v="3"/>
    <x v="17"/>
    <x v="17"/>
    <x v="1"/>
    <x v="108"/>
    <n v="21.61"/>
    <n v="841385.35"/>
  </r>
  <r>
    <s v="ORD00110"/>
    <x v="101"/>
    <s v="C354"/>
    <x v="97"/>
    <x v="4"/>
    <x v="40"/>
    <x v="40"/>
    <x v="0"/>
    <x v="109"/>
    <n v="31.72"/>
    <n v="171541.76000000001"/>
  </r>
  <r>
    <s v="ORD00111"/>
    <x v="102"/>
    <s v="C272"/>
    <x v="98"/>
    <x v="0"/>
    <x v="34"/>
    <x v="34"/>
    <x v="2"/>
    <x v="110"/>
    <n v="7.83"/>
    <n v="130048.47"/>
  </r>
  <r>
    <s v="ORD00112"/>
    <x v="103"/>
    <s v="C015"/>
    <x v="18"/>
    <x v="4"/>
    <x v="41"/>
    <x v="41"/>
    <x v="4"/>
    <x v="111"/>
    <n v="15.39"/>
    <n v="99111.6"/>
  </r>
  <r>
    <s v="ORD00113"/>
    <x v="104"/>
    <s v="C266"/>
    <x v="99"/>
    <x v="0"/>
    <x v="11"/>
    <x v="11"/>
    <x v="4"/>
    <x v="112"/>
    <n v="47.18"/>
    <n v="364890.12"/>
  </r>
  <r>
    <s v="ORD00114"/>
    <x v="105"/>
    <s v="C499"/>
    <x v="100"/>
    <x v="0"/>
    <x v="35"/>
    <x v="35"/>
    <x v="1"/>
    <x v="113"/>
    <n v="24.13"/>
    <n v="806400.47"/>
  </r>
  <r>
    <s v="ORD00115"/>
    <x v="106"/>
    <s v="C305"/>
    <x v="101"/>
    <x v="1"/>
    <x v="8"/>
    <x v="8"/>
    <x v="3"/>
    <x v="114"/>
    <n v="25.52"/>
    <n v="880848.32"/>
  </r>
  <r>
    <s v="ORD00116"/>
    <x v="107"/>
    <s v="C473"/>
    <x v="102"/>
    <x v="2"/>
    <x v="14"/>
    <x v="14"/>
    <x v="2"/>
    <x v="115"/>
    <n v="39.58"/>
    <n v="741175.08"/>
  </r>
  <r>
    <s v="ORD00117"/>
    <x v="108"/>
    <s v="C458"/>
    <x v="103"/>
    <x v="1"/>
    <x v="18"/>
    <x v="18"/>
    <x v="0"/>
    <x v="116"/>
    <n v="39.49"/>
    <n v="3683311.28"/>
  </r>
  <r>
    <s v="ORD00118"/>
    <x v="109"/>
    <s v="C216"/>
    <x v="47"/>
    <x v="1"/>
    <x v="25"/>
    <x v="25"/>
    <x v="4"/>
    <x v="117"/>
    <n v="42.33"/>
    <n v="3182411.73"/>
  </r>
  <r>
    <s v="ORD00119"/>
    <x v="110"/>
    <s v="C341"/>
    <x v="104"/>
    <x v="0"/>
    <x v="5"/>
    <x v="5"/>
    <x v="3"/>
    <x v="118"/>
    <n v="45.37"/>
    <n v="2303797.86"/>
  </r>
  <r>
    <s v="ORD00120"/>
    <x v="111"/>
    <s v="C443"/>
    <x v="105"/>
    <x v="1"/>
    <x v="42"/>
    <x v="42"/>
    <x v="1"/>
    <x v="119"/>
    <n v="38.44"/>
    <n v="529203.48"/>
  </r>
  <r>
    <s v="ORD00121"/>
    <x v="112"/>
    <s v="C194"/>
    <x v="106"/>
    <x v="2"/>
    <x v="3"/>
    <x v="3"/>
    <x v="2"/>
    <x v="120"/>
    <n v="3.4"/>
    <n v="134405.4"/>
  </r>
  <r>
    <s v="ORD00122"/>
    <x v="113"/>
    <s v="C134"/>
    <x v="107"/>
    <x v="3"/>
    <x v="25"/>
    <x v="25"/>
    <x v="4"/>
    <x v="121"/>
    <n v="42.68"/>
    <n v="4152721.32"/>
  </r>
  <r>
    <s v="ORD00123"/>
    <x v="114"/>
    <s v="C187"/>
    <x v="108"/>
    <x v="3"/>
    <x v="39"/>
    <x v="39"/>
    <x v="3"/>
    <x v="122"/>
    <n v="48.6"/>
    <n v="2096166.6"/>
  </r>
  <r>
    <s v="ORD00124"/>
    <x v="115"/>
    <s v="C067"/>
    <x v="109"/>
    <x v="2"/>
    <x v="17"/>
    <x v="17"/>
    <x v="1"/>
    <x v="123"/>
    <n v="21.97"/>
    <n v="1750240.05"/>
  </r>
  <r>
    <s v="ORD00125"/>
    <x v="116"/>
    <s v="C421"/>
    <x v="110"/>
    <x v="2"/>
    <x v="35"/>
    <x v="35"/>
    <x v="1"/>
    <x v="124"/>
    <n v="29.54"/>
    <n v="2239840.96"/>
  </r>
  <r>
    <s v="ORD00126"/>
    <x v="58"/>
    <s v="C432"/>
    <x v="14"/>
    <x v="0"/>
    <x v="6"/>
    <x v="6"/>
    <x v="0"/>
    <x v="125"/>
    <n v="7.17"/>
    <n v="561618.93000000005"/>
  </r>
  <r>
    <s v="ORD00127"/>
    <x v="117"/>
    <s v="C183"/>
    <x v="89"/>
    <x v="0"/>
    <x v="31"/>
    <x v="31"/>
    <x v="0"/>
    <x v="126"/>
    <n v="5.75"/>
    <n v="154830.25"/>
  </r>
  <r>
    <s v="ORD00128"/>
    <x v="118"/>
    <s v="C252"/>
    <x v="111"/>
    <x v="4"/>
    <x v="43"/>
    <x v="43"/>
    <x v="4"/>
    <x v="127"/>
    <n v="3.8"/>
    <n v="121554.4"/>
  </r>
  <r>
    <s v="ORD00129"/>
    <x v="119"/>
    <s v="C068"/>
    <x v="112"/>
    <x v="2"/>
    <x v="44"/>
    <x v="44"/>
    <x v="2"/>
    <x v="128"/>
    <n v="34.590000000000003"/>
    <n v="2149906.86"/>
  </r>
  <r>
    <s v="ORD00130"/>
    <x v="120"/>
    <s v="C381"/>
    <x v="113"/>
    <x v="2"/>
    <x v="10"/>
    <x v="10"/>
    <x v="3"/>
    <x v="129"/>
    <n v="38.97"/>
    <n v="2936311.56"/>
  </r>
  <r>
    <s v="ORD00131"/>
    <x v="121"/>
    <s v="C110"/>
    <x v="114"/>
    <x v="1"/>
    <x v="32"/>
    <x v="32"/>
    <x v="4"/>
    <x v="130"/>
    <n v="23.32"/>
    <n v="53962.48"/>
  </r>
  <r>
    <s v="ORD00132"/>
    <x v="122"/>
    <s v="C441"/>
    <x v="115"/>
    <x v="0"/>
    <x v="45"/>
    <x v="45"/>
    <x v="3"/>
    <x v="131"/>
    <n v="35.15"/>
    <n v="2108929.7000000002"/>
  </r>
  <r>
    <s v="ORD00133"/>
    <x v="59"/>
    <s v="C421"/>
    <x v="110"/>
    <x v="2"/>
    <x v="40"/>
    <x v="40"/>
    <x v="0"/>
    <x v="132"/>
    <n v="2.2200000000000002"/>
    <n v="176576.58"/>
  </r>
  <r>
    <s v="ORD00134"/>
    <x v="123"/>
    <s v="C286"/>
    <x v="116"/>
    <x v="3"/>
    <x v="38"/>
    <x v="38"/>
    <x v="2"/>
    <x v="133"/>
    <n v="24.5"/>
    <n v="111499.5"/>
  </r>
  <r>
    <s v="ORD00135"/>
    <x v="124"/>
    <s v="C158"/>
    <x v="117"/>
    <x v="3"/>
    <x v="25"/>
    <x v="25"/>
    <x v="4"/>
    <x v="134"/>
    <n v="10.119999999999999"/>
    <n v="885469.64"/>
  </r>
  <r>
    <s v="ORD00136"/>
    <x v="125"/>
    <s v="C397"/>
    <x v="95"/>
    <x v="3"/>
    <x v="15"/>
    <x v="15"/>
    <x v="2"/>
    <x v="135"/>
    <n v="39.03"/>
    <n v="596183.25"/>
  </r>
  <r>
    <s v="ORD00137"/>
    <x v="126"/>
    <s v="C498"/>
    <x v="68"/>
    <x v="0"/>
    <x v="35"/>
    <x v="35"/>
    <x v="1"/>
    <x v="136"/>
    <n v="46.75"/>
    <n v="3692782.5"/>
  </r>
  <r>
    <s v="ORD00138"/>
    <x v="127"/>
    <s v="C146"/>
    <x v="37"/>
    <x v="4"/>
    <x v="18"/>
    <x v="18"/>
    <x v="0"/>
    <x v="137"/>
    <n v="39.14"/>
    <n v="2077198.94"/>
  </r>
  <r>
    <s v="ORD00139"/>
    <x v="128"/>
    <s v="C464"/>
    <x v="118"/>
    <x v="2"/>
    <x v="3"/>
    <x v="3"/>
    <x v="2"/>
    <x v="138"/>
    <n v="17.59"/>
    <n v="1344474.06"/>
  </r>
  <r>
    <s v="ORD00140"/>
    <x v="129"/>
    <s v="C376"/>
    <x v="35"/>
    <x v="1"/>
    <x v="38"/>
    <x v="38"/>
    <x v="2"/>
    <x v="139"/>
    <n v="11.92"/>
    <n v="314783.35999999999"/>
  </r>
  <r>
    <s v="ORD00141"/>
    <x v="130"/>
    <s v="C393"/>
    <x v="5"/>
    <x v="3"/>
    <x v="45"/>
    <x v="45"/>
    <x v="3"/>
    <x v="140"/>
    <n v="24.7"/>
    <n v="1881102.6"/>
  </r>
  <r>
    <s v="ORD00142"/>
    <x v="131"/>
    <s v="C200"/>
    <x v="119"/>
    <x v="4"/>
    <x v="2"/>
    <x v="2"/>
    <x v="1"/>
    <x v="141"/>
    <n v="27.23"/>
    <n v="2456636.14"/>
  </r>
  <r>
    <s v="ORD00143"/>
    <x v="132"/>
    <s v="C101"/>
    <x v="120"/>
    <x v="4"/>
    <x v="40"/>
    <x v="40"/>
    <x v="0"/>
    <x v="142"/>
    <n v="6.34"/>
    <n v="569401.74"/>
  </r>
  <r>
    <s v="ORD00144"/>
    <x v="133"/>
    <s v="C152"/>
    <x v="121"/>
    <x v="0"/>
    <x v="37"/>
    <x v="37"/>
    <x v="1"/>
    <x v="143"/>
    <n v="7.28"/>
    <n v="130246.48"/>
  </r>
  <r>
    <s v="ORD00145"/>
    <x v="134"/>
    <s v="C110"/>
    <x v="114"/>
    <x v="1"/>
    <x v="44"/>
    <x v="44"/>
    <x v="2"/>
    <x v="144"/>
    <n v="5.32"/>
    <n v="460791.8"/>
  </r>
  <r>
    <s v="ORD00146"/>
    <x v="135"/>
    <s v="C119"/>
    <x v="122"/>
    <x v="0"/>
    <x v="23"/>
    <x v="23"/>
    <x v="0"/>
    <x v="145"/>
    <n v="37.01"/>
    <n v="2277003.2400000002"/>
  </r>
  <r>
    <s v="ORD00147"/>
    <x v="136"/>
    <s v="C262"/>
    <x v="123"/>
    <x v="1"/>
    <x v="16"/>
    <x v="16"/>
    <x v="1"/>
    <x v="146"/>
    <n v="2.76"/>
    <n v="20606.16"/>
  </r>
  <r>
    <s v="ORD00148"/>
    <x v="137"/>
    <s v="C484"/>
    <x v="124"/>
    <x v="3"/>
    <x v="46"/>
    <x v="46"/>
    <x v="0"/>
    <x v="147"/>
    <n v="3.99"/>
    <n v="264389.37"/>
  </r>
  <r>
    <s v="ORD00149"/>
    <x v="138"/>
    <s v="C146"/>
    <x v="37"/>
    <x v="4"/>
    <x v="4"/>
    <x v="4"/>
    <x v="1"/>
    <x v="148"/>
    <n v="19.89"/>
    <n v="340934.49"/>
  </r>
  <r>
    <s v="ORD00150"/>
    <x v="139"/>
    <s v="C184"/>
    <x v="125"/>
    <x v="2"/>
    <x v="10"/>
    <x v="10"/>
    <x v="3"/>
    <x v="149"/>
    <n v="31.27"/>
    <n v="1531135.55"/>
  </r>
  <r>
    <s v="ORD00151"/>
    <x v="140"/>
    <s v="C275"/>
    <x v="126"/>
    <x v="1"/>
    <x v="1"/>
    <x v="1"/>
    <x v="1"/>
    <x v="150"/>
    <n v="28.47"/>
    <n v="1490062.86"/>
  </r>
  <r>
    <s v="ORD00152"/>
    <x v="141"/>
    <s v="C193"/>
    <x v="127"/>
    <x v="4"/>
    <x v="29"/>
    <x v="29"/>
    <x v="0"/>
    <x v="151"/>
    <n v="8.86"/>
    <n v="312580.8"/>
  </r>
  <r>
    <s v="ORD00153"/>
    <x v="142"/>
    <s v="C311"/>
    <x v="128"/>
    <x v="0"/>
    <x v="32"/>
    <x v="32"/>
    <x v="4"/>
    <x v="152"/>
    <n v="48.23"/>
    <n v="4059712.02"/>
  </r>
  <r>
    <s v="ORD00154"/>
    <x v="143"/>
    <s v="C054"/>
    <x v="129"/>
    <x v="3"/>
    <x v="7"/>
    <x v="7"/>
    <x v="3"/>
    <x v="153"/>
    <n v="49.14"/>
    <n v="4478373.9000000004"/>
  </r>
  <r>
    <s v="ORD00155"/>
    <x v="144"/>
    <s v="C083"/>
    <x v="130"/>
    <x v="3"/>
    <x v="38"/>
    <x v="38"/>
    <x v="2"/>
    <x v="154"/>
    <n v="14.15"/>
    <n v="657055.25"/>
  </r>
  <r>
    <s v="ORD00156"/>
    <x v="145"/>
    <s v="C467"/>
    <x v="131"/>
    <x v="2"/>
    <x v="11"/>
    <x v="11"/>
    <x v="4"/>
    <x v="155"/>
    <n v="48.29"/>
    <n v="4151346.43"/>
  </r>
  <r>
    <s v="ORD00157"/>
    <x v="146"/>
    <s v="C315"/>
    <x v="132"/>
    <x v="2"/>
    <x v="19"/>
    <x v="19"/>
    <x v="3"/>
    <x v="156"/>
    <n v="26.17"/>
    <n v="1943619.73"/>
  </r>
  <r>
    <s v="ORD00158"/>
    <x v="147"/>
    <s v="C003"/>
    <x v="133"/>
    <x v="1"/>
    <x v="47"/>
    <x v="47"/>
    <x v="2"/>
    <x v="157"/>
    <n v="10.37"/>
    <n v="51165.58"/>
  </r>
  <r>
    <s v="ORD00159"/>
    <x v="148"/>
    <s v="C014"/>
    <x v="134"/>
    <x v="2"/>
    <x v="7"/>
    <x v="7"/>
    <x v="3"/>
    <x v="158"/>
    <n v="18.75"/>
    <n v="1149900"/>
  </r>
  <r>
    <s v="ORD00160"/>
    <x v="149"/>
    <s v="C334"/>
    <x v="135"/>
    <x v="3"/>
    <x v="22"/>
    <x v="22"/>
    <x v="0"/>
    <x v="159"/>
    <n v="27.28"/>
    <n v="1682439.44"/>
  </r>
  <r>
    <s v="ORD00161"/>
    <x v="150"/>
    <s v="C496"/>
    <x v="82"/>
    <x v="0"/>
    <x v="28"/>
    <x v="28"/>
    <x v="3"/>
    <x v="160"/>
    <n v="28.61"/>
    <n v="1136732.52"/>
  </r>
  <r>
    <s v="ORD00162"/>
    <x v="151"/>
    <s v="C382"/>
    <x v="136"/>
    <x v="3"/>
    <x v="48"/>
    <x v="48"/>
    <x v="2"/>
    <x v="161"/>
    <n v="5.0999999999999996"/>
    <n v="143636.4"/>
  </r>
  <r>
    <s v="ORD00163"/>
    <x v="152"/>
    <s v="C245"/>
    <x v="137"/>
    <x v="1"/>
    <x v="7"/>
    <x v="7"/>
    <x v="3"/>
    <x v="162"/>
    <n v="24.96"/>
    <n v="451451.52"/>
  </r>
  <r>
    <s v="ORD00164"/>
    <x v="153"/>
    <s v="C297"/>
    <x v="49"/>
    <x v="3"/>
    <x v="45"/>
    <x v="45"/>
    <x v="3"/>
    <x v="163"/>
    <n v="48.96"/>
    <n v="529551.35999999999"/>
  </r>
  <r>
    <s v="ORD00165"/>
    <x v="154"/>
    <s v="C188"/>
    <x v="138"/>
    <x v="0"/>
    <x v="33"/>
    <x v="33"/>
    <x v="1"/>
    <x v="164"/>
    <n v="39.47"/>
    <n v="3453309.24"/>
  </r>
  <r>
    <s v="ORD00166"/>
    <x v="155"/>
    <s v="C034"/>
    <x v="19"/>
    <x v="0"/>
    <x v="15"/>
    <x v="15"/>
    <x v="2"/>
    <x v="165"/>
    <n v="36.43"/>
    <n v="644993.15"/>
  </r>
  <r>
    <s v="ORD00167"/>
    <x v="156"/>
    <s v="C017"/>
    <x v="139"/>
    <x v="4"/>
    <x v="27"/>
    <x v="27"/>
    <x v="4"/>
    <x v="166"/>
    <n v="36.79"/>
    <n v="486768.49"/>
  </r>
  <r>
    <s v="ORD00168"/>
    <x v="157"/>
    <s v="C465"/>
    <x v="140"/>
    <x v="2"/>
    <x v="47"/>
    <x v="47"/>
    <x v="2"/>
    <x v="167"/>
    <n v="4.37"/>
    <n v="435134.01"/>
  </r>
  <r>
    <s v="ORD00169"/>
    <x v="137"/>
    <s v="C444"/>
    <x v="6"/>
    <x v="1"/>
    <x v="44"/>
    <x v="44"/>
    <x v="2"/>
    <x v="168"/>
    <n v="41.67"/>
    <n v="1663591.41"/>
  </r>
  <r>
    <s v="ORD00170"/>
    <x v="158"/>
    <s v="C490"/>
    <x v="141"/>
    <x v="2"/>
    <x v="34"/>
    <x v="34"/>
    <x v="2"/>
    <x v="169"/>
    <n v="6.73"/>
    <n v="185586.48"/>
  </r>
  <r>
    <s v="ORD00171"/>
    <x v="159"/>
    <s v="C251"/>
    <x v="142"/>
    <x v="0"/>
    <x v="45"/>
    <x v="45"/>
    <x v="3"/>
    <x v="170"/>
    <n v="34.76"/>
    <n v="3194617.8"/>
  </r>
  <r>
    <s v="ORD00172"/>
    <x v="160"/>
    <s v="C255"/>
    <x v="143"/>
    <x v="0"/>
    <x v="33"/>
    <x v="33"/>
    <x v="1"/>
    <x v="171"/>
    <n v="19.71"/>
    <n v="1303264.6200000001"/>
  </r>
  <r>
    <s v="ORD00173"/>
    <x v="161"/>
    <s v="C406"/>
    <x v="50"/>
    <x v="3"/>
    <x v="1"/>
    <x v="1"/>
    <x v="1"/>
    <x v="172"/>
    <n v="31.34"/>
    <n v="2295372.94"/>
  </r>
  <r>
    <s v="ORD00174"/>
    <x v="162"/>
    <s v="C425"/>
    <x v="144"/>
    <x v="1"/>
    <x v="16"/>
    <x v="16"/>
    <x v="1"/>
    <x v="173"/>
    <n v="44"/>
    <n v="3440272"/>
  </r>
  <r>
    <s v="ORD00175"/>
    <x v="163"/>
    <s v="C217"/>
    <x v="145"/>
    <x v="4"/>
    <x v="13"/>
    <x v="13"/>
    <x v="2"/>
    <x v="174"/>
    <n v="38.42"/>
    <n v="2923800.42"/>
  </r>
  <r>
    <s v="ORD00176"/>
    <x v="41"/>
    <s v="C017"/>
    <x v="139"/>
    <x v="4"/>
    <x v="3"/>
    <x v="3"/>
    <x v="2"/>
    <x v="175"/>
    <n v="20.09"/>
    <n v="555970.66"/>
  </r>
  <r>
    <s v="ORD00177"/>
    <x v="29"/>
    <s v="C447"/>
    <x v="146"/>
    <x v="1"/>
    <x v="17"/>
    <x v="17"/>
    <x v="1"/>
    <x v="176"/>
    <n v="3.42"/>
    <n v="80127.179999999993"/>
  </r>
  <r>
    <s v="ORD00178"/>
    <x v="164"/>
    <s v="C224"/>
    <x v="147"/>
    <x v="4"/>
    <x v="41"/>
    <x v="41"/>
    <x v="4"/>
    <x v="177"/>
    <n v="2.04"/>
    <n v="67501.56"/>
  </r>
  <r>
    <s v="ORD00179"/>
    <x v="165"/>
    <s v="C452"/>
    <x v="148"/>
    <x v="4"/>
    <x v="19"/>
    <x v="19"/>
    <x v="3"/>
    <x v="178"/>
    <n v="12.3"/>
    <n v="364977.9"/>
  </r>
  <r>
    <s v="ORD00180"/>
    <x v="166"/>
    <s v="C308"/>
    <x v="149"/>
    <x v="4"/>
    <x v="12"/>
    <x v="12"/>
    <x v="4"/>
    <x v="179"/>
    <n v="49.98"/>
    <n v="3983156.1"/>
  </r>
  <r>
    <s v="ORD00181"/>
    <x v="167"/>
    <s v="C033"/>
    <x v="150"/>
    <x v="4"/>
    <x v="24"/>
    <x v="24"/>
    <x v="3"/>
    <x v="180"/>
    <n v="16.21"/>
    <n v="73593.399999999994"/>
  </r>
  <r>
    <s v="ORD00182"/>
    <x v="168"/>
    <s v="C028"/>
    <x v="151"/>
    <x v="2"/>
    <x v="16"/>
    <x v="16"/>
    <x v="1"/>
    <x v="181"/>
    <n v="3.82"/>
    <n v="295599.24"/>
  </r>
  <r>
    <s v="ORD00183"/>
    <x v="18"/>
    <s v="C415"/>
    <x v="152"/>
    <x v="0"/>
    <x v="6"/>
    <x v="6"/>
    <x v="0"/>
    <x v="182"/>
    <n v="24.45"/>
    <n v="1028122.5"/>
  </r>
  <r>
    <s v="ORD00184"/>
    <x v="169"/>
    <s v="C260"/>
    <x v="153"/>
    <x v="2"/>
    <x v="21"/>
    <x v="21"/>
    <x v="2"/>
    <x v="183"/>
    <n v="23.51"/>
    <n v="209121.45"/>
  </r>
  <r>
    <s v="ORD00185"/>
    <x v="170"/>
    <s v="C447"/>
    <x v="146"/>
    <x v="1"/>
    <x v="15"/>
    <x v="15"/>
    <x v="2"/>
    <x v="184"/>
    <n v="44.16"/>
    <n v="2876317.44"/>
  </r>
  <r>
    <s v="ORD00186"/>
    <x v="171"/>
    <s v="C286"/>
    <x v="116"/>
    <x v="3"/>
    <x v="30"/>
    <x v="30"/>
    <x v="4"/>
    <x v="185"/>
    <n v="6.55"/>
    <n v="85503.7"/>
  </r>
  <r>
    <s v="ORD00187"/>
    <x v="172"/>
    <s v="C192"/>
    <x v="154"/>
    <x v="3"/>
    <x v="1"/>
    <x v="1"/>
    <x v="1"/>
    <x v="186"/>
    <n v="18.29"/>
    <n v="1440794.75"/>
  </r>
  <r>
    <s v="ORD00188"/>
    <x v="59"/>
    <s v="C382"/>
    <x v="136"/>
    <x v="3"/>
    <x v="38"/>
    <x v="38"/>
    <x v="2"/>
    <x v="187"/>
    <n v="4.38"/>
    <n v="319551.65999999997"/>
  </r>
  <r>
    <s v="ORD00189"/>
    <x v="173"/>
    <s v="C365"/>
    <x v="155"/>
    <x v="4"/>
    <x v="22"/>
    <x v="22"/>
    <x v="0"/>
    <x v="188"/>
    <n v="27.66"/>
    <n v="512346.18"/>
  </r>
  <r>
    <s v="ORD00190"/>
    <x v="151"/>
    <s v="C183"/>
    <x v="89"/>
    <x v="0"/>
    <x v="18"/>
    <x v="18"/>
    <x v="0"/>
    <x v="189"/>
    <n v="12.15"/>
    <n v="902259"/>
  </r>
  <r>
    <s v="ORD00191"/>
    <x v="155"/>
    <s v="C365"/>
    <x v="155"/>
    <x v="4"/>
    <x v="31"/>
    <x v="31"/>
    <x v="0"/>
    <x v="190"/>
    <n v="23.77"/>
    <n v="855101.98"/>
  </r>
  <r>
    <s v="ORD00192"/>
    <x v="174"/>
    <s v="C345"/>
    <x v="15"/>
    <x v="2"/>
    <x v="8"/>
    <x v="8"/>
    <x v="3"/>
    <x v="191"/>
    <n v="10.34"/>
    <n v="526926.4"/>
  </r>
  <r>
    <s v="ORD00193"/>
    <x v="175"/>
    <s v="C435"/>
    <x v="60"/>
    <x v="4"/>
    <x v="32"/>
    <x v="32"/>
    <x v="4"/>
    <x v="192"/>
    <n v="4.12"/>
    <n v="331087.32"/>
  </r>
  <r>
    <s v="ORD00194"/>
    <x v="176"/>
    <s v="C408"/>
    <x v="45"/>
    <x v="4"/>
    <x v="35"/>
    <x v="35"/>
    <x v="1"/>
    <x v="193"/>
    <n v="40.15"/>
    <n v="3722186.05"/>
  </r>
  <r>
    <s v="ORD00195"/>
    <x v="27"/>
    <s v="C419"/>
    <x v="156"/>
    <x v="3"/>
    <x v="43"/>
    <x v="43"/>
    <x v="4"/>
    <x v="194"/>
    <n v="28.64"/>
    <n v="456407.03999999998"/>
  </r>
  <r>
    <s v="ORD00196"/>
    <x v="177"/>
    <s v="C220"/>
    <x v="157"/>
    <x v="0"/>
    <x v="2"/>
    <x v="2"/>
    <x v="1"/>
    <x v="195"/>
    <n v="3.44"/>
    <n v="82707.92"/>
  </r>
  <r>
    <s v="ORD00197"/>
    <x v="178"/>
    <s v="C463"/>
    <x v="61"/>
    <x v="3"/>
    <x v="44"/>
    <x v="44"/>
    <x v="2"/>
    <x v="196"/>
    <n v="17.63"/>
    <n v="1432049.64"/>
  </r>
  <r>
    <s v="ORD00198"/>
    <x v="179"/>
    <s v="C463"/>
    <x v="61"/>
    <x v="3"/>
    <x v="38"/>
    <x v="38"/>
    <x v="2"/>
    <x v="197"/>
    <n v="35.840000000000003"/>
    <n v="207191.04000000001"/>
  </r>
  <r>
    <s v="ORD00199"/>
    <x v="180"/>
    <s v="C277"/>
    <x v="158"/>
    <x v="3"/>
    <x v="30"/>
    <x v="30"/>
    <x v="4"/>
    <x v="198"/>
    <n v="47.38"/>
    <n v="85378.76"/>
  </r>
  <r>
    <s v="ORD00200"/>
    <x v="181"/>
    <s v="C182"/>
    <x v="159"/>
    <x v="1"/>
    <x v="35"/>
    <x v="35"/>
    <x v="1"/>
    <x v="199"/>
    <n v="11.99"/>
    <n v="834827.73"/>
  </r>
  <r>
    <s v="ORD00201"/>
    <x v="182"/>
    <s v="C471"/>
    <x v="160"/>
    <x v="2"/>
    <x v="27"/>
    <x v="27"/>
    <x v="4"/>
    <x v="200"/>
    <n v="5.16"/>
    <n v="290848.56"/>
  </r>
  <r>
    <s v="ORD00202"/>
    <x v="183"/>
    <s v="C354"/>
    <x v="97"/>
    <x v="4"/>
    <x v="38"/>
    <x v="38"/>
    <x v="2"/>
    <x v="201"/>
    <n v="10"/>
    <n v="540060"/>
  </r>
  <r>
    <s v="ORD00203"/>
    <x v="156"/>
    <s v="C057"/>
    <x v="161"/>
    <x v="4"/>
    <x v="8"/>
    <x v="8"/>
    <x v="3"/>
    <x v="202"/>
    <n v="23.68"/>
    <n v="1136805.76"/>
  </r>
  <r>
    <s v="ORD00204"/>
    <x v="184"/>
    <s v="C225"/>
    <x v="34"/>
    <x v="0"/>
    <x v="6"/>
    <x v="6"/>
    <x v="0"/>
    <x v="203"/>
    <n v="32.549999999999997"/>
    <n v="1734198.9"/>
  </r>
  <r>
    <s v="ORD00205"/>
    <x v="185"/>
    <s v="C443"/>
    <x v="105"/>
    <x v="1"/>
    <x v="22"/>
    <x v="22"/>
    <x v="0"/>
    <x v="204"/>
    <n v="49.62"/>
    <n v="836047.38"/>
  </r>
  <r>
    <s v="ORD00206"/>
    <x v="174"/>
    <s v="C352"/>
    <x v="162"/>
    <x v="2"/>
    <x v="28"/>
    <x v="28"/>
    <x v="3"/>
    <x v="205"/>
    <n v="9.85"/>
    <n v="899856.6"/>
  </r>
  <r>
    <s v="ORD00207"/>
    <x v="75"/>
    <s v="C426"/>
    <x v="163"/>
    <x v="2"/>
    <x v="1"/>
    <x v="1"/>
    <x v="1"/>
    <x v="206"/>
    <n v="32.49"/>
    <n v="1200797.9099999999"/>
  </r>
  <r>
    <s v="ORD00208"/>
    <x v="186"/>
    <s v="C461"/>
    <x v="164"/>
    <x v="0"/>
    <x v="43"/>
    <x v="43"/>
    <x v="4"/>
    <x v="207"/>
    <n v="20.73"/>
    <n v="1069709.46"/>
  </r>
  <r>
    <s v="ORD00209"/>
    <x v="187"/>
    <s v="C377"/>
    <x v="165"/>
    <x v="4"/>
    <x v="47"/>
    <x v="47"/>
    <x v="2"/>
    <x v="208"/>
    <n v="13.08"/>
    <n v="425466.24"/>
  </r>
  <r>
    <s v="ORD00210"/>
    <x v="188"/>
    <s v="C302"/>
    <x v="166"/>
    <x v="3"/>
    <x v="47"/>
    <x v="47"/>
    <x v="2"/>
    <x v="209"/>
    <n v="10.210000000000001"/>
    <n v="56226.47"/>
  </r>
  <r>
    <s v="ORD00211"/>
    <x v="89"/>
    <s v="C062"/>
    <x v="38"/>
    <x v="4"/>
    <x v="3"/>
    <x v="3"/>
    <x v="2"/>
    <x v="210"/>
    <n v="23.37"/>
    <n v="1205401.23"/>
  </r>
  <r>
    <s v="ORD00212"/>
    <x v="93"/>
    <s v="C331"/>
    <x v="167"/>
    <x v="1"/>
    <x v="29"/>
    <x v="29"/>
    <x v="0"/>
    <x v="211"/>
    <n v="9.25"/>
    <n v="665676.25"/>
  </r>
  <r>
    <s v="ORD00213"/>
    <x v="189"/>
    <s v="C054"/>
    <x v="129"/>
    <x v="3"/>
    <x v="25"/>
    <x v="25"/>
    <x v="4"/>
    <x v="212"/>
    <n v="5.27"/>
    <n v="425072.93"/>
  </r>
  <r>
    <s v="ORD00214"/>
    <x v="190"/>
    <s v="C110"/>
    <x v="114"/>
    <x v="1"/>
    <x v="30"/>
    <x v="30"/>
    <x v="4"/>
    <x v="213"/>
    <n v="36.56"/>
    <n v="2312968.4"/>
  </r>
  <r>
    <s v="ORD00215"/>
    <x v="191"/>
    <s v="C453"/>
    <x v="168"/>
    <x v="3"/>
    <x v="8"/>
    <x v="8"/>
    <x v="3"/>
    <x v="214"/>
    <n v="30.33"/>
    <n v="2304321.75"/>
  </r>
  <r>
    <s v="ORD00216"/>
    <x v="192"/>
    <s v="C161"/>
    <x v="169"/>
    <x v="1"/>
    <x v="14"/>
    <x v="14"/>
    <x v="2"/>
    <x v="215"/>
    <n v="14.93"/>
    <n v="915462.81"/>
  </r>
  <r>
    <s v="ORD00217"/>
    <x v="193"/>
    <s v="C415"/>
    <x v="152"/>
    <x v="0"/>
    <x v="44"/>
    <x v="44"/>
    <x v="2"/>
    <x v="216"/>
    <n v="23.04"/>
    <n v="2259970.56"/>
  </r>
  <r>
    <s v="ORD00218"/>
    <x v="194"/>
    <s v="C286"/>
    <x v="116"/>
    <x v="3"/>
    <x v="37"/>
    <x v="37"/>
    <x v="1"/>
    <x v="217"/>
    <n v="31.74"/>
    <n v="308512.8"/>
  </r>
  <r>
    <s v="ORD00219"/>
    <x v="195"/>
    <s v="C003"/>
    <x v="133"/>
    <x v="1"/>
    <x v="28"/>
    <x v="28"/>
    <x v="3"/>
    <x v="218"/>
    <n v="42.23"/>
    <n v="595062.93000000005"/>
  </r>
  <r>
    <s v="ORD00220"/>
    <x v="53"/>
    <s v="C016"/>
    <x v="170"/>
    <x v="2"/>
    <x v="21"/>
    <x v="21"/>
    <x v="2"/>
    <x v="219"/>
    <n v="11.77"/>
    <n v="378252.49"/>
  </r>
  <r>
    <s v="ORD00221"/>
    <x v="196"/>
    <s v="C346"/>
    <x v="171"/>
    <x v="2"/>
    <x v="31"/>
    <x v="31"/>
    <x v="0"/>
    <x v="220"/>
    <n v="27.2"/>
    <n v="1831076.8"/>
  </r>
  <r>
    <s v="ORD00222"/>
    <x v="5"/>
    <s v="C267"/>
    <x v="172"/>
    <x v="4"/>
    <x v="4"/>
    <x v="4"/>
    <x v="1"/>
    <x v="221"/>
    <n v="44.42"/>
    <n v="4170638.22"/>
  </r>
  <r>
    <s v="ORD00223"/>
    <x v="57"/>
    <s v="C013"/>
    <x v="84"/>
    <x v="3"/>
    <x v="21"/>
    <x v="21"/>
    <x v="2"/>
    <x v="222"/>
    <n v="7.58"/>
    <n v="635241.9"/>
  </r>
  <r>
    <s v="ORD00224"/>
    <x v="197"/>
    <s v="C233"/>
    <x v="173"/>
    <x v="4"/>
    <x v="16"/>
    <x v="16"/>
    <x v="1"/>
    <x v="223"/>
    <n v="31.79"/>
    <n v="2503271.7599999998"/>
  </r>
  <r>
    <s v="ORD00225"/>
    <x v="198"/>
    <s v="C465"/>
    <x v="140"/>
    <x v="2"/>
    <x v="32"/>
    <x v="32"/>
    <x v="4"/>
    <x v="224"/>
    <n v="12.43"/>
    <n v="1141956.53"/>
  </r>
  <r>
    <s v="ORD00226"/>
    <x v="199"/>
    <s v="C045"/>
    <x v="174"/>
    <x v="2"/>
    <x v="33"/>
    <x v="33"/>
    <x v="1"/>
    <x v="225"/>
    <n v="29.74"/>
    <n v="2513386.88"/>
  </r>
  <r>
    <s v="ORD00227"/>
    <x v="200"/>
    <s v="C042"/>
    <x v="175"/>
    <x v="0"/>
    <x v="11"/>
    <x v="11"/>
    <x v="4"/>
    <x v="226"/>
    <n v="26.93"/>
    <n v="126517.14"/>
  </r>
  <r>
    <s v="ORD00228"/>
    <x v="162"/>
    <s v="C221"/>
    <x v="176"/>
    <x v="2"/>
    <x v="25"/>
    <x v="25"/>
    <x v="4"/>
    <x v="227"/>
    <n v="14.75"/>
    <n v="1214574"/>
  </r>
  <r>
    <s v="ORD00229"/>
    <x v="201"/>
    <s v="C196"/>
    <x v="1"/>
    <x v="1"/>
    <x v="9"/>
    <x v="9"/>
    <x v="4"/>
    <x v="228"/>
    <n v="4.78"/>
    <n v="24373.22"/>
  </r>
  <r>
    <s v="ORD00230"/>
    <x v="202"/>
    <s v="C288"/>
    <x v="177"/>
    <x v="3"/>
    <x v="47"/>
    <x v="47"/>
    <x v="2"/>
    <x v="229"/>
    <n v="28.41"/>
    <n v="1496411.52"/>
  </r>
  <r>
    <s v="ORD00231"/>
    <x v="115"/>
    <s v="C061"/>
    <x v="178"/>
    <x v="2"/>
    <x v="12"/>
    <x v="12"/>
    <x v="4"/>
    <x v="230"/>
    <n v="39.44"/>
    <n v="2626940.64"/>
  </r>
  <r>
    <s v="ORD00232"/>
    <x v="203"/>
    <s v="C315"/>
    <x v="132"/>
    <x v="2"/>
    <x v="48"/>
    <x v="48"/>
    <x v="2"/>
    <x v="231"/>
    <n v="25.35"/>
    <n v="820579.5"/>
  </r>
  <r>
    <s v="ORD00233"/>
    <x v="204"/>
    <s v="C033"/>
    <x v="150"/>
    <x v="4"/>
    <x v="32"/>
    <x v="32"/>
    <x v="4"/>
    <x v="232"/>
    <n v="21.56"/>
    <n v="1949110.24"/>
  </r>
  <r>
    <s v="ORD00234"/>
    <x v="205"/>
    <s v="C401"/>
    <x v="179"/>
    <x v="1"/>
    <x v="38"/>
    <x v="38"/>
    <x v="2"/>
    <x v="233"/>
    <n v="24.97"/>
    <n v="161555.9"/>
  </r>
  <r>
    <s v="ORD00235"/>
    <x v="206"/>
    <s v="C127"/>
    <x v="180"/>
    <x v="3"/>
    <x v="48"/>
    <x v="48"/>
    <x v="2"/>
    <x v="234"/>
    <n v="45.33"/>
    <n v="487252.17"/>
  </r>
  <r>
    <s v="ORD00236"/>
    <x v="207"/>
    <s v="C004"/>
    <x v="181"/>
    <x v="3"/>
    <x v="43"/>
    <x v="43"/>
    <x v="4"/>
    <x v="235"/>
    <n v="12.29"/>
    <n v="931053.53"/>
  </r>
  <r>
    <s v="ORD00237"/>
    <x v="208"/>
    <s v="C137"/>
    <x v="182"/>
    <x v="4"/>
    <x v="23"/>
    <x v="23"/>
    <x v="0"/>
    <x v="236"/>
    <n v="10.130000000000001"/>
    <n v="806246.7"/>
  </r>
  <r>
    <s v="ORD00238"/>
    <x v="209"/>
    <s v="C177"/>
    <x v="183"/>
    <x v="1"/>
    <x v="6"/>
    <x v="6"/>
    <x v="0"/>
    <x v="237"/>
    <n v="42.09"/>
    <n v="3108220.23"/>
  </r>
  <r>
    <s v="ORD00239"/>
    <x v="210"/>
    <s v="C266"/>
    <x v="99"/>
    <x v="0"/>
    <x v="43"/>
    <x v="43"/>
    <x v="4"/>
    <x v="238"/>
    <n v="39.17"/>
    <n v="132825.47"/>
  </r>
  <r>
    <s v="ORD00240"/>
    <x v="211"/>
    <s v="C297"/>
    <x v="49"/>
    <x v="3"/>
    <x v="5"/>
    <x v="5"/>
    <x v="3"/>
    <x v="239"/>
    <n v="14.1"/>
    <n v="676038.6"/>
  </r>
  <r>
    <s v="ORD00241"/>
    <x v="130"/>
    <s v="C489"/>
    <x v="184"/>
    <x v="4"/>
    <x v="7"/>
    <x v="7"/>
    <x v="3"/>
    <x v="240"/>
    <n v="33.25"/>
    <n v="2188515"/>
  </r>
  <r>
    <s v="ORD00242"/>
    <x v="212"/>
    <s v="C273"/>
    <x v="185"/>
    <x v="0"/>
    <x v="6"/>
    <x v="6"/>
    <x v="0"/>
    <x v="241"/>
    <n v="25.39"/>
    <n v="272358.53000000003"/>
  </r>
  <r>
    <s v="ORD00243"/>
    <x v="213"/>
    <s v="C208"/>
    <x v="53"/>
    <x v="1"/>
    <x v="8"/>
    <x v="8"/>
    <x v="3"/>
    <x v="242"/>
    <n v="25.32"/>
    <n v="1623290.52"/>
  </r>
  <r>
    <s v="ORD00244"/>
    <x v="109"/>
    <s v="C191"/>
    <x v="186"/>
    <x v="2"/>
    <x v="46"/>
    <x v="46"/>
    <x v="0"/>
    <x v="243"/>
    <n v="38.979999999999997"/>
    <n v="3609625.96"/>
  </r>
  <r>
    <s v="ORD00245"/>
    <x v="214"/>
    <s v="C384"/>
    <x v="187"/>
    <x v="4"/>
    <x v="1"/>
    <x v="1"/>
    <x v="1"/>
    <x v="244"/>
    <n v="24.59"/>
    <n v="1955445.98"/>
  </r>
  <r>
    <s v="ORD00246"/>
    <x v="215"/>
    <s v="C039"/>
    <x v="188"/>
    <x v="0"/>
    <x v="14"/>
    <x v="14"/>
    <x v="2"/>
    <x v="245"/>
    <n v="18.27"/>
    <n v="1702526.49"/>
  </r>
  <r>
    <s v="ORD00247"/>
    <x v="216"/>
    <s v="C333"/>
    <x v="189"/>
    <x v="0"/>
    <x v="39"/>
    <x v="39"/>
    <x v="3"/>
    <x v="246"/>
    <n v="36.14"/>
    <n v="1881809.8"/>
  </r>
  <r>
    <s v="ORD00248"/>
    <x v="217"/>
    <s v="C470"/>
    <x v="190"/>
    <x v="4"/>
    <x v="10"/>
    <x v="10"/>
    <x v="3"/>
    <x v="247"/>
    <n v="37.47"/>
    <n v="2139986.64"/>
  </r>
  <r>
    <s v="ORD00249"/>
    <x v="218"/>
    <s v="C388"/>
    <x v="191"/>
    <x v="2"/>
    <x v="17"/>
    <x v="17"/>
    <x v="1"/>
    <x v="248"/>
    <n v="36.090000000000003"/>
    <n v="741288.6"/>
  </r>
  <r>
    <s v="ORD00250"/>
    <x v="219"/>
    <s v="C130"/>
    <x v="192"/>
    <x v="3"/>
    <x v="27"/>
    <x v="27"/>
    <x v="4"/>
    <x v="249"/>
    <n v="16.149999999999999"/>
    <n v="495223.6"/>
  </r>
  <r>
    <s v="ORD00251"/>
    <x v="220"/>
    <s v="C334"/>
    <x v="135"/>
    <x v="3"/>
    <x v="47"/>
    <x v="47"/>
    <x v="2"/>
    <x v="250"/>
    <n v="25.08"/>
    <n v="1720763.88"/>
  </r>
  <r>
    <s v="ORD00252"/>
    <x v="25"/>
    <s v="C380"/>
    <x v="193"/>
    <x v="3"/>
    <x v="6"/>
    <x v="6"/>
    <x v="0"/>
    <x v="251"/>
    <n v="11.05"/>
    <n v="110113.25"/>
  </r>
  <r>
    <s v="ORD00253"/>
    <x v="221"/>
    <s v="C399"/>
    <x v="194"/>
    <x v="4"/>
    <x v="49"/>
    <x v="49"/>
    <x v="3"/>
    <x v="252"/>
    <n v="28"/>
    <n v="2700908"/>
  </r>
  <r>
    <s v="ORD00254"/>
    <x v="101"/>
    <s v="C088"/>
    <x v="83"/>
    <x v="0"/>
    <x v="36"/>
    <x v="36"/>
    <x v="4"/>
    <x v="253"/>
    <n v="3.26"/>
    <n v="156887.5"/>
  </r>
  <r>
    <s v="ORD00255"/>
    <x v="222"/>
    <s v="C475"/>
    <x v="33"/>
    <x v="1"/>
    <x v="8"/>
    <x v="8"/>
    <x v="3"/>
    <x v="254"/>
    <n v="43.14"/>
    <n v="525704.04"/>
  </r>
  <r>
    <s v="ORD00256"/>
    <x v="74"/>
    <s v="C359"/>
    <x v="31"/>
    <x v="0"/>
    <x v="40"/>
    <x v="40"/>
    <x v="0"/>
    <x v="255"/>
    <n v="37.700000000000003"/>
    <n v="3730641.2"/>
  </r>
  <r>
    <s v="ORD00257"/>
    <x v="13"/>
    <s v="C437"/>
    <x v="195"/>
    <x v="2"/>
    <x v="0"/>
    <x v="0"/>
    <x v="0"/>
    <x v="256"/>
    <n v="18.87"/>
    <n v="1313918.1000000001"/>
  </r>
  <r>
    <s v="ORD00258"/>
    <x v="223"/>
    <s v="C457"/>
    <x v="196"/>
    <x v="3"/>
    <x v="22"/>
    <x v="22"/>
    <x v="0"/>
    <x v="257"/>
    <n v="35.75"/>
    <n v="2638850.5"/>
  </r>
  <r>
    <s v="ORD00259"/>
    <x v="224"/>
    <s v="C226"/>
    <x v="51"/>
    <x v="0"/>
    <x v="27"/>
    <x v="27"/>
    <x v="4"/>
    <x v="258"/>
    <n v="38.35"/>
    <n v="1039169.95"/>
  </r>
  <r>
    <s v="ORD00260"/>
    <x v="225"/>
    <s v="C338"/>
    <x v="197"/>
    <x v="4"/>
    <x v="34"/>
    <x v="34"/>
    <x v="2"/>
    <x v="259"/>
    <n v="39.869999999999997"/>
    <n v="1190358.72"/>
  </r>
  <r>
    <s v="ORD00261"/>
    <x v="226"/>
    <s v="C100"/>
    <x v="39"/>
    <x v="0"/>
    <x v="26"/>
    <x v="26"/>
    <x v="0"/>
    <x v="260"/>
    <n v="30.82"/>
    <n v="1109057.7"/>
  </r>
  <r>
    <s v="ORD00262"/>
    <x v="227"/>
    <s v="C424"/>
    <x v="57"/>
    <x v="2"/>
    <x v="8"/>
    <x v="8"/>
    <x v="3"/>
    <x v="261"/>
    <n v="46.52"/>
    <n v="4396977.3600000003"/>
  </r>
  <r>
    <s v="ORD00263"/>
    <x v="149"/>
    <s v="C291"/>
    <x v="198"/>
    <x v="1"/>
    <x v="40"/>
    <x v="40"/>
    <x v="0"/>
    <x v="262"/>
    <n v="6.27"/>
    <n v="385423.17"/>
  </r>
  <r>
    <s v="ORD00264"/>
    <x v="228"/>
    <s v="C259"/>
    <x v="36"/>
    <x v="2"/>
    <x v="26"/>
    <x v="26"/>
    <x v="0"/>
    <x v="263"/>
    <n v="48.38"/>
    <n v="1857211.44"/>
  </r>
  <r>
    <s v="ORD00265"/>
    <x v="229"/>
    <s v="C235"/>
    <x v="199"/>
    <x v="0"/>
    <x v="49"/>
    <x v="49"/>
    <x v="3"/>
    <x v="264"/>
    <n v="25.89"/>
    <n v="2396481.96"/>
  </r>
  <r>
    <s v="ORD00266"/>
    <x v="230"/>
    <s v="C359"/>
    <x v="31"/>
    <x v="0"/>
    <x v="26"/>
    <x v="26"/>
    <x v="0"/>
    <x v="265"/>
    <n v="7.66"/>
    <n v="265633.48"/>
  </r>
  <r>
    <s v="ORD00267"/>
    <x v="231"/>
    <s v="C226"/>
    <x v="51"/>
    <x v="0"/>
    <x v="31"/>
    <x v="31"/>
    <x v="0"/>
    <x v="266"/>
    <n v="24.78"/>
    <n v="478576.14"/>
  </r>
  <r>
    <s v="ORD00268"/>
    <x v="28"/>
    <s v="C180"/>
    <x v="200"/>
    <x v="0"/>
    <x v="5"/>
    <x v="5"/>
    <x v="3"/>
    <x v="267"/>
    <n v="45.44"/>
    <n v="2462075.52"/>
  </r>
  <r>
    <s v="ORD00269"/>
    <x v="19"/>
    <s v="C476"/>
    <x v="201"/>
    <x v="3"/>
    <x v="16"/>
    <x v="16"/>
    <x v="1"/>
    <x v="268"/>
    <n v="47.02"/>
    <n v="3151045.3"/>
  </r>
  <r>
    <s v="ORD00270"/>
    <x v="232"/>
    <s v="C044"/>
    <x v="202"/>
    <x v="2"/>
    <x v="12"/>
    <x v="12"/>
    <x v="4"/>
    <x v="269"/>
    <n v="2.72"/>
    <n v="9109.2800000000007"/>
  </r>
  <r>
    <s v="ORD00271"/>
    <x v="233"/>
    <s v="C435"/>
    <x v="60"/>
    <x v="4"/>
    <x v="32"/>
    <x v="32"/>
    <x v="4"/>
    <x v="270"/>
    <n v="18.64"/>
    <n v="1169660"/>
  </r>
  <r>
    <s v="ORD00272"/>
    <x v="234"/>
    <s v="C474"/>
    <x v="203"/>
    <x v="3"/>
    <x v="22"/>
    <x v="22"/>
    <x v="0"/>
    <x v="271"/>
    <n v="28.41"/>
    <n v="1232454.21"/>
  </r>
  <r>
    <s v="ORD00273"/>
    <x v="75"/>
    <s v="C300"/>
    <x v="204"/>
    <x v="0"/>
    <x v="3"/>
    <x v="3"/>
    <x v="2"/>
    <x v="272"/>
    <n v="13.75"/>
    <n v="262336.25"/>
  </r>
  <r>
    <s v="ORD00274"/>
    <x v="235"/>
    <s v="C442"/>
    <x v="205"/>
    <x v="3"/>
    <x v="6"/>
    <x v="6"/>
    <x v="0"/>
    <x v="273"/>
    <n v="22.76"/>
    <n v="436172.64"/>
  </r>
  <r>
    <s v="ORD00275"/>
    <x v="236"/>
    <s v="C235"/>
    <x v="199"/>
    <x v="0"/>
    <x v="29"/>
    <x v="29"/>
    <x v="0"/>
    <x v="274"/>
    <n v="22.39"/>
    <n v="409580.27"/>
  </r>
  <r>
    <s v="ORD00276"/>
    <x v="217"/>
    <s v="C076"/>
    <x v="206"/>
    <x v="2"/>
    <x v="8"/>
    <x v="8"/>
    <x v="3"/>
    <x v="275"/>
    <n v="12"/>
    <n v="239376"/>
  </r>
  <r>
    <s v="ORD00277"/>
    <x v="232"/>
    <s v="C172"/>
    <x v="207"/>
    <x v="0"/>
    <x v="17"/>
    <x v="17"/>
    <x v="1"/>
    <x v="276"/>
    <n v="22.19"/>
    <n v="1707942.11"/>
  </r>
  <r>
    <s v="ORD00278"/>
    <x v="237"/>
    <s v="C324"/>
    <x v="208"/>
    <x v="0"/>
    <x v="30"/>
    <x v="30"/>
    <x v="4"/>
    <x v="277"/>
    <n v="39.409999999999997"/>
    <n v="1646076.88"/>
  </r>
  <r>
    <s v="ORD00279"/>
    <x v="25"/>
    <s v="C326"/>
    <x v="209"/>
    <x v="0"/>
    <x v="27"/>
    <x v="27"/>
    <x v="4"/>
    <x v="278"/>
    <n v="22.21"/>
    <n v="980682.55"/>
  </r>
  <r>
    <s v="ORD00280"/>
    <x v="183"/>
    <s v="C319"/>
    <x v="210"/>
    <x v="2"/>
    <x v="2"/>
    <x v="2"/>
    <x v="1"/>
    <x v="279"/>
    <n v="6.75"/>
    <n v="646629.75"/>
  </r>
  <r>
    <s v="ORD00281"/>
    <x v="191"/>
    <s v="C317"/>
    <x v="211"/>
    <x v="1"/>
    <x v="38"/>
    <x v="38"/>
    <x v="2"/>
    <x v="280"/>
    <n v="10.63"/>
    <n v="161809.85999999999"/>
  </r>
  <r>
    <s v="ORD00282"/>
    <x v="139"/>
    <s v="C052"/>
    <x v="212"/>
    <x v="4"/>
    <x v="26"/>
    <x v="26"/>
    <x v="0"/>
    <x v="281"/>
    <n v="12.2"/>
    <n v="949160"/>
  </r>
  <r>
    <s v="ORD00283"/>
    <x v="238"/>
    <s v="C394"/>
    <x v="213"/>
    <x v="0"/>
    <x v="39"/>
    <x v="39"/>
    <x v="3"/>
    <x v="282"/>
    <n v="15.05"/>
    <n v="859490.45"/>
  </r>
  <r>
    <s v="ORD00284"/>
    <x v="142"/>
    <s v="C483"/>
    <x v="214"/>
    <x v="2"/>
    <x v="11"/>
    <x v="11"/>
    <x v="4"/>
    <x v="283"/>
    <n v="42.69"/>
    <n v="4123085.58"/>
  </r>
  <r>
    <s v="ORD00285"/>
    <x v="96"/>
    <s v="C497"/>
    <x v="215"/>
    <x v="1"/>
    <x v="4"/>
    <x v="4"/>
    <x v="1"/>
    <x v="284"/>
    <n v="24.6"/>
    <n v="1348375.2"/>
  </r>
  <r>
    <s v="ORD00286"/>
    <x v="158"/>
    <s v="C378"/>
    <x v="216"/>
    <x v="2"/>
    <x v="34"/>
    <x v="34"/>
    <x v="2"/>
    <x v="285"/>
    <n v="10.89"/>
    <n v="659650.86"/>
  </r>
  <r>
    <s v="ORD00287"/>
    <x v="138"/>
    <s v="C228"/>
    <x v="69"/>
    <x v="2"/>
    <x v="47"/>
    <x v="47"/>
    <x v="2"/>
    <x v="286"/>
    <n v="47.97"/>
    <n v="3844555.65"/>
  </r>
  <r>
    <s v="ORD00288"/>
    <x v="239"/>
    <s v="C211"/>
    <x v="24"/>
    <x v="1"/>
    <x v="21"/>
    <x v="21"/>
    <x v="2"/>
    <x v="287"/>
    <n v="21.45"/>
    <n v="566987.85"/>
  </r>
  <r>
    <s v="ORD00289"/>
    <x v="240"/>
    <s v="C235"/>
    <x v="199"/>
    <x v="0"/>
    <x v="33"/>
    <x v="33"/>
    <x v="1"/>
    <x v="288"/>
    <n v="15.4"/>
    <n v="680926.4"/>
  </r>
  <r>
    <s v="ORD00290"/>
    <x v="241"/>
    <s v="C372"/>
    <x v="217"/>
    <x v="4"/>
    <x v="33"/>
    <x v="33"/>
    <x v="1"/>
    <x v="289"/>
    <n v="2.2200000000000002"/>
    <n v="97260.42"/>
  </r>
  <r>
    <s v="ORD00291"/>
    <x v="212"/>
    <s v="C240"/>
    <x v="218"/>
    <x v="3"/>
    <x v="34"/>
    <x v="34"/>
    <x v="2"/>
    <x v="290"/>
    <n v="36.82"/>
    <n v="1785254.52"/>
  </r>
  <r>
    <s v="ORD00292"/>
    <x v="242"/>
    <s v="C101"/>
    <x v="120"/>
    <x v="4"/>
    <x v="32"/>
    <x v="32"/>
    <x v="4"/>
    <x v="291"/>
    <n v="19.75"/>
    <n v="377422.5"/>
  </r>
  <r>
    <s v="ORD00293"/>
    <x v="243"/>
    <s v="C165"/>
    <x v="219"/>
    <x v="1"/>
    <x v="9"/>
    <x v="9"/>
    <x v="4"/>
    <x v="292"/>
    <n v="2.0499999999999998"/>
    <n v="81016"/>
  </r>
  <r>
    <s v="ORD00294"/>
    <x v="244"/>
    <s v="C481"/>
    <x v="56"/>
    <x v="0"/>
    <x v="0"/>
    <x v="0"/>
    <x v="0"/>
    <x v="293"/>
    <n v="4.79"/>
    <n v="155512.14000000001"/>
  </r>
  <r>
    <s v="ORD00295"/>
    <x v="225"/>
    <s v="C174"/>
    <x v="26"/>
    <x v="4"/>
    <x v="34"/>
    <x v="34"/>
    <x v="2"/>
    <x v="294"/>
    <n v="36.57"/>
    <n v="1626597.03"/>
  </r>
  <r>
    <s v="ORD00296"/>
    <x v="245"/>
    <s v="C333"/>
    <x v="189"/>
    <x v="0"/>
    <x v="27"/>
    <x v="27"/>
    <x v="4"/>
    <x v="295"/>
    <n v="39.26"/>
    <n v="958022.52"/>
  </r>
  <r>
    <s v="ORD00297"/>
    <x v="246"/>
    <s v="C010"/>
    <x v="220"/>
    <x v="3"/>
    <x v="44"/>
    <x v="44"/>
    <x v="2"/>
    <x v="296"/>
    <n v="29.39"/>
    <n v="1021449.45"/>
  </r>
  <r>
    <s v="ORD00298"/>
    <x v="247"/>
    <s v="C026"/>
    <x v="221"/>
    <x v="1"/>
    <x v="6"/>
    <x v="6"/>
    <x v="0"/>
    <x v="297"/>
    <n v="45.69"/>
    <n v="1070516.7"/>
  </r>
  <r>
    <s v="ORD00299"/>
    <x v="248"/>
    <s v="C080"/>
    <x v="222"/>
    <x v="4"/>
    <x v="6"/>
    <x v="6"/>
    <x v="0"/>
    <x v="298"/>
    <n v="44.24"/>
    <n v="2800038.08"/>
  </r>
  <r>
    <s v="ORD00300"/>
    <x v="249"/>
    <s v="C085"/>
    <x v="223"/>
    <x v="0"/>
    <x v="45"/>
    <x v="45"/>
    <x v="3"/>
    <x v="299"/>
    <n v="30.59"/>
    <n v="2264700.06"/>
  </r>
  <r>
    <s v="ORD00301"/>
    <x v="233"/>
    <s v="C380"/>
    <x v="193"/>
    <x v="3"/>
    <x v="20"/>
    <x v="20"/>
    <x v="1"/>
    <x v="300"/>
    <n v="32.17"/>
    <n v="134567.10999999999"/>
  </r>
  <r>
    <s v="ORD00302"/>
    <x v="187"/>
    <s v="C020"/>
    <x v="80"/>
    <x v="4"/>
    <x v="1"/>
    <x v="1"/>
    <x v="1"/>
    <x v="301"/>
    <n v="17.89"/>
    <n v="474085"/>
  </r>
  <r>
    <s v="ORD00303"/>
    <x v="80"/>
    <s v="C115"/>
    <x v="224"/>
    <x v="0"/>
    <x v="19"/>
    <x v="19"/>
    <x v="3"/>
    <x v="302"/>
    <n v="25.76"/>
    <n v="544746.72"/>
  </r>
  <r>
    <s v="ORD00304"/>
    <x v="250"/>
    <s v="C451"/>
    <x v="225"/>
    <x v="1"/>
    <x v="19"/>
    <x v="19"/>
    <x v="3"/>
    <x v="303"/>
    <n v="33.07"/>
    <n v="1073782.8999999999"/>
  </r>
  <r>
    <s v="ORD00305"/>
    <x v="251"/>
    <s v="C103"/>
    <x v="226"/>
    <x v="4"/>
    <x v="15"/>
    <x v="15"/>
    <x v="2"/>
    <x v="304"/>
    <n v="6.14"/>
    <n v="189191.82"/>
  </r>
  <r>
    <s v="ORD00306"/>
    <x v="252"/>
    <s v="C278"/>
    <x v="227"/>
    <x v="1"/>
    <x v="14"/>
    <x v="14"/>
    <x v="2"/>
    <x v="305"/>
    <n v="46.21"/>
    <n v="1458480.02"/>
  </r>
  <r>
    <s v="ORD00307"/>
    <x v="253"/>
    <s v="C287"/>
    <x v="228"/>
    <x v="4"/>
    <x v="3"/>
    <x v="3"/>
    <x v="2"/>
    <x v="306"/>
    <n v="49.42"/>
    <n v="1830269.7"/>
  </r>
  <r>
    <s v="ORD00308"/>
    <x v="254"/>
    <s v="C343"/>
    <x v="229"/>
    <x v="1"/>
    <x v="7"/>
    <x v="7"/>
    <x v="3"/>
    <x v="307"/>
    <n v="20.14"/>
    <n v="1768130.88"/>
  </r>
  <r>
    <s v="ORD00309"/>
    <x v="85"/>
    <s v="C457"/>
    <x v="196"/>
    <x v="3"/>
    <x v="35"/>
    <x v="35"/>
    <x v="1"/>
    <x v="308"/>
    <n v="36.369999999999997"/>
    <n v="976716.35"/>
  </r>
  <r>
    <s v="ORD00310"/>
    <x v="6"/>
    <s v="C405"/>
    <x v="230"/>
    <x v="4"/>
    <x v="39"/>
    <x v="39"/>
    <x v="3"/>
    <x v="309"/>
    <n v="5.52"/>
    <n v="190390.32"/>
  </r>
  <r>
    <s v="ORD00311"/>
    <x v="255"/>
    <s v="C288"/>
    <x v="177"/>
    <x v="3"/>
    <x v="38"/>
    <x v="38"/>
    <x v="2"/>
    <x v="310"/>
    <n v="3.81"/>
    <n v="277276.56"/>
  </r>
  <r>
    <s v="ORD00312"/>
    <x v="228"/>
    <s v="C083"/>
    <x v="130"/>
    <x v="3"/>
    <x v="20"/>
    <x v="20"/>
    <x v="1"/>
    <x v="311"/>
    <n v="10.18"/>
    <n v="14832.26"/>
  </r>
  <r>
    <s v="ORD00313"/>
    <x v="57"/>
    <s v="C187"/>
    <x v="108"/>
    <x v="3"/>
    <x v="26"/>
    <x v="26"/>
    <x v="0"/>
    <x v="312"/>
    <n v="7.78"/>
    <n v="543604.16"/>
  </r>
  <r>
    <s v="ORD00314"/>
    <x v="256"/>
    <s v="C447"/>
    <x v="146"/>
    <x v="1"/>
    <x v="24"/>
    <x v="24"/>
    <x v="3"/>
    <x v="313"/>
    <n v="43.2"/>
    <n v="3023006.4"/>
  </r>
  <r>
    <s v="ORD00315"/>
    <x v="257"/>
    <s v="C235"/>
    <x v="199"/>
    <x v="0"/>
    <x v="22"/>
    <x v="22"/>
    <x v="0"/>
    <x v="314"/>
    <n v="45.42"/>
    <n v="1269625.26"/>
  </r>
  <r>
    <s v="ORD00316"/>
    <x v="68"/>
    <s v="C061"/>
    <x v="178"/>
    <x v="2"/>
    <x v="48"/>
    <x v="48"/>
    <x v="2"/>
    <x v="315"/>
    <n v="30.92"/>
    <n v="2935823.08"/>
  </r>
  <r>
    <s v="ORD00317"/>
    <x v="258"/>
    <s v="C368"/>
    <x v="7"/>
    <x v="1"/>
    <x v="47"/>
    <x v="47"/>
    <x v="2"/>
    <x v="316"/>
    <n v="16.37"/>
    <n v="1283866.3600000001"/>
  </r>
  <r>
    <s v="ORD00318"/>
    <x v="259"/>
    <s v="C226"/>
    <x v="51"/>
    <x v="0"/>
    <x v="2"/>
    <x v="2"/>
    <x v="1"/>
    <x v="317"/>
    <n v="38.22"/>
    <n v="2657169.06"/>
  </r>
  <r>
    <s v="ORD00319"/>
    <x v="154"/>
    <s v="C312"/>
    <x v="231"/>
    <x v="1"/>
    <x v="29"/>
    <x v="29"/>
    <x v="0"/>
    <x v="318"/>
    <n v="32.65"/>
    <n v="3079156.2"/>
  </r>
  <r>
    <s v="ORD00320"/>
    <x v="260"/>
    <s v="C331"/>
    <x v="167"/>
    <x v="1"/>
    <x v="48"/>
    <x v="48"/>
    <x v="2"/>
    <x v="319"/>
    <n v="20.92"/>
    <n v="47906.8"/>
  </r>
  <r>
    <s v="ORD00321"/>
    <x v="261"/>
    <s v="C383"/>
    <x v="232"/>
    <x v="0"/>
    <x v="45"/>
    <x v="45"/>
    <x v="3"/>
    <x v="320"/>
    <n v="47.89"/>
    <n v="3623692.63"/>
  </r>
  <r>
    <s v="ORD00322"/>
    <x v="262"/>
    <s v="C044"/>
    <x v="202"/>
    <x v="2"/>
    <x v="38"/>
    <x v="38"/>
    <x v="2"/>
    <x v="321"/>
    <n v="30.36"/>
    <n v="1509620.64"/>
  </r>
  <r>
    <s v="ORD00323"/>
    <x v="159"/>
    <s v="C330"/>
    <x v="48"/>
    <x v="2"/>
    <x v="10"/>
    <x v="10"/>
    <x v="3"/>
    <x v="322"/>
    <n v="11.61"/>
    <n v="75499.83"/>
  </r>
  <r>
    <s v="ORD00324"/>
    <x v="263"/>
    <s v="C390"/>
    <x v="233"/>
    <x v="2"/>
    <x v="16"/>
    <x v="16"/>
    <x v="1"/>
    <x v="323"/>
    <n v="10.69"/>
    <n v="600382.47"/>
  </r>
  <r>
    <s v="ORD00325"/>
    <x v="55"/>
    <s v="C032"/>
    <x v="234"/>
    <x v="4"/>
    <x v="1"/>
    <x v="1"/>
    <x v="1"/>
    <x v="324"/>
    <n v="33.409999999999997"/>
    <n v="569907.78"/>
  </r>
  <r>
    <s v="ORD00326"/>
    <x v="264"/>
    <s v="C318"/>
    <x v="235"/>
    <x v="2"/>
    <x v="5"/>
    <x v="5"/>
    <x v="3"/>
    <x v="325"/>
    <n v="16.88"/>
    <n v="873962"/>
  </r>
  <r>
    <s v="ORD00327"/>
    <x v="265"/>
    <s v="C424"/>
    <x v="57"/>
    <x v="2"/>
    <x v="38"/>
    <x v="38"/>
    <x v="2"/>
    <x v="326"/>
    <n v="16.649999999999999"/>
    <n v="1308240.45"/>
  </r>
  <r>
    <s v="ORD00328"/>
    <x v="266"/>
    <s v="C095"/>
    <x v="236"/>
    <x v="0"/>
    <x v="9"/>
    <x v="9"/>
    <x v="4"/>
    <x v="327"/>
    <n v="33.299999999999997"/>
    <n v="2581848.9"/>
  </r>
  <r>
    <s v="ORD00329"/>
    <x v="267"/>
    <s v="C066"/>
    <x v="237"/>
    <x v="4"/>
    <x v="30"/>
    <x v="30"/>
    <x v="4"/>
    <x v="328"/>
    <n v="21.74"/>
    <n v="1186656.1599999999"/>
  </r>
  <r>
    <s v="ORD00330"/>
    <x v="123"/>
    <s v="C322"/>
    <x v="238"/>
    <x v="2"/>
    <x v="17"/>
    <x v="17"/>
    <x v="1"/>
    <x v="329"/>
    <n v="9.9"/>
    <n v="748786.5"/>
  </r>
  <r>
    <s v="ORD00331"/>
    <x v="246"/>
    <s v="C336"/>
    <x v="239"/>
    <x v="2"/>
    <x v="18"/>
    <x v="18"/>
    <x v="0"/>
    <x v="330"/>
    <n v="37.47"/>
    <n v="1822315.98"/>
  </r>
  <r>
    <s v="ORD00332"/>
    <x v="268"/>
    <s v="C204"/>
    <x v="240"/>
    <x v="0"/>
    <x v="18"/>
    <x v="18"/>
    <x v="0"/>
    <x v="331"/>
    <n v="31.08"/>
    <n v="2548435.6800000002"/>
  </r>
  <r>
    <s v="ORD00333"/>
    <x v="212"/>
    <s v="C187"/>
    <x v="108"/>
    <x v="3"/>
    <x v="20"/>
    <x v="20"/>
    <x v="1"/>
    <x v="332"/>
    <n v="44.36"/>
    <n v="1661459.44"/>
  </r>
  <r>
    <s v="ORD00334"/>
    <x v="269"/>
    <s v="C185"/>
    <x v="241"/>
    <x v="2"/>
    <x v="14"/>
    <x v="14"/>
    <x v="2"/>
    <x v="333"/>
    <n v="31.58"/>
    <n v="601535.84"/>
  </r>
  <r>
    <s v="ORD00335"/>
    <x v="270"/>
    <s v="C411"/>
    <x v="2"/>
    <x v="2"/>
    <x v="12"/>
    <x v="12"/>
    <x v="4"/>
    <x v="334"/>
    <n v="13.27"/>
    <n v="248149"/>
  </r>
  <r>
    <s v="ORD00336"/>
    <x v="271"/>
    <s v="C451"/>
    <x v="225"/>
    <x v="1"/>
    <x v="9"/>
    <x v="9"/>
    <x v="4"/>
    <x v="335"/>
    <n v="40.89"/>
    <n v="1888995.33"/>
  </r>
  <r>
    <s v="ORD00337"/>
    <x v="272"/>
    <s v="C273"/>
    <x v="185"/>
    <x v="0"/>
    <x v="46"/>
    <x v="46"/>
    <x v="0"/>
    <x v="336"/>
    <n v="42.21"/>
    <n v="2562526.89"/>
  </r>
  <r>
    <s v="ORD00338"/>
    <x v="160"/>
    <s v="C332"/>
    <x v="242"/>
    <x v="2"/>
    <x v="45"/>
    <x v="45"/>
    <x v="3"/>
    <x v="337"/>
    <n v="19.97"/>
    <n v="1400096.7"/>
  </r>
  <r>
    <s v="ORD00339"/>
    <x v="273"/>
    <s v="C159"/>
    <x v="243"/>
    <x v="0"/>
    <x v="40"/>
    <x v="40"/>
    <x v="0"/>
    <x v="338"/>
    <n v="16.559999999999999"/>
    <n v="1518220.8"/>
  </r>
  <r>
    <s v="ORD00340"/>
    <x v="274"/>
    <s v="C280"/>
    <x v="244"/>
    <x v="1"/>
    <x v="40"/>
    <x v="40"/>
    <x v="0"/>
    <x v="339"/>
    <n v="24.98"/>
    <n v="968124.88"/>
  </r>
  <r>
    <s v="ORD00341"/>
    <x v="1"/>
    <s v="C178"/>
    <x v="245"/>
    <x v="0"/>
    <x v="15"/>
    <x v="15"/>
    <x v="2"/>
    <x v="340"/>
    <n v="49.87"/>
    <n v="2064917.22"/>
  </r>
  <r>
    <s v="ORD00342"/>
    <x v="231"/>
    <s v="C045"/>
    <x v="174"/>
    <x v="2"/>
    <x v="43"/>
    <x v="43"/>
    <x v="4"/>
    <x v="341"/>
    <n v="33.119999999999997"/>
    <n v="1888303.68"/>
  </r>
  <r>
    <s v="ORD00343"/>
    <x v="56"/>
    <s v="C418"/>
    <x v="246"/>
    <x v="2"/>
    <x v="44"/>
    <x v="44"/>
    <x v="2"/>
    <x v="342"/>
    <n v="36.69"/>
    <n v="3287644.14"/>
  </r>
  <r>
    <s v="ORD00344"/>
    <x v="275"/>
    <s v="C100"/>
    <x v="39"/>
    <x v="0"/>
    <x v="5"/>
    <x v="5"/>
    <x v="3"/>
    <x v="343"/>
    <n v="38.39"/>
    <n v="2242206.34"/>
  </r>
  <r>
    <s v="ORD00345"/>
    <x v="276"/>
    <s v="C145"/>
    <x v="94"/>
    <x v="4"/>
    <x v="11"/>
    <x v="11"/>
    <x v="4"/>
    <x v="344"/>
    <n v="6.06"/>
    <n v="278329.74"/>
  </r>
  <r>
    <s v="ORD00346"/>
    <x v="277"/>
    <s v="C260"/>
    <x v="153"/>
    <x v="2"/>
    <x v="12"/>
    <x v="12"/>
    <x v="4"/>
    <x v="345"/>
    <n v="10"/>
    <n v="962070"/>
  </r>
  <r>
    <s v="ORD00347"/>
    <x v="278"/>
    <s v="C119"/>
    <x v="122"/>
    <x v="0"/>
    <x v="0"/>
    <x v="0"/>
    <x v="0"/>
    <x v="346"/>
    <n v="24.67"/>
    <n v="288984.38"/>
  </r>
  <r>
    <s v="ORD00348"/>
    <x v="279"/>
    <s v="C398"/>
    <x v="63"/>
    <x v="1"/>
    <x v="10"/>
    <x v="10"/>
    <x v="3"/>
    <x v="347"/>
    <n v="41.5"/>
    <n v="2218590"/>
  </r>
  <r>
    <s v="ORD00349"/>
    <x v="280"/>
    <s v="C210"/>
    <x v="247"/>
    <x v="4"/>
    <x v="28"/>
    <x v="28"/>
    <x v="3"/>
    <x v="348"/>
    <n v="6.71"/>
    <n v="186880.21"/>
  </r>
  <r>
    <s v="ORD00350"/>
    <x v="281"/>
    <s v="C445"/>
    <x v="248"/>
    <x v="3"/>
    <x v="35"/>
    <x v="35"/>
    <x v="1"/>
    <x v="349"/>
    <n v="27.2"/>
    <n v="2186961.6"/>
  </r>
  <r>
    <s v="ORD00351"/>
    <x v="146"/>
    <s v="C070"/>
    <x v="249"/>
    <x v="4"/>
    <x v="28"/>
    <x v="28"/>
    <x v="3"/>
    <x v="350"/>
    <n v="2.29"/>
    <n v="172175.94"/>
  </r>
  <r>
    <s v="ORD00352"/>
    <x v="9"/>
    <s v="C132"/>
    <x v="250"/>
    <x v="3"/>
    <x v="21"/>
    <x v="21"/>
    <x v="2"/>
    <x v="351"/>
    <n v="11.07"/>
    <n v="502002.36"/>
  </r>
  <r>
    <s v="ORD00353"/>
    <x v="56"/>
    <s v="C138"/>
    <x v="251"/>
    <x v="2"/>
    <x v="40"/>
    <x v="40"/>
    <x v="0"/>
    <x v="352"/>
    <n v="19.52"/>
    <n v="1835328.96"/>
  </r>
  <r>
    <s v="ORD00354"/>
    <x v="257"/>
    <s v="C233"/>
    <x v="173"/>
    <x v="4"/>
    <x v="34"/>
    <x v="34"/>
    <x v="2"/>
    <x v="353"/>
    <n v="5.53"/>
    <n v="24757.81"/>
  </r>
  <r>
    <s v="ORD00355"/>
    <x v="265"/>
    <s v="C299"/>
    <x v="252"/>
    <x v="4"/>
    <x v="24"/>
    <x v="24"/>
    <x v="3"/>
    <x v="354"/>
    <n v="29.23"/>
    <n v="2362865.5099999998"/>
  </r>
  <r>
    <s v="ORD00356"/>
    <x v="37"/>
    <s v="C418"/>
    <x v="246"/>
    <x v="2"/>
    <x v="45"/>
    <x v="45"/>
    <x v="3"/>
    <x v="355"/>
    <n v="33.11"/>
    <n v="1300925.01"/>
  </r>
  <r>
    <s v="ORD00357"/>
    <x v="282"/>
    <s v="C087"/>
    <x v="44"/>
    <x v="0"/>
    <x v="3"/>
    <x v="3"/>
    <x v="2"/>
    <x v="356"/>
    <n v="38.18"/>
    <n v="2874648.56"/>
  </r>
  <r>
    <s v="ORD00358"/>
    <x v="24"/>
    <s v="C189"/>
    <x v="253"/>
    <x v="0"/>
    <x v="3"/>
    <x v="3"/>
    <x v="2"/>
    <x v="357"/>
    <n v="29.23"/>
    <n v="2484199.2400000002"/>
  </r>
  <r>
    <s v="ORD00359"/>
    <x v="273"/>
    <s v="C447"/>
    <x v="146"/>
    <x v="1"/>
    <x v="9"/>
    <x v="9"/>
    <x v="4"/>
    <x v="358"/>
    <n v="15.35"/>
    <n v="421142.6"/>
  </r>
  <r>
    <s v="ORD00360"/>
    <x v="283"/>
    <s v="C195"/>
    <x v="85"/>
    <x v="4"/>
    <x v="39"/>
    <x v="39"/>
    <x v="3"/>
    <x v="359"/>
    <n v="47.16"/>
    <n v="3231780.48"/>
  </r>
  <r>
    <s v="ORD00361"/>
    <x v="39"/>
    <s v="C475"/>
    <x v="33"/>
    <x v="1"/>
    <x v="47"/>
    <x v="47"/>
    <x v="2"/>
    <x v="360"/>
    <n v="2.06"/>
    <n v="62774.38"/>
  </r>
  <r>
    <s v="ORD00362"/>
    <x v="284"/>
    <s v="C142"/>
    <x v="254"/>
    <x v="3"/>
    <x v="46"/>
    <x v="46"/>
    <x v="0"/>
    <x v="361"/>
    <n v="16.850000000000001"/>
    <n v="1442124.1"/>
  </r>
  <r>
    <s v="ORD00363"/>
    <x v="285"/>
    <s v="C051"/>
    <x v="66"/>
    <x v="4"/>
    <x v="19"/>
    <x v="19"/>
    <x v="3"/>
    <x v="362"/>
    <n v="3.31"/>
    <n v="35410.379999999997"/>
  </r>
  <r>
    <s v="ORD00364"/>
    <x v="173"/>
    <s v="C037"/>
    <x v="255"/>
    <x v="1"/>
    <x v="20"/>
    <x v="20"/>
    <x v="1"/>
    <x v="363"/>
    <n v="37.909999999999997"/>
    <n v="2203897.85"/>
  </r>
  <r>
    <s v="ORD00365"/>
    <x v="286"/>
    <s v="C061"/>
    <x v="178"/>
    <x v="2"/>
    <x v="16"/>
    <x v="16"/>
    <x v="1"/>
    <x v="364"/>
    <n v="20.79"/>
    <n v="1265445.72"/>
  </r>
  <r>
    <s v="ORD00366"/>
    <x v="87"/>
    <s v="C070"/>
    <x v="249"/>
    <x v="4"/>
    <x v="13"/>
    <x v="13"/>
    <x v="2"/>
    <x v="365"/>
    <n v="5.0199999999999996"/>
    <n v="321591.24"/>
  </r>
  <r>
    <s v="ORD00367"/>
    <x v="287"/>
    <s v="C372"/>
    <x v="217"/>
    <x v="4"/>
    <x v="17"/>
    <x v="17"/>
    <x v="1"/>
    <x v="366"/>
    <n v="18.420000000000002"/>
    <n v="1739787.42"/>
  </r>
  <r>
    <s v="ORD00368"/>
    <x v="288"/>
    <s v="C390"/>
    <x v="233"/>
    <x v="2"/>
    <x v="49"/>
    <x v="49"/>
    <x v="3"/>
    <x v="367"/>
    <n v="46.14"/>
    <n v="1742015.7"/>
  </r>
  <r>
    <s v="ORD00369"/>
    <x v="289"/>
    <s v="C059"/>
    <x v="256"/>
    <x v="4"/>
    <x v="13"/>
    <x v="13"/>
    <x v="2"/>
    <x v="368"/>
    <n v="11.26"/>
    <n v="593019.16"/>
  </r>
  <r>
    <s v="ORD00370"/>
    <x v="101"/>
    <s v="C320"/>
    <x v="257"/>
    <x v="1"/>
    <x v="21"/>
    <x v="21"/>
    <x v="2"/>
    <x v="369"/>
    <n v="42.11"/>
    <n v="1679683.68"/>
  </r>
  <r>
    <s v="ORD00371"/>
    <x v="290"/>
    <s v="C342"/>
    <x v="258"/>
    <x v="4"/>
    <x v="47"/>
    <x v="47"/>
    <x v="2"/>
    <x v="370"/>
    <n v="10"/>
    <n v="992770"/>
  </r>
  <r>
    <s v="ORD00372"/>
    <x v="272"/>
    <s v="C354"/>
    <x v="97"/>
    <x v="4"/>
    <x v="2"/>
    <x v="2"/>
    <x v="1"/>
    <x v="371"/>
    <n v="17.62"/>
    <n v="1594803.82"/>
  </r>
  <r>
    <s v="ORD00373"/>
    <x v="74"/>
    <s v="C244"/>
    <x v="259"/>
    <x v="1"/>
    <x v="19"/>
    <x v="19"/>
    <x v="3"/>
    <x v="372"/>
    <n v="22.72"/>
    <n v="1020287.04"/>
  </r>
  <r>
    <s v="ORD00374"/>
    <x v="291"/>
    <s v="C428"/>
    <x v="260"/>
    <x v="3"/>
    <x v="28"/>
    <x v="28"/>
    <x v="3"/>
    <x v="373"/>
    <n v="33.99"/>
    <n v="3312189.54"/>
  </r>
  <r>
    <s v="ORD00375"/>
    <x v="292"/>
    <s v="C395"/>
    <x v="261"/>
    <x v="3"/>
    <x v="15"/>
    <x v="15"/>
    <x v="2"/>
    <x v="374"/>
    <n v="24.11"/>
    <n v="1878771.75"/>
  </r>
  <r>
    <s v="ORD00376"/>
    <x v="261"/>
    <s v="C303"/>
    <x v="262"/>
    <x v="0"/>
    <x v="32"/>
    <x v="32"/>
    <x v="4"/>
    <x v="375"/>
    <n v="9.0399999999999991"/>
    <n v="830956.8"/>
  </r>
  <r>
    <s v="ORD00377"/>
    <x v="293"/>
    <s v="C218"/>
    <x v="263"/>
    <x v="4"/>
    <x v="45"/>
    <x v="45"/>
    <x v="3"/>
    <x v="376"/>
    <n v="22.28"/>
    <n v="1541575.48"/>
  </r>
  <r>
    <s v="ORD00378"/>
    <x v="140"/>
    <s v="C187"/>
    <x v="108"/>
    <x v="3"/>
    <x v="30"/>
    <x v="30"/>
    <x v="4"/>
    <x v="377"/>
    <n v="32.35"/>
    <n v="2159039"/>
  </r>
  <r>
    <s v="ORD00379"/>
    <x v="294"/>
    <s v="C033"/>
    <x v="150"/>
    <x v="4"/>
    <x v="11"/>
    <x v="11"/>
    <x v="4"/>
    <x v="378"/>
    <n v="44.09"/>
    <n v="199551.34"/>
  </r>
  <r>
    <s v="ORD00380"/>
    <x v="206"/>
    <s v="C242"/>
    <x v="264"/>
    <x v="0"/>
    <x v="46"/>
    <x v="46"/>
    <x v="0"/>
    <x v="379"/>
    <n v="46.24"/>
    <n v="4471038.08"/>
  </r>
  <r>
    <s v="ORD00381"/>
    <x v="58"/>
    <s v="C437"/>
    <x v="195"/>
    <x v="2"/>
    <x v="12"/>
    <x v="12"/>
    <x v="4"/>
    <x v="380"/>
    <n v="15.24"/>
    <n v="668167.31999999995"/>
  </r>
  <r>
    <s v="ORD00382"/>
    <x v="295"/>
    <s v="C072"/>
    <x v="265"/>
    <x v="3"/>
    <x v="33"/>
    <x v="33"/>
    <x v="1"/>
    <x v="381"/>
    <n v="29.37"/>
    <n v="1756061.67"/>
  </r>
  <r>
    <s v="ORD00383"/>
    <x v="296"/>
    <s v="C443"/>
    <x v="105"/>
    <x v="1"/>
    <x v="15"/>
    <x v="15"/>
    <x v="2"/>
    <x v="382"/>
    <n v="25.73"/>
    <n v="1052614.3"/>
  </r>
  <r>
    <s v="ORD00384"/>
    <x v="169"/>
    <s v="C434"/>
    <x v="266"/>
    <x v="1"/>
    <x v="6"/>
    <x v="6"/>
    <x v="0"/>
    <x v="383"/>
    <n v="24.81"/>
    <n v="967093.8"/>
  </r>
  <r>
    <s v="ORD00385"/>
    <x v="272"/>
    <s v="C494"/>
    <x v="267"/>
    <x v="0"/>
    <x v="7"/>
    <x v="7"/>
    <x v="3"/>
    <x v="384"/>
    <n v="36.58"/>
    <n v="2470832.6800000002"/>
  </r>
  <r>
    <s v="ORD00386"/>
    <x v="85"/>
    <s v="C297"/>
    <x v="49"/>
    <x v="3"/>
    <x v="41"/>
    <x v="41"/>
    <x v="4"/>
    <x v="385"/>
    <n v="19.63"/>
    <n v="365687.27"/>
  </r>
  <r>
    <s v="ORD00387"/>
    <x v="297"/>
    <s v="C415"/>
    <x v="152"/>
    <x v="0"/>
    <x v="10"/>
    <x v="10"/>
    <x v="3"/>
    <x v="386"/>
    <n v="7.43"/>
    <n v="445681.12"/>
  </r>
  <r>
    <s v="ORD00388"/>
    <x v="151"/>
    <s v="C292"/>
    <x v="268"/>
    <x v="0"/>
    <x v="45"/>
    <x v="45"/>
    <x v="3"/>
    <x v="387"/>
    <n v="39.11"/>
    <n v="1651967.29"/>
  </r>
  <r>
    <s v="ORD00389"/>
    <x v="298"/>
    <s v="C236"/>
    <x v="25"/>
    <x v="2"/>
    <x v="27"/>
    <x v="27"/>
    <x v="4"/>
    <x v="388"/>
    <n v="37.909999999999997"/>
    <n v="1781959.55"/>
  </r>
  <r>
    <s v="ORD00390"/>
    <x v="299"/>
    <s v="C067"/>
    <x v="109"/>
    <x v="2"/>
    <x v="46"/>
    <x v="46"/>
    <x v="0"/>
    <x v="389"/>
    <n v="44.33"/>
    <n v="3211797.16"/>
  </r>
  <r>
    <s v="ORD00391"/>
    <x v="300"/>
    <s v="C078"/>
    <x v="41"/>
    <x v="4"/>
    <x v="44"/>
    <x v="44"/>
    <x v="2"/>
    <x v="390"/>
    <n v="12.81"/>
    <n v="761759.46"/>
  </r>
  <r>
    <s v="ORD00392"/>
    <x v="301"/>
    <s v="C478"/>
    <x v="269"/>
    <x v="0"/>
    <x v="3"/>
    <x v="3"/>
    <x v="2"/>
    <x v="391"/>
    <n v="16.27"/>
    <n v="1000751.43"/>
  </r>
  <r>
    <s v="ORD00393"/>
    <x v="302"/>
    <s v="C279"/>
    <x v="270"/>
    <x v="1"/>
    <x v="19"/>
    <x v="19"/>
    <x v="3"/>
    <x v="392"/>
    <n v="29.2"/>
    <n v="30046.799999999999"/>
  </r>
  <r>
    <s v="ORD00394"/>
    <x v="303"/>
    <s v="C440"/>
    <x v="73"/>
    <x v="0"/>
    <x v="6"/>
    <x v="6"/>
    <x v="0"/>
    <x v="393"/>
    <n v="13.2"/>
    <n v="616624.80000000005"/>
  </r>
  <r>
    <s v="ORD00395"/>
    <x v="304"/>
    <s v="C181"/>
    <x v="93"/>
    <x v="0"/>
    <x v="24"/>
    <x v="24"/>
    <x v="3"/>
    <x v="394"/>
    <n v="31.68"/>
    <n v="451376.64000000001"/>
  </r>
  <r>
    <s v="ORD00396"/>
    <x v="305"/>
    <s v="C153"/>
    <x v="271"/>
    <x v="0"/>
    <x v="0"/>
    <x v="0"/>
    <x v="0"/>
    <x v="395"/>
    <n v="7.01"/>
    <n v="95833.71"/>
  </r>
  <r>
    <s v="ORD00397"/>
    <x v="287"/>
    <s v="C386"/>
    <x v="272"/>
    <x v="0"/>
    <x v="7"/>
    <x v="7"/>
    <x v="3"/>
    <x v="396"/>
    <n v="5.81"/>
    <n v="571744.67000000004"/>
  </r>
  <r>
    <s v="ORD00398"/>
    <x v="306"/>
    <s v="C056"/>
    <x v="273"/>
    <x v="0"/>
    <x v="34"/>
    <x v="34"/>
    <x v="2"/>
    <x v="397"/>
    <n v="43.89"/>
    <n v="4356784.74"/>
  </r>
  <r>
    <s v="ORD00399"/>
    <x v="66"/>
    <s v="C420"/>
    <x v="11"/>
    <x v="4"/>
    <x v="11"/>
    <x v="11"/>
    <x v="4"/>
    <x v="398"/>
    <n v="21.07"/>
    <n v="2067662.31"/>
  </r>
  <r>
    <s v="ORD00400"/>
    <x v="307"/>
    <s v="C306"/>
    <x v="274"/>
    <x v="4"/>
    <x v="8"/>
    <x v="8"/>
    <x v="3"/>
    <x v="399"/>
    <n v="11.84"/>
    <n v="1060615.3600000001"/>
  </r>
  <r>
    <s v="ORD00401"/>
    <x v="308"/>
    <s v="C398"/>
    <x v="63"/>
    <x v="1"/>
    <x v="28"/>
    <x v="28"/>
    <x v="3"/>
    <x v="400"/>
    <n v="34.33"/>
    <n v="2084002.65"/>
  </r>
  <r>
    <s v="ORD00402"/>
    <x v="309"/>
    <s v="C260"/>
    <x v="153"/>
    <x v="2"/>
    <x v="24"/>
    <x v="24"/>
    <x v="3"/>
    <x v="401"/>
    <n v="32.4"/>
    <n v="3099675.6"/>
  </r>
  <r>
    <s v="ORD00403"/>
    <x v="212"/>
    <s v="C163"/>
    <x v="275"/>
    <x v="3"/>
    <x v="8"/>
    <x v="8"/>
    <x v="3"/>
    <x v="402"/>
    <n v="46.76"/>
    <n v="850938.48"/>
  </r>
  <r>
    <s v="ORD00404"/>
    <x v="310"/>
    <s v="C258"/>
    <x v="276"/>
    <x v="3"/>
    <x v="12"/>
    <x v="12"/>
    <x v="4"/>
    <x v="403"/>
    <n v="8.82"/>
    <n v="833093.1"/>
  </r>
  <r>
    <s v="ORD00405"/>
    <x v="311"/>
    <s v="C449"/>
    <x v="277"/>
    <x v="0"/>
    <x v="17"/>
    <x v="17"/>
    <x v="1"/>
    <x v="404"/>
    <n v="42.11"/>
    <n v="3823251.12"/>
  </r>
  <r>
    <s v="ORD00406"/>
    <x v="312"/>
    <s v="C227"/>
    <x v="278"/>
    <x v="2"/>
    <x v="33"/>
    <x v="33"/>
    <x v="1"/>
    <x v="405"/>
    <n v="43.37"/>
    <n v="4053490.31"/>
  </r>
  <r>
    <s v="ORD00407"/>
    <x v="313"/>
    <s v="C071"/>
    <x v="279"/>
    <x v="0"/>
    <x v="20"/>
    <x v="20"/>
    <x v="1"/>
    <x v="406"/>
    <n v="48.37"/>
    <n v="2887834.11"/>
  </r>
  <r>
    <s v="ORD00408"/>
    <x v="303"/>
    <s v="C264"/>
    <x v="65"/>
    <x v="0"/>
    <x v="17"/>
    <x v="17"/>
    <x v="1"/>
    <x v="407"/>
    <n v="35.42"/>
    <n v="155422.96"/>
  </r>
  <r>
    <s v="ORD00409"/>
    <x v="314"/>
    <s v="C318"/>
    <x v="235"/>
    <x v="2"/>
    <x v="36"/>
    <x v="36"/>
    <x v="4"/>
    <x v="408"/>
    <n v="26.66"/>
    <n v="2448401.08"/>
  </r>
  <r>
    <s v="ORD00410"/>
    <x v="315"/>
    <s v="C394"/>
    <x v="213"/>
    <x v="0"/>
    <x v="47"/>
    <x v="47"/>
    <x v="2"/>
    <x v="409"/>
    <n v="49.29"/>
    <n v="4571992.53"/>
  </r>
  <r>
    <s v="ORD00411"/>
    <x v="296"/>
    <s v="C403"/>
    <x v="59"/>
    <x v="0"/>
    <x v="23"/>
    <x v="23"/>
    <x v="0"/>
    <x v="410"/>
    <n v="22.52"/>
    <n v="1791758.76"/>
  </r>
  <r>
    <s v="ORD00412"/>
    <x v="124"/>
    <s v="C350"/>
    <x v="280"/>
    <x v="3"/>
    <x v="19"/>
    <x v="19"/>
    <x v="3"/>
    <x v="411"/>
    <n v="12.54"/>
    <n v="328773.71999999997"/>
  </r>
  <r>
    <s v="ORD00413"/>
    <x v="48"/>
    <s v="C257"/>
    <x v="281"/>
    <x v="0"/>
    <x v="0"/>
    <x v="0"/>
    <x v="0"/>
    <x v="412"/>
    <n v="23.56"/>
    <n v="1546125"/>
  </r>
  <r>
    <s v="ORD00414"/>
    <x v="316"/>
    <s v="C227"/>
    <x v="278"/>
    <x v="2"/>
    <x v="41"/>
    <x v="41"/>
    <x v="4"/>
    <x v="413"/>
    <n v="9.2200000000000006"/>
    <n v="358667.22"/>
  </r>
  <r>
    <s v="ORD00415"/>
    <x v="317"/>
    <s v="C063"/>
    <x v="282"/>
    <x v="3"/>
    <x v="33"/>
    <x v="33"/>
    <x v="1"/>
    <x v="414"/>
    <n v="17.84"/>
    <n v="1079801.68"/>
  </r>
  <r>
    <s v="ORD00416"/>
    <x v="318"/>
    <s v="C213"/>
    <x v="283"/>
    <x v="1"/>
    <x v="18"/>
    <x v="18"/>
    <x v="0"/>
    <x v="415"/>
    <n v="36.18"/>
    <n v="1536600.78"/>
  </r>
  <r>
    <s v="ORD00417"/>
    <x v="238"/>
    <s v="C123"/>
    <x v="284"/>
    <x v="3"/>
    <x v="44"/>
    <x v="44"/>
    <x v="2"/>
    <x v="416"/>
    <n v="31.31"/>
    <n v="289930.59999999998"/>
  </r>
  <r>
    <s v="ORD00418"/>
    <x v="319"/>
    <s v="C168"/>
    <x v="285"/>
    <x v="1"/>
    <x v="43"/>
    <x v="43"/>
    <x v="4"/>
    <x v="417"/>
    <n v="37.01"/>
    <n v="2310275.23"/>
  </r>
  <r>
    <s v="ORD00419"/>
    <x v="320"/>
    <s v="C425"/>
    <x v="144"/>
    <x v="1"/>
    <x v="47"/>
    <x v="47"/>
    <x v="2"/>
    <x v="418"/>
    <n v="31.8"/>
    <n v="2550741.6"/>
  </r>
  <r>
    <s v="ORD00420"/>
    <x v="300"/>
    <s v="C311"/>
    <x v="128"/>
    <x v="0"/>
    <x v="44"/>
    <x v="44"/>
    <x v="2"/>
    <x v="419"/>
    <n v="45.04"/>
    <n v="3861864.72"/>
  </r>
  <r>
    <s v="ORD00421"/>
    <x v="7"/>
    <s v="C111"/>
    <x v="286"/>
    <x v="0"/>
    <x v="42"/>
    <x v="42"/>
    <x v="1"/>
    <x v="420"/>
    <n v="2.0699999999999998"/>
    <n v="123605.91"/>
  </r>
  <r>
    <s v="ORD00422"/>
    <x v="115"/>
    <s v="C070"/>
    <x v="249"/>
    <x v="4"/>
    <x v="38"/>
    <x v="38"/>
    <x v="2"/>
    <x v="421"/>
    <n v="19.71"/>
    <n v="1253339.19"/>
  </r>
  <r>
    <s v="ORD00423"/>
    <x v="91"/>
    <s v="C284"/>
    <x v="287"/>
    <x v="4"/>
    <x v="3"/>
    <x v="3"/>
    <x v="2"/>
    <x v="422"/>
    <n v="43.26"/>
    <n v="789062.4"/>
  </r>
  <r>
    <s v="ORD00424"/>
    <x v="321"/>
    <s v="C381"/>
    <x v="113"/>
    <x v="2"/>
    <x v="34"/>
    <x v="34"/>
    <x v="2"/>
    <x v="423"/>
    <n v="32.11"/>
    <n v="94788.72"/>
  </r>
  <r>
    <s v="ORD00425"/>
    <x v="322"/>
    <s v="C423"/>
    <x v="288"/>
    <x v="2"/>
    <x v="45"/>
    <x v="45"/>
    <x v="3"/>
    <x v="424"/>
    <n v="20.68"/>
    <n v="545310.92000000004"/>
  </r>
  <r>
    <s v="ORD00426"/>
    <x v="275"/>
    <s v="C181"/>
    <x v="93"/>
    <x v="0"/>
    <x v="25"/>
    <x v="25"/>
    <x v="4"/>
    <x v="425"/>
    <n v="49.14"/>
    <n v="897198.12"/>
  </r>
  <r>
    <s v="ORD00427"/>
    <x v="187"/>
    <s v="C027"/>
    <x v="289"/>
    <x v="1"/>
    <x v="8"/>
    <x v="8"/>
    <x v="3"/>
    <x v="426"/>
    <n v="34.29"/>
    <n v="2952197.55"/>
  </r>
  <r>
    <s v="ORD00428"/>
    <x v="323"/>
    <s v="C282"/>
    <x v="290"/>
    <x v="3"/>
    <x v="25"/>
    <x v="25"/>
    <x v="4"/>
    <x v="427"/>
    <n v="26.73"/>
    <n v="1285071.48"/>
  </r>
  <r>
    <s v="ORD00429"/>
    <x v="324"/>
    <s v="C178"/>
    <x v="245"/>
    <x v="0"/>
    <x v="15"/>
    <x v="15"/>
    <x v="2"/>
    <x v="428"/>
    <n v="27.91"/>
    <n v="537351.23"/>
  </r>
  <r>
    <s v="ORD00430"/>
    <x v="309"/>
    <s v="C084"/>
    <x v="291"/>
    <x v="3"/>
    <x v="40"/>
    <x v="40"/>
    <x v="0"/>
    <x v="429"/>
    <n v="31.32"/>
    <n v="3041234.64"/>
  </r>
  <r>
    <s v="ORD00431"/>
    <x v="133"/>
    <s v="C282"/>
    <x v="290"/>
    <x v="3"/>
    <x v="27"/>
    <x v="27"/>
    <x v="4"/>
    <x v="430"/>
    <n v="10.99"/>
    <n v="218668.03"/>
  </r>
  <r>
    <s v="ORD00432"/>
    <x v="325"/>
    <s v="C362"/>
    <x v="9"/>
    <x v="4"/>
    <x v="49"/>
    <x v="49"/>
    <x v="3"/>
    <x v="431"/>
    <n v="23.71"/>
    <n v="64823.14"/>
  </r>
  <r>
    <s v="ORD00433"/>
    <x v="326"/>
    <s v="C093"/>
    <x v="292"/>
    <x v="1"/>
    <x v="46"/>
    <x v="46"/>
    <x v="0"/>
    <x v="432"/>
    <n v="17.52"/>
    <n v="1023833.76"/>
  </r>
  <r>
    <s v="ORD00434"/>
    <x v="327"/>
    <s v="C397"/>
    <x v="95"/>
    <x v="3"/>
    <x v="8"/>
    <x v="8"/>
    <x v="3"/>
    <x v="433"/>
    <n v="14.65"/>
    <n v="230400.55"/>
  </r>
  <r>
    <s v="ORD00435"/>
    <x v="257"/>
    <s v="C088"/>
    <x v="83"/>
    <x v="0"/>
    <x v="40"/>
    <x v="40"/>
    <x v="0"/>
    <x v="434"/>
    <n v="33.58"/>
    <n v="941146.66"/>
  </r>
  <r>
    <s v="ORD00436"/>
    <x v="275"/>
    <s v="C158"/>
    <x v="117"/>
    <x v="3"/>
    <x v="46"/>
    <x v="46"/>
    <x v="0"/>
    <x v="435"/>
    <n v="34.93"/>
    <n v="734193.67"/>
  </r>
  <r>
    <s v="ORD00437"/>
    <x v="161"/>
    <s v="C085"/>
    <x v="223"/>
    <x v="0"/>
    <x v="17"/>
    <x v="17"/>
    <x v="1"/>
    <x v="436"/>
    <n v="45.33"/>
    <n v="2854928.73"/>
  </r>
  <r>
    <s v="ORD00438"/>
    <x v="328"/>
    <s v="C291"/>
    <x v="198"/>
    <x v="1"/>
    <x v="20"/>
    <x v="20"/>
    <x v="1"/>
    <x v="437"/>
    <n v="26.99"/>
    <n v="2370720.63"/>
  </r>
  <r>
    <s v="ORD00439"/>
    <x v="294"/>
    <s v="C101"/>
    <x v="120"/>
    <x v="4"/>
    <x v="24"/>
    <x v="24"/>
    <x v="3"/>
    <x v="438"/>
    <n v="23.04"/>
    <n v="216069.12"/>
  </r>
  <r>
    <s v="ORD00440"/>
    <x v="123"/>
    <s v="C124"/>
    <x v="54"/>
    <x v="1"/>
    <x v="40"/>
    <x v="40"/>
    <x v="0"/>
    <x v="439"/>
    <n v="25.56"/>
    <n v="755937"/>
  </r>
  <r>
    <s v="ORD00441"/>
    <x v="329"/>
    <s v="C435"/>
    <x v="60"/>
    <x v="4"/>
    <x v="7"/>
    <x v="7"/>
    <x v="3"/>
    <x v="440"/>
    <n v="49.29"/>
    <n v="2655893.0699999998"/>
  </r>
  <r>
    <s v="ORD00442"/>
    <x v="330"/>
    <s v="C020"/>
    <x v="80"/>
    <x v="4"/>
    <x v="29"/>
    <x v="29"/>
    <x v="0"/>
    <x v="441"/>
    <n v="32.97"/>
    <n v="2647589.91"/>
  </r>
  <r>
    <s v="ORD00443"/>
    <x v="138"/>
    <s v="C427"/>
    <x v="293"/>
    <x v="0"/>
    <x v="47"/>
    <x v="47"/>
    <x v="2"/>
    <x v="442"/>
    <n v="31.82"/>
    <n v="2783931.8"/>
  </r>
  <r>
    <s v="ORD00444"/>
    <x v="331"/>
    <s v="C499"/>
    <x v="100"/>
    <x v="0"/>
    <x v="13"/>
    <x v="13"/>
    <x v="2"/>
    <x v="443"/>
    <n v="36.799999999999997"/>
    <n v="317547.2"/>
  </r>
  <r>
    <s v="ORD00445"/>
    <x v="332"/>
    <s v="C161"/>
    <x v="169"/>
    <x v="1"/>
    <x v="5"/>
    <x v="5"/>
    <x v="3"/>
    <x v="444"/>
    <n v="46.06"/>
    <n v="4516459.3600000003"/>
  </r>
  <r>
    <s v="ORD00446"/>
    <x v="333"/>
    <s v="C053"/>
    <x v="294"/>
    <x v="4"/>
    <x v="6"/>
    <x v="6"/>
    <x v="0"/>
    <x v="445"/>
    <n v="18.420000000000002"/>
    <n v="1784161.2"/>
  </r>
  <r>
    <s v="ORD00447"/>
    <x v="334"/>
    <s v="C459"/>
    <x v="295"/>
    <x v="2"/>
    <x v="28"/>
    <x v="28"/>
    <x v="3"/>
    <x v="446"/>
    <n v="5.37"/>
    <n v="25974.69"/>
  </r>
  <r>
    <s v="ORD00448"/>
    <x v="46"/>
    <s v="C009"/>
    <x v="42"/>
    <x v="1"/>
    <x v="46"/>
    <x v="46"/>
    <x v="0"/>
    <x v="447"/>
    <n v="5.08"/>
    <n v="20655.28"/>
  </r>
  <r>
    <s v="ORD00449"/>
    <x v="220"/>
    <s v="C031"/>
    <x v="296"/>
    <x v="1"/>
    <x v="12"/>
    <x v="12"/>
    <x v="4"/>
    <x v="448"/>
    <n v="47.39"/>
    <n v="609814.52"/>
  </r>
  <r>
    <s v="ORD00450"/>
    <x v="335"/>
    <s v="C122"/>
    <x v="297"/>
    <x v="4"/>
    <x v="33"/>
    <x v="33"/>
    <x v="1"/>
    <x v="449"/>
    <n v="47.97"/>
    <n v="105294.15"/>
  </r>
  <r>
    <s v="ORD00451"/>
    <x v="336"/>
    <s v="C193"/>
    <x v="127"/>
    <x v="4"/>
    <x v="42"/>
    <x v="42"/>
    <x v="1"/>
    <x v="450"/>
    <n v="8.68"/>
    <n v="726680.92"/>
  </r>
  <r>
    <s v="ORD00452"/>
    <x v="337"/>
    <s v="C280"/>
    <x v="244"/>
    <x v="1"/>
    <x v="9"/>
    <x v="9"/>
    <x v="4"/>
    <x v="451"/>
    <n v="44.58"/>
    <n v="3020874.54"/>
  </r>
  <r>
    <s v="ORD00453"/>
    <x v="76"/>
    <s v="C259"/>
    <x v="36"/>
    <x v="2"/>
    <x v="27"/>
    <x v="27"/>
    <x v="4"/>
    <x v="452"/>
    <n v="46.82"/>
    <n v="2442739.86"/>
  </r>
  <r>
    <s v="ORD00454"/>
    <x v="21"/>
    <s v="C406"/>
    <x v="50"/>
    <x v="3"/>
    <x v="47"/>
    <x v="47"/>
    <x v="2"/>
    <x v="453"/>
    <n v="6.24"/>
    <n v="396564.47999999998"/>
  </r>
  <r>
    <s v="ORD00455"/>
    <x v="48"/>
    <s v="C413"/>
    <x v="298"/>
    <x v="3"/>
    <x v="23"/>
    <x v="23"/>
    <x v="0"/>
    <x v="454"/>
    <n v="10.07"/>
    <n v="107084.38"/>
  </r>
  <r>
    <s v="ORD00456"/>
    <x v="338"/>
    <s v="C330"/>
    <x v="48"/>
    <x v="2"/>
    <x v="35"/>
    <x v="35"/>
    <x v="1"/>
    <x v="455"/>
    <n v="3.11"/>
    <n v="208749.42"/>
  </r>
  <r>
    <s v="ORD00457"/>
    <x v="339"/>
    <s v="C213"/>
    <x v="283"/>
    <x v="1"/>
    <x v="21"/>
    <x v="21"/>
    <x v="2"/>
    <x v="456"/>
    <n v="37.46"/>
    <n v="3701310.22"/>
  </r>
  <r>
    <s v="ORD00458"/>
    <x v="340"/>
    <s v="C362"/>
    <x v="9"/>
    <x v="4"/>
    <x v="48"/>
    <x v="48"/>
    <x v="2"/>
    <x v="457"/>
    <n v="22.43"/>
    <n v="2148457.5499999998"/>
  </r>
  <r>
    <s v="ORD00459"/>
    <x v="341"/>
    <s v="C070"/>
    <x v="249"/>
    <x v="4"/>
    <x v="38"/>
    <x v="38"/>
    <x v="2"/>
    <x v="458"/>
    <n v="10.29"/>
    <n v="884476.95"/>
  </r>
  <r>
    <s v="ORD00460"/>
    <x v="274"/>
    <s v="C492"/>
    <x v="299"/>
    <x v="3"/>
    <x v="43"/>
    <x v="43"/>
    <x v="4"/>
    <x v="459"/>
    <n v="47.94"/>
    <n v="4289431.5"/>
  </r>
  <r>
    <s v="ORD00461"/>
    <x v="86"/>
    <s v="C065"/>
    <x v="13"/>
    <x v="2"/>
    <x v="44"/>
    <x v="44"/>
    <x v="2"/>
    <x v="460"/>
    <n v="14.92"/>
    <n v="129192.28"/>
  </r>
  <r>
    <s v="ORD00462"/>
    <x v="342"/>
    <s v="C204"/>
    <x v="240"/>
    <x v="0"/>
    <x v="33"/>
    <x v="33"/>
    <x v="1"/>
    <x v="461"/>
    <n v="22.01"/>
    <n v="1704300.33"/>
  </r>
  <r>
    <s v="ORD00463"/>
    <x v="42"/>
    <s v="C152"/>
    <x v="121"/>
    <x v="0"/>
    <x v="30"/>
    <x v="30"/>
    <x v="4"/>
    <x v="462"/>
    <n v="48.31"/>
    <n v="1283451.77"/>
  </r>
  <r>
    <s v="ORD00464"/>
    <x v="343"/>
    <s v="C040"/>
    <x v="300"/>
    <x v="2"/>
    <x v="40"/>
    <x v="40"/>
    <x v="0"/>
    <x v="463"/>
    <n v="41.53"/>
    <n v="2553638.17"/>
  </r>
  <r>
    <s v="ORD00465"/>
    <x v="125"/>
    <s v="C017"/>
    <x v="139"/>
    <x v="4"/>
    <x v="29"/>
    <x v="29"/>
    <x v="0"/>
    <x v="464"/>
    <n v="30.49"/>
    <n v="758408.26"/>
  </r>
  <r>
    <s v="ORD00466"/>
    <x v="169"/>
    <s v="C365"/>
    <x v="155"/>
    <x v="4"/>
    <x v="29"/>
    <x v="29"/>
    <x v="0"/>
    <x v="465"/>
    <n v="2.33"/>
    <n v="195724.66"/>
  </r>
  <r>
    <s v="ORD00467"/>
    <x v="344"/>
    <s v="C424"/>
    <x v="57"/>
    <x v="2"/>
    <x v="5"/>
    <x v="5"/>
    <x v="3"/>
    <x v="466"/>
    <n v="40.119999999999997"/>
    <n v="2789463.36"/>
  </r>
  <r>
    <s v="ORD00468"/>
    <x v="345"/>
    <s v="C124"/>
    <x v="54"/>
    <x v="1"/>
    <x v="47"/>
    <x v="47"/>
    <x v="2"/>
    <x v="467"/>
    <n v="39.72"/>
    <n v="3826664.52"/>
  </r>
  <r>
    <s v="ORD00469"/>
    <x v="346"/>
    <s v="C055"/>
    <x v="301"/>
    <x v="1"/>
    <x v="1"/>
    <x v="1"/>
    <x v="1"/>
    <x v="468"/>
    <n v="9.34"/>
    <n v="605241.34"/>
  </r>
  <r>
    <s v="ORD00470"/>
    <x v="347"/>
    <s v="C099"/>
    <x v="302"/>
    <x v="2"/>
    <x v="25"/>
    <x v="25"/>
    <x v="4"/>
    <x v="469"/>
    <n v="31"/>
    <n v="764336"/>
  </r>
  <r>
    <s v="ORD00471"/>
    <x v="74"/>
    <s v="C022"/>
    <x v="303"/>
    <x v="3"/>
    <x v="44"/>
    <x v="44"/>
    <x v="2"/>
    <x v="470"/>
    <n v="31.59"/>
    <n v="2250882.27"/>
  </r>
  <r>
    <s v="ORD00472"/>
    <x v="348"/>
    <s v="C286"/>
    <x v="116"/>
    <x v="3"/>
    <x v="19"/>
    <x v="19"/>
    <x v="3"/>
    <x v="471"/>
    <n v="44.27"/>
    <n v="4067660.41"/>
  </r>
  <r>
    <s v="ORD00473"/>
    <x v="349"/>
    <s v="C023"/>
    <x v="304"/>
    <x v="4"/>
    <x v="13"/>
    <x v="13"/>
    <x v="2"/>
    <x v="472"/>
    <n v="15.9"/>
    <n v="40497.300000000003"/>
  </r>
  <r>
    <s v="ORD00474"/>
    <x v="56"/>
    <s v="C375"/>
    <x v="305"/>
    <x v="0"/>
    <x v="48"/>
    <x v="48"/>
    <x v="2"/>
    <x v="473"/>
    <n v="29.42"/>
    <n v="2538828.3199999998"/>
  </r>
  <r>
    <s v="ORD00475"/>
    <x v="285"/>
    <s v="C186"/>
    <x v="306"/>
    <x v="4"/>
    <x v="10"/>
    <x v="10"/>
    <x v="3"/>
    <x v="474"/>
    <n v="48.47"/>
    <n v="3086569.6"/>
  </r>
  <r>
    <s v="ORD00476"/>
    <x v="350"/>
    <s v="C042"/>
    <x v="175"/>
    <x v="0"/>
    <x v="2"/>
    <x v="2"/>
    <x v="1"/>
    <x v="475"/>
    <n v="18.78"/>
    <n v="1331126.3999999999"/>
  </r>
  <r>
    <s v="ORD00477"/>
    <x v="351"/>
    <s v="C344"/>
    <x v="307"/>
    <x v="4"/>
    <x v="29"/>
    <x v="29"/>
    <x v="0"/>
    <x v="476"/>
    <n v="47.97"/>
    <n v="100689.03"/>
  </r>
  <r>
    <s v="ORD00478"/>
    <x v="109"/>
    <s v="C318"/>
    <x v="235"/>
    <x v="2"/>
    <x v="49"/>
    <x v="49"/>
    <x v="3"/>
    <x v="477"/>
    <n v="21.19"/>
    <n v="425855.43"/>
  </r>
  <r>
    <s v="ORD00479"/>
    <x v="352"/>
    <s v="C014"/>
    <x v="134"/>
    <x v="2"/>
    <x v="35"/>
    <x v="35"/>
    <x v="1"/>
    <x v="478"/>
    <n v="20.02"/>
    <n v="1275394.1200000001"/>
  </r>
  <r>
    <s v="ORD00480"/>
    <x v="353"/>
    <s v="C147"/>
    <x v="308"/>
    <x v="4"/>
    <x v="13"/>
    <x v="13"/>
    <x v="2"/>
    <x v="479"/>
    <n v="38.090000000000003"/>
    <n v="2997606.82"/>
  </r>
  <r>
    <s v="ORD00481"/>
    <x v="354"/>
    <s v="C401"/>
    <x v="179"/>
    <x v="1"/>
    <x v="15"/>
    <x v="15"/>
    <x v="2"/>
    <x v="480"/>
    <n v="22.33"/>
    <n v="1200527.79"/>
  </r>
  <r>
    <s v="ORD00482"/>
    <x v="87"/>
    <s v="C385"/>
    <x v="309"/>
    <x v="3"/>
    <x v="25"/>
    <x v="25"/>
    <x v="4"/>
    <x v="481"/>
    <n v="40.98"/>
    <n v="3260901.54"/>
  </r>
  <r>
    <s v="ORD00483"/>
    <x v="134"/>
    <s v="C108"/>
    <x v="310"/>
    <x v="4"/>
    <x v="44"/>
    <x v="44"/>
    <x v="2"/>
    <x v="482"/>
    <n v="48.36"/>
    <n v="2756713.44"/>
  </r>
  <r>
    <s v="ORD00484"/>
    <x v="355"/>
    <s v="C065"/>
    <x v="13"/>
    <x v="2"/>
    <x v="46"/>
    <x v="46"/>
    <x v="0"/>
    <x v="483"/>
    <n v="48.77"/>
    <n v="4292930.4800000004"/>
  </r>
  <r>
    <s v="ORD00485"/>
    <x v="356"/>
    <s v="C358"/>
    <x v="311"/>
    <x v="3"/>
    <x v="39"/>
    <x v="39"/>
    <x v="3"/>
    <x v="484"/>
    <n v="39.26"/>
    <n v="2596224.54"/>
  </r>
  <r>
    <s v="ORD00486"/>
    <x v="175"/>
    <s v="C488"/>
    <x v="312"/>
    <x v="1"/>
    <x v="25"/>
    <x v="25"/>
    <x v="4"/>
    <x v="485"/>
    <n v="13.61"/>
    <n v="602800.51"/>
  </r>
  <r>
    <s v="ORD00487"/>
    <x v="200"/>
    <s v="C268"/>
    <x v="313"/>
    <x v="0"/>
    <x v="1"/>
    <x v="1"/>
    <x v="1"/>
    <x v="486"/>
    <n v="24.27"/>
    <n v="768194.04"/>
  </r>
  <r>
    <s v="ORD00488"/>
    <x v="157"/>
    <s v="C303"/>
    <x v="262"/>
    <x v="0"/>
    <x v="11"/>
    <x v="11"/>
    <x v="4"/>
    <x v="487"/>
    <n v="23.92"/>
    <n v="1560158.08"/>
  </r>
  <r>
    <s v="ORD00489"/>
    <x v="248"/>
    <s v="C002"/>
    <x v="314"/>
    <x v="3"/>
    <x v="12"/>
    <x v="12"/>
    <x v="4"/>
    <x v="488"/>
    <n v="14.69"/>
    <n v="825695.52"/>
  </r>
  <r>
    <s v="ORD00490"/>
    <x v="357"/>
    <s v="C231"/>
    <x v="315"/>
    <x v="2"/>
    <x v="21"/>
    <x v="21"/>
    <x v="2"/>
    <x v="489"/>
    <n v="4.1900000000000004"/>
    <n v="383833.33"/>
  </r>
  <r>
    <s v="ORD00491"/>
    <x v="305"/>
    <s v="C286"/>
    <x v="116"/>
    <x v="3"/>
    <x v="28"/>
    <x v="28"/>
    <x v="3"/>
    <x v="490"/>
    <n v="29.18"/>
    <n v="1960195.68"/>
  </r>
  <r>
    <s v="ORD00492"/>
    <x v="358"/>
    <s v="C349"/>
    <x v="316"/>
    <x v="2"/>
    <x v="32"/>
    <x v="32"/>
    <x v="4"/>
    <x v="491"/>
    <n v="8.3699999999999992"/>
    <n v="498977.55"/>
  </r>
  <r>
    <s v="ORD00493"/>
    <x v="359"/>
    <s v="C281"/>
    <x v="317"/>
    <x v="2"/>
    <x v="40"/>
    <x v="40"/>
    <x v="0"/>
    <x v="492"/>
    <n v="24.45"/>
    <n v="530956.19999999995"/>
  </r>
  <r>
    <s v="ORD00494"/>
    <x v="165"/>
    <s v="C183"/>
    <x v="89"/>
    <x v="0"/>
    <x v="11"/>
    <x v="11"/>
    <x v="4"/>
    <x v="493"/>
    <n v="3.05"/>
    <n v="294956.34999999998"/>
  </r>
  <r>
    <s v="ORD00495"/>
    <x v="360"/>
    <s v="C239"/>
    <x v="12"/>
    <x v="3"/>
    <x v="35"/>
    <x v="35"/>
    <x v="1"/>
    <x v="494"/>
    <n v="3.87"/>
    <n v="287587.44"/>
  </r>
  <r>
    <s v="ORD00496"/>
    <x v="361"/>
    <s v="C266"/>
    <x v="99"/>
    <x v="0"/>
    <x v="29"/>
    <x v="29"/>
    <x v="0"/>
    <x v="495"/>
    <n v="9.09"/>
    <n v="248320.62"/>
  </r>
  <r>
    <s v="ORD00497"/>
    <x v="362"/>
    <s v="C388"/>
    <x v="191"/>
    <x v="2"/>
    <x v="37"/>
    <x v="37"/>
    <x v="1"/>
    <x v="496"/>
    <n v="33.29"/>
    <n v="1074468.04"/>
  </r>
  <r>
    <s v="ORD00498"/>
    <x v="363"/>
    <s v="C307"/>
    <x v="318"/>
    <x v="0"/>
    <x v="19"/>
    <x v="19"/>
    <x v="3"/>
    <x v="497"/>
    <n v="31.4"/>
    <n v="2453972.7999999998"/>
  </r>
  <r>
    <s v="ORD00499"/>
    <x v="364"/>
    <s v="C320"/>
    <x v="257"/>
    <x v="1"/>
    <x v="14"/>
    <x v="14"/>
    <x v="2"/>
    <x v="498"/>
    <n v="40.06"/>
    <n v="1009592.12"/>
  </r>
  <r>
    <s v="ORD00500"/>
    <x v="365"/>
    <s v="C386"/>
    <x v="272"/>
    <x v="0"/>
    <x v="19"/>
    <x v="19"/>
    <x v="3"/>
    <x v="499"/>
    <n v="20.96"/>
    <n v="164389.28"/>
  </r>
  <r>
    <s v="ORD00501"/>
    <x v="195"/>
    <s v="C419"/>
    <x v="156"/>
    <x v="3"/>
    <x v="1"/>
    <x v="1"/>
    <x v="1"/>
    <x v="500"/>
    <n v="48.75"/>
    <n v="4322028.75"/>
  </r>
  <r>
    <s v="ORD00502"/>
    <x v="229"/>
    <s v="C054"/>
    <x v="129"/>
    <x v="3"/>
    <x v="8"/>
    <x v="8"/>
    <x v="3"/>
    <x v="501"/>
    <n v="17.760000000000002"/>
    <n v="1347948.48"/>
  </r>
  <r>
    <s v="ORD00503"/>
    <x v="366"/>
    <s v="C006"/>
    <x v="319"/>
    <x v="2"/>
    <x v="33"/>
    <x v="33"/>
    <x v="1"/>
    <x v="502"/>
    <n v="7.98"/>
    <n v="370702.92"/>
  </r>
  <r>
    <s v="ORD00504"/>
    <x v="367"/>
    <s v="C317"/>
    <x v="211"/>
    <x v="1"/>
    <x v="1"/>
    <x v="1"/>
    <x v="1"/>
    <x v="503"/>
    <n v="17.11"/>
    <n v="1545648.96"/>
  </r>
  <r>
    <s v="ORD00505"/>
    <x v="186"/>
    <s v="C094"/>
    <x v="55"/>
    <x v="1"/>
    <x v="43"/>
    <x v="43"/>
    <x v="4"/>
    <x v="504"/>
    <n v="12.91"/>
    <n v="345781.44"/>
  </r>
  <r>
    <s v="ORD00506"/>
    <x v="368"/>
    <s v="C100"/>
    <x v="39"/>
    <x v="0"/>
    <x v="11"/>
    <x v="11"/>
    <x v="4"/>
    <x v="505"/>
    <n v="34.79"/>
    <n v="82521.88"/>
  </r>
  <r>
    <s v="ORD00507"/>
    <x v="264"/>
    <s v="C108"/>
    <x v="310"/>
    <x v="4"/>
    <x v="0"/>
    <x v="0"/>
    <x v="0"/>
    <x v="506"/>
    <n v="9.25"/>
    <n v="431734.5"/>
  </r>
  <r>
    <s v="ORD00508"/>
    <x v="369"/>
    <s v="C269"/>
    <x v="320"/>
    <x v="3"/>
    <x v="21"/>
    <x v="21"/>
    <x v="2"/>
    <x v="507"/>
    <n v="30.68"/>
    <n v="1659082.36"/>
  </r>
  <r>
    <s v="ORD00509"/>
    <x v="285"/>
    <s v="C121"/>
    <x v="8"/>
    <x v="2"/>
    <x v="38"/>
    <x v="38"/>
    <x v="2"/>
    <x v="508"/>
    <n v="43.16"/>
    <n v="2918392.88"/>
  </r>
  <r>
    <s v="ORD00510"/>
    <x v="370"/>
    <s v="C296"/>
    <x v="321"/>
    <x v="3"/>
    <x v="38"/>
    <x v="38"/>
    <x v="2"/>
    <x v="509"/>
    <n v="14.94"/>
    <n v="349371.9"/>
  </r>
  <r>
    <s v="ORD00511"/>
    <x v="137"/>
    <s v="C382"/>
    <x v="136"/>
    <x v="3"/>
    <x v="15"/>
    <x v="15"/>
    <x v="2"/>
    <x v="510"/>
    <n v="45.13"/>
    <n v="3837449.03"/>
  </r>
  <r>
    <s v="ORD00512"/>
    <x v="90"/>
    <s v="C433"/>
    <x v="322"/>
    <x v="4"/>
    <x v="18"/>
    <x v="18"/>
    <x v="0"/>
    <x v="511"/>
    <n v="41"/>
    <n v="3975975"/>
  </r>
  <r>
    <s v="ORD00513"/>
    <x v="371"/>
    <s v="C187"/>
    <x v="108"/>
    <x v="3"/>
    <x v="42"/>
    <x v="42"/>
    <x v="1"/>
    <x v="512"/>
    <n v="16.53"/>
    <n v="643694.73"/>
  </r>
  <r>
    <s v="ORD00514"/>
    <x v="372"/>
    <s v="C103"/>
    <x v="226"/>
    <x v="4"/>
    <x v="21"/>
    <x v="21"/>
    <x v="2"/>
    <x v="513"/>
    <n v="36.090000000000003"/>
    <n v="2052366.12"/>
  </r>
  <r>
    <s v="ORD00515"/>
    <x v="6"/>
    <s v="C497"/>
    <x v="215"/>
    <x v="1"/>
    <x v="13"/>
    <x v="13"/>
    <x v="2"/>
    <x v="514"/>
    <n v="6.48"/>
    <n v="566747.28"/>
  </r>
  <r>
    <s v="ORD00516"/>
    <x v="373"/>
    <s v="C181"/>
    <x v="93"/>
    <x v="0"/>
    <x v="26"/>
    <x v="26"/>
    <x v="0"/>
    <x v="515"/>
    <n v="26.85"/>
    <n v="70857.149999999994"/>
  </r>
  <r>
    <s v="ORD00517"/>
    <x v="374"/>
    <s v="C044"/>
    <x v="202"/>
    <x v="2"/>
    <x v="29"/>
    <x v="29"/>
    <x v="0"/>
    <x v="516"/>
    <n v="8.8800000000000008"/>
    <n v="303651.59999999998"/>
  </r>
  <r>
    <s v="ORD00518"/>
    <x v="375"/>
    <s v="C280"/>
    <x v="244"/>
    <x v="1"/>
    <x v="31"/>
    <x v="31"/>
    <x v="0"/>
    <x v="517"/>
    <n v="14.95"/>
    <n v="400361"/>
  </r>
  <r>
    <s v="ORD00519"/>
    <x v="376"/>
    <s v="C191"/>
    <x v="186"/>
    <x v="2"/>
    <x v="44"/>
    <x v="44"/>
    <x v="2"/>
    <x v="518"/>
    <n v="31.49"/>
    <n v="1654925.46"/>
  </r>
  <r>
    <s v="ORD00520"/>
    <x v="42"/>
    <s v="C076"/>
    <x v="206"/>
    <x v="2"/>
    <x v="24"/>
    <x v="24"/>
    <x v="3"/>
    <x v="519"/>
    <n v="36.909999999999997"/>
    <n v="3058214.96"/>
  </r>
  <r>
    <s v="ORD00521"/>
    <x v="72"/>
    <s v="C322"/>
    <x v="238"/>
    <x v="2"/>
    <x v="25"/>
    <x v="25"/>
    <x v="4"/>
    <x v="520"/>
    <n v="11.1"/>
    <n v="511621.2"/>
  </r>
  <r>
    <s v="ORD00522"/>
    <x v="168"/>
    <s v="C116"/>
    <x v="323"/>
    <x v="3"/>
    <x v="3"/>
    <x v="3"/>
    <x v="2"/>
    <x v="521"/>
    <n v="37.119999999999997"/>
    <n v="393063.67999999999"/>
  </r>
  <r>
    <s v="ORD00523"/>
    <x v="377"/>
    <s v="C127"/>
    <x v="180"/>
    <x v="3"/>
    <x v="12"/>
    <x v="12"/>
    <x v="4"/>
    <x v="522"/>
    <n v="24.4"/>
    <n v="151475.20000000001"/>
  </r>
  <r>
    <s v="ORD00524"/>
    <x v="378"/>
    <s v="C107"/>
    <x v="324"/>
    <x v="1"/>
    <x v="44"/>
    <x v="44"/>
    <x v="2"/>
    <x v="523"/>
    <n v="5.74"/>
    <n v="540547.28"/>
  </r>
  <r>
    <s v="ORD00525"/>
    <x v="379"/>
    <s v="C035"/>
    <x v="325"/>
    <x v="1"/>
    <x v="40"/>
    <x v="40"/>
    <x v="0"/>
    <x v="524"/>
    <n v="22.4"/>
    <n v="2024467.2"/>
  </r>
  <r>
    <s v="ORD00526"/>
    <x v="315"/>
    <s v="C275"/>
    <x v="126"/>
    <x v="1"/>
    <x v="33"/>
    <x v="33"/>
    <x v="1"/>
    <x v="525"/>
    <n v="24.21"/>
    <n v="668680.19999999995"/>
  </r>
  <r>
    <s v="ORD00527"/>
    <x v="380"/>
    <s v="C458"/>
    <x v="103"/>
    <x v="1"/>
    <x v="48"/>
    <x v="48"/>
    <x v="2"/>
    <x v="526"/>
    <n v="21.59"/>
    <n v="121659.65"/>
  </r>
  <r>
    <s v="ORD00528"/>
    <x v="223"/>
    <s v="C186"/>
    <x v="306"/>
    <x v="4"/>
    <x v="34"/>
    <x v="34"/>
    <x v="2"/>
    <x v="527"/>
    <n v="4.7300000000000004"/>
    <n v="133121.12"/>
  </r>
  <r>
    <s v="ORD00529"/>
    <x v="381"/>
    <s v="C492"/>
    <x v="299"/>
    <x v="3"/>
    <x v="23"/>
    <x v="23"/>
    <x v="0"/>
    <x v="528"/>
    <n v="19.850000000000001"/>
    <n v="1383028.9"/>
  </r>
  <r>
    <s v="ORD00530"/>
    <x v="3"/>
    <s v="C410"/>
    <x v="326"/>
    <x v="4"/>
    <x v="46"/>
    <x v="46"/>
    <x v="0"/>
    <x v="529"/>
    <n v="15.99"/>
    <n v="995057.7"/>
  </r>
  <r>
    <s v="ORD00531"/>
    <x v="184"/>
    <s v="C031"/>
    <x v="296"/>
    <x v="1"/>
    <x v="4"/>
    <x v="4"/>
    <x v="1"/>
    <x v="530"/>
    <n v="36.69"/>
    <n v="644019.56999999995"/>
  </r>
  <r>
    <s v="ORD00532"/>
    <x v="382"/>
    <s v="C198"/>
    <x v="0"/>
    <x v="0"/>
    <x v="24"/>
    <x v="24"/>
    <x v="3"/>
    <x v="531"/>
    <n v="11.36"/>
    <n v="643078.24"/>
  </r>
  <r>
    <s v="ORD00533"/>
    <x v="281"/>
    <s v="C009"/>
    <x v="42"/>
    <x v="1"/>
    <x v="7"/>
    <x v="7"/>
    <x v="3"/>
    <x v="532"/>
    <n v="28.42"/>
    <n v="111235.88"/>
  </r>
  <r>
    <s v="ORD00534"/>
    <x v="175"/>
    <s v="C220"/>
    <x v="157"/>
    <x v="0"/>
    <x v="30"/>
    <x v="30"/>
    <x v="4"/>
    <x v="533"/>
    <n v="46.64"/>
    <n v="2112325.6"/>
  </r>
  <r>
    <s v="ORD00535"/>
    <x v="137"/>
    <s v="C380"/>
    <x v="193"/>
    <x v="3"/>
    <x v="35"/>
    <x v="35"/>
    <x v="1"/>
    <x v="534"/>
    <n v="18.98"/>
    <n v="302844.88"/>
  </r>
  <r>
    <s v="ORD00536"/>
    <x v="383"/>
    <s v="C157"/>
    <x v="327"/>
    <x v="4"/>
    <x v="31"/>
    <x v="31"/>
    <x v="0"/>
    <x v="535"/>
    <n v="43.09"/>
    <n v="3303581.03"/>
  </r>
  <r>
    <s v="ORD00537"/>
    <x v="349"/>
    <s v="C475"/>
    <x v="33"/>
    <x v="1"/>
    <x v="25"/>
    <x v="25"/>
    <x v="4"/>
    <x v="536"/>
    <n v="23.37"/>
    <n v="417949.08"/>
  </r>
  <r>
    <s v="ORD00538"/>
    <x v="286"/>
    <s v="C151"/>
    <x v="328"/>
    <x v="0"/>
    <x v="43"/>
    <x v="43"/>
    <x v="4"/>
    <x v="537"/>
    <n v="18.78"/>
    <n v="458325.9"/>
  </r>
  <r>
    <s v="ORD00539"/>
    <x v="256"/>
    <s v="C074"/>
    <x v="329"/>
    <x v="2"/>
    <x v="36"/>
    <x v="36"/>
    <x v="4"/>
    <x v="538"/>
    <n v="29.17"/>
    <n v="1468592.82"/>
  </r>
  <r>
    <s v="ORD00540"/>
    <x v="237"/>
    <s v="C088"/>
    <x v="83"/>
    <x v="0"/>
    <x v="0"/>
    <x v="0"/>
    <x v="0"/>
    <x v="539"/>
    <n v="33.49"/>
    <n v="1307248.6599999999"/>
  </r>
  <r>
    <s v="ORD00541"/>
    <x v="334"/>
    <s v="C057"/>
    <x v="161"/>
    <x v="4"/>
    <x v="23"/>
    <x v="23"/>
    <x v="0"/>
    <x v="540"/>
    <n v="32.01"/>
    <n v="2174631.36"/>
  </r>
  <r>
    <s v="ORD00542"/>
    <x v="228"/>
    <s v="C421"/>
    <x v="110"/>
    <x v="2"/>
    <x v="36"/>
    <x v="36"/>
    <x v="4"/>
    <x v="541"/>
    <n v="18.190000000000001"/>
    <n v="843415.73"/>
  </r>
  <r>
    <s v="ORD00543"/>
    <x v="148"/>
    <s v="C491"/>
    <x v="32"/>
    <x v="0"/>
    <x v="49"/>
    <x v="49"/>
    <x v="3"/>
    <x v="542"/>
    <n v="44.96"/>
    <n v="3600261.92"/>
  </r>
  <r>
    <s v="ORD00544"/>
    <x v="384"/>
    <s v="C339"/>
    <x v="330"/>
    <x v="3"/>
    <x v="13"/>
    <x v="13"/>
    <x v="2"/>
    <x v="543"/>
    <n v="37.369999999999997"/>
    <n v="1977433.55"/>
  </r>
  <r>
    <s v="ORD00545"/>
    <x v="366"/>
    <s v="C010"/>
    <x v="220"/>
    <x v="3"/>
    <x v="43"/>
    <x v="43"/>
    <x v="4"/>
    <x v="544"/>
    <n v="5.99"/>
    <n v="465602.7"/>
  </r>
  <r>
    <s v="ORD00546"/>
    <x v="102"/>
    <s v="C470"/>
    <x v="190"/>
    <x v="4"/>
    <x v="0"/>
    <x v="0"/>
    <x v="0"/>
    <x v="545"/>
    <n v="14.93"/>
    <n v="1133246.72"/>
  </r>
  <r>
    <s v="ORD00547"/>
    <x v="109"/>
    <s v="C457"/>
    <x v="196"/>
    <x v="3"/>
    <x v="18"/>
    <x v="18"/>
    <x v="0"/>
    <x v="546"/>
    <n v="47.92"/>
    <n v="3618151.68"/>
  </r>
  <r>
    <s v="ORD00548"/>
    <x v="385"/>
    <s v="C102"/>
    <x v="20"/>
    <x v="0"/>
    <x v="22"/>
    <x v="22"/>
    <x v="0"/>
    <x v="547"/>
    <n v="5.79"/>
    <n v="565729.31999999995"/>
  </r>
  <r>
    <s v="ORD00549"/>
    <x v="265"/>
    <s v="C377"/>
    <x v="165"/>
    <x v="4"/>
    <x v="35"/>
    <x v="35"/>
    <x v="1"/>
    <x v="548"/>
    <n v="19.97"/>
    <n v="110454.07"/>
  </r>
  <r>
    <s v="ORD00550"/>
    <x v="386"/>
    <s v="C480"/>
    <x v="331"/>
    <x v="3"/>
    <x v="23"/>
    <x v="23"/>
    <x v="0"/>
    <x v="549"/>
    <n v="35.9"/>
    <n v="2002394.3"/>
  </r>
  <r>
    <s v="ORD00551"/>
    <x v="90"/>
    <s v="C464"/>
    <x v="118"/>
    <x v="2"/>
    <x v="36"/>
    <x v="36"/>
    <x v="4"/>
    <x v="550"/>
    <n v="8.6"/>
    <n v="77812.800000000003"/>
  </r>
  <r>
    <s v="ORD00552"/>
    <x v="387"/>
    <s v="C102"/>
    <x v="20"/>
    <x v="0"/>
    <x v="30"/>
    <x v="30"/>
    <x v="4"/>
    <x v="551"/>
    <n v="15.04"/>
    <n v="647607.36"/>
  </r>
  <r>
    <s v="ORD00553"/>
    <x v="4"/>
    <s v="C018"/>
    <x v="332"/>
    <x v="3"/>
    <x v="33"/>
    <x v="33"/>
    <x v="1"/>
    <x v="552"/>
    <n v="27.63"/>
    <n v="1515146.31"/>
  </r>
  <r>
    <s v="ORD00554"/>
    <x v="388"/>
    <s v="C021"/>
    <x v="333"/>
    <x v="2"/>
    <x v="2"/>
    <x v="2"/>
    <x v="1"/>
    <x v="553"/>
    <n v="37.29"/>
    <n v="3477739.98"/>
  </r>
  <r>
    <s v="ORD00555"/>
    <x v="212"/>
    <s v="C303"/>
    <x v="262"/>
    <x v="0"/>
    <x v="42"/>
    <x v="42"/>
    <x v="1"/>
    <x v="554"/>
    <n v="20.65"/>
    <n v="1597339.45"/>
  </r>
  <r>
    <s v="ORD00556"/>
    <x v="389"/>
    <s v="C129"/>
    <x v="334"/>
    <x v="3"/>
    <x v="23"/>
    <x v="23"/>
    <x v="0"/>
    <x v="555"/>
    <n v="37.880000000000003"/>
    <n v="611383.19999999995"/>
  </r>
  <r>
    <s v="ORD00557"/>
    <x v="390"/>
    <s v="C053"/>
    <x v="294"/>
    <x v="4"/>
    <x v="37"/>
    <x v="37"/>
    <x v="1"/>
    <x v="556"/>
    <n v="27.68"/>
    <n v="2619109.2799999998"/>
  </r>
  <r>
    <s v="ORD00558"/>
    <x v="15"/>
    <s v="C267"/>
    <x v="172"/>
    <x v="4"/>
    <x v="44"/>
    <x v="44"/>
    <x v="2"/>
    <x v="557"/>
    <n v="22.89"/>
    <n v="152355.84"/>
  </r>
  <r>
    <s v="ORD00559"/>
    <x v="238"/>
    <s v="C388"/>
    <x v="191"/>
    <x v="2"/>
    <x v="28"/>
    <x v="28"/>
    <x v="3"/>
    <x v="558"/>
    <n v="31.05"/>
    <n v="904703.85"/>
  </r>
  <r>
    <s v="ORD00560"/>
    <x v="391"/>
    <s v="C216"/>
    <x v="47"/>
    <x v="1"/>
    <x v="3"/>
    <x v="3"/>
    <x v="2"/>
    <x v="559"/>
    <n v="22.68"/>
    <n v="1311130.8"/>
  </r>
  <r>
    <s v="ORD00561"/>
    <x v="392"/>
    <s v="C453"/>
    <x v="168"/>
    <x v="3"/>
    <x v="16"/>
    <x v="16"/>
    <x v="1"/>
    <x v="560"/>
    <n v="26.89"/>
    <n v="410986.76"/>
  </r>
  <r>
    <s v="ORD00562"/>
    <x v="393"/>
    <s v="C299"/>
    <x v="252"/>
    <x v="4"/>
    <x v="20"/>
    <x v="20"/>
    <x v="1"/>
    <x v="561"/>
    <n v="8.17"/>
    <n v="307020.43"/>
  </r>
  <r>
    <s v="ORD00563"/>
    <x v="112"/>
    <s v="C213"/>
    <x v="283"/>
    <x v="1"/>
    <x v="33"/>
    <x v="33"/>
    <x v="1"/>
    <x v="562"/>
    <n v="12.86"/>
    <n v="804920.26"/>
  </r>
  <r>
    <s v="ORD00564"/>
    <x v="260"/>
    <s v="C328"/>
    <x v="335"/>
    <x v="3"/>
    <x v="29"/>
    <x v="29"/>
    <x v="0"/>
    <x v="563"/>
    <n v="22.04"/>
    <n v="1545290.52"/>
  </r>
  <r>
    <s v="ORD00565"/>
    <x v="394"/>
    <s v="C290"/>
    <x v="336"/>
    <x v="4"/>
    <x v="17"/>
    <x v="17"/>
    <x v="1"/>
    <x v="564"/>
    <n v="5.46"/>
    <n v="264902.82"/>
  </r>
  <r>
    <s v="ORD00566"/>
    <x v="395"/>
    <s v="C458"/>
    <x v="103"/>
    <x v="1"/>
    <x v="40"/>
    <x v="40"/>
    <x v="0"/>
    <x v="565"/>
    <n v="19.079999999999998"/>
    <n v="1251056.52"/>
  </r>
  <r>
    <s v="ORD00567"/>
    <x v="396"/>
    <s v="C303"/>
    <x v="262"/>
    <x v="0"/>
    <x v="25"/>
    <x v="25"/>
    <x v="4"/>
    <x v="566"/>
    <n v="21.17"/>
    <n v="1061230.93"/>
  </r>
  <r>
    <s v="ORD00568"/>
    <x v="321"/>
    <s v="C290"/>
    <x v="336"/>
    <x v="4"/>
    <x v="9"/>
    <x v="9"/>
    <x v="4"/>
    <x v="567"/>
    <n v="47.91"/>
    <n v="581819.04"/>
  </r>
  <r>
    <s v="ORD00569"/>
    <x v="397"/>
    <s v="C334"/>
    <x v="135"/>
    <x v="3"/>
    <x v="32"/>
    <x v="32"/>
    <x v="4"/>
    <x v="568"/>
    <n v="11.8"/>
    <n v="706631.2"/>
  </r>
  <r>
    <s v="ORD00570"/>
    <x v="398"/>
    <s v="C367"/>
    <x v="337"/>
    <x v="4"/>
    <x v="8"/>
    <x v="8"/>
    <x v="3"/>
    <x v="569"/>
    <n v="9.99"/>
    <n v="679639.68"/>
  </r>
  <r>
    <s v="ORD00571"/>
    <x v="358"/>
    <s v="C368"/>
    <x v="7"/>
    <x v="1"/>
    <x v="36"/>
    <x v="36"/>
    <x v="4"/>
    <x v="570"/>
    <n v="18.579999999999998"/>
    <n v="667635.14"/>
  </r>
  <r>
    <s v="ORD00572"/>
    <x v="399"/>
    <s v="C456"/>
    <x v="338"/>
    <x v="2"/>
    <x v="3"/>
    <x v="3"/>
    <x v="2"/>
    <x v="571"/>
    <n v="29.36"/>
    <n v="2444161.2799999998"/>
  </r>
  <r>
    <s v="ORD00573"/>
    <x v="66"/>
    <s v="C225"/>
    <x v="34"/>
    <x v="0"/>
    <x v="26"/>
    <x v="26"/>
    <x v="0"/>
    <x v="572"/>
    <n v="6.94"/>
    <n v="526496.16"/>
  </r>
  <r>
    <s v="ORD00574"/>
    <x v="112"/>
    <s v="C061"/>
    <x v="178"/>
    <x v="2"/>
    <x v="41"/>
    <x v="41"/>
    <x v="4"/>
    <x v="573"/>
    <n v="20.09"/>
    <n v="1335121.1299999999"/>
  </r>
  <r>
    <s v="ORD00575"/>
    <x v="89"/>
    <s v="C486"/>
    <x v="339"/>
    <x v="1"/>
    <x v="16"/>
    <x v="16"/>
    <x v="1"/>
    <x v="574"/>
    <n v="33.340000000000003"/>
    <n v="858471.66"/>
  </r>
  <r>
    <s v="ORD00576"/>
    <x v="400"/>
    <s v="C164"/>
    <x v="340"/>
    <x v="0"/>
    <x v="8"/>
    <x v="8"/>
    <x v="3"/>
    <x v="575"/>
    <n v="4.42"/>
    <n v="426079.16"/>
  </r>
  <r>
    <s v="ORD00577"/>
    <x v="290"/>
    <s v="C350"/>
    <x v="280"/>
    <x v="3"/>
    <x v="14"/>
    <x v="14"/>
    <x v="2"/>
    <x v="576"/>
    <n v="5.03"/>
    <n v="86777.56"/>
  </r>
  <r>
    <s v="ORD00578"/>
    <x v="401"/>
    <s v="C053"/>
    <x v="294"/>
    <x v="4"/>
    <x v="21"/>
    <x v="21"/>
    <x v="2"/>
    <x v="577"/>
    <n v="6.32"/>
    <n v="68230.720000000001"/>
  </r>
  <r>
    <s v="ORD00579"/>
    <x v="351"/>
    <s v="C037"/>
    <x v="255"/>
    <x v="1"/>
    <x v="23"/>
    <x v="23"/>
    <x v="0"/>
    <x v="578"/>
    <n v="26.98"/>
    <n v="1332704.08"/>
  </r>
  <r>
    <s v="ORD00580"/>
    <x v="402"/>
    <s v="C414"/>
    <x v="341"/>
    <x v="4"/>
    <x v="29"/>
    <x v="29"/>
    <x v="0"/>
    <x v="579"/>
    <n v="11.14"/>
    <n v="1083877.44"/>
  </r>
  <r>
    <s v="ORD00581"/>
    <x v="403"/>
    <s v="C362"/>
    <x v="9"/>
    <x v="4"/>
    <x v="29"/>
    <x v="29"/>
    <x v="0"/>
    <x v="580"/>
    <n v="31.83"/>
    <n v="537067.59"/>
  </r>
  <r>
    <s v="ORD00582"/>
    <x v="60"/>
    <s v="C219"/>
    <x v="43"/>
    <x v="0"/>
    <x v="35"/>
    <x v="35"/>
    <x v="1"/>
    <x v="581"/>
    <n v="32.61"/>
    <n v="359394.81"/>
  </r>
  <r>
    <s v="ORD00583"/>
    <x v="301"/>
    <s v="C218"/>
    <x v="263"/>
    <x v="4"/>
    <x v="30"/>
    <x v="30"/>
    <x v="4"/>
    <x v="582"/>
    <n v="10.75"/>
    <n v="943366.25"/>
  </r>
  <r>
    <s v="ORD00584"/>
    <x v="85"/>
    <s v="C173"/>
    <x v="342"/>
    <x v="2"/>
    <x v="15"/>
    <x v="15"/>
    <x v="2"/>
    <x v="583"/>
    <n v="5.19"/>
    <n v="371879.07"/>
  </r>
  <r>
    <s v="ORD00585"/>
    <x v="60"/>
    <s v="C015"/>
    <x v="18"/>
    <x v="4"/>
    <x v="32"/>
    <x v="32"/>
    <x v="4"/>
    <x v="584"/>
    <n v="37.229999999999997"/>
    <n v="2879405.43"/>
  </r>
  <r>
    <s v="ORD00586"/>
    <x v="404"/>
    <s v="C350"/>
    <x v="280"/>
    <x v="3"/>
    <x v="10"/>
    <x v="10"/>
    <x v="3"/>
    <x v="585"/>
    <n v="4.37"/>
    <n v="120542.08"/>
  </r>
  <r>
    <s v="ORD00587"/>
    <x v="405"/>
    <s v="C323"/>
    <x v="343"/>
    <x v="2"/>
    <x v="39"/>
    <x v="39"/>
    <x v="3"/>
    <x v="586"/>
    <n v="13.77"/>
    <n v="530503.02"/>
  </r>
  <r>
    <s v="ORD00588"/>
    <x v="406"/>
    <s v="C232"/>
    <x v="75"/>
    <x v="0"/>
    <x v="23"/>
    <x v="23"/>
    <x v="0"/>
    <x v="587"/>
    <n v="20.29"/>
    <n v="81484.639999999999"/>
  </r>
  <r>
    <s v="ORD00589"/>
    <x v="166"/>
    <s v="C162"/>
    <x v="344"/>
    <x v="0"/>
    <x v="11"/>
    <x v="11"/>
    <x v="4"/>
    <x v="588"/>
    <n v="4.91"/>
    <n v="152357.29999999999"/>
  </r>
  <r>
    <s v="ORD00590"/>
    <x v="260"/>
    <s v="C296"/>
    <x v="321"/>
    <x v="3"/>
    <x v="43"/>
    <x v="43"/>
    <x v="4"/>
    <x v="589"/>
    <n v="48.01"/>
    <n v="2605694.7400000002"/>
  </r>
  <r>
    <s v="ORD00591"/>
    <x v="407"/>
    <s v="C318"/>
    <x v="235"/>
    <x v="2"/>
    <x v="5"/>
    <x v="5"/>
    <x v="3"/>
    <x v="590"/>
    <n v="21.92"/>
    <n v="889667.04"/>
  </r>
  <r>
    <s v="ORD00592"/>
    <x v="323"/>
    <s v="C454"/>
    <x v="345"/>
    <x v="3"/>
    <x v="34"/>
    <x v="34"/>
    <x v="2"/>
    <x v="591"/>
    <n v="12.16"/>
    <n v="692755.2"/>
  </r>
  <r>
    <s v="ORD00593"/>
    <x v="53"/>
    <s v="C014"/>
    <x v="134"/>
    <x v="2"/>
    <x v="4"/>
    <x v="4"/>
    <x v="1"/>
    <x v="592"/>
    <n v="33.71"/>
    <n v="1545940.6"/>
  </r>
  <r>
    <s v="ORD00594"/>
    <x v="359"/>
    <s v="C441"/>
    <x v="115"/>
    <x v="0"/>
    <x v="20"/>
    <x v="20"/>
    <x v="1"/>
    <x v="593"/>
    <n v="8.7100000000000009"/>
    <n v="860190.89"/>
  </r>
  <r>
    <s v="ORD00595"/>
    <x v="408"/>
    <s v="C390"/>
    <x v="233"/>
    <x v="2"/>
    <x v="17"/>
    <x v="17"/>
    <x v="1"/>
    <x v="594"/>
    <n v="3.63"/>
    <n v="31849.62"/>
  </r>
  <r>
    <s v="ORD00596"/>
    <x v="409"/>
    <s v="C190"/>
    <x v="346"/>
    <x v="1"/>
    <x v="49"/>
    <x v="49"/>
    <x v="3"/>
    <x v="595"/>
    <n v="40.950000000000003"/>
    <n v="3159292.5"/>
  </r>
  <r>
    <s v="ORD00597"/>
    <x v="250"/>
    <s v="C145"/>
    <x v="94"/>
    <x v="4"/>
    <x v="3"/>
    <x v="3"/>
    <x v="2"/>
    <x v="596"/>
    <n v="41.41"/>
    <n v="2845985.07"/>
  </r>
  <r>
    <s v="ORD00598"/>
    <x v="410"/>
    <s v="C249"/>
    <x v="347"/>
    <x v="4"/>
    <x v="46"/>
    <x v="46"/>
    <x v="0"/>
    <x v="597"/>
    <n v="10.39"/>
    <n v="1000847.92"/>
  </r>
  <r>
    <s v="ORD00599"/>
    <x v="411"/>
    <s v="C208"/>
    <x v="53"/>
    <x v="1"/>
    <x v="4"/>
    <x v="4"/>
    <x v="1"/>
    <x v="598"/>
    <n v="2.71"/>
    <n v="22433.38"/>
  </r>
  <r>
    <s v="ORD00600"/>
    <x v="225"/>
    <s v="C483"/>
    <x v="214"/>
    <x v="2"/>
    <x v="34"/>
    <x v="34"/>
    <x v="2"/>
    <x v="599"/>
    <n v="42.47"/>
    <n v="1537371.53"/>
  </r>
  <r>
    <s v="ORD00601"/>
    <x v="282"/>
    <s v="C495"/>
    <x v="348"/>
    <x v="3"/>
    <x v="20"/>
    <x v="20"/>
    <x v="1"/>
    <x v="600"/>
    <n v="5.6"/>
    <n v="131952.79999999999"/>
  </r>
  <r>
    <s v="ORD00602"/>
    <x v="10"/>
    <s v="C227"/>
    <x v="278"/>
    <x v="2"/>
    <x v="10"/>
    <x v="10"/>
    <x v="3"/>
    <x v="601"/>
    <n v="4.55"/>
    <n v="415742.6"/>
  </r>
  <r>
    <s v="ORD00603"/>
    <x v="241"/>
    <s v="C298"/>
    <x v="349"/>
    <x v="1"/>
    <x v="27"/>
    <x v="27"/>
    <x v="4"/>
    <x v="602"/>
    <n v="18.100000000000001"/>
    <n v="82807.5"/>
  </r>
  <r>
    <s v="ORD00604"/>
    <x v="412"/>
    <s v="C239"/>
    <x v="12"/>
    <x v="3"/>
    <x v="39"/>
    <x v="39"/>
    <x v="3"/>
    <x v="603"/>
    <n v="35.869999999999997"/>
    <n v="736160.01"/>
  </r>
  <r>
    <s v="ORD00605"/>
    <x v="413"/>
    <s v="C472"/>
    <x v="3"/>
    <x v="3"/>
    <x v="11"/>
    <x v="11"/>
    <x v="4"/>
    <x v="604"/>
    <n v="18.02"/>
    <n v="1112284.5"/>
  </r>
  <r>
    <s v="ORD00606"/>
    <x v="48"/>
    <s v="C313"/>
    <x v="350"/>
    <x v="2"/>
    <x v="41"/>
    <x v="41"/>
    <x v="4"/>
    <x v="605"/>
    <n v="26.53"/>
    <n v="258110.37"/>
  </r>
  <r>
    <s v="ORD00607"/>
    <x v="414"/>
    <s v="C050"/>
    <x v="351"/>
    <x v="4"/>
    <x v="34"/>
    <x v="34"/>
    <x v="2"/>
    <x v="606"/>
    <n v="8.4700000000000006"/>
    <n v="448435.68"/>
  </r>
  <r>
    <s v="ORD00608"/>
    <x v="415"/>
    <s v="C412"/>
    <x v="22"/>
    <x v="2"/>
    <x v="2"/>
    <x v="2"/>
    <x v="1"/>
    <x v="607"/>
    <n v="47.38"/>
    <n v="1347581.96"/>
  </r>
  <r>
    <s v="ORD00609"/>
    <x v="416"/>
    <s v="C002"/>
    <x v="314"/>
    <x v="3"/>
    <x v="35"/>
    <x v="35"/>
    <x v="1"/>
    <x v="608"/>
    <n v="21.56"/>
    <n v="1765958.04"/>
  </r>
  <r>
    <s v="ORD00610"/>
    <x v="417"/>
    <s v="C039"/>
    <x v="188"/>
    <x v="0"/>
    <x v="37"/>
    <x v="37"/>
    <x v="1"/>
    <x v="609"/>
    <n v="30.3"/>
    <n v="1126099.5"/>
  </r>
  <r>
    <s v="ORD00611"/>
    <x v="418"/>
    <s v="C015"/>
    <x v="18"/>
    <x v="4"/>
    <x v="28"/>
    <x v="28"/>
    <x v="3"/>
    <x v="610"/>
    <n v="7.72"/>
    <n v="472533.48"/>
  </r>
  <r>
    <s v="ORD00612"/>
    <x v="419"/>
    <s v="C341"/>
    <x v="104"/>
    <x v="0"/>
    <x v="10"/>
    <x v="10"/>
    <x v="3"/>
    <x v="611"/>
    <n v="10.7"/>
    <n v="755323.7"/>
  </r>
  <r>
    <s v="ORD00613"/>
    <x v="201"/>
    <s v="C377"/>
    <x v="165"/>
    <x v="4"/>
    <x v="44"/>
    <x v="44"/>
    <x v="2"/>
    <x v="612"/>
    <n v="24.18"/>
    <n v="1031349.54"/>
  </r>
  <r>
    <s v="ORD00614"/>
    <x v="377"/>
    <s v="C207"/>
    <x v="352"/>
    <x v="3"/>
    <x v="6"/>
    <x v="6"/>
    <x v="0"/>
    <x v="613"/>
    <n v="34.020000000000003"/>
    <n v="3209446.8"/>
  </r>
  <r>
    <s v="ORD00615"/>
    <x v="35"/>
    <s v="C118"/>
    <x v="74"/>
    <x v="1"/>
    <x v="26"/>
    <x v="26"/>
    <x v="0"/>
    <x v="614"/>
    <n v="22.46"/>
    <n v="341077.56"/>
  </r>
  <r>
    <s v="ORD00616"/>
    <x v="420"/>
    <s v="C243"/>
    <x v="353"/>
    <x v="0"/>
    <x v="31"/>
    <x v="31"/>
    <x v="0"/>
    <x v="615"/>
    <n v="41.5"/>
    <n v="2928655"/>
  </r>
  <r>
    <s v="ORD00617"/>
    <x v="233"/>
    <s v="C107"/>
    <x v="324"/>
    <x v="1"/>
    <x v="46"/>
    <x v="46"/>
    <x v="0"/>
    <x v="616"/>
    <n v="38.9"/>
    <n v="2140705.9"/>
  </r>
  <r>
    <s v="ORD00618"/>
    <x v="144"/>
    <s v="C493"/>
    <x v="354"/>
    <x v="4"/>
    <x v="24"/>
    <x v="24"/>
    <x v="3"/>
    <x v="617"/>
    <n v="8.9499999999999993"/>
    <n v="531952.19999999995"/>
  </r>
  <r>
    <s v="ORD00619"/>
    <x v="421"/>
    <s v="C371"/>
    <x v="355"/>
    <x v="2"/>
    <x v="8"/>
    <x v="8"/>
    <x v="3"/>
    <x v="618"/>
    <n v="27.09"/>
    <n v="226797.48"/>
  </r>
  <r>
    <s v="ORD00620"/>
    <x v="422"/>
    <s v="C343"/>
    <x v="229"/>
    <x v="1"/>
    <x v="3"/>
    <x v="3"/>
    <x v="2"/>
    <x v="619"/>
    <n v="38.44"/>
    <n v="138191.79999999999"/>
  </r>
  <r>
    <s v="ORD00621"/>
    <x v="354"/>
    <s v="C410"/>
    <x v="326"/>
    <x v="4"/>
    <x v="18"/>
    <x v="18"/>
    <x v="0"/>
    <x v="620"/>
    <n v="15.74"/>
    <n v="55326.1"/>
  </r>
  <r>
    <s v="ORD00622"/>
    <x v="326"/>
    <s v="C150"/>
    <x v="356"/>
    <x v="4"/>
    <x v="47"/>
    <x v="47"/>
    <x v="2"/>
    <x v="621"/>
    <n v="24.54"/>
    <n v="1799886.3"/>
  </r>
  <r>
    <s v="ORD00623"/>
    <x v="35"/>
    <s v="C262"/>
    <x v="123"/>
    <x v="1"/>
    <x v="30"/>
    <x v="30"/>
    <x v="4"/>
    <x v="622"/>
    <n v="28.91"/>
    <n v="2867958.73"/>
  </r>
  <r>
    <s v="ORD00624"/>
    <x v="423"/>
    <s v="C300"/>
    <x v="204"/>
    <x v="0"/>
    <x v="33"/>
    <x v="33"/>
    <x v="1"/>
    <x v="623"/>
    <n v="22.69"/>
    <n v="834265.92"/>
  </r>
  <r>
    <s v="ORD00625"/>
    <x v="193"/>
    <s v="C433"/>
    <x v="322"/>
    <x v="4"/>
    <x v="9"/>
    <x v="9"/>
    <x v="4"/>
    <x v="624"/>
    <n v="23.27"/>
    <n v="873323.1"/>
  </r>
  <r>
    <s v="ORD00626"/>
    <x v="107"/>
    <s v="C357"/>
    <x v="357"/>
    <x v="4"/>
    <x v="21"/>
    <x v="21"/>
    <x v="2"/>
    <x v="625"/>
    <n v="37.78"/>
    <n v="2121573.6800000002"/>
  </r>
  <r>
    <s v="ORD00627"/>
    <x v="153"/>
    <s v="C449"/>
    <x v="277"/>
    <x v="0"/>
    <x v="18"/>
    <x v="18"/>
    <x v="0"/>
    <x v="626"/>
    <n v="47.24"/>
    <n v="304320.08"/>
  </r>
  <r>
    <s v="ORD00628"/>
    <x v="424"/>
    <s v="C196"/>
    <x v="1"/>
    <x v="1"/>
    <x v="15"/>
    <x v="15"/>
    <x v="2"/>
    <x v="627"/>
    <n v="9.51"/>
    <n v="595639.82999999996"/>
  </r>
  <r>
    <s v="ORD00629"/>
    <x v="56"/>
    <s v="C153"/>
    <x v="271"/>
    <x v="0"/>
    <x v="22"/>
    <x v="22"/>
    <x v="0"/>
    <x v="628"/>
    <n v="40.56"/>
    <n v="2825166.24"/>
  </r>
  <r>
    <s v="ORD00630"/>
    <x v="84"/>
    <s v="C308"/>
    <x v="149"/>
    <x v="4"/>
    <x v="35"/>
    <x v="35"/>
    <x v="1"/>
    <x v="629"/>
    <n v="42.38"/>
    <n v="1273349.48"/>
  </r>
  <r>
    <s v="ORD00631"/>
    <x v="205"/>
    <s v="C101"/>
    <x v="120"/>
    <x v="4"/>
    <x v="45"/>
    <x v="45"/>
    <x v="3"/>
    <x v="630"/>
    <n v="8.41"/>
    <n v="376297.04"/>
  </r>
  <r>
    <s v="ORD00632"/>
    <x v="130"/>
    <s v="C223"/>
    <x v="358"/>
    <x v="1"/>
    <x v="43"/>
    <x v="43"/>
    <x v="4"/>
    <x v="631"/>
    <n v="46.7"/>
    <n v="525328.30000000005"/>
  </r>
  <r>
    <s v="ORD00633"/>
    <x v="42"/>
    <s v="C395"/>
    <x v="261"/>
    <x v="3"/>
    <x v="26"/>
    <x v="26"/>
    <x v="0"/>
    <x v="632"/>
    <n v="21.92"/>
    <n v="871977.6"/>
  </r>
  <r>
    <s v="ORD00634"/>
    <x v="369"/>
    <s v="C324"/>
    <x v="208"/>
    <x v="0"/>
    <x v="30"/>
    <x v="30"/>
    <x v="4"/>
    <x v="633"/>
    <n v="2.95"/>
    <n v="128720.3"/>
  </r>
  <r>
    <s v="ORD00635"/>
    <x v="182"/>
    <s v="C278"/>
    <x v="227"/>
    <x v="1"/>
    <x v="45"/>
    <x v="45"/>
    <x v="3"/>
    <x v="634"/>
    <n v="6.98"/>
    <n v="632695.12"/>
  </r>
  <r>
    <s v="ORD00636"/>
    <x v="425"/>
    <s v="C201"/>
    <x v="359"/>
    <x v="2"/>
    <x v="2"/>
    <x v="2"/>
    <x v="1"/>
    <x v="635"/>
    <n v="8.83"/>
    <n v="30799.040000000001"/>
  </r>
  <r>
    <s v="ORD00637"/>
    <x v="426"/>
    <s v="C130"/>
    <x v="192"/>
    <x v="3"/>
    <x v="35"/>
    <x v="35"/>
    <x v="1"/>
    <x v="636"/>
    <n v="31.92"/>
    <n v="1865596.32"/>
  </r>
  <r>
    <s v="ORD00638"/>
    <x v="427"/>
    <s v="C240"/>
    <x v="218"/>
    <x v="3"/>
    <x v="0"/>
    <x v="0"/>
    <x v="0"/>
    <x v="637"/>
    <n v="26.35"/>
    <n v="2456478.75"/>
  </r>
  <r>
    <s v="ORD00639"/>
    <x v="388"/>
    <s v="C471"/>
    <x v="160"/>
    <x v="2"/>
    <x v="2"/>
    <x v="2"/>
    <x v="1"/>
    <x v="638"/>
    <n v="15.02"/>
    <n v="431404.44"/>
  </r>
  <r>
    <s v="ORD00640"/>
    <x v="320"/>
    <s v="C420"/>
    <x v="11"/>
    <x v="4"/>
    <x v="33"/>
    <x v="33"/>
    <x v="1"/>
    <x v="639"/>
    <n v="8.4499999999999993"/>
    <n v="662032.15"/>
  </r>
  <r>
    <s v="ORD00641"/>
    <x v="33"/>
    <s v="C425"/>
    <x v="144"/>
    <x v="1"/>
    <x v="10"/>
    <x v="10"/>
    <x v="3"/>
    <x v="640"/>
    <n v="27.84"/>
    <n v="941131.2"/>
  </r>
  <r>
    <s v="ORD00642"/>
    <x v="428"/>
    <s v="C188"/>
    <x v="138"/>
    <x v="0"/>
    <x v="13"/>
    <x v="13"/>
    <x v="2"/>
    <x v="641"/>
    <n v="49.68"/>
    <n v="3005689.68"/>
  </r>
  <r>
    <s v="ORD00643"/>
    <x v="145"/>
    <s v="C276"/>
    <x v="360"/>
    <x v="1"/>
    <x v="41"/>
    <x v="41"/>
    <x v="4"/>
    <x v="642"/>
    <n v="45.14"/>
    <n v="4478519.96"/>
  </r>
  <r>
    <s v="ORD00644"/>
    <x v="429"/>
    <s v="C419"/>
    <x v="156"/>
    <x v="3"/>
    <x v="41"/>
    <x v="41"/>
    <x v="4"/>
    <x v="643"/>
    <n v="14.4"/>
    <n v="696772.8"/>
  </r>
  <r>
    <s v="ORD00645"/>
    <x v="430"/>
    <s v="C307"/>
    <x v="318"/>
    <x v="0"/>
    <x v="19"/>
    <x v="19"/>
    <x v="3"/>
    <x v="644"/>
    <n v="9.68"/>
    <n v="956393.68"/>
  </r>
  <r>
    <s v="ORD00646"/>
    <x v="431"/>
    <s v="C068"/>
    <x v="112"/>
    <x v="2"/>
    <x v="1"/>
    <x v="1"/>
    <x v="1"/>
    <x v="645"/>
    <n v="28.52"/>
    <n v="2404293.04"/>
  </r>
  <r>
    <s v="ORD00647"/>
    <x v="432"/>
    <s v="C128"/>
    <x v="361"/>
    <x v="4"/>
    <x v="20"/>
    <x v="20"/>
    <x v="1"/>
    <x v="646"/>
    <n v="3.23"/>
    <n v="162491.60999999999"/>
  </r>
  <r>
    <s v="ORD00648"/>
    <x v="401"/>
    <s v="C260"/>
    <x v="153"/>
    <x v="2"/>
    <x v="25"/>
    <x v="25"/>
    <x v="4"/>
    <x v="647"/>
    <n v="8.77"/>
    <n v="334575.5"/>
  </r>
  <r>
    <s v="ORD00649"/>
    <x v="383"/>
    <s v="C135"/>
    <x v="67"/>
    <x v="1"/>
    <x v="40"/>
    <x v="40"/>
    <x v="0"/>
    <x v="648"/>
    <n v="21.99"/>
    <n v="1799287.77"/>
  </r>
  <r>
    <s v="ORD00650"/>
    <x v="433"/>
    <s v="C341"/>
    <x v="104"/>
    <x v="0"/>
    <x v="27"/>
    <x v="27"/>
    <x v="4"/>
    <x v="649"/>
    <n v="16.78"/>
    <n v="1602154.4"/>
  </r>
  <r>
    <s v="ORD00651"/>
    <x v="167"/>
    <s v="C009"/>
    <x v="42"/>
    <x v="1"/>
    <x v="8"/>
    <x v="8"/>
    <x v="3"/>
    <x v="650"/>
    <n v="18.899999999999999"/>
    <n v="45832.5"/>
  </r>
  <r>
    <s v="ORD00652"/>
    <x v="426"/>
    <s v="C165"/>
    <x v="219"/>
    <x v="1"/>
    <x v="21"/>
    <x v="21"/>
    <x v="2"/>
    <x v="651"/>
    <n v="47.92"/>
    <n v="4671097.84"/>
  </r>
  <r>
    <s v="ORD00653"/>
    <x v="58"/>
    <s v="C358"/>
    <x v="311"/>
    <x v="3"/>
    <x v="29"/>
    <x v="29"/>
    <x v="0"/>
    <x v="652"/>
    <n v="18.899999999999999"/>
    <n v="114552.9"/>
  </r>
  <r>
    <s v="ORD00654"/>
    <x v="434"/>
    <s v="C086"/>
    <x v="362"/>
    <x v="0"/>
    <x v="1"/>
    <x v="1"/>
    <x v="1"/>
    <x v="653"/>
    <n v="10.25"/>
    <n v="715081"/>
  </r>
  <r>
    <s v="ORD00655"/>
    <x v="345"/>
    <s v="C084"/>
    <x v="291"/>
    <x v="3"/>
    <x v="1"/>
    <x v="1"/>
    <x v="1"/>
    <x v="654"/>
    <n v="41.88"/>
    <n v="2882014.08"/>
  </r>
  <r>
    <s v="ORD00656"/>
    <x v="435"/>
    <s v="C500"/>
    <x v="86"/>
    <x v="0"/>
    <x v="22"/>
    <x v="22"/>
    <x v="0"/>
    <x v="655"/>
    <n v="20.69"/>
    <n v="1809712.92"/>
  </r>
  <r>
    <s v="ORD00657"/>
    <x v="314"/>
    <s v="C481"/>
    <x v="56"/>
    <x v="0"/>
    <x v="43"/>
    <x v="43"/>
    <x v="4"/>
    <x v="656"/>
    <n v="24.55"/>
    <n v="750984.5"/>
  </r>
  <r>
    <s v="ORD00658"/>
    <x v="436"/>
    <s v="C055"/>
    <x v="301"/>
    <x v="1"/>
    <x v="44"/>
    <x v="44"/>
    <x v="2"/>
    <x v="657"/>
    <n v="29.61"/>
    <n v="2033940.51"/>
  </r>
  <r>
    <s v="ORD00659"/>
    <x v="375"/>
    <s v="C459"/>
    <x v="295"/>
    <x v="2"/>
    <x v="10"/>
    <x v="10"/>
    <x v="3"/>
    <x v="658"/>
    <n v="36.14"/>
    <n v="1698796.84"/>
  </r>
  <r>
    <s v="ORD00660"/>
    <x v="437"/>
    <s v="C108"/>
    <x v="310"/>
    <x v="4"/>
    <x v="10"/>
    <x v="10"/>
    <x v="3"/>
    <x v="659"/>
    <n v="11.13"/>
    <n v="399989.94"/>
  </r>
  <r>
    <s v="ORD00661"/>
    <x v="438"/>
    <s v="C430"/>
    <x v="363"/>
    <x v="4"/>
    <x v="27"/>
    <x v="27"/>
    <x v="4"/>
    <x v="660"/>
    <n v="12.43"/>
    <n v="1026096.5"/>
  </r>
  <r>
    <s v="ORD00662"/>
    <x v="439"/>
    <s v="C381"/>
    <x v="113"/>
    <x v="2"/>
    <x v="21"/>
    <x v="21"/>
    <x v="2"/>
    <x v="661"/>
    <n v="20.440000000000001"/>
    <n v="1969925.44"/>
  </r>
  <r>
    <s v="ORD00663"/>
    <x v="401"/>
    <s v="C259"/>
    <x v="36"/>
    <x v="2"/>
    <x v="23"/>
    <x v="23"/>
    <x v="0"/>
    <x v="662"/>
    <n v="12.7"/>
    <n v="1265135.8999999999"/>
  </r>
  <r>
    <s v="ORD00664"/>
    <x v="440"/>
    <s v="C420"/>
    <x v="11"/>
    <x v="4"/>
    <x v="16"/>
    <x v="16"/>
    <x v="1"/>
    <x v="663"/>
    <n v="20.43"/>
    <n v="486887.76"/>
  </r>
  <r>
    <s v="ORD00665"/>
    <x v="441"/>
    <s v="C098"/>
    <x v="364"/>
    <x v="2"/>
    <x v="1"/>
    <x v="1"/>
    <x v="1"/>
    <x v="664"/>
    <n v="15.88"/>
    <n v="1392803.04"/>
  </r>
  <r>
    <s v="ORD00666"/>
    <x v="442"/>
    <s v="C148"/>
    <x v="365"/>
    <x v="1"/>
    <x v="48"/>
    <x v="48"/>
    <x v="2"/>
    <x v="665"/>
    <n v="31.31"/>
    <n v="2914272.18"/>
  </r>
  <r>
    <s v="ORD00667"/>
    <x v="443"/>
    <s v="C424"/>
    <x v="57"/>
    <x v="2"/>
    <x v="14"/>
    <x v="14"/>
    <x v="2"/>
    <x v="666"/>
    <n v="31.3"/>
    <n v="1286617.8"/>
  </r>
  <r>
    <s v="ORD00668"/>
    <x v="261"/>
    <s v="C455"/>
    <x v="366"/>
    <x v="4"/>
    <x v="7"/>
    <x v="7"/>
    <x v="3"/>
    <x v="667"/>
    <n v="19.440000000000001"/>
    <n v="1596587.76"/>
  </r>
  <r>
    <s v="ORD00669"/>
    <x v="137"/>
    <s v="C431"/>
    <x v="367"/>
    <x v="2"/>
    <x v="6"/>
    <x v="6"/>
    <x v="0"/>
    <x v="668"/>
    <n v="31.48"/>
    <n v="910149.76"/>
  </r>
  <r>
    <s v="ORD00670"/>
    <x v="444"/>
    <s v="C099"/>
    <x v="302"/>
    <x v="2"/>
    <x v="17"/>
    <x v="17"/>
    <x v="1"/>
    <x v="669"/>
    <n v="48.15"/>
    <n v="3923262"/>
  </r>
  <r>
    <s v="ORD00671"/>
    <x v="59"/>
    <s v="C145"/>
    <x v="94"/>
    <x v="4"/>
    <x v="3"/>
    <x v="3"/>
    <x v="2"/>
    <x v="670"/>
    <n v="45.77"/>
    <n v="4494751.3099999996"/>
  </r>
  <r>
    <s v="ORD00672"/>
    <x v="429"/>
    <s v="C420"/>
    <x v="11"/>
    <x v="4"/>
    <x v="9"/>
    <x v="9"/>
    <x v="4"/>
    <x v="671"/>
    <n v="10.57"/>
    <n v="769496"/>
  </r>
  <r>
    <s v="ORD00673"/>
    <x v="288"/>
    <s v="C013"/>
    <x v="84"/>
    <x v="3"/>
    <x v="33"/>
    <x v="33"/>
    <x v="1"/>
    <x v="672"/>
    <n v="16.29"/>
    <n v="278542.71000000002"/>
  </r>
  <r>
    <s v="ORD00674"/>
    <x v="445"/>
    <s v="C496"/>
    <x v="82"/>
    <x v="0"/>
    <x v="19"/>
    <x v="19"/>
    <x v="3"/>
    <x v="673"/>
    <n v="38.76"/>
    <n v="313490.88"/>
  </r>
  <r>
    <s v="ORD00675"/>
    <x v="241"/>
    <s v="C494"/>
    <x v="267"/>
    <x v="0"/>
    <x v="7"/>
    <x v="7"/>
    <x v="3"/>
    <x v="674"/>
    <n v="8.41"/>
    <n v="154230.99"/>
  </r>
  <r>
    <s v="ORD00676"/>
    <x v="67"/>
    <s v="C211"/>
    <x v="24"/>
    <x v="1"/>
    <x v="18"/>
    <x v="18"/>
    <x v="0"/>
    <x v="675"/>
    <n v="25.44"/>
    <n v="1195094.8799999999"/>
  </r>
  <r>
    <s v="ORD00677"/>
    <x v="33"/>
    <s v="C022"/>
    <x v="303"/>
    <x v="3"/>
    <x v="11"/>
    <x v="11"/>
    <x v="4"/>
    <x v="676"/>
    <n v="9.16"/>
    <n v="250590.12"/>
  </r>
  <r>
    <s v="ORD00678"/>
    <x v="446"/>
    <s v="C153"/>
    <x v="271"/>
    <x v="0"/>
    <x v="46"/>
    <x v="46"/>
    <x v="0"/>
    <x v="677"/>
    <n v="22.84"/>
    <n v="224106.08"/>
  </r>
  <r>
    <s v="ORD00679"/>
    <x v="447"/>
    <s v="C327"/>
    <x v="368"/>
    <x v="1"/>
    <x v="34"/>
    <x v="34"/>
    <x v="2"/>
    <x v="678"/>
    <n v="17.11"/>
    <n v="485889.78"/>
  </r>
  <r>
    <s v="ORD00680"/>
    <x v="448"/>
    <s v="C152"/>
    <x v="121"/>
    <x v="0"/>
    <x v="32"/>
    <x v="32"/>
    <x v="4"/>
    <x v="679"/>
    <n v="6.72"/>
    <n v="646450.56000000006"/>
  </r>
  <r>
    <s v="ORD00681"/>
    <x v="8"/>
    <s v="C425"/>
    <x v="144"/>
    <x v="1"/>
    <x v="40"/>
    <x v="40"/>
    <x v="0"/>
    <x v="680"/>
    <n v="34.479999999999997"/>
    <n v="2030803.04"/>
  </r>
  <r>
    <s v="ORD00682"/>
    <x v="87"/>
    <s v="C418"/>
    <x v="246"/>
    <x v="2"/>
    <x v="42"/>
    <x v="42"/>
    <x v="1"/>
    <x v="681"/>
    <n v="35.880000000000003"/>
    <n v="2668395.6"/>
  </r>
  <r>
    <s v="ORD00683"/>
    <x v="449"/>
    <s v="C482"/>
    <x v="369"/>
    <x v="4"/>
    <x v="17"/>
    <x v="17"/>
    <x v="1"/>
    <x v="682"/>
    <n v="7.02"/>
    <n v="425082.06"/>
  </r>
  <r>
    <s v="ORD00684"/>
    <x v="32"/>
    <s v="C165"/>
    <x v="219"/>
    <x v="1"/>
    <x v="15"/>
    <x v="15"/>
    <x v="2"/>
    <x v="683"/>
    <n v="33.43"/>
    <n v="629854.63"/>
  </r>
  <r>
    <s v="ORD00685"/>
    <x v="450"/>
    <s v="C260"/>
    <x v="153"/>
    <x v="2"/>
    <x v="10"/>
    <x v="10"/>
    <x v="3"/>
    <x v="684"/>
    <n v="25.74"/>
    <n v="938300.22"/>
  </r>
  <r>
    <s v="ORD00686"/>
    <x v="147"/>
    <s v="C286"/>
    <x v="116"/>
    <x v="3"/>
    <x v="3"/>
    <x v="3"/>
    <x v="2"/>
    <x v="685"/>
    <n v="30.48"/>
    <n v="1391777.76"/>
  </r>
  <r>
    <s v="ORD00687"/>
    <x v="68"/>
    <s v="C114"/>
    <x v="370"/>
    <x v="1"/>
    <x v="17"/>
    <x v="17"/>
    <x v="1"/>
    <x v="686"/>
    <n v="19.55"/>
    <n v="1115835.8"/>
  </r>
  <r>
    <s v="ORD00688"/>
    <x v="213"/>
    <s v="C446"/>
    <x v="371"/>
    <x v="4"/>
    <x v="4"/>
    <x v="4"/>
    <x v="1"/>
    <x v="687"/>
    <n v="22.98"/>
    <n v="52394.400000000001"/>
  </r>
  <r>
    <s v="ORD00689"/>
    <x v="94"/>
    <s v="C172"/>
    <x v="207"/>
    <x v="0"/>
    <x v="13"/>
    <x v="13"/>
    <x v="2"/>
    <x v="688"/>
    <n v="28.64"/>
    <n v="1187758.0800000001"/>
  </r>
  <r>
    <s v="ORD00690"/>
    <x v="352"/>
    <s v="C208"/>
    <x v="53"/>
    <x v="1"/>
    <x v="1"/>
    <x v="1"/>
    <x v="1"/>
    <x v="689"/>
    <n v="11.22"/>
    <n v="442662.66"/>
  </r>
  <r>
    <s v="ORD00691"/>
    <x v="334"/>
    <s v="C124"/>
    <x v="54"/>
    <x v="1"/>
    <x v="29"/>
    <x v="29"/>
    <x v="0"/>
    <x v="690"/>
    <n v="10.35"/>
    <n v="637042.5"/>
  </r>
  <r>
    <s v="ORD00692"/>
    <x v="150"/>
    <s v="C009"/>
    <x v="42"/>
    <x v="1"/>
    <x v="33"/>
    <x v="33"/>
    <x v="1"/>
    <x v="691"/>
    <n v="27.19"/>
    <n v="798869.39"/>
  </r>
  <r>
    <s v="ORD00693"/>
    <x v="321"/>
    <s v="C175"/>
    <x v="29"/>
    <x v="4"/>
    <x v="3"/>
    <x v="3"/>
    <x v="2"/>
    <x v="692"/>
    <n v="2.5499999999999998"/>
    <n v="146961.60000000001"/>
  </r>
  <r>
    <s v="ORD00694"/>
    <x v="451"/>
    <s v="C036"/>
    <x v="40"/>
    <x v="3"/>
    <x v="48"/>
    <x v="48"/>
    <x v="2"/>
    <x v="693"/>
    <n v="47.93"/>
    <n v="1265927.1599999999"/>
  </r>
  <r>
    <s v="ORD00695"/>
    <x v="452"/>
    <s v="C074"/>
    <x v="329"/>
    <x v="2"/>
    <x v="30"/>
    <x v="30"/>
    <x v="4"/>
    <x v="694"/>
    <n v="47.05"/>
    <n v="2303097.5"/>
  </r>
  <r>
    <s v="ORD00696"/>
    <x v="453"/>
    <s v="C444"/>
    <x v="6"/>
    <x v="1"/>
    <x v="47"/>
    <x v="47"/>
    <x v="2"/>
    <x v="695"/>
    <n v="33.5"/>
    <n v="1018735"/>
  </r>
  <r>
    <s v="ORD00697"/>
    <x v="346"/>
    <s v="C042"/>
    <x v="175"/>
    <x v="0"/>
    <x v="38"/>
    <x v="38"/>
    <x v="2"/>
    <x v="696"/>
    <n v="11.12"/>
    <n v="285650.56"/>
  </r>
  <r>
    <s v="ORD00698"/>
    <x v="454"/>
    <s v="C406"/>
    <x v="50"/>
    <x v="3"/>
    <x v="19"/>
    <x v="19"/>
    <x v="3"/>
    <x v="697"/>
    <n v="4.1500000000000004"/>
    <n v="212978"/>
  </r>
  <r>
    <s v="ORD00699"/>
    <x v="297"/>
    <s v="C293"/>
    <x v="372"/>
    <x v="0"/>
    <x v="1"/>
    <x v="1"/>
    <x v="1"/>
    <x v="698"/>
    <n v="3.21"/>
    <n v="165446.60999999999"/>
  </r>
  <r>
    <s v="ORD00700"/>
    <x v="418"/>
    <s v="C491"/>
    <x v="32"/>
    <x v="0"/>
    <x v="31"/>
    <x v="31"/>
    <x v="0"/>
    <x v="699"/>
    <n v="33.96"/>
    <n v="2541973.92"/>
  </r>
  <r>
    <s v="ORD00701"/>
    <x v="455"/>
    <s v="C005"/>
    <x v="373"/>
    <x v="3"/>
    <x v="47"/>
    <x v="47"/>
    <x v="2"/>
    <x v="700"/>
    <n v="7.22"/>
    <n v="655626.54"/>
  </r>
  <r>
    <s v="ORD00702"/>
    <x v="456"/>
    <s v="C272"/>
    <x v="98"/>
    <x v="0"/>
    <x v="23"/>
    <x v="23"/>
    <x v="0"/>
    <x v="701"/>
    <n v="38.619999999999997"/>
    <n v="348584.12"/>
  </r>
  <r>
    <s v="ORD00703"/>
    <x v="457"/>
    <s v="C485"/>
    <x v="374"/>
    <x v="0"/>
    <x v="39"/>
    <x v="39"/>
    <x v="3"/>
    <x v="702"/>
    <n v="29.02"/>
    <n v="2086160.74"/>
  </r>
  <r>
    <s v="ORD00704"/>
    <x v="458"/>
    <s v="C158"/>
    <x v="117"/>
    <x v="3"/>
    <x v="4"/>
    <x v="4"/>
    <x v="1"/>
    <x v="703"/>
    <n v="3.48"/>
    <n v="208918.32"/>
  </r>
  <r>
    <s v="ORD00705"/>
    <x v="459"/>
    <s v="C169"/>
    <x v="375"/>
    <x v="0"/>
    <x v="29"/>
    <x v="29"/>
    <x v="0"/>
    <x v="704"/>
    <n v="19.28"/>
    <n v="1696543.6"/>
  </r>
  <r>
    <s v="ORD00706"/>
    <x v="347"/>
    <s v="C400"/>
    <x v="376"/>
    <x v="2"/>
    <x v="24"/>
    <x v="24"/>
    <x v="3"/>
    <x v="705"/>
    <n v="29.94"/>
    <n v="2400439.5"/>
  </r>
  <r>
    <s v="ORD00707"/>
    <x v="282"/>
    <s v="C173"/>
    <x v="342"/>
    <x v="2"/>
    <x v="41"/>
    <x v="41"/>
    <x v="4"/>
    <x v="706"/>
    <n v="34.47"/>
    <n v="45707.22"/>
  </r>
  <r>
    <s v="ORD00708"/>
    <x v="460"/>
    <s v="C121"/>
    <x v="8"/>
    <x v="2"/>
    <x v="40"/>
    <x v="40"/>
    <x v="0"/>
    <x v="707"/>
    <n v="31.81"/>
    <n v="1487276.55"/>
  </r>
  <r>
    <s v="ORD00709"/>
    <x v="461"/>
    <s v="C363"/>
    <x v="72"/>
    <x v="4"/>
    <x v="48"/>
    <x v="48"/>
    <x v="2"/>
    <x v="708"/>
    <n v="42.85"/>
    <n v="1289827.8500000001"/>
  </r>
  <r>
    <s v="ORD00710"/>
    <x v="367"/>
    <s v="C086"/>
    <x v="362"/>
    <x v="0"/>
    <x v="40"/>
    <x v="40"/>
    <x v="0"/>
    <x v="709"/>
    <n v="13.52"/>
    <n v="398812.96"/>
  </r>
  <r>
    <s v="ORD00711"/>
    <x v="462"/>
    <s v="C352"/>
    <x v="162"/>
    <x v="2"/>
    <x v="2"/>
    <x v="2"/>
    <x v="1"/>
    <x v="710"/>
    <n v="14.7"/>
    <n v="1267507.5"/>
  </r>
  <r>
    <s v="ORD00712"/>
    <x v="134"/>
    <s v="C034"/>
    <x v="19"/>
    <x v="0"/>
    <x v="26"/>
    <x v="26"/>
    <x v="0"/>
    <x v="711"/>
    <n v="48.97"/>
    <n v="3518249.65"/>
  </r>
  <r>
    <s v="ORD00713"/>
    <x v="274"/>
    <s v="C468"/>
    <x v="76"/>
    <x v="1"/>
    <x v="12"/>
    <x v="12"/>
    <x v="4"/>
    <x v="712"/>
    <n v="35.42"/>
    <n v="2629155.7599999998"/>
  </r>
  <r>
    <s v="ORD00714"/>
    <x v="272"/>
    <s v="C344"/>
    <x v="307"/>
    <x v="4"/>
    <x v="2"/>
    <x v="2"/>
    <x v="1"/>
    <x v="713"/>
    <n v="15.75"/>
    <n v="239132.25"/>
  </r>
  <r>
    <s v="ORD00715"/>
    <x v="7"/>
    <s v="C027"/>
    <x v="289"/>
    <x v="1"/>
    <x v="0"/>
    <x v="0"/>
    <x v="0"/>
    <x v="714"/>
    <n v="41.03"/>
    <n v="248929.01"/>
  </r>
  <r>
    <s v="ORD00716"/>
    <x v="226"/>
    <s v="C288"/>
    <x v="177"/>
    <x v="3"/>
    <x v="3"/>
    <x v="3"/>
    <x v="2"/>
    <x v="715"/>
    <n v="11.08"/>
    <n v="58635.360000000001"/>
  </r>
  <r>
    <s v="ORD00717"/>
    <x v="463"/>
    <s v="C179"/>
    <x v="377"/>
    <x v="3"/>
    <x v="5"/>
    <x v="5"/>
    <x v="3"/>
    <x v="716"/>
    <n v="2.0299999999999998"/>
    <n v="170865.1"/>
  </r>
  <r>
    <s v="ORD00718"/>
    <x v="149"/>
    <s v="C421"/>
    <x v="110"/>
    <x v="2"/>
    <x v="2"/>
    <x v="2"/>
    <x v="1"/>
    <x v="717"/>
    <n v="23.07"/>
    <n v="1514660.85"/>
  </r>
  <r>
    <s v="ORD00719"/>
    <x v="133"/>
    <s v="C383"/>
    <x v="232"/>
    <x v="0"/>
    <x v="28"/>
    <x v="28"/>
    <x v="3"/>
    <x v="718"/>
    <n v="26.69"/>
    <n v="2663074.8199999998"/>
  </r>
  <r>
    <s v="ORD00720"/>
    <x v="385"/>
    <s v="C013"/>
    <x v="84"/>
    <x v="3"/>
    <x v="11"/>
    <x v="11"/>
    <x v="4"/>
    <x v="719"/>
    <n v="8.2899999999999991"/>
    <n v="698308.15"/>
  </r>
  <r>
    <s v="ORD00721"/>
    <x v="307"/>
    <s v="C464"/>
    <x v="118"/>
    <x v="2"/>
    <x v="24"/>
    <x v="24"/>
    <x v="3"/>
    <x v="720"/>
    <n v="37.590000000000003"/>
    <n v="654028.41"/>
  </r>
  <r>
    <s v="ORD00722"/>
    <x v="464"/>
    <s v="C404"/>
    <x v="378"/>
    <x v="3"/>
    <x v="48"/>
    <x v="48"/>
    <x v="2"/>
    <x v="721"/>
    <n v="24.56"/>
    <n v="1973641.6"/>
  </r>
  <r>
    <s v="ORD00723"/>
    <x v="199"/>
    <s v="C399"/>
    <x v="194"/>
    <x v="4"/>
    <x v="41"/>
    <x v="41"/>
    <x v="4"/>
    <x v="722"/>
    <n v="26.95"/>
    <n v="2519663.2999999998"/>
  </r>
  <r>
    <s v="ORD00724"/>
    <x v="465"/>
    <s v="C413"/>
    <x v="298"/>
    <x v="3"/>
    <x v="7"/>
    <x v="7"/>
    <x v="3"/>
    <x v="723"/>
    <n v="34.07"/>
    <n v="3162445.54"/>
  </r>
  <r>
    <s v="ORD00725"/>
    <x v="316"/>
    <s v="C386"/>
    <x v="272"/>
    <x v="0"/>
    <x v="7"/>
    <x v="7"/>
    <x v="3"/>
    <x v="724"/>
    <n v="38.270000000000003"/>
    <n v="432948.51"/>
  </r>
  <r>
    <s v="ORD00726"/>
    <x v="466"/>
    <s v="C221"/>
    <x v="176"/>
    <x v="2"/>
    <x v="30"/>
    <x v="30"/>
    <x v="4"/>
    <x v="725"/>
    <n v="11.05"/>
    <n v="464287.85"/>
  </r>
  <r>
    <s v="ORD00727"/>
    <x v="133"/>
    <s v="C378"/>
    <x v="216"/>
    <x v="2"/>
    <x v="2"/>
    <x v="2"/>
    <x v="1"/>
    <x v="726"/>
    <n v="19.8"/>
    <n v="1398771"/>
  </r>
  <r>
    <s v="ORD00728"/>
    <x v="329"/>
    <s v="C471"/>
    <x v="160"/>
    <x v="2"/>
    <x v="37"/>
    <x v="37"/>
    <x v="1"/>
    <x v="727"/>
    <n v="22.09"/>
    <n v="2068640.14"/>
  </r>
  <r>
    <s v="ORD00729"/>
    <x v="127"/>
    <s v="C402"/>
    <x v="16"/>
    <x v="3"/>
    <x v="19"/>
    <x v="19"/>
    <x v="3"/>
    <x v="728"/>
    <n v="4.43"/>
    <n v="411006.54"/>
  </r>
  <r>
    <s v="ORD00730"/>
    <x v="467"/>
    <s v="C014"/>
    <x v="134"/>
    <x v="2"/>
    <x v="34"/>
    <x v="34"/>
    <x v="2"/>
    <x v="729"/>
    <n v="18.45"/>
    <n v="30036.6"/>
  </r>
  <r>
    <s v="ORD00731"/>
    <x v="464"/>
    <s v="C458"/>
    <x v="103"/>
    <x v="1"/>
    <x v="10"/>
    <x v="10"/>
    <x v="3"/>
    <x v="730"/>
    <n v="22.1"/>
    <n v="1166172.8"/>
  </r>
  <r>
    <s v="ORD00732"/>
    <x v="90"/>
    <s v="C286"/>
    <x v="116"/>
    <x v="3"/>
    <x v="2"/>
    <x v="2"/>
    <x v="1"/>
    <x v="731"/>
    <n v="24.96"/>
    <n v="132587.51999999999"/>
  </r>
  <r>
    <s v="ORD00733"/>
    <x v="316"/>
    <s v="C057"/>
    <x v="161"/>
    <x v="4"/>
    <x v="2"/>
    <x v="2"/>
    <x v="1"/>
    <x v="732"/>
    <n v="16.16"/>
    <n v="649632"/>
  </r>
  <r>
    <s v="ORD00734"/>
    <x v="468"/>
    <s v="C101"/>
    <x v="120"/>
    <x v="4"/>
    <x v="43"/>
    <x v="43"/>
    <x v="4"/>
    <x v="733"/>
    <n v="43.72"/>
    <n v="162507.24"/>
  </r>
  <r>
    <s v="ORD00735"/>
    <x v="469"/>
    <s v="C108"/>
    <x v="310"/>
    <x v="4"/>
    <x v="45"/>
    <x v="45"/>
    <x v="3"/>
    <x v="734"/>
    <n v="23.96"/>
    <n v="1838187.24"/>
  </r>
  <r>
    <s v="ORD00736"/>
    <x v="400"/>
    <s v="C277"/>
    <x v="158"/>
    <x v="3"/>
    <x v="0"/>
    <x v="0"/>
    <x v="0"/>
    <x v="735"/>
    <n v="44.29"/>
    <n v="1831878.69"/>
  </r>
  <r>
    <s v="ORD00737"/>
    <x v="368"/>
    <s v="C253"/>
    <x v="379"/>
    <x v="4"/>
    <x v="8"/>
    <x v="8"/>
    <x v="3"/>
    <x v="736"/>
    <n v="26.86"/>
    <n v="925112.12"/>
  </r>
  <r>
    <s v="ORD00738"/>
    <x v="268"/>
    <s v="C475"/>
    <x v="33"/>
    <x v="1"/>
    <x v="26"/>
    <x v="26"/>
    <x v="0"/>
    <x v="737"/>
    <n v="39.35"/>
    <n v="641916.55000000005"/>
  </r>
  <r>
    <s v="ORD00739"/>
    <x v="371"/>
    <s v="C003"/>
    <x v="133"/>
    <x v="1"/>
    <x v="15"/>
    <x v="15"/>
    <x v="2"/>
    <x v="738"/>
    <n v="28.66"/>
    <n v="1238513.24"/>
  </r>
  <r>
    <s v="ORD00740"/>
    <x v="36"/>
    <s v="C471"/>
    <x v="160"/>
    <x v="2"/>
    <x v="7"/>
    <x v="7"/>
    <x v="3"/>
    <x v="739"/>
    <n v="35.130000000000003"/>
    <n v="3261820.5"/>
  </r>
  <r>
    <s v="ORD00741"/>
    <x v="263"/>
    <s v="C457"/>
    <x v="196"/>
    <x v="3"/>
    <x v="31"/>
    <x v="31"/>
    <x v="0"/>
    <x v="740"/>
    <n v="15.99"/>
    <n v="549368.43000000005"/>
  </r>
  <r>
    <s v="ORD00742"/>
    <x v="411"/>
    <s v="C090"/>
    <x v="380"/>
    <x v="1"/>
    <x v="7"/>
    <x v="7"/>
    <x v="3"/>
    <x v="741"/>
    <n v="24.17"/>
    <n v="2230455.94"/>
  </r>
  <r>
    <s v="ORD00743"/>
    <x v="149"/>
    <s v="C393"/>
    <x v="5"/>
    <x v="3"/>
    <x v="5"/>
    <x v="5"/>
    <x v="3"/>
    <x v="742"/>
    <n v="3.06"/>
    <n v="102785.4"/>
  </r>
  <r>
    <s v="ORD00744"/>
    <x v="332"/>
    <s v="C304"/>
    <x v="381"/>
    <x v="3"/>
    <x v="19"/>
    <x v="19"/>
    <x v="3"/>
    <x v="743"/>
    <n v="22.04"/>
    <n v="2162719.08"/>
  </r>
  <r>
    <s v="ORD00745"/>
    <x v="470"/>
    <s v="C405"/>
    <x v="230"/>
    <x v="4"/>
    <x v="22"/>
    <x v="22"/>
    <x v="0"/>
    <x v="744"/>
    <n v="2.64"/>
    <n v="39227.760000000002"/>
  </r>
  <r>
    <s v="ORD00746"/>
    <x v="389"/>
    <s v="C265"/>
    <x v="382"/>
    <x v="4"/>
    <x v="1"/>
    <x v="1"/>
    <x v="1"/>
    <x v="745"/>
    <n v="41.49"/>
    <n v="2346591.42"/>
  </r>
  <r>
    <s v="ORD00747"/>
    <x v="155"/>
    <s v="C371"/>
    <x v="355"/>
    <x v="2"/>
    <x v="6"/>
    <x v="6"/>
    <x v="0"/>
    <x v="746"/>
    <n v="10.77"/>
    <n v="158577.48000000001"/>
  </r>
  <r>
    <s v="ORD00748"/>
    <x v="310"/>
    <s v="C328"/>
    <x v="335"/>
    <x v="3"/>
    <x v="44"/>
    <x v="44"/>
    <x v="2"/>
    <x v="747"/>
    <n v="21.26"/>
    <n v="1289695.3799999999"/>
  </r>
  <r>
    <s v="ORD00749"/>
    <x v="61"/>
    <s v="C296"/>
    <x v="321"/>
    <x v="3"/>
    <x v="15"/>
    <x v="15"/>
    <x v="2"/>
    <x v="748"/>
    <n v="40.85"/>
    <n v="2947940.25"/>
  </r>
  <r>
    <s v="ORD00750"/>
    <x v="168"/>
    <s v="C191"/>
    <x v="186"/>
    <x v="2"/>
    <x v="41"/>
    <x v="41"/>
    <x v="4"/>
    <x v="749"/>
    <n v="7.1"/>
    <n v="85789.3"/>
  </r>
  <r>
    <s v="ORD00751"/>
    <x v="373"/>
    <s v="C392"/>
    <x v="383"/>
    <x v="3"/>
    <x v="1"/>
    <x v="1"/>
    <x v="1"/>
    <x v="750"/>
    <n v="11.13"/>
    <n v="122652.6"/>
  </r>
  <r>
    <s v="ORD00752"/>
    <x v="471"/>
    <s v="C049"/>
    <x v="384"/>
    <x v="2"/>
    <x v="18"/>
    <x v="18"/>
    <x v="0"/>
    <x v="751"/>
    <n v="4.29"/>
    <n v="306267.39"/>
  </r>
  <r>
    <s v="ORD00753"/>
    <x v="472"/>
    <s v="C139"/>
    <x v="385"/>
    <x v="2"/>
    <x v="33"/>
    <x v="33"/>
    <x v="1"/>
    <x v="752"/>
    <n v="11.51"/>
    <n v="13800.49"/>
  </r>
  <r>
    <s v="ORD00754"/>
    <x v="157"/>
    <s v="C412"/>
    <x v="22"/>
    <x v="2"/>
    <x v="18"/>
    <x v="18"/>
    <x v="0"/>
    <x v="753"/>
    <n v="12.14"/>
    <n v="520211.14"/>
  </r>
  <r>
    <s v="ORD00755"/>
    <x v="249"/>
    <s v="C105"/>
    <x v="386"/>
    <x v="0"/>
    <x v="4"/>
    <x v="4"/>
    <x v="1"/>
    <x v="754"/>
    <n v="41.82"/>
    <n v="2092003.68"/>
  </r>
  <r>
    <s v="ORD00756"/>
    <x v="94"/>
    <s v="C090"/>
    <x v="380"/>
    <x v="1"/>
    <x v="33"/>
    <x v="33"/>
    <x v="1"/>
    <x v="755"/>
    <n v="25.64"/>
    <n v="157121.92000000001"/>
  </r>
  <r>
    <s v="ORD00757"/>
    <x v="124"/>
    <s v="C180"/>
    <x v="200"/>
    <x v="0"/>
    <x v="23"/>
    <x v="23"/>
    <x v="0"/>
    <x v="756"/>
    <n v="26.37"/>
    <n v="352514.16"/>
  </r>
  <r>
    <s v="ORD00758"/>
    <x v="214"/>
    <s v="C064"/>
    <x v="387"/>
    <x v="2"/>
    <x v="43"/>
    <x v="43"/>
    <x v="4"/>
    <x v="757"/>
    <n v="37.4"/>
    <n v="2953216.2"/>
  </r>
  <r>
    <s v="ORD00759"/>
    <x v="473"/>
    <s v="C253"/>
    <x v="379"/>
    <x v="4"/>
    <x v="2"/>
    <x v="2"/>
    <x v="1"/>
    <x v="758"/>
    <n v="18.71"/>
    <n v="1629154.54"/>
  </r>
  <r>
    <s v="ORD00760"/>
    <x v="103"/>
    <s v="C444"/>
    <x v="6"/>
    <x v="1"/>
    <x v="8"/>
    <x v="8"/>
    <x v="3"/>
    <x v="759"/>
    <n v="33.47"/>
    <n v="2762212.16"/>
  </r>
  <r>
    <s v="ORD00761"/>
    <x v="323"/>
    <s v="C365"/>
    <x v="155"/>
    <x v="4"/>
    <x v="33"/>
    <x v="33"/>
    <x v="1"/>
    <x v="760"/>
    <n v="48.85"/>
    <n v="810714.6"/>
  </r>
  <r>
    <s v="ORD00762"/>
    <x v="110"/>
    <s v="C329"/>
    <x v="388"/>
    <x v="2"/>
    <x v="48"/>
    <x v="48"/>
    <x v="2"/>
    <x v="761"/>
    <n v="42.94"/>
    <n v="3871813.92"/>
  </r>
  <r>
    <s v="ORD00763"/>
    <x v="474"/>
    <s v="C360"/>
    <x v="92"/>
    <x v="3"/>
    <x v="7"/>
    <x v="7"/>
    <x v="3"/>
    <x v="762"/>
    <n v="4.4000000000000004"/>
    <n v="295561.2"/>
  </r>
  <r>
    <s v="ORD00764"/>
    <x v="475"/>
    <s v="C041"/>
    <x v="389"/>
    <x v="4"/>
    <x v="47"/>
    <x v="47"/>
    <x v="2"/>
    <x v="763"/>
    <n v="39.4"/>
    <n v="1963223.2"/>
  </r>
  <r>
    <s v="ORD00765"/>
    <x v="476"/>
    <s v="C138"/>
    <x v="251"/>
    <x v="2"/>
    <x v="35"/>
    <x v="35"/>
    <x v="1"/>
    <x v="764"/>
    <n v="8.75"/>
    <n v="619850"/>
  </r>
  <r>
    <s v="ORD00766"/>
    <x v="137"/>
    <s v="C261"/>
    <x v="390"/>
    <x v="2"/>
    <x v="5"/>
    <x v="5"/>
    <x v="3"/>
    <x v="765"/>
    <n v="22.14"/>
    <n v="512231.04"/>
  </r>
  <r>
    <s v="ORD00767"/>
    <x v="152"/>
    <s v="C473"/>
    <x v="102"/>
    <x v="2"/>
    <x v="49"/>
    <x v="49"/>
    <x v="3"/>
    <x v="766"/>
    <n v="2.97"/>
    <n v="151244.28"/>
  </r>
  <r>
    <s v="ORD00768"/>
    <x v="477"/>
    <s v="C231"/>
    <x v="315"/>
    <x v="2"/>
    <x v="33"/>
    <x v="33"/>
    <x v="1"/>
    <x v="767"/>
    <n v="2.54"/>
    <n v="45100.24"/>
  </r>
  <r>
    <s v="ORD00769"/>
    <x v="478"/>
    <s v="C384"/>
    <x v="187"/>
    <x v="4"/>
    <x v="20"/>
    <x v="20"/>
    <x v="1"/>
    <x v="768"/>
    <n v="32.69"/>
    <n v="1923152.7"/>
  </r>
  <r>
    <s v="ORD00770"/>
    <x v="479"/>
    <s v="C219"/>
    <x v="43"/>
    <x v="0"/>
    <x v="28"/>
    <x v="28"/>
    <x v="3"/>
    <x v="769"/>
    <n v="30.27"/>
    <n v="648686.1"/>
  </r>
  <r>
    <s v="ORD00771"/>
    <x v="480"/>
    <s v="C489"/>
    <x v="184"/>
    <x v="4"/>
    <x v="1"/>
    <x v="1"/>
    <x v="1"/>
    <x v="770"/>
    <n v="38.22"/>
    <n v="1750437.78"/>
  </r>
  <r>
    <s v="ORD00772"/>
    <x v="401"/>
    <s v="C101"/>
    <x v="120"/>
    <x v="4"/>
    <x v="32"/>
    <x v="32"/>
    <x v="4"/>
    <x v="771"/>
    <n v="16.170000000000002"/>
    <n v="1034168.52"/>
  </r>
  <r>
    <s v="ORD00773"/>
    <x v="481"/>
    <s v="C397"/>
    <x v="95"/>
    <x v="3"/>
    <x v="8"/>
    <x v="8"/>
    <x v="3"/>
    <x v="772"/>
    <n v="19.98"/>
    <n v="366453.18"/>
  </r>
  <r>
    <s v="ORD00774"/>
    <x v="482"/>
    <s v="C367"/>
    <x v="337"/>
    <x v="4"/>
    <x v="38"/>
    <x v="38"/>
    <x v="2"/>
    <x v="773"/>
    <n v="5.67"/>
    <n v="188136.27"/>
  </r>
  <r>
    <s v="ORD00775"/>
    <x v="354"/>
    <s v="C412"/>
    <x v="22"/>
    <x v="2"/>
    <x v="8"/>
    <x v="8"/>
    <x v="3"/>
    <x v="774"/>
    <n v="43.68"/>
    <n v="4168731.84"/>
  </r>
  <r>
    <s v="ORD00776"/>
    <x v="483"/>
    <s v="C232"/>
    <x v="75"/>
    <x v="0"/>
    <x v="10"/>
    <x v="10"/>
    <x v="3"/>
    <x v="775"/>
    <n v="36.229999999999997"/>
    <n v="3247512.28"/>
  </r>
  <r>
    <s v="ORD00777"/>
    <x v="484"/>
    <s v="C270"/>
    <x v="391"/>
    <x v="4"/>
    <x v="8"/>
    <x v="8"/>
    <x v="3"/>
    <x v="776"/>
    <n v="31.15"/>
    <n v="509084.45"/>
  </r>
  <r>
    <s v="ORD00778"/>
    <x v="485"/>
    <s v="C182"/>
    <x v="159"/>
    <x v="1"/>
    <x v="49"/>
    <x v="49"/>
    <x v="3"/>
    <x v="777"/>
    <n v="36.659999999999997"/>
    <n v="963864.72"/>
  </r>
  <r>
    <s v="ORD00779"/>
    <x v="324"/>
    <s v="C248"/>
    <x v="392"/>
    <x v="0"/>
    <x v="28"/>
    <x v="28"/>
    <x v="3"/>
    <x v="778"/>
    <n v="44.93"/>
    <n v="2666146.2000000002"/>
  </r>
  <r>
    <s v="ORD00780"/>
    <x v="266"/>
    <s v="C128"/>
    <x v="361"/>
    <x v="4"/>
    <x v="41"/>
    <x v="41"/>
    <x v="4"/>
    <x v="779"/>
    <n v="26.18"/>
    <n v="223236.86"/>
  </r>
  <r>
    <s v="ORD00781"/>
    <x v="332"/>
    <s v="C359"/>
    <x v="31"/>
    <x v="0"/>
    <x v="30"/>
    <x v="30"/>
    <x v="4"/>
    <x v="780"/>
    <n v="38.92"/>
    <n v="268275.56"/>
  </r>
  <r>
    <s v="ORD00782"/>
    <x v="273"/>
    <s v="C228"/>
    <x v="69"/>
    <x v="2"/>
    <x v="12"/>
    <x v="12"/>
    <x v="4"/>
    <x v="781"/>
    <n v="49.92"/>
    <n v="4573221.12"/>
  </r>
  <r>
    <s v="ORD00783"/>
    <x v="361"/>
    <s v="C268"/>
    <x v="313"/>
    <x v="0"/>
    <x v="2"/>
    <x v="2"/>
    <x v="1"/>
    <x v="782"/>
    <n v="11.53"/>
    <n v="823645.55"/>
  </r>
  <r>
    <s v="ORD00784"/>
    <x v="96"/>
    <s v="C458"/>
    <x v="103"/>
    <x v="1"/>
    <x v="23"/>
    <x v="23"/>
    <x v="0"/>
    <x v="783"/>
    <n v="30.02"/>
    <n v="2471696.7000000002"/>
  </r>
  <r>
    <s v="ORD00785"/>
    <x v="291"/>
    <s v="C198"/>
    <x v="0"/>
    <x v="0"/>
    <x v="40"/>
    <x v="40"/>
    <x v="0"/>
    <x v="784"/>
    <n v="22.35"/>
    <n v="632460.30000000005"/>
  </r>
  <r>
    <s v="ORD00786"/>
    <x v="195"/>
    <s v="C184"/>
    <x v="125"/>
    <x v="2"/>
    <x v="44"/>
    <x v="44"/>
    <x v="2"/>
    <x v="785"/>
    <n v="46.32"/>
    <n v="2012742.96"/>
  </r>
  <r>
    <s v="ORD00787"/>
    <x v="244"/>
    <s v="C332"/>
    <x v="242"/>
    <x v="2"/>
    <x v="27"/>
    <x v="27"/>
    <x v="4"/>
    <x v="786"/>
    <n v="43.89"/>
    <n v="1187838.96"/>
  </r>
  <r>
    <s v="ORD00788"/>
    <x v="486"/>
    <s v="C148"/>
    <x v="365"/>
    <x v="1"/>
    <x v="14"/>
    <x v="14"/>
    <x v="2"/>
    <x v="787"/>
    <n v="30.13"/>
    <n v="314436.68"/>
  </r>
  <r>
    <s v="ORD00789"/>
    <x v="449"/>
    <s v="C140"/>
    <x v="393"/>
    <x v="3"/>
    <x v="36"/>
    <x v="36"/>
    <x v="4"/>
    <x v="788"/>
    <n v="2.7"/>
    <n v="141272.1"/>
  </r>
  <r>
    <s v="ORD00790"/>
    <x v="487"/>
    <s v="C389"/>
    <x v="394"/>
    <x v="0"/>
    <x v="11"/>
    <x v="11"/>
    <x v="4"/>
    <x v="789"/>
    <n v="40.619999999999997"/>
    <n v="1470119.04"/>
  </r>
  <r>
    <s v="ORD00791"/>
    <x v="488"/>
    <s v="C073"/>
    <x v="395"/>
    <x v="3"/>
    <x v="9"/>
    <x v="9"/>
    <x v="4"/>
    <x v="790"/>
    <n v="45.6"/>
    <n v="2174208"/>
  </r>
  <r>
    <s v="ORD00792"/>
    <x v="478"/>
    <s v="C134"/>
    <x v="107"/>
    <x v="3"/>
    <x v="49"/>
    <x v="49"/>
    <x v="3"/>
    <x v="791"/>
    <n v="20.72"/>
    <n v="536958.80000000005"/>
  </r>
  <r>
    <s v="ORD00793"/>
    <x v="241"/>
    <s v="C139"/>
    <x v="385"/>
    <x v="2"/>
    <x v="48"/>
    <x v="48"/>
    <x v="2"/>
    <x v="792"/>
    <n v="6.78"/>
    <n v="359367.12"/>
  </r>
  <r>
    <s v="ORD00794"/>
    <x v="489"/>
    <s v="C028"/>
    <x v="151"/>
    <x v="2"/>
    <x v="36"/>
    <x v="36"/>
    <x v="4"/>
    <x v="793"/>
    <n v="17.47"/>
    <n v="486871.43"/>
  </r>
  <r>
    <s v="ORD00795"/>
    <x v="399"/>
    <s v="C050"/>
    <x v="351"/>
    <x v="4"/>
    <x v="47"/>
    <x v="47"/>
    <x v="2"/>
    <x v="794"/>
    <n v="4.17"/>
    <n v="73041.72"/>
  </r>
  <r>
    <s v="ORD00796"/>
    <x v="490"/>
    <s v="C025"/>
    <x v="396"/>
    <x v="0"/>
    <x v="29"/>
    <x v="29"/>
    <x v="0"/>
    <x v="795"/>
    <n v="49.27"/>
    <n v="57793.71"/>
  </r>
  <r>
    <s v="ORD00797"/>
    <x v="491"/>
    <s v="C311"/>
    <x v="128"/>
    <x v="0"/>
    <x v="40"/>
    <x v="40"/>
    <x v="0"/>
    <x v="796"/>
    <n v="42.89"/>
    <n v="2700740.41"/>
  </r>
  <r>
    <s v="ORD00798"/>
    <x v="303"/>
    <s v="C381"/>
    <x v="113"/>
    <x v="2"/>
    <x v="10"/>
    <x v="10"/>
    <x v="3"/>
    <x v="797"/>
    <n v="33.57"/>
    <n v="1899289.89"/>
  </r>
  <r>
    <s v="ORD00799"/>
    <x v="492"/>
    <s v="C052"/>
    <x v="212"/>
    <x v="4"/>
    <x v="26"/>
    <x v="26"/>
    <x v="0"/>
    <x v="798"/>
    <n v="38.67"/>
    <n v="1419266.34"/>
  </r>
  <r>
    <s v="ORD00800"/>
    <x v="122"/>
    <s v="C227"/>
    <x v="278"/>
    <x v="2"/>
    <x v="35"/>
    <x v="35"/>
    <x v="1"/>
    <x v="799"/>
    <n v="11.65"/>
    <n v="188625.15"/>
  </r>
  <r>
    <s v="ORD00801"/>
    <x v="493"/>
    <s v="C435"/>
    <x v="60"/>
    <x v="4"/>
    <x v="19"/>
    <x v="19"/>
    <x v="3"/>
    <x v="800"/>
    <n v="8.5500000000000007"/>
    <n v="734162.85"/>
  </r>
  <r>
    <s v="ORD00802"/>
    <x v="246"/>
    <s v="C421"/>
    <x v="110"/>
    <x v="2"/>
    <x v="12"/>
    <x v="12"/>
    <x v="4"/>
    <x v="801"/>
    <n v="17.97"/>
    <n v="1734518.31"/>
  </r>
  <r>
    <s v="ORD00803"/>
    <x v="391"/>
    <s v="C474"/>
    <x v="203"/>
    <x v="3"/>
    <x v="11"/>
    <x v="11"/>
    <x v="4"/>
    <x v="802"/>
    <n v="18.61"/>
    <n v="1073517.8500000001"/>
  </r>
  <r>
    <s v="ORD00804"/>
    <x v="57"/>
    <s v="C256"/>
    <x v="397"/>
    <x v="1"/>
    <x v="46"/>
    <x v="46"/>
    <x v="0"/>
    <x v="803"/>
    <n v="9.84"/>
    <n v="732273.12"/>
  </r>
  <r>
    <s v="ORD00805"/>
    <x v="143"/>
    <s v="C003"/>
    <x v="133"/>
    <x v="1"/>
    <x v="43"/>
    <x v="43"/>
    <x v="4"/>
    <x v="804"/>
    <n v="42.19"/>
    <n v="62989.67"/>
  </r>
  <r>
    <s v="ORD00806"/>
    <x v="494"/>
    <s v="C364"/>
    <x v="398"/>
    <x v="3"/>
    <x v="31"/>
    <x v="31"/>
    <x v="0"/>
    <x v="805"/>
    <n v="3.22"/>
    <n v="158710.57999999999"/>
  </r>
  <r>
    <s v="ORD00807"/>
    <x v="306"/>
    <s v="C287"/>
    <x v="228"/>
    <x v="4"/>
    <x v="6"/>
    <x v="6"/>
    <x v="0"/>
    <x v="806"/>
    <n v="30.45"/>
    <n v="358244.25"/>
  </r>
  <r>
    <s v="ORD00808"/>
    <x v="80"/>
    <s v="C224"/>
    <x v="147"/>
    <x v="4"/>
    <x v="28"/>
    <x v="28"/>
    <x v="3"/>
    <x v="807"/>
    <n v="2.4700000000000002"/>
    <n v="116566.71"/>
  </r>
  <r>
    <s v="ORD00809"/>
    <x v="332"/>
    <s v="C133"/>
    <x v="71"/>
    <x v="4"/>
    <x v="25"/>
    <x v="25"/>
    <x v="4"/>
    <x v="808"/>
    <n v="24.5"/>
    <n v="797107.5"/>
  </r>
  <r>
    <s v="ORD00810"/>
    <x v="424"/>
    <s v="C374"/>
    <x v="399"/>
    <x v="1"/>
    <x v="45"/>
    <x v="45"/>
    <x v="3"/>
    <x v="809"/>
    <n v="42.73"/>
    <n v="1560713.25"/>
  </r>
  <r>
    <s v="ORD00811"/>
    <x v="495"/>
    <s v="C062"/>
    <x v="38"/>
    <x v="4"/>
    <x v="19"/>
    <x v="19"/>
    <x v="3"/>
    <x v="810"/>
    <n v="11.4"/>
    <n v="350743.8"/>
  </r>
  <r>
    <s v="ORD00812"/>
    <x v="397"/>
    <s v="C405"/>
    <x v="230"/>
    <x v="4"/>
    <x v="15"/>
    <x v="15"/>
    <x v="2"/>
    <x v="811"/>
    <n v="25.15"/>
    <n v="1905213.1"/>
  </r>
  <r>
    <s v="ORD00813"/>
    <x v="496"/>
    <s v="C187"/>
    <x v="108"/>
    <x v="3"/>
    <x v="1"/>
    <x v="1"/>
    <x v="1"/>
    <x v="812"/>
    <n v="43.47"/>
    <n v="3037987.89"/>
  </r>
  <r>
    <s v="ORD00814"/>
    <x v="174"/>
    <s v="C458"/>
    <x v="103"/>
    <x v="1"/>
    <x v="41"/>
    <x v="41"/>
    <x v="4"/>
    <x v="813"/>
    <n v="28.93"/>
    <n v="2392916.02"/>
  </r>
  <r>
    <s v="ORD00815"/>
    <x v="197"/>
    <s v="C272"/>
    <x v="98"/>
    <x v="0"/>
    <x v="32"/>
    <x v="32"/>
    <x v="4"/>
    <x v="814"/>
    <n v="29.8"/>
    <n v="962718.8"/>
  </r>
  <r>
    <s v="ORD00816"/>
    <x v="299"/>
    <s v="C358"/>
    <x v="311"/>
    <x v="3"/>
    <x v="31"/>
    <x v="31"/>
    <x v="0"/>
    <x v="815"/>
    <n v="16.850000000000001"/>
    <n v="1434305.7"/>
  </r>
  <r>
    <s v="ORD00817"/>
    <x v="497"/>
    <s v="C202"/>
    <x v="400"/>
    <x v="1"/>
    <x v="26"/>
    <x v="26"/>
    <x v="0"/>
    <x v="816"/>
    <n v="24.19"/>
    <n v="2229447.16"/>
  </r>
  <r>
    <s v="ORD00818"/>
    <x v="417"/>
    <s v="C206"/>
    <x v="401"/>
    <x v="1"/>
    <x v="4"/>
    <x v="4"/>
    <x v="1"/>
    <x v="817"/>
    <n v="32.950000000000003"/>
    <n v="2275263.4"/>
  </r>
  <r>
    <s v="ORD00819"/>
    <x v="419"/>
    <s v="C446"/>
    <x v="371"/>
    <x v="4"/>
    <x v="21"/>
    <x v="21"/>
    <x v="2"/>
    <x v="818"/>
    <n v="11.82"/>
    <n v="751633.8"/>
  </r>
  <r>
    <s v="ORD00820"/>
    <x v="121"/>
    <s v="C377"/>
    <x v="165"/>
    <x v="4"/>
    <x v="5"/>
    <x v="5"/>
    <x v="3"/>
    <x v="819"/>
    <n v="41.9"/>
    <n v="1091788.3"/>
  </r>
  <r>
    <s v="ORD00821"/>
    <x v="375"/>
    <s v="C008"/>
    <x v="96"/>
    <x v="1"/>
    <x v="5"/>
    <x v="5"/>
    <x v="3"/>
    <x v="820"/>
    <n v="44.82"/>
    <n v="3351370.68"/>
  </r>
  <r>
    <s v="ORD00822"/>
    <x v="471"/>
    <s v="C157"/>
    <x v="327"/>
    <x v="4"/>
    <x v="17"/>
    <x v="17"/>
    <x v="1"/>
    <x v="821"/>
    <n v="26.69"/>
    <n v="813164.23"/>
  </r>
  <r>
    <s v="ORD00823"/>
    <x v="42"/>
    <s v="C335"/>
    <x v="402"/>
    <x v="4"/>
    <x v="43"/>
    <x v="43"/>
    <x v="4"/>
    <x v="822"/>
    <n v="19.29"/>
    <n v="1167411.51"/>
  </r>
  <r>
    <s v="ORD00824"/>
    <x v="357"/>
    <s v="C203"/>
    <x v="403"/>
    <x v="0"/>
    <x v="9"/>
    <x v="9"/>
    <x v="4"/>
    <x v="823"/>
    <n v="11.72"/>
    <n v="992695.72"/>
  </r>
  <r>
    <s v="ORD00825"/>
    <x v="494"/>
    <s v="C088"/>
    <x v="83"/>
    <x v="0"/>
    <x v="15"/>
    <x v="15"/>
    <x v="2"/>
    <x v="824"/>
    <n v="23.99"/>
    <n v="606443.21"/>
  </r>
  <r>
    <s v="ORD00826"/>
    <x v="163"/>
    <s v="C386"/>
    <x v="272"/>
    <x v="0"/>
    <x v="47"/>
    <x v="47"/>
    <x v="2"/>
    <x v="825"/>
    <n v="36.380000000000003"/>
    <n v="3534717.18"/>
  </r>
  <r>
    <s v="ORD00827"/>
    <x v="11"/>
    <s v="C466"/>
    <x v="23"/>
    <x v="2"/>
    <x v="0"/>
    <x v="0"/>
    <x v="0"/>
    <x v="826"/>
    <n v="15.3"/>
    <n v="1362342.6"/>
  </r>
  <r>
    <s v="ORD00828"/>
    <x v="498"/>
    <s v="C064"/>
    <x v="387"/>
    <x v="2"/>
    <x v="2"/>
    <x v="2"/>
    <x v="1"/>
    <x v="827"/>
    <n v="16.18"/>
    <n v="893621.4"/>
  </r>
  <r>
    <s v="ORD00829"/>
    <x v="371"/>
    <s v="C167"/>
    <x v="404"/>
    <x v="4"/>
    <x v="9"/>
    <x v="9"/>
    <x v="4"/>
    <x v="828"/>
    <n v="49.42"/>
    <n v="3241013.02"/>
  </r>
  <r>
    <s v="ORD00830"/>
    <x v="499"/>
    <s v="C017"/>
    <x v="139"/>
    <x v="4"/>
    <x v="31"/>
    <x v="31"/>
    <x v="0"/>
    <x v="829"/>
    <n v="44.37"/>
    <n v="1025790.03"/>
  </r>
  <r>
    <s v="ORD00831"/>
    <x v="500"/>
    <s v="C092"/>
    <x v="405"/>
    <x v="0"/>
    <x v="19"/>
    <x v="19"/>
    <x v="3"/>
    <x v="830"/>
    <n v="41.52"/>
    <n v="3666880.32"/>
  </r>
  <r>
    <s v="ORD00832"/>
    <x v="495"/>
    <s v="C474"/>
    <x v="203"/>
    <x v="3"/>
    <x v="4"/>
    <x v="4"/>
    <x v="1"/>
    <x v="831"/>
    <n v="40.26"/>
    <n v="3978694.5"/>
  </r>
  <r>
    <s v="ORD00833"/>
    <x v="191"/>
    <s v="C334"/>
    <x v="135"/>
    <x v="3"/>
    <x v="11"/>
    <x v="11"/>
    <x v="4"/>
    <x v="832"/>
    <n v="27.11"/>
    <n v="412234.66"/>
  </r>
  <r>
    <s v="ORD00834"/>
    <x v="492"/>
    <s v="C468"/>
    <x v="76"/>
    <x v="1"/>
    <x v="8"/>
    <x v="8"/>
    <x v="3"/>
    <x v="833"/>
    <n v="31.17"/>
    <n v="1251381.99"/>
  </r>
  <r>
    <s v="ORD00835"/>
    <x v="148"/>
    <s v="C330"/>
    <x v="48"/>
    <x v="2"/>
    <x v="16"/>
    <x v="16"/>
    <x v="1"/>
    <x v="834"/>
    <n v="11.23"/>
    <n v="962366.08"/>
  </r>
  <r>
    <s v="ORD00836"/>
    <x v="184"/>
    <s v="C358"/>
    <x v="311"/>
    <x v="3"/>
    <x v="10"/>
    <x v="10"/>
    <x v="3"/>
    <x v="835"/>
    <n v="5.24"/>
    <n v="206759.92"/>
  </r>
  <r>
    <s v="ORD00837"/>
    <x v="501"/>
    <s v="C362"/>
    <x v="9"/>
    <x v="4"/>
    <x v="47"/>
    <x v="47"/>
    <x v="2"/>
    <x v="836"/>
    <n v="12.43"/>
    <n v="1159433.1100000001"/>
  </r>
  <r>
    <s v="ORD00838"/>
    <x v="169"/>
    <s v="C475"/>
    <x v="33"/>
    <x v="1"/>
    <x v="5"/>
    <x v="5"/>
    <x v="3"/>
    <x v="837"/>
    <n v="37.33"/>
    <n v="281766.84000000003"/>
  </r>
  <r>
    <s v="ORD00839"/>
    <x v="124"/>
    <s v="C355"/>
    <x v="81"/>
    <x v="2"/>
    <x v="10"/>
    <x v="10"/>
    <x v="3"/>
    <x v="838"/>
    <n v="38.33"/>
    <n v="827084.74"/>
  </r>
  <r>
    <s v="ORD00840"/>
    <x v="502"/>
    <s v="C231"/>
    <x v="315"/>
    <x v="2"/>
    <x v="27"/>
    <x v="27"/>
    <x v="4"/>
    <x v="839"/>
    <n v="9.0299999999999994"/>
    <n v="166757.01"/>
  </r>
  <r>
    <s v="ORD00841"/>
    <x v="503"/>
    <s v="C398"/>
    <x v="63"/>
    <x v="1"/>
    <x v="47"/>
    <x v="47"/>
    <x v="2"/>
    <x v="840"/>
    <n v="20.62"/>
    <n v="475992.08"/>
  </r>
  <r>
    <s v="ORD00842"/>
    <x v="504"/>
    <s v="C162"/>
    <x v="344"/>
    <x v="0"/>
    <x v="3"/>
    <x v="3"/>
    <x v="2"/>
    <x v="841"/>
    <n v="38.869999999999997"/>
    <n v="1587411.93"/>
  </r>
  <r>
    <s v="ORD00843"/>
    <x v="300"/>
    <s v="C045"/>
    <x v="174"/>
    <x v="2"/>
    <x v="8"/>
    <x v="8"/>
    <x v="3"/>
    <x v="842"/>
    <n v="6"/>
    <n v="286482"/>
  </r>
  <r>
    <s v="ORD00844"/>
    <x v="403"/>
    <s v="C026"/>
    <x v="221"/>
    <x v="1"/>
    <x v="24"/>
    <x v="24"/>
    <x v="3"/>
    <x v="843"/>
    <n v="31.64"/>
    <n v="1007069.56"/>
  </r>
  <r>
    <s v="ORD00845"/>
    <x v="500"/>
    <s v="C415"/>
    <x v="152"/>
    <x v="0"/>
    <x v="14"/>
    <x v="14"/>
    <x v="2"/>
    <x v="844"/>
    <n v="37.49"/>
    <n v="2889466.77"/>
  </r>
  <r>
    <s v="ORD00846"/>
    <x v="473"/>
    <s v="C258"/>
    <x v="276"/>
    <x v="3"/>
    <x v="14"/>
    <x v="14"/>
    <x v="2"/>
    <x v="845"/>
    <n v="48.97"/>
    <n v="1415477.85"/>
  </r>
  <r>
    <s v="ORD00847"/>
    <x v="505"/>
    <s v="C372"/>
    <x v="217"/>
    <x v="4"/>
    <x v="26"/>
    <x v="26"/>
    <x v="0"/>
    <x v="846"/>
    <n v="3.52"/>
    <n v="46798.400000000001"/>
  </r>
  <r>
    <s v="ORD00848"/>
    <x v="162"/>
    <s v="C375"/>
    <x v="305"/>
    <x v="0"/>
    <x v="41"/>
    <x v="41"/>
    <x v="4"/>
    <x v="847"/>
    <n v="10.25"/>
    <n v="940970.5"/>
  </r>
  <r>
    <s v="ORD00849"/>
    <x v="506"/>
    <s v="C234"/>
    <x v="406"/>
    <x v="4"/>
    <x v="29"/>
    <x v="29"/>
    <x v="0"/>
    <x v="848"/>
    <n v="28.28"/>
    <n v="766133.48"/>
  </r>
  <r>
    <s v="ORD00850"/>
    <x v="402"/>
    <s v="C155"/>
    <x v="407"/>
    <x v="1"/>
    <x v="4"/>
    <x v="4"/>
    <x v="1"/>
    <x v="849"/>
    <n v="43.79"/>
    <n v="990617.38"/>
  </r>
  <r>
    <s v="ORD00851"/>
    <x v="75"/>
    <s v="C158"/>
    <x v="117"/>
    <x v="3"/>
    <x v="22"/>
    <x v="22"/>
    <x v="0"/>
    <x v="850"/>
    <n v="35.090000000000003"/>
    <n v="2601326.9700000002"/>
  </r>
  <r>
    <s v="ORD00852"/>
    <x v="39"/>
    <s v="C198"/>
    <x v="0"/>
    <x v="0"/>
    <x v="20"/>
    <x v="20"/>
    <x v="1"/>
    <x v="851"/>
    <n v="35.950000000000003"/>
    <n v="3214037.85"/>
  </r>
  <r>
    <s v="ORD00853"/>
    <x v="178"/>
    <s v="C289"/>
    <x v="408"/>
    <x v="1"/>
    <x v="5"/>
    <x v="5"/>
    <x v="3"/>
    <x v="852"/>
    <n v="17.84"/>
    <n v="663683.68000000005"/>
  </r>
  <r>
    <s v="ORD00854"/>
    <x v="448"/>
    <s v="C408"/>
    <x v="45"/>
    <x v="4"/>
    <x v="32"/>
    <x v="32"/>
    <x v="4"/>
    <x v="853"/>
    <n v="24.82"/>
    <n v="2045664.4"/>
  </r>
  <r>
    <s v="ORD00855"/>
    <x v="134"/>
    <s v="C209"/>
    <x v="409"/>
    <x v="4"/>
    <x v="23"/>
    <x v="23"/>
    <x v="0"/>
    <x v="854"/>
    <n v="48.75"/>
    <n v="1966380"/>
  </r>
  <r>
    <s v="ORD00856"/>
    <x v="47"/>
    <s v="C368"/>
    <x v="7"/>
    <x v="1"/>
    <x v="10"/>
    <x v="10"/>
    <x v="3"/>
    <x v="855"/>
    <n v="36.380000000000003"/>
    <n v="2310639.3199999998"/>
  </r>
  <r>
    <s v="ORD00857"/>
    <x v="195"/>
    <s v="C069"/>
    <x v="410"/>
    <x v="4"/>
    <x v="38"/>
    <x v="38"/>
    <x v="2"/>
    <x v="856"/>
    <n v="37.9"/>
    <n v="1436826.9"/>
  </r>
  <r>
    <s v="ORD00858"/>
    <x v="456"/>
    <s v="C048"/>
    <x v="411"/>
    <x v="3"/>
    <x v="42"/>
    <x v="42"/>
    <x v="1"/>
    <x v="857"/>
    <n v="43.34"/>
    <n v="2969830.16"/>
  </r>
  <r>
    <s v="ORD00859"/>
    <x v="47"/>
    <s v="C498"/>
    <x v="68"/>
    <x v="0"/>
    <x v="15"/>
    <x v="15"/>
    <x v="2"/>
    <x v="858"/>
    <n v="27.48"/>
    <n v="2440306.44"/>
  </r>
  <r>
    <s v="ORD00860"/>
    <x v="399"/>
    <s v="C059"/>
    <x v="256"/>
    <x v="4"/>
    <x v="43"/>
    <x v="43"/>
    <x v="4"/>
    <x v="859"/>
    <n v="11.74"/>
    <n v="1150285.2"/>
  </r>
  <r>
    <s v="ORD00861"/>
    <x v="507"/>
    <s v="C461"/>
    <x v="164"/>
    <x v="0"/>
    <x v="18"/>
    <x v="18"/>
    <x v="0"/>
    <x v="860"/>
    <n v="25.04"/>
    <n v="1929607.44"/>
  </r>
  <r>
    <s v="ORD00862"/>
    <x v="98"/>
    <s v="C470"/>
    <x v="190"/>
    <x v="4"/>
    <x v="33"/>
    <x v="33"/>
    <x v="1"/>
    <x v="861"/>
    <n v="7.59"/>
    <n v="684739.44"/>
  </r>
  <r>
    <s v="ORD00863"/>
    <x v="508"/>
    <s v="C476"/>
    <x v="201"/>
    <x v="3"/>
    <x v="13"/>
    <x v="13"/>
    <x v="2"/>
    <x v="862"/>
    <n v="42.1"/>
    <n v="3250541"/>
  </r>
  <r>
    <s v="ORD00864"/>
    <x v="330"/>
    <s v="C293"/>
    <x v="372"/>
    <x v="0"/>
    <x v="25"/>
    <x v="25"/>
    <x v="4"/>
    <x v="863"/>
    <n v="28.03"/>
    <n v="2613685.38"/>
  </r>
  <r>
    <s v="ORD00865"/>
    <x v="362"/>
    <s v="C236"/>
    <x v="25"/>
    <x v="2"/>
    <x v="4"/>
    <x v="4"/>
    <x v="1"/>
    <x v="864"/>
    <n v="33.6"/>
    <n v="76675.199999999997"/>
  </r>
  <r>
    <s v="ORD00866"/>
    <x v="509"/>
    <s v="C012"/>
    <x v="412"/>
    <x v="1"/>
    <x v="13"/>
    <x v="13"/>
    <x v="2"/>
    <x v="865"/>
    <n v="38.369999999999997"/>
    <n v="2290995.96"/>
  </r>
  <r>
    <s v="ORD00867"/>
    <x v="489"/>
    <s v="C051"/>
    <x v="66"/>
    <x v="4"/>
    <x v="3"/>
    <x v="3"/>
    <x v="2"/>
    <x v="866"/>
    <n v="34.49"/>
    <n v="1875048.85"/>
  </r>
  <r>
    <s v="ORD00868"/>
    <x v="510"/>
    <s v="C348"/>
    <x v="413"/>
    <x v="0"/>
    <x v="45"/>
    <x v="45"/>
    <x v="3"/>
    <x v="867"/>
    <n v="36"/>
    <n v="1559772"/>
  </r>
  <r>
    <s v="ORD00869"/>
    <x v="511"/>
    <s v="C277"/>
    <x v="158"/>
    <x v="3"/>
    <x v="36"/>
    <x v="36"/>
    <x v="4"/>
    <x v="868"/>
    <n v="34.22"/>
    <n v="410024.04"/>
  </r>
  <r>
    <s v="ORD00870"/>
    <x v="23"/>
    <s v="C482"/>
    <x v="369"/>
    <x v="4"/>
    <x v="13"/>
    <x v="13"/>
    <x v="2"/>
    <x v="869"/>
    <n v="11.69"/>
    <n v="1031198.28"/>
  </r>
  <r>
    <s v="ORD00871"/>
    <x v="71"/>
    <s v="C392"/>
    <x v="383"/>
    <x v="3"/>
    <x v="26"/>
    <x v="26"/>
    <x v="0"/>
    <x v="870"/>
    <n v="32.130000000000003"/>
    <n v="954871.47"/>
  </r>
  <r>
    <s v="ORD00872"/>
    <x v="61"/>
    <s v="C107"/>
    <x v="324"/>
    <x v="1"/>
    <x v="39"/>
    <x v="39"/>
    <x v="3"/>
    <x v="871"/>
    <n v="12.29"/>
    <n v="1187582.7"/>
  </r>
  <r>
    <s v="ORD00873"/>
    <x v="135"/>
    <s v="C419"/>
    <x v="156"/>
    <x v="3"/>
    <x v="27"/>
    <x v="27"/>
    <x v="4"/>
    <x v="872"/>
    <n v="3.94"/>
    <n v="78847.28"/>
  </r>
  <r>
    <s v="ORD00874"/>
    <x v="511"/>
    <s v="C070"/>
    <x v="249"/>
    <x v="4"/>
    <x v="23"/>
    <x v="23"/>
    <x v="0"/>
    <x v="873"/>
    <n v="13.69"/>
    <n v="171850.57"/>
  </r>
  <r>
    <s v="ORD00875"/>
    <x v="512"/>
    <s v="C338"/>
    <x v="197"/>
    <x v="4"/>
    <x v="22"/>
    <x v="22"/>
    <x v="0"/>
    <x v="874"/>
    <n v="31.65"/>
    <n v="1043690.4"/>
  </r>
  <r>
    <s v="ORD00876"/>
    <x v="513"/>
    <s v="C363"/>
    <x v="72"/>
    <x v="4"/>
    <x v="14"/>
    <x v="14"/>
    <x v="2"/>
    <x v="875"/>
    <n v="49.02"/>
    <n v="1456188.12"/>
  </r>
  <r>
    <s v="ORD00877"/>
    <x v="18"/>
    <s v="C018"/>
    <x v="332"/>
    <x v="3"/>
    <x v="31"/>
    <x v="31"/>
    <x v="0"/>
    <x v="876"/>
    <n v="15.71"/>
    <n v="1222819.27"/>
  </r>
  <r>
    <s v="ORD00878"/>
    <x v="177"/>
    <s v="C291"/>
    <x v="198"/>
    <x v="1"/>
    <x v="4"/>
    <x v="4"/>
    <x v="1"/>
    <x v="877"/>
    <n v="7.72"/>
    <n v="52781.64"/>
  </r>
  <r>
    <s v="ORD00879"/>
    <x v="141"/>
    <s v="C341"/>
    <x v="104"/>
    <x v="0"/>
    <x v="19"/>
    <x v="19"/>
    <x v="3"/>
    <x v="878"/>
    <n v="2.84"/>
    <n v="271597.71999999997"/>
  </r>
  <r>
    <s v="ORD00880"/>
    <x v="467"/>
    <s v="C196"/>
    <x v="1"/>
    <x v="1"/>
    <x v="46"/>
    <x v="46"/>
    <x v="0"/>
    <x v="879"/>
    <n v="39.020000000000003"/>
    <n v="2812951.8"/>
  </r>
  <r>
    <s v="ORD00881"/>
    <x v="514"/>
    <s v="C430"/>
    <x v="363"/>
    <x v="4"/>
    <x v="20"/>
    <x v="20"/>
    <x v="1"/>
    <x v="880"/>
    <n v="43.95"/>
    <n v="4023930.15"/>
  </r>
  <r>
    <s v="ORD00882"/>
    <x v="460"/>
    <s v="C345"/>
    <x v="15"/>
    <x v="2"/>
    <x v="41"/>
    <x v="41"/>
    <x v="4"/>
    <x v="881"/>
    <n v="16.690000000000001"/>
    <n v="421155.46"/>
  </r>
  <r>
    <s v="ORD00883"/>
    <x v="503"/>
    <s v="C343"/>
    <x v="229"/>
    <x v="1"/>
    <x v="22"/>
    <x v="22"/>
    <x v="0"/>
    <x v="882"/>
    <n v="41.2"/>
    <n v="2873123.2"/>
  </r>
  <r>
    <s v="ORD00884"/>
    <x v="70"/>
    <s v="C415"/>
    <x v="152"/>
    <x v="0"/>
    <x v="13"/>
    <x v="13"/>
    <x v="2"/>
    <x v="883"/>
    <n v="45.51"/>
    <n v="3880182.6"/>
  </r>
  <r>
    <s v="ORD00885"/>
    <x v="390"/>
    <s v="C268"/>
    <x v="313"/>
    <x v="0"/>
    <x v="2"/>
    <x v="2"/>
    <x v="1"/>
    <x v="884"/>
    <n v="26.37"/>
    <n v="2191109.67"/>
  </r>
  <r>
    <s v="ORD00886"/>
    <x v="305"/>
    <s v="C035"/>
    <x v="325"/>
    <x v="1"/>
    <x v="35"/>
    <x v="35"/>
    <x v="1"/>
    <x v="885"/>
    <n v="42.19"/>
    <n v="282208.90999999997"/>
  </r>
  <r>
    <s v="ORD00887"/>
    <x v="515"/>
    <s v="C398"/>
    <x v="63"/>
    <x v="1"/>
    <x v="18"/>
    <x v="18"/>
    <x v="0"/>
    <x v="886"/>
    <n v="23.04"/>
    <n v="422208"/>
  </r>
  <r>
    <s v="ORD00888"/>
    <x v="297"/>
    <s v="C033"/>
    <x v="150"/>
    <x v="4"/>
    <x v="32"/>
    <x v="32"/>
    <x v="4"/>
    <x v="887"/>
    <n v="46.56"/>
    <n v="2307234.2400000002"/>
  </r>
  <r>
    <s v="ORD00889"/>
    <x v="516"/>
    <s v="C484"/>
    <x v="124"/>
    <x v="3"/>
    <x v="19"/>
    <x v="19"/>
    <x v="3"/>
    <x v="888"/>
    <n v="34.869999999999997"/>
    <n v="1013566.29"/>
  </r>
  <r>
    <s v="ORD00890"/>
    <x v="52"/>
    <s v="C152"/>
    <x v="121"/>
    <x v="0"/>
    <x v="23"/>
    <x v="23"/>
    <x v="0"/>
    <x v="889"/>
    <n v="35.9"/>
    <n v="2416823.9"/>
  </r>
  <r>
    <s v="ORD00891"/>
    <x v="98"/>
    <s v="C261"/>
    <x v="390"/>
    <x v="2"/>
    <x v="19"/>
    <x v="19"/>
    <x v="3"/>
    <x v="890"/>
    <n v="43.68"/>
    <n v="119683.2"/>
  </r>
  <r>
    <s v="ORD00892"/>
    <x v="517"/>
    <s v="C408"/>
    <x v="45"/>
    <x v="4"/>
    <x v="46"/>
    <x v="46"/>
    <x v="0"/>
    <x v="891"/>
    <n v="35.700000000000003"/>
    <n v="2469119.1"/>
  </r>
  <r>
    <s v="ORD00893"/>
    <x v="272"/>
    <s v="C325"/>
    <x v="414"/>
    <x v="0"/>
    <x v="9"/>
    <x v="9"/>
    <x v="4"/>
    <x v="892"/>
    <n v="31.2"/>
    <n v="2285618.4"/>
  </r>
  <r>
    <s v="ORD00894"/>
    <x v="518"/>
    <s v="C442"/>
    <x v="205"/>
    <x v="3"/>
    <x v="20"/>
    <x v="20"/>
    <x v="1"/>
    <x v="893"/>
    <n v="31.8"/>
    <n v="2474262.6"/>
  </r>
  <r>
    <s v="ORD00895"/>
    <x v="43"/>
    <s v="C031"/>
    <x v="296"/>
    <x v="1"/>
    <x v="46"/>
    <x v="46"/>
    <x v="0"/>
    <x v="894"/>
    <n v="13.85"/>
    <n v="558709"/>
  </r>
  <r>
    <s v="ORD00896"/>
    <x v="519"/>
    <s v="C105"/>
    <x v="386"/>
    <x v="0"/>
    <x v="25"/>
    <x v="25"/>
    <x v="4"/>
    <x v="895"/>
    <n v="24.61"/>
    <n v="1885962.74"/>
  </r>
  <r>
    <s v="ORD00897"/>
    <x v="382"/>
    <s v="C056"/>
    <x v="273"/>
    <x v="0"/>
    <x v="36"/>
    <x v="36"/>
    <x v="4"/>
    <x v="896"/>
    <n v="21.63"/>
    <n v="583599.03"/>
  </r>
  <r>
    <s v="ORD00898"/>
    <x v="73"/>
    <s v="C363"/>
    <x v="72"/>
    <x v="4"/>
    <x v="24"/>
    <x v="24"/>
    <x v="3"/>
    <x v="897"/>
    <n v="9.59"/>
    <n v="896732.13"/>
  </r>
  <r>
    <s v="ORD00899"/>
    <x v="108"/>
    <s v="C359"/>
    <x v="31"/>
    <x v="0"/>
    <x v="48"/>
    <x v="48"/>
    <x v="2"/>
    <x v="898"/>
    <n v="23.86"/>
    <n v="2233391.44"/>
  </r>
  <r>
    <s v="ORD00900"/>
    <x v="141"/>
    <s v="C472"/>
    <x v="3"/>
    <x v="3"/>
    <x v="38"/>
    <x v="38"/>
    <x v="2"/>
    <x v="899"/>
    <n v="27.13"/>
    <n v="1375002.66"/>
  </r>
  <r>
    <s v="ORD00901"/>
    <x v="463"/>
    <s v="C068"/>
    <x v="112"/>
    <x v="2"/>
    <x v="5"/>
    <x v="5"/>
    <x v="3"/>
    <x v="900"/>
    <n v="41.05"/>
    <n v="633565.69999999995"/>
  </r>
  <r>
    <s v="ORD00902"/>
    <x v="436"/>
    <s v="C322"/>
    <x v="238"/>
    <x v="2"/>
    <x v="33"/>
    <x v="33"/>
    <x v="1"/>
    <x v="901"/>
    <n v="30.26"/>
    <n v="2164225.46"/>
  </r>
  <r>
    <s v="ORD00903"/>
    <x v="288"/>
    <s v="C387"/>
    <x v="52"/>
    <x v="2"/>
    <x v="48"/>
    <x v="48"/>
    <x v="2"/>
    <x v="902"/>
    <n v="13.03"/>
    <n v="940700.85"/>
  </r>
  <r>
    <s v="ORD00904"/>
    <x v="433"/>
    <s v="C422"/>
    <x v="415"/>
    <x v="4"/>
    <x v="18"/>
    <x v="18"/>
    <x v="0"/>
    <x v="903"/>
    <n v="22.74"/>
    <n v="838014.48"/>
  </r>
  <r>
    <s v="ORD00905"/>
    <x v="51"/>
    <s v="C405"/>
    <x v="230"/>
    <x v="4"/>
    <x v="38"/>
    <x v="38"/>
    <x v="2"/>
    <x v="904"/>
    <n v="30.66"/>
    <n v="2434649.2799999998"/>
  </r>
  <r>
    <s v="ORD00906"/>
    <x v="81"/>
    <s v="C138"/>
    <x v="251"/>
    <x v="2"/>
    <x v="33"/>
    <x v="33"/>
    <x v="1"/>
    <x v="905"/>
    <n v="3.17"/>
    <n v="135320.95999999999"/>
  </r>
  <r>
    <s v="ORD00907"/>
    <x v="214"/>
    <s v="C357"/>
    <x v="357"/>
    <x v="4"/>
    <x v="5"/>
    <x v="5"/>
    <x v="3"/>
    <x v="906"/>
    <n v="19.77"/>
    <n v="741790.17"/>
  </r>
  <r>
    <s v="ORD00908"/>
    <x v="520"/>
    <s v="C356"/>
    <x v="416"/>
    <x v="1"/>
    <x v="34"/>
    <x v="34"/>
    <x v="2"/>
    <x v="907"/>
    <n v="12.01"/>
    <n v="766718.4"/>
  </r>
  <r>
    <s v="ORD00909"/>
    <x v="521"/>
    <s v="C272"/>
    <x v="98"/>
    <x v="0"/>
    <x v="35"/>
    <x v="35"/>
    <x v="1"/>
    <x v="908"/>
    <n v="25.83"/>
    <n v="2512819.89"/>
  </r>
  <r>
    <s v="ORD00910"/>
    <x v="469"/>
    <s v="C364"/>
    <x v="398"/>
    <x v="3"/>
    <x v="27"/>
    <x v="27"/>
    <x v="4"/>
    <x v="909"/>
    <n v="39.28"/>
    <n v="1160724"/>
  </r>
  <r>
    <s v="ORD00911"/>
    <x v="282"/>
    <s v="C382"/>
    <x v="136"/>
    <x v="3"/>
    <x v="23"/>
    <x v="23"/>
    <x v="0"/>
    <x v="910"/>
    <n v="15.87"/>
    <n v="1180505.82"/>
  </r>
  <r>
    <s v="ORD00912"/>
    <x v="223"/>
    <s v="C256"/>
    <x v="397"/>
    <x v="1"/>
    <x v="3"/>
    <x v="3"/>
    <x v="2"/>
    <x v="911"/>
    <n v="36.24"/>
    <n v="3617440.56"/>
  </r>
  <r>
    <s v="ORD00913"/>
    <x v="509"/>
    <s v="C417"/>
    <x v="417"/>
    <x v="2"/>
    <x v="37"/>
    <x v="37"/>
    <x v="1"/>
    <x v="912"/>
    <n v="48.44"/>
    <n v="4595212.16"/>
  </r>
  <r>
    <s v="ORD00914"/>
    <x v="204"/>
    <s v="C226"/>
    <x v="51"/>
    <x v="0"/>
    <x v="31"/>
    <x v="31"/>
    <x v="0"/>
    <x v="913"/>
    <n v="39.090000000000003"/>
    <n v="2344735.4700000002"/>
  </r>
  <r>
    <s v="ORD00915"/>
    <x v="6"/>
    <s v="C301"/>
    <x v="418"/>
    <x v="3"/>
    <x v="28"/>
    <x v="28"/>
    <x v="3"/>
    <x v="914"/>
    <n v="30.64"/>
    <n v="1531877.44"/>
  </r>
  <r>
    <s v="ORD00916"/>
    <x v="424"/>
    <s v="C044"/>
    <x v="202"/>
    <x v="2"/>
    <x v="17"/>
    <x v="17"/>
    <x v="1"/>
    <x v="915"/>
    <n v="7.72"/>
    <n v="320889.52"/>
  </r>
  <r>
    <s v="ORD00917"/>
    <x v="522"/>
    <s v="C465"/>
    <x v="140"/>
    <x v="2"/>
    <x v="44"/>
    <x v="44"/>
    <x v="2"/>
    <x v="916"/>
    <n v="5.35"/>
    <n v="71807.7"/>
  </r>
  <r>
    <s v="ORD00918"/>
    <x v="421"/>
    <s v="C472"/>
    <x v="3"/>
    <x v="3"/>
    <x v="19"/>
    <x v="19"/>
    <x v="3"/>
    <x v="917"/>
    <n v="21.96"/>
    <n v="1470617.28"/>
  </r>
  <r>
    <s v="ORD00919"/>
    <x v="523"/>
    <s v="C466"/>
    <x v="23"/>
    <x v="2"/>
    <x v="2"/>
    <x v="2"/>
    <x v="1"/>
    <x v="918"/>
    <n v="44.2"/>
    <n v="4167176"/>
  </r>
  <r>
    <s v="ORD00920"/>
    <x v="522"/>
    <s v="C288"/>
    <x v="177"/>
    <x v="3"/>
    <x v="12"/>
    <x v="12"/>
    <x v="4"/>
    <x v="919"/>
    <n v="30.6"/>
    <n v="1570851"/>
  </r>
  <r>
    <s v="ORD00921"/>
    <x v="433"/>
    <s v="C489"/>
    <x v="184"/>
    <x v="4"/>
    <x v="7"/>
    <x v="7"/>
    <x v="3"/>
    <x v="920"/>
    <n v="38.74"/>
    <n v="3806321.22"/>
  </r>
  <r>
    <s v="ORD00922"/>
    <x v="155"/>
    <s v="C471"/>
    <x v="160"/>
    <x v="2"/>
    <x v="26"/>
    <x v="26"/>
    <x v="0"/>
    <x v="921"/>
    <n v="17.32"/>
    <n v="202678.64"/>
  </r>
  <r>
    <s v="ORD00923"/>
    <x v="506"/>
    <s v="C199"/>
    <x v="419"/>
    <x v="3"/>
    <x v="6"/>
    <x v="6"/>
    <x v="0"/>
    <x v="922"/>
    <n v="16"/>
    <n v="259600"/>
  </r>
  <r>
    <s v="ORD00924"/>
    <x v="136"/>
    <s v="C098"/>
    <x v="364"/>
    <x v="2"/>
    <x v="30"/>
    <x v="30"/>
    <x v="4"/>
    <x v="923"/>
    <n v="30.73"/>
    <n v="2158475.2000000002"/>
  </r>
  <r>
    <s v="ORD00925"/>
    <x v="20"/>
    <s v="C060"/>
    <x v="420"/>
    <x v="2"/>
    <x v="33"/>
    <x v="33"/>
    <x v="1"/>
    <x v="924"/>
    <n v="20"/>
    <n v="1421520"/>
  </r>
  <r>
    <s v="ORD00926"/>
    <x v="289"/>
    <s v="C008"/>
    <x v="96"/>
    <x v="1"/>
    <x v="19"/>
    <x v="19"/>
    <x v="3"/>
    <x v="925"/>
    <n v="43.81"/>
    <n v="1835595.19"/>
  </r>
  <r>
    <s v="ORD00927"/>
    <x v="221"/>
    <s v="C093"/>
    <x v="292"/>
    <x v="1"/>
    <x v="49"/>
    <x v="49"/>
    <x v="3"/>
    <x v="926"/>
    <n v="7.7"/>
    <n v="303795.8"/>
  </r>
  <r>
    <s v="ORD00928"/>
    <x v="524"/>
    <s v="C014"/>
    <x v="134"/>
    <x v="2"/>
    <x v="33"/>
    <x v="33"/>
    <x v="1"/>
    <x v="927"/>
    <n v="45.16"/>
    <n v="4025110.8"/>
  </r>
  <r>
    <s v="ORD00929"/>
    <x v="525"/>
    <s v="C285"/>
    <x v="421"/>
    <x v="0"/>
    <x v="26"/>
    <x v="26"/>
    <x v="0"/>
    <x v="928"/>
    <n v="46.75"/>
    <n v="2216978.5"/>
  </r>
  <r>
    <s v="ORD00930"/>
    <x v="503"/>
    <s v="C351"/>
    <x v="422"/>
    <x v="2"/>
    <x v="39"/>
    <x v="39"/>
    <x v="3"/>
    <x v="929"/>
    <n v="30.04"/>
    <n v="2229208.3199999998"/>
  </r>
  <r>
    <s v="ORD00931"/>
    <x v="526"/>
    <s v="C388"/>
    <x v="191"/>
    <x v="2"/>
    <x v="17"/>
    <x v="17"/>
    <x v="1"/>
    <x v="930"/>
    <n v="42.21"/>
    <n v="4188033.99"/>
  </r>
  <r>
    <s v="ORD00932"/>
    <x v="480"/>
    <s v="C492"/>
    <x v="299"/>
    <x v="3"/>
    <x v="20"/>
    <x v="20"/>
    <x v="1"/>
    <x v="931"/>
    <n v="5.24"/>
    <n v="177767"/>
  </r>
  <r>
    <s v="ORD00933"/>
    <x v="527"/>
    <s v="C415"/>
    <x v="152"/>
    <x v="0"/>
    <x v="2"/>
    <x v="2"/>
    <x v="1"/>
    <x v="932"/>
    <n v="5.91"/>
    <n v="40353.480000000003"/>
  </r>
  <r>
    <s v="ORD00934"/>
    <x v="363"/>
    <s v="C442"/>
    <x v="205"/>
    <x v="3"/>
    <x v="13"/>
    <x v="13"/>
    <x v="2"/>
    <x v="933"/>
    <n v="7.21"/>
    <n v="284903.15000000002"/>
  </r>
  <r>
    <s v="ORD00935"/>
    <x v="106"/>
    <s v="C268"/>
    <x v="313"/>
    <x v="0"/>
    <x v="29"/>
    <x v="29"/>
    <x v="0"/>
    <x v="934"/>
    <n v="28.89"/>
    <n v="1853351.28"/>
  </r>
  <r>
    <s v="ORD00936"/>
    <x v="528"/>
    <s v="C228"/>
    <x v="69"/>
    <x v="2"/>
    <x v="14"/>
    <x v="14"/>
    <x v="2"/>
    <x v="935"/>
    <n v="7.85"/>
    <n v="561628.25"/>
  </r>
  <r>
    <s v="ORD00937"/>
    <x v="81"/>
    <s v="C171"/>
    <x v="423"/>
    <x v="0"/>
    <x v="43"/>
    <x v="43"/>
    <x v="4"/>
    <x v="936"/>
    <n v="23.54"/>
    <n v="234481.94"/>
  </r>
  <r>
    <s v="ORD00938"/>
    <x v="336"/>
    <s v="C334"/>
    <x v="135"/>
    <x v="3"/>
    <x v="35"/>
    <x v="35"/>
    <x v="1"/>
    <x v="937"/>
    <n v="12.62"/>
    <n v="475067.28"/>
  </r>
  <r>
    <s v="ORD00939"/>
    <x v="82"/>
    <s v="C251"/>
    <x v="142"/>
    <x v="0"/>
    <x v="34"/>
    <x v="34"/>
    <x v="2"/>
    <x v="938"/>
    <n v="29.04"/>
    <n v="1342809.6"/>
  </r>
  <r>
    <s v="ORD00940"/>
    <x v="165"/>
    <s v="C457"/>
    <x v="196"/>
    <x v="3"/>
    <x v="46"/>
    <x v="46"/>
    <x v="0"/>
    <x v="939"/>
    <n v="34.97"/>
    <n v="2562216.9300000002"/>
  </r>
  <r>
    <s v="ORD00941"/>
    <x v="359"/>
    <s v="C126"/>
    <x v="424"/>
    <x v="4"/>
    <x v="13"/>
    <x v="13"/>
    <x v="2"/>
    <x v="940"/>
    <n v="9.59"/>
    <n v="272288.87"/>
  </r>
  <r>
    <s v="ORD00942"/>
    <x v="529"/>
    <s v="C364"/>
    <x v="398"/>
    <x v="3"/>
    <x v="26"/>
    <x v="26"/>
    <x v="0"/>
    <x v="941"/>
    <n v="6.22"/>
    <n v="135309.88"/>
  </r>
  <r>
    <s v="ORD00943"/>
    <x v="445"/>
    <s v="C193"/>
    <x v="127"/>
    <x v="4"/>
    <x v="20"/>
    <x v="20"/>
    <x v="1"/>
    <x v="942"/>
    <n v="33.28"/>
    <n v="1668392.96"/>
  </r>
  <r>
    <s v="ORD00944"/>
    <x v="376"/>
    <s v="C371"/>
    <x v="355"/>
    <x v="2"/>
    <x v="7"/>
    <x v="7"/>
    <x v="3"/>
    <x v="943"/>
    <n v="23.27"/>
    <n v="493859.21"/>
  </r>
  <r>
    <s v="ORD00945"/>
    <x v="11"/>
    <s v="C284"/>
    <x v="287"/>
    <x v="4"/>
    <x v="2"/>
    <x v="2"/>
    <x v="1"/>
    <x v="944"/>
    <n v="45.71"/>
    <n v="2939290.13"/>
  </r>
  <r>
    <s v="ORD00946"/>
    <x v="298"/>
    <s v="C471"/>
    <x v="160"/>
    <x v="2"/>
    <x v="46"/>
    <x v="46"/>
    <x v="0"/>
    <x v="945"/>
    <n v="49.45"/>
    <n v="4295869.8499999996"/>
  </r>
  <r>
    <s v="ORD00947"/>
    <x v="245"/>
    <s v="C028"/>
    <x v="151"/>
    <x v="2"/>
    <x v="9"/>
    <x v="9"/>
    <x v="4"/>
    <x v="946"/>
    <n v="41.7"/>
    <n v="365583.9"/>
  </r>
  <r>
    <s v="ORD00948"/>
    <x v="408"/>
    <s v="C425"/>
    <x v="144"/>
    <x v="1"/>
    <x v="34"/>
    <x v="34"/>
    <x v="2"/>
    <x v="947"/>
    <n v="41.92"/>
    <n v="199371.51999999999"/>
  </r>
  <r>
    <s v="ORD00949"/>
    <x v="453"/>
    <s v="C235"/>
    <x v="199"/>
    <x v="0"/>
    <x v="47"/>
    <x v="47"/>
    <x v="2"/>
    <x v="948"/>
    <n v="17.34"/>
    <n v="788276.4"/>
  </r>
  <r>
    <s v="ORD00950"/>
    <x v="530"/>
    <s v="C455"/>
    <x v="366"/>
    <x v="4"/>
    <x v="9"/>
    <x v="9"/>
    <x v="4"/>
    <x v="949"/>
    <n v="14.75"/>
    <n v="29927.75"/>
  </r>
  <r>
    <s v="ORD00951"/>
    <x v="331"/>
    <s v="C003"/>
    <x v="133"/>
    <x v="1"/>
    <x v="14"/>
    <x v="14"/>
    <x v="2"/>
    <x v="950"/>
    <n v="35.619999999999997"/>
    <n v="2155758.02"/>
  </r>
  <r>
    <s v="ORD00952"/>
    <x v="42"/>
    <s v="C005"/>
    <x v="373"/>
    <x v="3"/>
    <x v="9"/>
    <x v="9"/>
    <x v="4"/>
    <x v="951"/>
    <n v="45.86"/>
    <n v="4379813.4400000004"/>
  </r>
  <r>
    <s v="ORD00953"/>
    <x v="343"/>
    <s v="C185"/>
    <x v="241"/>
    <x v="2"/>
    <x v="9"/>
    <x v="9"/>
    <x v="4"/>
    <x v="952"/>
    <n v="35.630000000000003"/>
    <n v="3320003.4"/>
  </r>
  <r>
    <s v="ORD00954"/>
    <x v="141"/>
    <s v="C318"/>
    <x v="235"/>
    <x v="2"/>
    <x v="34"/>
    <x v="34"/>
    <x v="2"/>
    <x v="953"/>
    <n v="19.43"/>
    <n v="1758298.42"/>
  </r>
  <r>
    <s v="ORD00955"/>
    <x v="292"/>
    <s v="C108"/>
    <x v="310"/>
    <x v="4"/>
    <x v="9"/>
    <x v="9"/>
    <x v="4"/>
    <x v="954"/>
    <n v="47.11"/>
    <n v="497246.05"/>
  </r>
  <r>
    <s v="ORD00956"/>
    <x v="476"/>
    <s v="C145"/>
    <x v="94"/>
    <x v="4"/>
    <x v="24"/>
    <x v="24"/>
    <x v="3"/>
    <x v="955"/>
    <n v="18.329999999999998"/>
    <n v="381483.96"/>
  </r>
  <r>
    <s v="ORD00957"/>
    <x v="531"/>
    <s v="C333"/>
    <x v="189"/>
    <x v="0"/>
    <x v="11"/>
    <x v="11"/>
    <x v="4"/>
    <x v="956"/>
    <n v="46.52"/>
    <n v="3479835.56"/>
  </r>
  <r>
    <s v="ORD00958"/>
    <x v="112"/>
    <s v="C458"/>
    <x v="103"/>
    <x v="1"/>
    <x v="49"/>
    <x v="49"/>
    <x v="3"/>
    <x v="957"/>
    <n v="36.04"/>
    <n v="2304794.04"/>
  </r>
  <r>
    <s v="ORD00959"/>
    <x v="46"/>
    <s v="C296"/>
    <x v="321"/>
    <x v="3"/>
    <x v="27"/>
    <x v="27"/>
    <x v="4"/>
    <x v="958"/>
    <n v="2.63"/>
    <n v="236423.85"/>
  </r>
  <r>
    <s v="ORD00960"/>
    <x v="532"/>
    <s v="C391"/>
    <x v="425"/>
    <x v="0"/>
    <x v="49"/>
    <x v="49"/>
    <x v="3"/>
    <x v="959"/>
    <n v="10.75"/>
    <n v="376110.25"/>
  </r>
  <r>
    <s v="ORD00961"/>
    <x v="32"/>
    <s v="C380"/>
    <x v="193"/>
    <x v="3"/>
    <x v="4"/>
    <x v="4"/>
    <x v="1"/>
    <x v="960"/>
    <n v="18.75"/>
    <n v="1425993.75"/>
  </r>
  <r>
    <s v="ORD00962"/>
    <x v="487"/>
    <s v="C415"/>
    <x v="152"/>
    <x v="0"/>
    <x v="41"/>
    <x v="41"/>
    <x v="4"/>
    <x v="961"/>
    <n v="20.47"/>
    <n v="690739.68"/>
  </r>
  <r>
    <s v="ORD00963"/>
    <x v="499"/>
    <s v="C312"/>
    <x v="231"/>
    <x v="1"/>
    <x v="43"/>
    <x v="43"/>
    <x v="4"/>
    <x v="962"/>
    <n v="34.950000000000003"/>
    <n v="1260646.5"/>
  </r>
  <r>
    <s v="ORD00964"/>
    <x v="343"/>
    <s v="C216"/>
    <x v="47"/>
    <x v="1"/>
    <x v="49"/>
    <x v="49"/>
    <x v="3"/>
    <x v="963"/>
    <n v="24.99"/>
    <n v="1767242.82"/>
  </r>
  <r>
    <s v="ORD00965"/>
    <x v="109"/>
    <s v="C458"/>
    <x v="103"/>
    <x v="1"/>
    <x v="13"/>
    <x v="13"/>
    <x v="2"/>
    <x v="964"/>
    <n v="47.2"/>
    <n v="1460792.8"/>
  </r>
  <r>
    <s v="ORD00966"/>
    <x v="533"/>
    <s v="C390"/>
    <x v="233"/>
    <x v="2"/>
    <x v="13"/>
    <x v="13"/>
    <x v="2"/>
    <x v="965"/>
    <n v="31.2"/>
    <n v="1620278.4"/>
  </r>
  <r>
    <s v="ORD00967"/>
    <x v="377"/>
    <s v="C278"/>
    <x v="227"/>
    <x v="1"/>
    <x v="15"/>
    <x v="15"/>
    <x v="2"/>
    <x v="966"/>
    <n v="2.2000000000000002"/>
    <n v="188962.4"/>
  </r>
  <r>
    <s v="ORD00968"/>
    <x v="268"/>
    <s v="C107"/>
    <x v="324"/>
    <x v="1"/>
    <x v="8"/>
    <x v="8"/>
    <x v="3"/>
    <x v="967"/>
    <n v="19.14"/>
    <n v="1716398.64"/>
  </r>
  <r>
    <s v="ORD00969"/>
    <x v="534"/>
    <s v="C168"/>
    <x v="285"/>
    <x v="1"/>
    <x v="40"/>
    <x v="40"/>
    <x v="0"/>
    <x v="968"/>
    <n v="21.75"/>
    <n v="1034234.25"/>
  </r>
  <r>
    <s v="ORD00970"/>
    <x v="535"/>
    <s v="C264"/>
    <x v="65"/>
    <x v="0"/>
    <x v="45"/>
    <x v="45"/>
    <x v="3"/>
    <x v="969"/>
    <n v="36.770000000000003"/>
    <n v="851078.42"/>
  </r>
  <r>
    <s v="ORD00971"/>
    <x v="536"/>
    <s v="C355"/>
    <x v="81"/>
    <x v="2"/>
    <x v="10"/>
    <x v="10"/>
    <x v="3"/>
    <x v="970"/>
    <n v="30.88"/>
    <n v="2781979.2"/>
  </r>
  <r>
    <s v="ORD00972"/>
    <x v="368"/>
    <s v="C163"/>
    <x v="275"/>
    <x v="3"/>
    <x v="33"/>
    <x v="33"/>
    <x v="1"/>
    <x v="971"/>
    <n v="44.02"/>
    <n v="1912492.92"/>
  </r>
  <r>
    <s v="ORD00973"/>
    <x v="537"/>
    <s v="C094"/>
    <x v="55"/>
    <x v="1"/>
    <x v="35"/>
    <x v="35"/>
    <x v="1"/>
    <x v="972"/>
    <n v="17.100000000000001"/>
    <n v="845424"/>
  </r>
  <r>
    <s v="ORD00974"/>
    <x v="269"/>
    <s v="C072"/>
    <x v="265"/>
    <x v="3"/>
    <x v="29"/>
    <x v="29"/>
    <x v="0"/>
    <x v="973"/>
    <n v="47.06"/>
    <n v="198546.14"/>
  </r>
  <r>
    <s v="ORD00975"/>
    <x v="538"/>
    <s v="C118"/>
    <x v="74"/>
    <x v="1"/>
    <x v="46"/>
    <x v="46"/>
    <x v="0"/>
    <x v="974"/>
    <n v="47.78"/>
    <n v="3922069.08"/>
  </r>
  <r>
    <s v="ORD00976"/>
    <x v="255"/>
    <s v="C074"/>
    <x v="329"/>
    <x v="2"/>
    <x v="43"/>
    <x v="43"/>
    <x v="4"/>
    <x v="975"/>
    <n v="10.79"/>
    <n v="1021359.82"/>
  </r>
  <r>
    <s v="ORD00977"/>
    <x v="539"/>
    <s v="C077"/>
    <x v="426"/>
    <x v="0"/>
    <x v="12"/>
    <x v="12"/>
    <x v="4"/>
    <x v="976"/>
    <n v="49.29"/>
    <n v="4000129.95"/>
  </r>
  <r>
    <s v="ORD00978"/>
    <x v="23"/>
    <s v="C021"/>
    <x v="333"/>
    <x v="2"/>
    <x v="42"/>
    <x v="42"/>
    <x v="1"/>
    <x v="977"/>
    <n v="41.67"/>
    <n v="1820895.66"/>
  </r>
  <r>
    <s v="ORD00979"/>
    <x v="540"/>
    <s v="C396"/>
    <x v="427"/>
    <x v="3"/>
    <x v="22"/>
    <x v="22"/>
    <x v="0"/>
    <x v="978"/>
    <n v="16.09"/>
    <n v="47755.12"/>
  </r>
  <r>
    <s v="ORD00980"/>
    <x v="541"/>
    <s v="C042"/>
    <x v="175"/>
    <x v="0"/>
    <x v="35"/>
    <x v="35"/>
    <x v="1"/>
    <x v="979"/>
    <n v="25.62"/>
    <n v="965771.52"/>
  </r>
  <r>
    <s v="ORD00981"/>
    <x v="274"/>
    <s v="C470"/>
    <x v="190"/>
    <x v="4"/>
    <x v="46"/>
    <x v="46"/>
    <x v="0"/>
    <x v="980"/>
    <n v="36.81"/>
    <n v="1668707.73"/>
  </r>
  <r>
    <s v="ORD00982"/>
    <x v="464"/>
    <s v="C499"/>
    <x v="100"/>
    <x v="0"/>
    <x v="36"/>
    <x v="36"/>
    <x v="4"/>
    <x v="981"/>
    <n v="49.58"/>
    <n v="1280453.08"/>
  </r>
  <r>
    <s v="ORD00983"/>
    <x v="53"/>
    <s v="C336"/>
    <x v="239"/>
    <x v="2"/>
    <x v="43"/>
    <x v="43"/>
    <x v="4"/>
    <x v="982"/>
    <n v="4.75"/>
    <n v="291384"/>
  </r>
  <r>
    <s v="ORD00984"/>
    <x v="542"/>
    <s v="C059"/>
    <x v="256"/>
    <x v="4"/>
    <x v="42"/>
    <x v="42"/>
    <x v="1"/>
    <x v="983"/>
    <n v="32.06"/>
    <n v="2700509.98"/>
  </r>
  <r>
    <s v="ORD00985"/>
    <x v="72"/>
    <s v="C033"/>
    <x v="150"/>
    <x v="4"/>
    <x v="4"/>
    <x v="4"/>
    <x v="1"/>
    <x v="984"/>
    <n v="22.68"/>
    <n v="800717.4"/>
  </r>
  <r>
    <s v="ORD00986"/>
    <x v="543"/>
    <s v="C427"/>
    <x v="293"/>
    <x v="0"/>
    <x v="44"/>
    <x v="44"/>
    <x v="2"/>
    <x v="985"/>
    <n v="5.38"/>
    <n v="289847.5"/>
  </r>
  <r>
    <s v="ORD00987"/>
    <x v="308"/>
    <s v="C056"/>
    <x v="273"/>
    <x v="0"/>
    <x v="5"/>
    <x v="5"/>
    <x v="3"/>
    <x v="986"/>
    <n v="33.049999999999997"/>
    <n v="1770356.3"/>
  </r>
  <r>
    <s v="ORD00988"/>
    <x v="423"/>
    <s v="C136"/>
    <x v="428"/>
    <x v="1"/>
    <x v="2"/>
    <x v="2"/>
    <x v="1"/>
    <x v="987"/>
    <n v="48.08"/>
    <n v="3051685.68"/>
  </r>
  <r>
    <s v="ORD00989"/>
    <x v="544"/>
    <s v="C458"/>
    <x v="103"/>
    <x v="1"/>
    <x v="2"/>
    <x v="2"/>
    <x v="1"/>
    <x v="988"/>
    <n v="28.28"/>
    <n v="577675.56000000006"/>
  </r>
  <r>
    <s v="ORD00990"/>
    <x v="61"/>
    <s v="C165"/>
    <x v="219"/>
    <x v="1"/>
    <x v="6"/>
    <x v="6"/>
    <x v="0"/>
    <x v="989"/>
    <n v="9.1300000000000008"/>
    <n v="447032.19"/>
  </r>
  <r>
    <s v="ORD00991"/>
    <x v="451"/>
    <s v="C216"/>
    <x v="47"/>
    <x v="1"/>
    <x v="33"/>
    <x v="33"/>
    <x v="1"/>
    <x v="990"/>
    <n v="31.7"/>
    <n v="1399111.2"/>
  </r>
  <r>
    <s v="ORD00992"/>
    <x v="545"/>
    <s v="C218"/>
    <x v="263"/>
    <x v="4"/>
    <x v="45"/>
    <x v="45"/>
    <x v="3"/>
    <x v="991"/>
    <n v="29.36"/>
    <n v="1529479.84"/>
  </r>
  <r>
    <s v="ORD00993"/>
    <x v="472"/>
    <s v="C270"/>
    <x v="391"/>
    <x v="4"/>
    <x v="41"/>
    <x v="41"/>
    <x v="4"/>
    <x v="992"/>
    <n v="10.81"/>
    <n v="939961.93"/>
  </r>
  <r>
    <s v="ORD00994"/>
    <x v="236"/>
    <s v="C450"/>
    <x v="429"/>
    <x v="2"/>
    <x v="48"/>
    <x v="48"/>
    <x v="2"/>
    <x v="993"/>
    <n v="7.15"/>
    <n v="232896.95"/>
  </r>
  <r>
    <s v="ORD00995"/>
    <x v="492"/>
    <s v="C137"/>
    <x v="182"/>
    <x v="4"/>
    <x v="3"/>
    <x v="3"/>
    <x v="2"/>
    <x v="994"/>
    <n v="7.83"/>
    <n v="581667.21"/>
  </r>
  <r>
    <s v="ORD00996"/>
    <x v="92"/>
    <s v="C319"/>
    <x v="210"/>
    <x v="2"/>
    <x v="11"/>
    <x v="11"/>
    <x v="4"/>
    <x v="462"/>
    <n v="38.1"/>
    <n v="1012202.7"/>
  </r>
  <r>
    <s v="ORD00997"/>
    <x v="371"/>
    <s v="C050"/>
    <x v="351"/>
    <x v="4"/>
    <x v="0"/>
    <x v="0"/>
    <x v="0"/>
    <x v="995"/>
    <n v="20.04"/>
    <n v="550138.07999999996"/>
  </r>
  <r>
    <s v="ORD00998"/>
    <x v="80"/>
    <s v="C055"/>
    <x v="301"/>
    <x v="1"/>
    <x v="4"/>
    <x v="4"/>
    <x v="1"/>
    <x v="996"/>
    <n v="16.989999999999998"/>
    <n v="67671.17"/>
  </r>
  <r>
    <s v="ORD00999"/>
    <x v="57"/>
    <s v="C099"/>
    <x v="302"/>
    <x v="2"/>
    <x v="13"/>
    <x v="13"/>
    <x v="2"/>
    <x v="997"/>
    <n v="33.630000000000003"/>
    <n v="2741719.38"/>
  </r>
  <r>
    <s v="ORD01000"/>
    <x v="546"/>
    <s v="C392"/>
    <x v="383"/>
    <x v="3"/>
    <x v="20"/>
    <x v="20"/>
    <x v="1"/>
    <x v="998"/>
    <n v="30.61"/>
    <n v="360616.41"/>
  </r>
  <r>
    <s v="ORD01001"/>
    <x v="547"/>
    <s v="C384"/>
    <x v="187"/>
    <x v="4"/>
    <x v="3"/>
    <x v="3"/>
    <x v="2"/>
    <x v="999"/>
    <n v="9.08"/>
    <n v="125458.36"/>
  </r>
  <r>
    <s v="ORD01002"/>
    <x v="491"/>
    <s v="C055"/>
    <x v="301"/>
    <x v="1"/>
    <x v="47"/>
    <x v="47"/>
    <x v="2"/>
    <x v="1000"/>
    <n v="28.27"/>
    <n v="1511992.68"/>
  </r>
  <r>
    <s v="ORD01003"/>
    <x v="42"/>
    <s v="C210"/>
    <x v="247"/>
    <x v="4"/>
    <x v="41"/>
    <x v="41"/>
    <x v="4"/>
    <x v="1001"/>
    <n v="35.75"/>
    <n v="557914.5"/>
  </r>
  <r>
    <s v="ORD01004"/>
    <x v="170"/>
    <s v="C355"/>
    <x v="81"/>
    <x v="2"/>
    <x v="9"/>
    <x v="9"/>
    <x v="4"/>
    <x v="1002"/>
    <n v="10.71"/>
    <n v="527949.44999999995"/>
  </r>
  <r>
    <s v="ORD01005"/>
    <x v="212"/>
    <s v="C123"/>
    <x v="284"/>
    <x v="3"/>
    <x v="34"/>
    <x v="34"/>
    <x v="2"/>
    <x v="1003"/>
    <n v="45.63"/>
    <n v="2755778.22"/>
  </r>
  <r>
    <s v="ORD01006"/>
    <x v="548"/>
    <s v="C101"/>
    <x v="120"/>
    <x v="4"/>
    <x v="20"/>
    <x v="20"/>
    <x v="1"/>
    <x v="1004"/>
    <n v="28.24"/>
    <n v="615095.43999999994"/>
  </r>
  <r>
    <s v="ORD01007"/>
    <x v="549"/>
    <s v="C291"/>
    <x v="198"/>
    <x v="1"/>
    <x v="24"/>
    <x v="24"/>
    <x v="3"/>
    <x v="1005"/>
    <n v="34.700000000000003"/>
    <n v="1073756.8"/>
  </r>
  <r>
    <s v="ORD01008"/>
    <x v="550"/>
    <s v="C277"/>
    <x v="158"/>
    <x v="3"/>
    <x v="38"/>
    <x v="38"/>
    <x v="2"/>
    <x v="1006"/>
    <n v="40.21"/>
    <n v="1304412.3999999999"/>
  </r>
  <r>
    <s v="ORD01009"/>
    <x v="534"/>
    <s v="C147"/>
    <x v="308"/>
    <x v="4"/>
    <x v="38"/>
    <x v="38"/>
    <x v="2"/>
    <x v="1007"/>
    <n v="48.35"/>
    <n v="135815.15"/>
  </r>
  <r>
    <s v="ORD01010"/>
    <x v="82"/>
    <s v="C231"/>
    <x v="315"/>
    <x v="2"/>
    <x v="48"/>
    <x v="48"/>
    <x v="2"/>
    <x v="1008"/>
    <n v="48.49"/>
    <n v="3002452.31"/>
  </r>
  <r>
    <s v="ORD01011"/>
    <x v="551"/>
    <s v="C332"/>
    <x v="242"/>
    <x v="2"/>
    <x v="12"/>
    <x v="12"/>
    <x v="4"/>
    <x v="1009"/>
    <n v="16.73"/>
    <n v="1643605.39"/>
  </r>
  <r>
    <s v="ORD01012"/>
    <x v="81"/>
    <s v="C050"/>
    <x v="351"/>
    <x v="4"/>
    <x v="34"/>
    <x v="34"/>
    <x v="2"/>
    <x v="1010"/>
    <n v="26.27"/>
    <n v="37986.42"/>
  </r>
  <r>
    <s v="ORD01013"/>
    <x v="128"/>
    <s v="C331"/>
    <x v="167"/>
    <x v="1"/>
    <x v="22"/>
    <x v="22"/>
    <x v="0"/>
    <x v="1011"/>
    <n v="36.450000000000003"/>
    <n v="321525.45"/>
  </r>
  <r>
    <s v="ORD01014"/>
    <x v="433"/>
    <s v="C149"/>
    <x v="430"/>
    <x v="2"/>
    <x v="42"/>
    <x v="42"/>
    <x v="1"/>
    <x v="1012"/>
    <n v="38.86"/>
    <n v="398781.32"/>
  </r>
  <r>
    <s v="ORD01015"/>
    <x v="5"/>
    <s v="C135"/>
    <x v="67"/>
    <x v="1"/>
    <x v="2"/>
    <x v="2"/>
    <x v="1"/>
    <x v="1013"/>
    <n v="46.24"/>
    <n v="3664889.92"/>
  </r>
  <r>
    <s v="ORD01016"/>
    <x v="552"/>
    <s v="C474"/>
    <x v="203"/>
    <x v="3"/>
    <x v="33"/>
    <x v="33"/>
    <x v="1"/>
    <x v="1014"/>
    <n v="37.340000000000003"/>
    <n v="1084727"/>
  </r>
  <r>
    <s v="ORD01017"/>
    <x v="343"/>
    <s v="C254"/>
    <x v="431"/>
    <x v="1"/>
    <x v="15"/>
    <x v="15"/>
    <x v="2"/>
    <x v="1015"/>
    <n v="23.94"/>
    <n v="1242653.58"/>
  </r>
  <r>
    <s v="ORD01018"/>
    <x v="49"/>
    <s v="C263"/>
    <x v="432"/>
    <x v="3"/>
    <x v="26"/>
    <x v="26"/>
    <x v="0"/>
    <x v="1016"/>
    <n v="20.78"/>
    <n v="2055183.56"/>
  </r>
  <r>
    <s v="ORD01019"/>
    <x v="41"/>
    <s v="C045"/>
    <x v="174"/>
    <x v="2"/>
    <x v="22"/>
    <x v="22"/>
    <x v="0"/>
    <x v="1017"/>
    <n v="39.06"/>
    <n v="1831757.76"/>
  </r>
  <r>
    <s v="ORD01020"/>
    <x v="330"/>
    <s v="C296"/>
    <x v="321"/>
    <x v="3"/>
    <x v="12"/>
    <x v="12"/>
    <x v="4"/>
    <x v="1018"/>
    <n v="34.01"/>
    <n v="3071409.09"/>
  </r>
  <r>
    <s v="ORD01021"/>
    <x v="553"/>
    <s v="C062"/>
    <x v="38"/>
    <x v="4"/>
    <x v="7"/>
    <x v="7"/>
    <x v="3"/>
    <x v="1019"/>
    <n v="6.76"/>
    <n v="577344.56000000006"/>
  </r>
  <r>
    <s v="ORD01022"/>
    <x v="280"/>
    <s v="C415"/>
    <x v="152"/>
    <x v="0"/>
    <x v="32"/>
    <x v="32"/>
    <x v="4"/>
    <x v="1020"/>
    <n v="31.11"/>
    <n v="397741.35"/>
  </r>
  <r>
    <s v="ORD01023"/>
    <x v="123"/>
    <s v="C317"/>
    <x v="211"/>
    <x v="1"/>
    <x v="35"/>
    <x v="35"/>
    <x v="1"/>
    <x v="1021"/>
    <n v="43.4"/>
    <n v="2114491.4"/>
  </r>
  <r>
    <s v="ORD01024"/>
    <x v="418"/>
    <s v="C461"/>
    <x v="164"/>
    <x v="0"/>
    <x v="19"/>
    <x v="19"/>
    <x v="3"/>
    <x v="1022"/>
    <n v="43.61"/>
    <n v="3166740.15"/>
  </r>
  <r>
    <s v="ORD01025"/>
    <x v="231"/>
    <s v="C247"/>
    <x v="433"/>
    <x v="4"/>
    <x v="12"/>
    <x v="12"/>
    <x v="4"/>
    <x v="1023"/>
    <n v="33.630000000000003"/>
    <n v="1113287.52"/>
  </r>
  <r>
    <s v="ORD01026"/>
    <x v="524"/>
    <s v="C410"/>
    <x v="326"/>
    <x v="4"/>
    <x v="40"/>
    <x v="40"/>
    <x v="0"/>
    <x v="1024"/>
    <n v="45.18"/>
    <n v="3925373.94"/>
  </r>
  <r>
    <s v="ORD01027"/>
    <x v="448"/>
    <s v="C304"/>
    <x v="381"/>
    <x v="3"/>
    <x v="22"/>
    <x v="22"/>
    <x v="0"/>
    <x v="1025"/>
    <n v="47.35"/>
    <n v="2787163.05"/>
  </r>
  <r>
    <s v="ORD01028"/>
    <x v="554"/>
    <s v="C094"/>
    <x v="55"/>
    <x v="1"/>
    <x v="38"/>
    <x v="38"/>
    <x v="2"/>
    <x v="1026"/>
    <n v="34.03"/>
    <n v="3343515.56"/>
  </r>
  <r>
    <s v="ORD01029"/>
    <x v="453"/>
    <s v="C404"/>
    <x v="378"/>
    <x v="3"/>
    <x v="27"/>
    <x v="27"/>
    <x v="4"/>
    <x v="1027"/>
    <n v="28.28"/>
    <n v="558756.24"/>
  </r>
  <r>
    <s v="ORD01030"/>
    <x v="336"/>
    <s v="C458"/>
    <x v="103"/>
    <x v="1"/>
    <x v="32"/>
    <x v="32"/>
    <x v="4"/>
    <x v="1028"/>
    <n v="16.170000000000002"/>
    <n v="862232.91"/>
  </r>
  <r>
    <s v="ORD01031"/>
    <x v="155"/>
    <s v="C335"/>
    <x v="402"/>
    <x v="4"/>
    <x v="49"/>
    <x v="49"/>
    <x v="3"/>
    <x v="1029"/>
    <n v="2.5"/>
    <n v="74612.5"/>
  </r>
  <r>
    <s v="ORD01032"/>
    <x v="27"/>
    <s v="C470"/>
    <x v="190"/>
    <x v="4"/>
    <x v="37"/>
    <x v="37"/>
    <x v="1"/>
    <x v="1030"/>
    <n v="45.8"/>
    <n v="4382556.2"/>
  </r>
  <r>
    <s v="ORD01033"/>
    <x v="235"/>
    <s v="C256"/>
    <x v="397"/>
    <x v="1"/>
    <x v="33"/>
    <x v="33"/>
    <x v="1"/>
    <x v="1031"/>
    <n v="19.21"/>
    <n v="1155174.1399999999"/>
  </r>
  <r>
    <s v="ORD01034"/>
    <x v="267"/>
    <s v="C161"/>
    <x v="169"/>
    <x v="1"/>
    <x v="3"/>
    <x v="3"/>
    <x v="2"/>
    <x v="1032"/>
    <n v="35.71"/>
    <n v="2187808.86"/>
  </r>
  <r>
    <s v="ORD01035"/>
    <x v="222"/>
    <s v="C343"/>
    <x v="229"/>
    <x v="1"/>
    <x v="19"/>
    <x v="19"/>
    <x v="3"/>
    <x v="1033"/>
    <n v="11.01"/>
    <n v="1064722.05"/>
  </r>
  <r>
    <s v="ORD01036"/>
    <x v="545"/>
    <s v="C098"/>
    <x v="364"/>
    <x v="2"/>
    <x v="25"/>
    <x v="25"/>
    <x v="4"/>
    <x v="1034"/>
    <n v="13.17"/>
    <n v="864821.22"/>
  </r>
  <r>
    <s v="ORD01037"/>
    <x v="555"/>
    <s v="C476"/>
    <x v="201"/>
    <x v="3"/>
    <x v="41"/>
    <x v="41"/>
    <x v="4"/>
    <x v="1035"/>
    <n v="19.71"/>
    <n v="1278666.54"/>
  </r>
  <r>
    <s v="ORD01038"/>
    <x v="286"/>
    <s v="C301"/>
    <x v="418"/>
    <x v="3"/>
    <x v="41"/>
    <x v="41"/>
    <x v="4"/>
    <x v="1036"/>
    <n v="3.82"/>
    <n v="363961.96"/>
  </r>
  <r>
    <s v="ORD01039"/>
    <x v="556"/>
    <s v="C014"/>
    <x v="134"/>
    <x v="2"/>
    <x v="15"/>
    <x v="15"/>
    <x v="2"/>
    <x v="1037"/>
    <n v="10.5"/>
    <n v="805612.5"/>
  </r>
  <r>
    <s v="ORD01040"/>
    <x v="557"/>
    <s v="C231"/>
    <x v="315"/>
    <x v="2"/>
    <x v="42"/>
    <x v="42"/>
    <x v="1"/>
    <x v="1038"/>
    <n v="18.86"/>
    <n v="150446.22"/>
  </r>
  <r>
    <s v="ORD01041"/>
    <x v="237"/>
    <s v="C103"/>
    <x v="226"/>
    <x v="4"/>
    <x v="19"/>
    <x v="19"/>
    <x v="3"/>
    <x v="1039"/>
    <n v="6.82"/>
    <n v="7140.54"/>
  </r>
  <r>
    <s v="ORD01042"/>
    <x v="39"/>
    <s v="C178"/>
    <x v="245"/>
    <x v="0"/>
    <x v="39"/>
    <x v="39"/>
    <x v="3"/>
    <x v="1040"/>
    <n v="13.84"/>
    <n v="1197852"/>
  </r>
  <r>
    <s v="ORD01043"/>
    <x v="536"/>
    <s v="C448"/>
    <x v="434"/>
    <x v="0"/>
    <x v="17"/>
    <x v="17"/>
    <x v="1"/>
    <x v="1041"/>
    <n v="30.72"/>
    <n v="114862.08"/>
  </r>
  <r>
    <s v="ORD01044"/>
    <x v="558"/>
    <s v="C251"/>
    <x v="142"/>
    <x v="0"/>
    <x v="32"/>
    <x v="32"/>
    <x v="4"/>
    <x v="1042"/>
    <n v="40.03"/>
    <n v="263877.76000000001"/>
  </r>
  <r>
    <s v="ORD01045"/>
    <x v="503"/>
    <s v="C057"/>
    <x v="161"/>
    <x v="4"/>
    <x v="32"/>
    <x v="32"/>
    <x v="4"/>
    <x v="1043"/>
    <n v="26.57"/>
    <n v="2645973.4500000002"/>
  </r>
  <r>
    <s v="ORD01046"/>
    <x v="488"/>
    <s v="C146"/>
    <x v="37"/>
    <x v="4"/>
    <x v="14"/>
    <x v="14"/>
    <x v="2"/>
    <x v="1044"/>
    <n v="29.64"/>
    <n v="1567007.52"/>
  </r>
  <r>
    <s v="ORD01047"/>
    <x v="166"/>
    <s v="C212"/>
    <x v="90"/>
    <x v="4"/>
    <x v="36"/>
    <x v="36"/>
    <x v="4"/>
    <x v="1045"/>
    <n v="45.26"/>
    <n v="3843298.16"/>
  </r>
  <r>
    <s v="ORD01048"/>
    <x v="502"/>
    <s v="C373"/>
    <x v="435"/>
    <x v="2"/>
    <x v="42"/>
    <x v="42"/>
    <x v="1"/>
    <x v="1046"/>
    <n v="46.1"/>
    <n v="3289096.7"/>
  </r>
  <r>
    <s v="ORD01049"/>
    <x v="559"/>
    <s v="C127"/>
    <x v="180"/>
    <x v="3"/>
    <x v="24"/>
    <x v="24"/>
    <x v="3"/>
    <x v="1047"/>
    <n v="3.01"/>
    <n v="198620.87"/>
  </r>
  <r>
    <s v="ORD01050"/>
    <x v="271"/>
    <s v="C198"/>
    <x v="0"/>
    <x v="0"/>
    <x v="8"/>
    <x v="8"/>
    <x v="3"/>
    <x v="1048"/>
    <n v="26"/>
    <n v="1623804"/>
  </r>
  <r>
    <s v="ORD01051"/>
    <x v="560"/>
    <s v="C070"/>
    <x v="249"/>
    <x v="4"/>
    <x v="11"/>
    <x v="11"/>
    <x v="4"/>
    <x v="1049"/>
    <n v="41.46"/>
    <n v="3431022.3"/>
  </r>
  <r>
    <s v="ORD01052"/>
    <x v="37"/>
    <s v="C236"/>
    <x v="25"/>
    <x v="2"/>
    <x v="4"/>
    <x v="4"/>
    <x v="1"/>
    <x v="1050"/>
    <n v="10.53"/>
    <n v="868946.13"/>
  </r>
  <r>
    <s v="ORD01053"/>
    <x v="39"/>
    <s v="C278"/>
    <x v="227"/>
    <x v="1"/>
    <x v="7"/>
    <x v="7"/>
    <x v="3"/>
    <x v="1051"/>
    <n v="41.83"/>
    <n v="3723664.77"/>
  </r>
  <r>
    <s v="ORD01054"/>
    <x v="72"/>
    <s v="C261"/>
    <x v="390"/>
    <x v="2"/>
    <x v="34"/>
    <x v="34"/>
    <x v="2"/>
    <x v="1052"/>
    <n v="9.91"/>
    <n v="98059.45"/>
  </r>
  <r>
    <s v="ORD01055"/>
    <x v="561"/>
    <s v="C342"/>
    <x v="258"/>
    <x v="4"/>
    <x v="32"/>
    <x v="32"/>
    <x v="4"/>
    <x v="1053"/>
    <n v="12.18"/>
    <n v="567015.54"/>
  </r>
  <r>
    <s v="ORD01056"/>
    <x v="192"/>
    <s v="C442"/>
    <x v="205"/>
    <x v="3"/>
    <x v="40"/>
    <x v="40"/>
    <x v="0"/>
    <x v="1054"/>
    <n v="41.4"/>
    <n v="3915322.2"/>
  </r>
  <r>
    <s v="ORD01057"/>
    <x v="562"/>
    <s v="C188"/>
    <x v="138"/>
    <x v="0"/>
    <x v="10"/>
    <x v="10"/>
    <x v="3"/>
    <x v="1055"/>
    <n v="25.45"/>
    <n v="2158490.85"/>
  </r>
  <r>
    <s v="ORD01058"/>
    <x v="240"/>
    <s v="C487"/>
    <x v="436"/>
    <x v="0"/>
    <x v="38"/>
    <x v="38"/>
    <x v="2"/>
    <x v="1056"/>
    <n v="39.35"/>
    <n v="522410.6"/>
  </r>
  <r>
    <s v="ORD01059"/>
    <x v="529"/>
    <s v="C331"/>
    <x v="167"/>
    <x v="1"/>
    <x v="16"/>
    <x v="16"/>
    <x v="1"/>
    <x v="1057"/>
    <n v="34.479999999999997"/>
    <n v="1648006.08"/>
  </r>
  <r>
    <s v="ORD01060"/>
    <x v="563"/>
    <s v="C280"/>
    <x v="244"/>
    <x v="1"/>
    <x v="12"/>
    <x v="12"/>
    <x v="4"/>
    <x v="1058"/>
    <n v="37.54"/>
    <n v="39529.620000000003"/>
  </r>
  <r>
    <s v="ORD01061"/>
    <x v="331"/>
    <s v="C112"/>
    <x v="77"/>
    <x v="1"/>
    <x v="5"/>
    <x v="5"/>
    <x v="3"/>
    <x v="1059"/>
    <n v="33.83"/>
    <n v="217188.6"/>
  </r>
  <r>
    <s v="ORD01062"/>
    <x v="190"/>
    <s v="C148"/>
    <x v="365"/>
    <x v="1"/>
    <x v="38"/>
    <x v="38"/>
    <x v="2"/>
    <x v="1060"/>
    <n v="41.79"/>
    <n v="2020003.23"/>
  </r>
  <r>
    <s v="ORD01063"/>
    <x v="200"/>
    <s v="C138"/>
    <x v="251"/>
    <x v="2"/>
    <x v="41"/>
    <x v="41"/>
    <x v="4"/>
    <x v="1061"/>
    <n v="45.75"/>
    <n v="3122986.5"/>
  </r>
  <r>
    <s v="ORD01064"/>
    <x v="41"/>
    <s v="C368"/>
    <x v="7"/>
    <x v="1"/>
    <x v="28"/>
    <x v="28"/>
    <x v="3"/>
    <x v="1062"/>
    <n v="21.47"/>
    <n v="1239076.6399999999"/>
  </r>
  <r>
    <s v="ORD01065"/>
    <x v="377"/>
    <s v="C197"/>
    <x v="437"/>
    <x v="1"/>
    <x v="37"/>
    <x v="37"/>
    <x v="1"/>
    <x v="1063"/>
    <n v="15.32"/>
    <n v="805464.32"/>
  </r>
  <r>
    <s v="ORD01066"/>
    <x v="124"/>
    <s v="C077"/>
    <x v="426"/>
    <x v="0"/>
    <x v="8"/>
    <x v="8"/>
    <x v="3"/>
    <x v="1064"/>
    <n v="43.19"/>
    <n v="945213.15"/>
  </r>
  <r>
    <s v="ORD01067"/>
    <x v="355"/>
    <s v="C287"/>
    <x v="228"/>
    <x v="4"/>
    <x v="15"/>
    <x v="15"/>
    <x v="2"/>
    <x v="1065"/>
    <n v="24.95"/>
    <n v="515467"/>
  </r>
  <r>
    <s v="ORD01068"/>
    <x v="383"/>
    <s v="C141"/>
    <x v="438"/>
    <x v="0"/>
    <x v="10"/>
    <x v="10"/>
    <x v="3"/>
    <x v="1066"/>
    <n v="48.26"/>
    <n v="665988"/>
  </r>
  <r>
    <s v="ORD01069"/>
    <x v="70"/>
    <s v="C218"/>
    <x v="263"/>
    <x v="4"/>
    <x v="41"/>
    <x v="41"/>
    <x v="4"/>
    <x v="1067"/>
    <n v="26.71"/>
    <n v="2495141.36"/>
  </r>
  <r>
    <s v="ORD01070"/>
    <x v="431"/>
    <s v="C380"/>
    <x v="193"/>
    <x v="3"/>
    <x v="34"/>
    <x v="34"/>
    <x v="2"/>
    <x v="1068"/>
    <n v="38.99"/>
    <n v="3512024.25"/>
  </r>
  <r>
    <s v="ORD01071"/>
    <x v="523"/>
    <s v="C351"/>
    <x v="422"/>
    <x v="2"/>
    <x v="26"/>
    <x v="26"/>
    <x v="0"/>
    <x v="1069"/>
    <n v="13.07"/>
    <n v="601154.65"/>
  </r>
  <r>
    <s v="ORD01072"/>
    <x v="564"/>
    <s v="C498"/>
    <x v="68"/>
    <x v="0"/>
    <x v="16"/>
    <x v="16"/>
    <x v="1"/>
    <x v="1070"/>
    <n v="15.7"/>
    <n v="520690.5"/>
  </r>
  <r>
    <s v="ORD01073"/>
    <x v="399"/>
    <s v="C276"/>
    <x v="360"/>
    <x v="1"/>
    <x v="3"/>
    <x v="3"/>
    <x v="2"/>
    <x v="1071"/>
    <n v="46.59"/>
    <n v="4626759.72"/>
  </r>
  <r>
    <s v="ORD01074"/>
    <x v="565"/>
    <s v="C092"/>
    <x v="405"/>
    <x v="0"/>
    <x v="37"/>
    <x v="37"/>
    <x v="1"/>
    <x v="1072"/>
    <n v="15.89"/>
    <n v="180907.65"/>
  </r>
  <r>
    <s v="ORD01075"/>
    <x v="566"/>
    <s v="C045"/>
    <x v="174"/>
    <x v="2"/>
    <x v="15"/>
    <x v="15"/>
    <x v="2"/>
    <x v="1073"/>
    <n v="33.64"/>
    <n v="2958705.28"/>
  </r>
  <r>
    <s v="ORD01076"/>
    <x v="92"/>
    <s v="C232"/>
    <x v="75"/>
    <x v="0"/>
    <x v="15"/>
    <x v="15"/>
    <x v="2"/>
    <x v="1074"/>
    <n v="30.43"/>
    <n v="2726771.44"/>
  </r>
  <r>
    <s v="ORD01077"/>
    <x v="111"/>
    <s v="C440"/>
    <x v="73"/>
    <x v="0"/>
    <x v="9"/>
    <x v="9"/>
    <x v="4"/>
    <x v="1075"/>
    <n v="28.61"/>
    <n v="2308025.92"/>
  </r>
  <r>
    <s v="ORD01078"/>
    <x v="509"/>
    <s v="C401"/>
    <x v="179"/>
    <x v="1"/>
    <x v="15"/>
    <x v="15"/>
    <x v="2"/>
    <x v="1076"/>
    <n v="36.090000000000003"/>
    <n v="3220815.96"/>
  </r>
  <r>
    <s v="ORD01079"/>
    <x v="463"/>
    <s v="C174"/>
    <x v="26"/>
    <x v="4"/>
    <x v="48"/>
    <x v="48"/>
    <x v="2"/>
    <x v="1077"/>
    <n v="45.32"/>
    <n v="1120718.28"/>
  </r>
  <r>
    <s v="ORD01080"/>
    <x v="521"/>
    <s v="C020"/>
    <x v="80"/>
    <x v="4"/>
    <x v="6"/>
    <x v="6"/>
    <x v="0"/>
    <x v="1078"/>
    <n v="39.94"/>
    <n v="3485124.46"/>
  </r>
  <r>
    <s v="ORD01081"/>
    <x v="82"/>
    <s v="C080"/>
    <x v="222"/>
    <x v="4"/>
    <x v="20"/>
    <x v="20"/>
    <x v="1"/>
    <x v="1079"/>
    <n v="26.22"/>
    <n v="2551835.2799999998"/>
  </r>
  <r>
    <s v="ORD01082"/>
    <x v="495"/>
    <s v="C208"/>
    <x v="53"/>
    <x v="1"/>
    <x v="10"/>
    <x v="10"/>
    <x v="3"/>
    <x v="1080"/>
    <n v="7.93"/>
    <n v="638928.03"/>
  </r>
  <r>
    <s v="ORD01083"/>
    <x v="567"/>
    <s v="C400"/>
    <x v="376"/>
    <x v="2"/>
    <x v="41"/>
    <x v="41"/>
    <x v="4"/>
    <x v="1081"/>
    <n v="38.979999999999997"/>
    <n v="542484.66"/>
  </r>
  <r>
    <s v="ORD01084"/>
    <x v="516"/>
    <s v="C092"/>
    <x v="405"/>
    <x v="0"/>
    <x v="27"/>
    <x v="27"/>
    <x v="4"/>
    <x v="1082"/>
    <n v="49.11"/>
    <n v="3800082.69"/>
  </r>
  <r>
    <s v="ORD01085"/>
    <x v="568"/>
    <s v="C345"/>
    <x v="15"/>
    <x v="2"/>
    <x v="13"/>
    <x v="13"/>
    <x v="2"/>
    <x v="1083"/>
    <n v="14.87"/>
    <n v="212031.33"/>
  </r>
  <r>
    <s v="ORD01086"/>
    <x v="569"/>
    <s v="C149"/>
    <x v="430"/>
    <x v="2"/>
    <x v="16"/>
    <x v="16"/>
    <x v="1"/>
    <x v="1084"/>
    <n v="24.47"/>
    <n v="2373076.13"/>
  </r>
  <r>
    <s v="ORD01087"/>
    <x v="410"/>
    <s v="C488"/>
    <x v="312"/>
    <x v="1"/>
    <x v="29"/>
    <x v="29"/>
    <x v="0"/>
    <x v="1085"/>
    <n v="17.88"/>
    <n v="1495769.28"/>
  </r>
  <r>
    <s v="ORD01088"/>
    <x v="570"/>
    <s v="C055"/>
    <x v="301"/>
    <x v="1"/>
    <x v="5"/>
    <x v="5"/>
    <x v="3"/>
    <x v="1086"/>
    <n v="12.83"/>
    <n v="1096195.2"/>
  </r>
  <r>
    <s v="ORD01089"/>
    <x v="156"/>
    <s v="C465"/>
    <x v="140"/>
    <x v="2"/>
    <x v="35"/>
    <x v="35"/>
    <x v="1"/>
    <x v="1087"/>
    <n v="49.84"/>
    <n v="4862290.72"/>
  </r>
  <r>
    <s v="ORD01090"/>
    <x v="472"/>
    <s v="C308"/>
    <x v="149"/>
    <x v="4"/>
    <x v="33"/>
    <x v="33"/>
    <x v="1"/>
    <x v="1088"/>
    <n v="49.8"/>
    <n v="4149236.4"/>
  </r>
  <r>
    <s v="ORD01091"/>
    <x v="19"/>
    <s v="C072"/>
    <x v="265"/>
    <x v="3"/>
    <x v="2"/>
    <x v="2"/>
    <x v="1"/>
    <x v="1089"/>
    <n v="3.21"/>
    <n v="176610.99"/>
  </r>
  <r>
    <s v="ORD01092"/>
    <x v="571"/>
    <s v="C264"/>
    <x v="65"/>
    <x v="0"/>
    <x v="27"/>
    <x v="27"/>
    <x v="4"/>
    <x v="1090"/>
    <n v="33.590000000000003"/>
    <n v="167681.28"/>
  </r>
  <r>
    <s v="ORD01093"/>
    <x v="439"/>
    <s v="C419"/>
    <x v="156"/>
    <x v="3"/>
    <x v="43"/>
    <x v="43"/>
    <x v="4"/>
    <x v="1091"/>
    <n v="25.55"/>
    <n v="1762975.55"/>
  </r>
  <r>
    <s v="ORD01094"/>
    <x v="429"/>
    <s v="C271"/>
    <x v="4"/>
    <x v="1"/>
    <x v="12"/>
    <x v="12"/>
    <x v="4"/>
    <x v="1092"/>
    <n v="13.54"/>
    <n v="256082.02"/>
  </r>
  <r>
    <s v="ORD01095"/>
    <x v="572"/>
    <s v="C101"/>
    <x v="120"/>
    <x v="4"/>
    <x v="23"/>
    <x v="23"/>
    <x v="0"/>
    <x v="1093"/>
    <n v="44.04"/>
    <n v="1410865.44"/>
  </r>
  <r>
    <s v="ORD01096"/>
    <x v="573"/>
    <s v="C056"/>
    <x v="273"/>
    <x v="0"/>
    <x v="5"/>
    <x v="5"/>
    <x v="3"/>
    <x v="1094"/>
    <n v="45.26"/>
    <n v="2410366.56"/>
  </r>
  <r>
    <s v="ORD01097"/>
    <x v="574"/>
    <s v="C478"/>
    <x v="269"/>
    <x v="0"/>
    <x v="5"/>
    <x v="5"/>
    <x v="3"/>
    <x v="1095"/>
    <n v="28.55"/>
    <n v="1899631.35"/>
  </r>
  <r>
    <s v="ORD01098"/>
    <x v="283"/>
    <s v="C211"/>
    <x v="24"/>
    <x v="1"/>
    <x v="48"/>
    <x v="48"/>
    <x v="2"/>
    <x v="1096"/>
    <n v="3.88"/>
    <n v="164139.51999999999"/>
  </r>
  <r>
    <s v="ORD01099"/>
    <x v="549"/>
    <s v="C027"/>
    <x v="289"/>
    <x v="1"/>
    <x v="2"/>
    <x v="2"/>
    <x v="1"/>
    <x v="1097"/>
    <n v="23.04"/>
    <n v="1018344.96"/>
  </r>
  <r>
    <s v="ORD01100"/>
    <x v="441"/>
    <s v="C477"/>
    <x v="87"/>
    <x v="4"/>
    <x v="45"/>
    <x v="45"/>
    <x v="3"/>
    <x v="1098"/>
    <n v="48.88"/>
    <n v="876125.12"/>
  </r>
  <r>
    <s v="ORD01101"/>
    <x v="226"/>
    <s v="C269"/>
    <x v="320"/>
    <x v="3"/>
    <x v="47"/>
    <x v="47"/>
    <x v="2"/>
    <x v="1099"/>
    <n v="20.91"/>
    <n v="488645.79"/>
  </r>
  <r>
    <s v="ORD01102"/>
    <x v="292"/>
    <s v="C079"/>
    <x v="439"/>
    <x v="4"/>
    <x v="46"/>
    <x v="46"/>
    <x v="0"/>
    <x v="1100"/>
    <n v="29.56"/>
    <n v="729984.2"/>
  </r>
  <r>
    <s v="ORD01103"/>
    <x v="265"/>
    <s v="C157"/>
    <x v="327"/>
    <x v="4"/>
    <x v="29"/>
    <x v="29"/>
    <x v="0"/>
    <x v="1101"/>
    <n v="45.06"/>
    <n v="1602558.9"/>
  </r>
  <r>
    <s v="ORD01104"/>
    <x v="207"/>
    <s v="C309"/>
    <x v="440"/>
    <x v="3"/>
    <x v="10"/>
    <x v="10"/>
    <x v="3"/>
    <x v="1102"/>
    <n v="14.67"/>
    <n v="505689.57"/>
  </r>
  <r>
    <s v="ORD01105"/>
    <x v="537"/>
    <s v="C027"/>
    <x v="289"/>
    <x v="1"/>
    <x v="4"/>
    <x v="4"/>
    <x v="1"/>
    <x v="1103"/>
    <n v="46.01"/>
    <n v="699305.99"/>
  </r>
  <r>
    <s v="ORD01106"/>
    <x v="112"/>
    <s v="C300"/>
    <x v="204"/>
    <x v="0"/>
    <x v="27"/>
    <x v="27"/>
    <x v="4"/>
    <x v="1104"/>
    <n v="39.15"/>
    <n v="2147494.9500000002"/>
  </r>
  <r>
    <s v="ORD01107"/>
    <x v="184"/>
    <s v="C117"/>
    <x v="441"/>
    <x v="2"/>
    <x v="46"/>
    <x v="46"/>
    <x v="0"/>
    <x v="1105"/>
    <n v="17.010000000000002"/>
    <n v="1312678.71"/>
  </r>
  <r>
    <s v="ORD01108"/>
    <x v="575"/>
    <s v="C023"/>
    <x v="304"/>
    <x v="4"/>
    <x v="23"/>
    <x v="23"/>
    <x v="0"/>
    <x v="1106"/>
    <n v="21.99"/>
    <n v="431421.81"/>
  </r>
  <r>
    <s v="ORD01109"/>
    <x v="415"/>
    <s v="C093"/>
    <x v="292"/>
    <x v="1"/>
    <x v="6"/>
    <x v="6"/>
    <x v="0"/>
    <x v="1107"/>
    <n v="2.88"/>
    <n v="54118.080000000002"/>
  </r>
  <r>
    <s v="ORD01110"/>
    <x v="112"/>
    <s v="C087"/>
    <x v="44"/>
    <x v="0"/>
    <x v="21"/>
    <x v="21"/>
    <x v="2"/>
    <x v="1108"/>
    <n v="23.69"/>
    <n v="710747.38"/>
  </r>
  <r>
    <s v="ORD01111"/>
    <x v="383"/>
    <s v="C006"/>
    <x v="319"/>
    <x v="2"/>
    <x v="49"/>
    <x v="49"/>
    <x v="3"/>
    <x v="1109"/>
    <n v="16.61"/>
    <n v="1631650.13"/>
  </r>
  <r>
    <s v="ORD01112"/>
    <x v="61"/>
    <s v="C359"/>
    <x v="31"/>
    <x v="0"/>
    <x v="28"/>
    <x v="28"/>
    <x v="3"/>
    <x v="1110"/>
    <n v="5.91"/>
    <n v="479389.65"/>
  </r>
  <r>
    <s v="ORD01113"/>
    <x v="215"/>
    <s v="C159"/>
    <x v="243"/>
    <x v="0"/>
    <x v="32"/>
    <x v="32"/>
    <x v="4"/>
    <x v="1111"/>
    <n v="39.9"/>
    <n v="3058973.4"/>
  </r>
  <r>
    <s v="ORD01114"/>
    <x v="249"/>
    <s v="C039"/>
    <x v="188"/>
    <x v="0"/>
    <x v="44"/>
    <x v="44"/>
    <x v="2"/>
    <x v="1112"/>
    <n v="44.28"/>
    <n v="1860114.24"/>
  </r>
  <r>
    <s v="ORD01115"/>
    <x v="241"/>
    <s v="C122"/>
    <x v="297"/>
    <x v="4"/>
    <x v="12"/>
    <x v="12"/>
    <x v="4"/>
    <x v="1113"/>
    <n v="2.57"/>
    <n v="97346.46"/>
  </r>
  <r>
    <s v="ORD01116"/>
    <x v="487"/>
    <s v="C020"/>
    <x v="80"/>
    <x v="4"/>
    <x v="21"/>
    <x v="21"/>
    <x v="2"/>
    <x v="1114"/>
    <n v="32.58"/>
    <n v="2873653.74"/>
  </r>
  <r>
    <s v="ORD01117"/>
    <x v="415"/>
    <s v="C113"/>
    <x v="442"/>
    <x v="3"/>
    <x v="35"/>
    <x v="35"/>
    <x v="1"/>
    <x v="1115"/>
    <n v="8.15"/>
    <n v="273212.45"/>
  </r>
  <r>
    <s v="ORD01118"/>
    <x v="108"/>
    <s v="C031"/>
    <x v="296"/>
    <x v="1"/>
    <x v="3"/>
    <x v="3"/>
    <x v="2"/>
    <x v="1116"/>
    <n v="13.14"/>
    <n v="794851.74"/>
  </r>
  <r>
    <s v="ORD01119"/>
    <x v="576"/>
    <s v="C094"/>
    <x v="55"/>
    <x v="1"/>
    <x v="19"/>
    <x v="19"/>
    <x v="3"/>
    <x v="1117"/>
    <n v="8.83"/>
    <n v="327557.68"/>
  </r>
  <r>
    <s v="ORD01120"/>
    <x v="16"/>
    <s v="C392"/>
    <x v="383"/>
    <x v="3"/>
    <x v="21"/>
    <x v="21"/>
    <x v="2"/>
    <x v="1118"/>
    <n v="18.13"/>
    <n v="1300628.07"/>
  </r>
  <r>
    <s v="ORD01121"/>
    <x v="577"/>
    <s v="C177"/>
    <x v="183"/>
    <x v="1"/>
    <x v="14"/>
    <x v="14"/>
    <x v="2"/>
    <x v="1119"/>
    <n v="15.02"/>
    <n v="402145.48"/>
  </r>
  <r>
    <s v="ORD01122"/>
    <x v="578"/>
    <s v="C436"/>
    <x v="443"/>
    <x v="4"/>
    <x v="1"/>
    <x v="1"/>
    <x v="1"/>
    <x v="1120"/>
    <n v="12.8"/>
    <n v="825075.19999999995"/>
  </r>
  <r>
    <s v="ORD01123"/>
    <x v="554"/>
    <s v="C189"/>
    <x v="253"/>
    <x v="0"/>
    <x v="37"/>
    <x v="37"/>
    <x v="1"/>
    <x v="1121"/>
    <n v="33.14"/>
    <n v="1826908.78"/>
  </r>
  <r>
    <s v="ORD01124"/>
    <x v="479"/>
    <s v="C005"/>
    <x v="373"/>
    <x v="3"/>
    <x v="22"/>
    <x v="22"/>
    <x v="0"/>
    <x v="1122"/>
    <n v="11.63"/>
    <n v="864969.62"/>
  </r>
  <r>
    <s v="ORD01125"/>
    <x v="298"/>
    <s v="C056"/>
    <x v="273"/>
    <x v="0"/>
    <x v="20"/>
    <x v="20"/>
    <x v="1"/>
    <x v="1123"/>
    <n v="35.090000000000003"/>
    <n v="1591717.49"/>
  </r>
  <r>
    <s v="ORD01126"/>
    <x v="436"/>
    <s v="C387"/>
    <x v="52"/>
    <x v="2"/>
    <x v="25"/>
    <x v="25"/>
    <x v="4"/>
    <x v="1124"/>
    <n v="23.02"/>
    <n v="1158596.6000000001"/>
  </r>
  <r>
    <s v="ORD01127"/>
    <x v="313"/>
    <s v="C333"/>
    <x v="189"/>
    <x v="0"/>
    <x v="42"/>
    <x v="42"/>
    <x v="1"/>
    <x v="1125"/>
    <n v="39.49"/>
    <n v="2585331.3199999998"/>
  </r>
  <r>
    <s v="ORD01128"/>
    <x v="138"/>
    <s v="C478"/>
    <x v="269"/>
    <x v="0"/>
    <x v="16"/>
    <x v="16"/>
    <x v="1"/>
    <x v="1126"/>
    <n v="48.38"/>
    <n v="1600507.16"/>
  </r>
  <r>
    <s v="ORD01129"/>
    <x v="443"/>
    <s v="C077"/>
    <x v="426"/>
    <x v="0"/>
    <x v="29"/>
    <x v="29"/>
    <x v="0"/>
    <x v="1127"/>
    <n v="34.26"/>
    <n v="839986.68"/>
  </r>
  <r>
    <s v="ORD01130"/>
    <x v="88"/>
    <s v="C394"/>
    <x v="213"/>
    <x v="0"/>
    <x v="44"/>
    <x v="44"/>
    <x v="2"/>
    <x v="1128"/>
    <n v="10.6"/>
    <n v="832290.8"/>
  </r>
  <r>
    <s v="ORD01131"/>
    <x v="220"/>
    <s v="C428"/>
    <x v="260"/>
    <x v="3"/>
    <x v="20"/>
    <x v="20"/>
    <x v="1"/>
    <x v="1129"/>
    <n v="8.34"/>
    <n v="705388.86"/>
  </r>
  <r>
    <s v="ORD01132"/>
    <x v="523"/>
    <s v="C385"/>
    <x v="309"/>
    <x v="3"/>
    <x v="23"/>
    <x v="23"/>
    <x v="0"/>
    <x v="1130"/>
    <n v="6.76"/>
    <n v="191091.68"/>
  </r>
  <r>
    <s v="ORD01133"/>
    <x v="579"/>
    <s v="C298"/>
    <x v="349"/>
    <x v="1"/>
    <x v="35"/>
    <x v="35"/>
    <x v="1"/>
    <x v="1131"/>
    <n v="32.130000000000003"/>
    <n v="2302532.19"/>
  </r>
  <r>
    <s v="ORD01134"/>
    <x v="580"/>
    <s v="C264"/>
    <x v="65"/>
    <x v="0"/>
    <x v="4"/>
    <x v="4"/>
    <x v="1"/>
    <x v="1132"/>
    <n v="38.21"/>
    <n v="2399588"/>
  </r>
  <r>
    <s v="ORD01135"/>
    <x v="127"/>
    <s v="C307"/>
    <x v="318"/>
    <x v="0"/>
    <x v="14"/>
    <x v="14"/>
    <x v="2"/>
    <x v="1133"/>
    <n v="28.93"/>
    <n v="2413109.16"/>
  </r>
  <r>
    <s v="ORD01136"/>
    <x v="446"/>
    <s v="C219"/>
    <x v="43"/>
    <x v="0"/>
    <x v="5"/>
    <x v="5"/>
    <x v="3"/>
    <x v="1134"/>
    <n v="32.950000000000003"/>
    <n v="1880687.15"/>
  </r>
  <r>
    <s v="ORD01137"/>
    <x v="472"/>
    <s v="C340"/>
    <x v="444"/>
    <x v="4"/>
    <x v="34"/>
    <x v="34"/>
    <x v="2"/>
    <x v="1135"/>
    <n v="4.1500000000000004"/>
    <n v="29195.25"/>
  </r>
  <r>
    <s v="ORD01138"/>
    <x v="143"/>
    <s v="C491"/>
    <x v="32"/>
    <x v="0"/>
    <x v="29"/>
    <x v="29"/>
    <x v="0"/>
    <x v="1136"/>
    <n v="28.72"/>
    <n v="878429.92"/>
  </r>
  <r>
    <s v="ORD01139"/>
    <x v="581"/>
    <s v="C434"/>
    <x v="266"/>
    <x v="1"/>
    <x v="30"/>
    <x v="30"/>
    <x v="4"/>
    <x v="1137"/>
    <n v="4.0199999999999996"/>
    <n v="41848.199999999997"/>
  </r>
  <r>
    <s v="ORD01140"/>
    <x v="482"/>
    <s v="C464"/>
    <x v="118"/>
    <x v="2"/>
    <x v="6"/>
    <x v="6"/>
    <x v="0"/>
    <x v="1138"/>
    <n v="5.19"/>
    <n v="199015.74"/>
  </r>
  <r>
    <s v="ORD01141"/>
    <x v="24"/>
    <s v="C437"/>
    <x v="195"/>
    <x v="2"/>
    <x v="7"/>
    <x v="7"/>
    <x v="3"/>
    <x v="1139"/>
    <n v="17.989999999999998"/>
    <n v="1639104.88"/>
  </r>
  <r>
    <s v="ORD01142"/>
    <x v="582"/>
    <s v="C101"/>
    <x v="120"/>
    <x v="4"/>
    <x v="33"/>
    <x v="33"/>
    <x v="1"/>
    <x v="1140"/>
    <n v="15.14"/>
    <n v="670596.02"/>
  </r>
  <r>
    <s v="ORD01143"/>
    <x v="160"/>
    <s v="C472"/>
    <x v="3"/>
    <x v="3"/>
    <x v="29"/>
    <x v="29"/>
    <x v="0"/>
    <x v="1141"/>
    <n v="34.49"/>
    <n v="3001595.72"/>
  </r>
  <r>
    <s v="ORD01144"/>
    <x v="583"/>
    <s v="C313"/>
    <x v="350"/>
    <x v="2"/>
    <x v="14"/>
    <x v="14"/>
    <x v="2"/>
    <x v="1142"/>
    <n v="38.020000000000003"/>
    <n v="1403546.32"/>
  </r>
  <r>
    <s v="ORD01145"/>
    <x v="45"/>
    <s v="C049"/>
    <x v="384"/>
    <x v="2"/>
    <x v="19"/>
    <x v="19"/>
    <x v="3"/>
    <x v="1143"/>
    <n v="17.899999999999999"/>
    <n v="1556566.1"/>
  </r>
  <r>
    <s v="ORD01146"/>
    <x v="184"/>
    <s v="C172"/>
    <x v="207"/>
    <x v="0"/>
    <x v="25"/>
    <x v="25"/>
    <x v="4"/>
    <x v="1144"/>
    <n v="16.739999999999998"/>
    <n v="770826.78"/>
  </r>
  <r>
    <s v="ORD01147"/>
    <x v="362"/>
    <s v="C407"/>
    <x v="70"/>
    <x v="0"/>
    <x v="8"/>
    <x v="8"/>
    <x v="3"/>
    <x v="1145"/>
    <n v="44.04"/>
    <n v="2852691"/>
  </r>
  <r>
    <s v="ORD01148"/>
    <x v="464"/>
    <s v="C323"/>
    <x v="343"/>
    <x v="2"/>
    <x v="5"/>
    <x v="5"/>
    <x v="3"/>
    <x v="1146"/>
    <n v="28.42"/>
    <n v="1307121.06"/>
  </r>
  <r>
    <s v="ORD01149"/>
    <x v="303"/>
    <s v="C095"/>
    <x v="236"/>
    <x v="0"/>
    <x v="18"/>
    <x v="18"/>
    <x v="0"/>
    <x v="1147"/>
    <n v="14.89"/>
    <n v="835001.42"/>
  </r>
  <r>
    <s v="ORD01150"/>
    <x v="314"/>
    <s v="C085"/>
    <x v="223"/>
    <x v="0"/>
    <x v="26"/>
    <x v="26"/>
    <x v="0"/>
    <x v="1148"/>
    <n v="34.590000000000003"/>
    <n v="1483911"/>
  </r>
  <r>
    <s v="ORD01151"/>
    <x v="460"/>
    <s v="C380"/>
    <x v="193"/>
    <x v="3"/>
    <x v="41"/>
    <x v="41"/>
    <x v="4"/>
    <x v="1149"/>
    <n v="21.99"/>
    <n v="1082347.8"/>
  </r>
  <r>
    <s v="ORD01152"/>
    <x v="302"/>
    <s v="C480"/>
    <x v="331"/>
    <x v="3"/>
    <x v="21"/>
    <x v="21"/>
    <x v="2"/>
    <x v="1150"/>
    <n v="16.13"/>
    <n v="537258.04"/>
  </r>
  <r>
    <s v="ORD01153"/>
    <x v="584"/>
    <s v="C265"/>
    <x v="382"/>
    <x v="4"/>
    <x v="8"/>
    <x v="8"/>
    <x v="3"/>
    <x v="1151"/>
    <n v="37.24"/>
    <n v="2198053.7599999998"/>
  </r>
  <r>
    <s v="ORD01154"/>
    <x v="90"/>
    <s v="C168"/>
    <x v="285"/>
    <x v="1"/>
    <x v="21"/>
    <x v="21"/>
    <x v="2"/>
    <x v="1152"/>
    <n v="47.5"/>
    <n v="550525"/>
  </r>
  <r>
    <s v="ORD01155"/>
    <x v="585"/>
    <s v="C113"/>
    <x v="442"/>
    <x v="3"/>
    <x v="13"/>
    <x v="13"/>
    <x v="2"/>
    <x v="1153"/>
    <n v="49.48"/>
    <n v="1081335.92"/>
  </r>
  <r>
    <s v="ORD01156"/>
    <x v="406"/>
    <s v="C447"/>
    <x v="146"/>
    <x v="1"/>
    <x v="35"/>
    <x v="35"/>
    <x v="1"/>
    <x v="1154"/>
    <n v="16.96"/>
    <n v="1171545.92"/>
  </r>
  <r>
    <s v="ORD01157"/>
    <x v="441"/>
    <s v="C080"/>
    <x v="222"/>
    <x v="4"/>
    <x v="33"/>
    <x v="33"/>
    <x v="1"/>
    <x v="1155"/>
    <n v="40.93"/>
    <n v="1432386.28"/>
  </r>
  <r>
    <s v="ORD01158"/>
    <x v="187"/>
    <s v="C208"/>
    <x v="53"/>
    <x v="1"/>
    <x v="9"/>
    <x v="9"/>
    <x v="4"/>
    <x v="1156"/>
    <n v="26.95"/>
    <n v="698840.45"/>
  </r>
  <r>
    <s v="ORD01159"/>
    <x v="14"/>
    <s v="C120"/>
    <x v="445"/>
    <x v="2"/>
    <x v="14"/>
    <x v="14"/>
    <x v="2"/>
    <x v="1157"/>
    <n v="32.49"/>
    <n v="1565173.26"/>
  </r>
  <r>
    <s v="ORD01160"/>
    <x v="561"/>
    <s v="C374"/>
    <x v="399"/>
    <x v="1"/>
    <x v="8"/>
    <x v="8"/>
    <x v="3"/>
    <x v="1158"/>
    <n v="39.880000000000003"/>
    <n v="1024277.92"/>
  </r>
  <r>
    <s v="ORD01161"/>
    <x v="283"/>
    <s v="C186"/>
    <x v="306"/>
    <x v="4"/>
    <x v="4"/>
    <x v="4"/>
    <x v="1"/>
    <x v="1159"/>
    <n v="26.21"/>
    <n v="1278314.1200000001"/>
  </r>
  <r>
    <s v="ORD01162"/>
    <x v="492"/>
    <s v="C373"/>
    <x v="435"/>
    <x v="2"/>
    <x v="10"/>
    <x v="10"/>
    <x v="3"/>
    <x v="1160"/>
    <n v="15.86"/>
    <n v="1112277.6599999999"/>
  </r>
  <r>
    <s v="ORD01163"/>
    <x v="242"/>
    <s v="C412"/>
    <x v="22"/>
    <x v="2"/>
    <x v="41"/>
    <x v="41"/>
    <x v="4"/>
    <x v="1161"/>
    <n v="24.54"/>
    <n v="2341238.7000000002"/>
  </r>
  <r>
    <s v="ORD01164"/>
    <x v="168"/>
    <s v="C299"/>
    <x v="252"/>
    <x v="4"/>
    <x v="36"/>
    <x v="36"/>
    <x v="4"/>
    <x v="1162"/>
    <n v="18.04"/>
    <n v="334461.59999999998"/>
  </r>
  <r>
    <s v="ORD01165"/>
    <x v="365"/>
    <s v="C382"/>
    <x v="136"/>
    <x v="3"/>
    <x v="31"/>
    <x v="31"/>
    <x v="0"/>
    <x v="1163"/>
    <n v="9.4700000000000006"/>
    <n v="338211.58"/>
  </r>
  <r>
    <s v="ORD01166"/>
    <x v="586"/>
    <s v="C459"/>
    <x v="295"/>
    <x v="2"/>
    <x v="38"/>
    <x v="38"/>
    <x v="2"/>
    <x v="1164"/>
    <n v="16.03"/>
    <n v="1562908.97"/>
  </r>
  <r>
    <s v="ORD01167"/>
    <x v="405"/>
    <s v="C107"/>
    <x v="324"/>
    <x v="1"/>
    <x v="34"/>
    <x v="34"/>
    <x v="2"/>
    <x v="118"/>
    <n v="45.38"/>
    <n v="2304305.64"/>
  </r>
  <r>
    <s v="ORD01168"/>
    <x v="587"/>
    <s v="C150"/>
    <x v="356"/>
    <x v="4"/>
    <x v="38"/>
    <x v="38"/>
    <x v="2"/>
    <x v="1165"/>
    <n v="20.14"/>
    <n v="1792641.26"/>
  </r>
  <r>
    <s v="ORD01169"/>
    <x v="571"/>
    <s v="C046"/>
    <x v="446"/>
    <x v="0"/>
    <x v="27"/>
    <x v="27"/>
    <x v="4"/>
    <x v="1166"/>
    <n v="28.72"/>
    <n v="232430.96"/>
  </r>
  <r>
    <s v="ORD01170"/>
    <x v="136"/>
    <s v="C483"/>
    <x v="214"/>
    <x v="2"/>
    <x v="3"/>
    <x v="3"/>
    <x v="2"/>
    <x v="1167"/>
    <n v="47.08"/>
    <n v="1287308.44"/>
  </r>
  <r>
    <s v="ORD01171"/>
    <x v="302"/>
    <s v="C023"/>
    <x v="304"/>
    <x v="4"/>
    <x v="31"/>
    <x v="31"/>
    <x v="0"/>
    <x v="1168"/>
    <n v="44.96"/>
    <n v="4356848.8"/>
  </r>
  <r>
    <s v="ORD01172"/>
    <x v="484"/>
    <s v="C263"/>
    <x v="432"/>
    <x v="3"/>
    <x v="27"/>
    <x v="27"/>
    <x v="4"/>
    <x v="1169"/>
    <n v="9.31"/>
    <n v="32650.17"/>
  </r>
  <r>
    <s v="ORD01173"/>
    <x v="34"/>
    <s v="C407"/>
    <x v="70"/>
    <x v="0"/>
    <x v="17"/>
    <x v="17"/>
    <x v="1"/>
    <x v="1170"/>
    <n v="48.35"/>
    <n v="3729332.2"/>
  </r>
  <r>
    <s v="ORD01174"/>
    <x v="324"/>
    <s v="C057"/>
    <x v="161"/>
    <x v="4"/>
    <x v="30"/>
    <x v="30"/>
    <x v="4"/>
    <x v="1171"/>
    <n v="14.54"/>
    <n v="308248"/>
  </r>
  <r>
    <s v="ORD01175"/>
    <x v="563"/>
    <s v="C151"/>
    <x v="328"/>
    <x v="0"/>
    <x v="10"/>
    <x v="10"/>
    <x v="3"/>
    <x v="1172"/>
    <n v="42.06"/>
    <n v="548798.88"/>
  </r>
  <r>
    <s v="ORD01176"/>
    <x v="448"/>
    <s v="C152"/>
    <x v="121"/>
    <x v="0"/>
    <x v="44"/>
    <x v="44"/>
    <x v="2"/>
    <x v="1173"/>
    <n v="44.85"/>
    <n v="965710.2"/>
  </r>
  <r>
    <s v="ORD01177"/>
    <x v="132"/>
    <s v="C123"/>
    <x v="284"/>
    <x v="3"/>
    <x v="36"/>
    <x v="36"/>
    <x v="4"/>
    <x v="1174"/>
    <n v="7.4"/>
    <n v="24279.4"/>
  </r>
  <r>
    <s v="ORD01178"/>
    <x v="264"/>
    <s v="C073"/>
    <x v="395"/>
    <x v="3"/>
    <x v="42"/>
    <x v="42"/>
    <x v="1"/>
    <x v="1175"/>
    <n v="12.71"/>
    <n v="1155326.29"/>
  </r>
  <r>
    <s v="ORD01179"/>
    <x v="588"/>
    <s v="C130"/>
    <x v="192"/>
    <x v="3"/>
    <x v="34"/>
    <x v="34"/>
    <x v="2"/>
    <x v="1176"/>
    <n v="41.73"/>
    <n v="1298303.76"/>
  </r>
  <r>
    <s v="ORD01180"/>
    <x v="390"/>
    <s v="C108"/>
    <x v="310"/>
    <x v="4"/>
    <x v="2"/>
    <x v="2"/>
    <x v="1"/>
    <x v="1177"/>
    <n v="20.94"/>
    <n v="1139261.6399999999"/>
  </r>
  <r>
    <s v="ORD01181"/>
    <x v="53"/>
    <s v="C375"/>
    <x v="305"/>
    <x v="0"/>
    <x v="3"/>
    <x v="3"/>
    <x v="2"/>
    <x v="1178"/>
    <n v="49.69"/>
    <n v="3266769.67"/>
  </r>
  <r>
    <s v="ORD01182"/>
    <x v="589"/>
    <s v="C366"/>
    <x v="447"/>
    <x v="3"/>
    <x v="1"/>
    <x v="1"/>
    <x v="1"/>
    <x v="1179"/>
    <n v="23.29"/>
    <n v="1817621.47"/>
  </r>
  <r>
    <s v="ORD01183"/>
    <x v="590"/>
    <s v="C017"/>
    <x v="139"/>
    <x v="4"/>
    <x v="12"/>
    <x v="12"/>
    <x v="4"/>
    <x v="1180"/>
    <n v="35.19"/>
    <n v="2941778.43"/>
  </r>
  <r>
    <s v="ORD01184"/>
    <x v="389"/>
    <s v="C371"/>
    <x v="355"/>
    <x v="2"/>
    <x v="7"/>
    <x v="7"/>
    <x v="3"/>
    <x v="1181"/>
    <n v="24.93"/>
    <n v="860134.86"/>
  </r>
  <r>
    <s v="ORD01185"/>
    <x v="263"/>
    <s v="C120"/>
    <x v="445"/>
    <x v="2"/>
    <x v="23"/>
    <x v="23"/>
    <x v="0"/>
    <x v="1182"/>
    <n v="14.79"/>
    <n v="112892.07"/>
  </r>
  <r>
    <s v="ORD01186"/>
    <x v="351"/>
    <s v="C044"/>
    <x v="202"/>
    <x v="2"/>
    <x v="49"/>
    <x v="49"/>
    <x v="3"/>
    <x v="1183"/>
    <n v="30.18"/>
    <n v="473433.66"/>
  </r>
  <r>
    <s v="ORD01187"/>
    <x v="389"/>
    <s v="C395"/>
    <x v="261"/>
    <x v="3"/>
    <x v="35"/>
    <x v="35"/>
    <x v="1"/>
    <x v="1184"/>
    <n v="26.06"/>
    <n v="80864.179999999993"/>
  </r>
  <r>
    <s v="ORD01188"/>
    <x v="123"/>
    <s v="C354"/>
    <x v="97"/>
    <x v="4"/>
    <x v="16"/>
    <x v="16"/>
    <x v="1"/>
    <x v="1185"/>
    <n v="41.26"/>
    <n v="524538.38"/>
  </r>
  <r>
    <s v="ORD01189"/>
    <x v="200"/>
    <s v="C258"/>
    <x v="276"/>
    <x v="3"/>
    <x v="25"/>
    <x v="25"/>
    <x v="4"/>
    <x v="1186"/>
    <n v="7.18"/>
    <n v="406624.94"/>
  </r>
  <r>
    <s v="ORD01190"/>
    <x v="151"/>
    <s v="C401"/>
    <x v="179"/>
    <x v="1"/>
    <x v="32"/>
    <x v="32"/>
    <x v="4"/>
    <x v="1187"/>
    <n v="27.51"/>
    <n v="2291417.94"/>
  </r>
  <r>
    <s v="ORD01191"/>
    <x v="252"/>
    <s v="C143"/>
    <x v="448"/>
    <x v="4"/>
    <x v="43"/>
    <x v="43"/>
    <x v="4"/>
    <x v="1188"/>
    <n v="8.74"/>
    <n v="513055.48"/>
  </r>
  <r>
    <s v="ORD01192"/>
    <x v="198"/>
    <s v="C084"/>
    <x v="291"/>
    <x v="3"/>
    <x v="1"/>
    <x v="1"/>
    <x v="1"/>
    <x v="1189"/>
    <n v="36.380000000000003"/>
    <n v="186738.54"/>
  </r>
  <r>
    <s v="ORD01193"/>
    <x v="230"/>
    <s v="C131"/>
    <x v="449"/>
    <x v="1"/>
    <x v="41"/>
    <x v="41"/>
    <x v="4"/>
    <x v="1190"/>
    <n v="43.61"/>
    <n v="902683.39"/>
  </r>
  <r>
    <s v="ORD01194"/>
    <x v="312"/>
    <s v="C461"/>
    <x v="164"/>
    <x v="0"/>
    <x v="42"/>
    <x v="42"/>
    <x v="1"/>
    <x v="1191"/>
    <n v="41.52"/>
    <n v="3362123.52"/>
  </r>
  <r>
    <s v="ORD01195"/>
    <x v="332"/>
    <s v="C074"/>
    <x v="329"/>
    <x v="2"/>
    <x v="1"/>
    <x v="1"/>
    <x v="1"/>
    <x v="1192"/>
    <n v="24.08"/>
    <n v="1419877.2"/>
  </r>
  <r>
    <s v="ORD01196"/>
    <x v="37"/>
    <s v="C460"/>
    <x v="17"/>
    <x v="1"/>
    <x v="12"/>
    <x v="12"/>
    <x v="4"/>
    <x v="1193"/>
    <n v="42.44"/>
    <n v="4133740.88"/>
  </r>
  <r>
    <s v="ORD01197"/>
    <x v="497"/>
    <s v="C226"/>
    <x v="51"/>
    <x v="0"/>
    <x v="37"/>
    <x v="37"/>
    <x v="1"/>
    <x v="1194"/>
    <n v="3.3"/>
    <n v="35659.800000000003"/>
  </r>
  <r>
    <s v="ORD01198"/>
    <x v="473"/>
    <s v="C428"/>
    <x v="260"/>
    <x v="3"/>
    <x v="36"/>
    <x v="36"/>
    <x v="4"/>
    <x v="1195"/>
    <n v="25.36"/>
    <n v="591014.80000000005"/>
  </r>
  <r>
    <s v="ORD01199"/>
    <x v="240"/>
    <s v="C318"/>
    <x v="235"/>
    <x v="2"/>
    <x v="43"/>
    <x v="43"/>
    <x v="4"/>
    <x v="1196"/>
    <n v="40.4"/>
    <n v="2140432.4"/>
  </r>
  <r>
    <s v="ORD01200"/>
    <x v="371"/>
    <s v="C448"/>
    <x v="434"/>
    <x v="0"/>
    <x v="21"/>
    <x v="21"/>
    <x v="2"/>
    <x v="1197"/>
    <n v="35.24"/>
    <n v="1793011.2"/>
  </r>
  <r>
    <s v="ORD01201"/>
    <x v="591"/>
    <s v="C293"/>
    <x v="372"/>
    <x v="0"/>
    <x v="26"/>
    <x v="26"/>
    <x v="0"/>
    <x v="1198"/>
    <n v="42.95"/>
    <n v="1097844.95"/>
  </r>
  <r>
    <s v="ORD01202"/>
    <x v="186"/>
    <s v="C008"/>
    <x v="96"/>
    <x v="1"/>
    <x v="36"/>
    <x v="36"/>
    <x v="4"/>
    <x v="1199"/>
    <n v="31.93"/>
    <n v="2336030.73"/>
  </r>
  <r>
    <s v="ORD01203"/>
    <x v="519"/>
    <s v="C032"/>
    <x v="234"/>
    <x v="4"/>
    <x v="18"/>
    <x v="18"/>
    <x v="0"/>
    <x v="1200"/>
    <n v="24.35"/>
    <n v="958781.25"/>
  </r>
  <r>
    <s v="ORD01204"/>
    <x v="230"/>
    <s v="C209"/>
    <x v="409"/>
    <x v="4"/>
    <x v="2"/>
    <x v="2"/>
    <x v="1"/>
    <x v="1201"/>
    <n v="19.45"/>
    <n v="299004.84999999998"/>
  </r>
  <r>
    <s v="ORD01205"/>
    <x v="138"/>
    <s v="C100"/>
    <x v="39"/>
    <x v="0"/>
    <x v="29"/>
    <x v="29"/>
    <x v="0"/>
    <x v="1202"/>
    <n v="11.27"/>
    <n v="803303.06"/>
  </r>
  <r>
    <s v="ORD01206"/>
    <x v="592"/>
    <s v="C267"/>
    <x v="172"/>
    <x v="4"/>
    <x v="20"/>
    <x v="20"/>
    <x v="1"/>
    <x v="1203"/>
    <n v="36.76"/>
    <n v="2503870.64"/>
  </r>
  <r>
    <s v="ORD01207"/>
    <x v="93"/>
    <s v="C219"/>
    <x v="43"/>
    <x v="0"/>
    <x v="17"/>
    <x v="17"/>
    <x v="1"/>
    <x v="1204"/>
    <n v="24.91"/>
    <n v="1151140.92"/>
  </r>
  <r>
    <s v="ORD01208"/>
    <x v="573"/>
    <s v="C497"/>
    <x v="215"/>
    <x v="1"/>
    <x v="28"/>
    <x v="28"/>
    <x v="3"/>
    <x v="1205"/>
    <n v="43.22"/>
    <n v="492708"/>
  </r>
  <r>
    <s v="ORD01209"/>
    <x v="100"/>
    <s v="C168"/>
    <x v="285"/>
    <x v="1"/>
    <x v="27"/>
    <x v="27"/>
    <x v="4"/>
    <x v="1206"/>
    <n v="6.49"/>
    <n v="558860.39"/>
  </r>
  <r>
    <s v="ORD01210"/>
    <x v="397"/>
    <s v="C229"/>
    <x v="46"/>
    <x v="1"/>
    <x v="25"/>
    <x v="25"/>
    <x v="4"/>
    <x v="1207"/>
    <n v="32.32"/>
    <n v="1267396.48"/>
  </r>
  <r>
    <s v="ORD01211"/>
    <x v="215"/>
    <s v="C394"/>
    <x v="213"/>
    <x v="0"/>
    <x v="15"/>
    <x v="15"/>
    <x v="2"/>
    <x v="1208"/>
    <n v="45.89"/>
    <n v="2080744.38"/>
  </r>
  <r>
    <s v="ORD01212"/>
    <x v="410"/>
    <s v="C331"/>
    <x v="167"/>
    <x v="1"/>
    <x v="28"/>
    <x v="28"/>
    <x v="3"/>
    <x v="1209"/>
    <n v="24.06"/>
    <n v="360611.28"/>
  </r>
  <r>
    <s v="ORD01213"/>
    <x v="456"/>
    <s v="C238"/>
    <x v="450"/>
    <x v="4"/>
    <x v="21"/>
    <x v="21"/>
    <x v="2"/>
    <x v="1210"/>
    <n v="11.54"/>
    <n v="596214.1"/>
  </r>
  <r>
    <s v="ORD01214"/>
    <x v="124"/>
    <s v="C074"/>
    <x v="329"/>
    <x v="2"/>
    <x v="34"/>
    <x v="34"/>
    <x v="2"/>
    <x v="1211"/>
    <n v="44.26"/>
    <n v="889227.66"/>
  </r>
  <r>
    <s v="ORD01215"/>
    <x v="45"/>
    <s v="C356"/>
    <x v="416"/>
    <x v="1"/>
    <x v="31"/>
    <x v="31"/>
    <x v="0"/>
    <x v="1212"/>
    <n v="49.59"/>
    <n v="3053454.66"/>
  </r>
  <r>
    <s v="ORD01216"/>
    <x v="46"/>
    <s v="C225"/>
    <x v="34"/>
    <x v="0"/>
    <x v="21"/>
    <x v="21"/>
    <x v="2"/>
    <x v="1213"/>
    <n v="24.6"/>
    <n v="440094"/>
  </r>
  <r>
    <s v="ORD01217"/>
    <x v="593"/>
    <s v="C018"/>
    <x v="332"/>
    <x v="3"/>
    <x v="35"/>
    <x v="35"/>
    <x v="1"/>
    <x v="1214"/>
    <n v="35.25"/>
    <n v="2595915.75"/>
  </r>
  <r>
    <s v="ORD01218"/>
    <x v="191"/>
    <s v="C433"/>
    <x v="322"/>
    <x v="4"/>
    <x v="0"/>
    <x v="0"/>
    <x v="0"/>
    <x v="1215"/>
    <n v="20.68"/>
    <n v="301286.92"/>
  </r>
  <r>
    <s v="ORD01219"/>
    <x v="420"/>
    <s v="C450"/>
    <x v="429"/>
    <x v="2"/>
    <x v="14"/>
    <x v="14"/>
    <x v="2"/>
    <x v="1216"/>
    <n v="12.85"/>
    <n v="395021.85"/>
  </r>
  <r>
    <s v="ORD01220"/>
    <x v="102"/>
    <s v="C416"/>
    <x v="451"/>
    <x v="3"/>
    <x v="41"/>
    <x v="41"/>
    <x v="4"/>
    <x v="1217"/>
    <n v="5.24"/>
    <n v="122678.88"/>
  </r>
  <r>
    <s v="ORD01221"/>
    <x v="594"/>
    <s v="C350"/>
    <x v="280"/>
    <x v="3"/>
    <x v="38"/>
    <x v="38"/>
    <x v="2"/>
    <x v="1218"/>
    <n v="41.93"/>
    <n v="945773.08"/>
  </r>
  <r>
    <s v="ORD01222"/>
    <x v="175"/>
    <s v="C084"/>
    <x v="291"/>
    <x v="3"/>
    <x v="37"/>
    <x v="37"/>
    <x v="1"/>
    <x v="1219"/>
    <n v="34.79"/>
    <n v="1753868.27"/>
  </r>
  <r>
    <s v="ORD01223"/>
    <x v="595"/>
    <s v="C180"/>
    <x v="200"/>
    <x v="0"/>
    <x v="34"/>
    <x v="34"/>
    <x v="2"/>
    <x v="1220"/>
    <n v="26.77"/>
    <n v="134760.18"/>
  </r>
  <r>
    <s v="ORD01224"/>
    <x v="414"/>
    <s v="C165"/>
    <x v="219"/>
    <x v="1"/>
    <x v="35"/>
    <x v="35"/>
    <x v="1"/>
    <x v="1221"/>
    <n v="42.44"/>
    <n v="2646218.88"/>
  </r>
  <r>
    <s v="ORD01225"/>
    <x v="224"/>
    <s v="C051"/>
    <x v="66"/>
    <x v="4"/>
    <x v="44"/>
    <x v="44"/>
    <x v="2"/>
    <x v="1222"/>
    <n v="30.18"/>
    <n v="178212.9"/>
  </r>
  <r>
    <s v="ORD01226"/>
    <x v="353"/>
    <s v="C010"/>
    <x v="220"/>
    <x v="3"/>
    <x v="15"/>
    <x v="15"/>
    <x v="2"/>
    <x v="1223"/>
    <n v="24.67"/>
    <n v="1476598.18"/>
  </r>
  <r>
    <s v="ORD01227"/>
    <x v="514"/>
    <s v="C118"/>
    <x v="74"/>
    <x v="1"/>
    <x v="7"/>
    <x v="7"/>
    <x v="3"/>
    <x v="1224"/>
    <n v="28.88"/>
    <n v="1856175.36"/>
  </r>
  <r>
    <s v="ORD01228"/>
    <x v="371"/>
    <s v="C038"/>
    <x v="452"/>
    <x v="3"/>
    <x v="2"/>
    <x v="2"/>
    <x v="1"/>
    <x v="1225"/>
    <n v="46.77"/>
    <n v="3108895.44"/>
  </r>
  <r>
    <s v="ORD01229"/>
    <x v="596"/>
    <s v="C460"/>
    <x v="17"/>
    <x v="1"/>
    <x v="11"/>
    <x v="11"/>
    <x v="4"/>
    <x v="1226"/>
    <n v="34.07"/>
    <n v="1148908.54"/>
  </r>
  <r>
    <s v="ORD01230"/>
    <x v="177"/>
    <s v="C025"/>
    <x v="396"/>
    <x v="0"/>
    <x v="15"/>
    <x v="15"/>
    <x v="2"/>
    <x v="1227"/>
    <n v="46.3"/>
    <n v="3321700.9"/>
  </r>
  <r>
    <s v="ORD01231"/>
    <x v="129"/>
    <s v="C420"/>
    <x v="11"/>
    <x v="4"/>
    <x v="2"/>
    <x v="2"/>
    <x v="1"/>
    <x v="1228"/>
    <n v="8.92"/>
    <n v="636165.48"/>
  </r>
  <r>
    <s v="ORD01232"/>
    <x v="338"/>
    <s v="C055"/>
    <x v="301"/>
    <x v="1"/>
    <x v="15"/>
    <x v="15"/>
    <x v="2"/>
    <x v="1229"/>
    <n v="37.21"/>
    <n v="2787326.68"/>
  </r>
  <r>
    <s v="ORD01233"/>
    <x v="228"/>
    <s v="C117"/>
    <x v="441"/>
    <x v="2"/>
    <x v="37"/>
    <x v="37"/>
    <x v="1"/>
    <x v="1230"/>
    <n v="33.6"/>
    <n v="2661993.6"/>
  </r>
  <r>
    <s v="ORD01234"/>
    <x v="444"/>
    <s v="C222"/>
    <x v="453"/>
    <x v="0"/>
    <x v="23"/>
    <x v="23"/>
    <x v="0"/>
    <x v="1231"/>
    <n v="13.61"/>
    <n v="662779.78"/>
  </r>
  <r>
    <s v="ORD01235"/>
    <x v="517"/>
    <s v="C485"/>
    <x v="374"/>
    <x v="0"/>
    <x v="41"/>
    <x v="41"/>
    <x v="4"/>
    <x v="1232"/>
    <n v="16.84"/>
    <n v="1419174.16"/>
  </r>
  <r>
    <s v="ORD01236"/>
    <x v="597"/>
    <s v="C497"/>
    <x v="215"/>
    <x v="1"/>
    <x v="41"/>
    <x v="41"/>
    <x v="4"/>
    <x v="1233"/>
    <n v="49.36"/>
    <n v="4291753.28"/>
  </r>
  <r>
    <s v="ORD01237"/>
    <x v="82"/>
    <s v="C002"/>
    <x v="314"/>
    <x v="3"/>
    <x v="18"/>
    <x v="18"/>
    <x v="0"/>
    <x v="1234"/>
    <n v="5.01"/>
    <n v="88191.03"/>
  </r>
  <r>
    <s v="ORD01238"/>
    <x v="598"/>
    <s v="C349"/>
    <x v="316"/>
    <x v="2"/>
    <x v="39"/>
    <x v="39"/>
    <x v="3"/>
    <x v="1235"/>
    <n v="15.69"/>
    <n v="362831.25"/>
  </r>
  <r>
    <s v="ORD01239"/>
    <x v="219"/>
    <s v="C141"/>
    <x v="438"/>
    <x v="0"/>
    <x v="33"/>
    <x v="33"/>
    <x v="1"/>
    <x v="1236"/>
    <n v="26.58"/>
    <n v="2618927.4"/>
  </r>
  <r>
    <s v="ORD01240"/>
    <x v="77"/>
    <s v="C279"/>
    <x v="270"/>
    <x v="1"/>
    <x v="46"/>
    <x v="46"/>
    <x v="0"/>
    <x v="1237"/>
    <n v="8.76"/>
    <n v="848905.32"/>
  </r>
  <r>
    <s v="ORD01241"/>
    <x v="599"/>
    <s v="C067"/>
    <x v="109"/>
    <x v="2"/>
    <x v="48"/>
    <x v="48"/>
    <x v="2"/>
    <x v="1238"/>
    <n v="7.41"/>
    <n v="525480.15"/>
  </r>
  <r>
    <s v="ORD01242"/>
    <x v="331"/>
    <s v="C096"/>
    <x v="454"/>
    <x v="1"/>
    <x v="9"/>
    <x v="9"/>
    <x v="4"/>
    <x v="1239"/>
    <n v="24.92"/>
    <n v="1550372.88"/>
  </r>
  <r>
    <s v="ORD01243"/>
    <x v="306"/>
    <s v="C321"/>
    <x v="455"/>
    <x v="2"/>
    <x v="34"/>
    <x v="34"/>
    <x v="2"/>
    <x v="1240"/>
    <n v="8.68"/>
    <n v="144140.07999999999"/>
  </r>
  <r>
    <s v="ORD01244"/>
    <x v="352"/>
    <s v="C300"/>
    <x v="204"/>
    <x v="0"/>
    <x v="15"/>
    <x v="15"/>
    <x v="2"/>
    <x v="1241"/>
    <n v="36.44"/>
    <n v="2720209.56"/>
  </r>
  <r>
    <s v="ORD01245"/>
    <x v="294"/>
    <s v="C041"/>
    <x v="389"/>
    <x v="4"/>
    <x v="49"/>
    <x v="49"/>
    <x v="3"/>
    <x v="1242"/>
    <n v="12.96"/>
    <n v="96422.399999999994"/>
  </r>
  <r>
    <s v="ORD01246"/>
    <x v="568"/>
    <s v="C202"/>
    <x v="400"/>
    <x v="1"/>
    <x v="8"/>
    <x v="8"/>
    <x v="3"/>
    <x v="1243"/>
    <n v="5.61"/>
    <n v="110040.15"/>
  </r>
  <r>
    <s v="ORD01247"/>
    <x v="480"/>
    <s v="C284"/>
    <x v="287"/>
    <x v="4"/>
    <x v="45"/>
    <x v="45"/>
    <x v="3"/>
    <x v="1244"/>
    <n v="2.13"/>
    <n v="94778.61"/>
  </r>
  <r>
    <s v="ORD01248"/>
    <x v="72"/>
    <s v="C325"/>
    <x v="414"/>
    <x v="0"/>
    <x v="32"/>
    <x v="32"/>
    <x v="4"/>
    <x v="1245"/>
    <n v="9.0299999999999994"/>
    <n v="108034.92"/>
  </r>
  <r>
    <s v="ORD01249"/>
    <x v="89"/>
    <s v="C077"/>
    <x v="426"/>
    <x v="0"/>
    <x v="23"/>
    <x v="23"/>
    <x v="0"/>
    <x v="1246"/>
    <n v="47.48"/>
    <n v="4597108.5599999996"/>
  </r>
  <r>
    <s v="ORD01250"/>
    <x v="586"/>
    <s v="C076"/>
    <x v="206"/>
    <x v="2"/>
    <x v="38"/>
    <x v="38"/>
    <x v="2"/>
    <x v="1247"/>
    <n v="33.340000000000003"/>
    <n v="2314262.7599999998"/>
  </r>
  <r>
    <s v="ORD01251"/>
    <x v="549"/>
    <s v="C427"/>
    <x v="293"/>
    <x v="0"/>
    <x v="37"/>
    <x v="37"/>
    <x v="1"/>
    <x v="1248"/>
    <n v="36.57"/>
    <n v="1699846.74"/>
  </r>
  <r>
    <s v="ORD01252"/>
    <x v="533"/>
    <s v="C391"/>
    <x v="425"/>
    <x v="0"/>
    <x v="16"/>
    <x v="16"/>
    <x v="1"/>
    <x v="1249"/>
    <n v="11.76"/>
    <n v="1076463.3600000001"/>
  </r>
  <r>
    <s v="ORD01253"/>
    <x v="246"/>
    <s v="C261"/>
    <x v="390"/>
    <x v="2"/>
    <x v="10"/>
    <x v="10"/>
    <x v="3"/>
    <x v="1250"/>
    <n v="29.73"/>
    <n v="2306750.7000000002"/>
  </r>
  <r>
    <s v="ORD01254"/>
    <x v="313"/>
    <s v="C037"/>
    <x v="255"/>
    <x v="1"/>
    <x v="8"/>
    <x v="8"/>
    <x v="3"/>
    <x v="1251"/>
    <n v="24.58"/>
    <n v="149716.78"/>
  </r>
  <r>
    <s v="ORD01255"/>
    <x v="538"/>
    <s v="C142"/>
    <x v="254"/>
    <x v="3"/>
    <x v="27"/>
    <x v="27"/>
    <x v="4"/>
    <x v="1252"/>
    <n v="42.28"/>
    <n v="3875088.84"/>
  </r>
  <r>
    <s v="ORD01256"/>
    <x v="577"/>
    <s v="C461"/>
    <x v="164"/>
    <x v="0"/>
    <x v="49"/>
    <x v="49"/>
    <x v="3"/>
    <x v="1253"/>
    <n v="29.74"/>
    <n v="2447215.38"/>
  </r>
  <r>
    <s v="ORD01257"/>
    <x v="600"/>
    <s v="C490"/>
    <x v="141"/>
    <x v="2"/>
    <x v="15"/>
    <x v="15"/>
    <x v="2"/>
    <x v="1254"/>
    <n v="35.159999999999997"/>
    <n v="2077498.92"/>
  </r>
  <r>
    <s v="ORD01258"/>
    <x v="531"/>
    <s v="C465"/>
    <x v="140"/>
    <x v="2"/>
    <x v="21"/>
    <x v="21"/>
    <x v="2"/>
    <x v="1255"/>
    <n v="26.32"/>
    <n v="2262940.96"/>
  </r>
  <r>
    <s v="ORD01259"/>
    <x v="601"/>
    <s v="C400"/>
    <x v="376"/>
    <x v="2"/>
    <x v="6"/>
    <x v="6"/>
    <x v="0"/>
    <x v="1256"/>
    <n v="25.03"/>
    <n v="117991.42"/>
  </r>
  <r>
    <s v="ORD01260"/>
    <x v="458"/>
    <s v="C355"/>
    <x v="81"/>
    <x v="2"/>
    <x v="48"/>
    <x v="48"/>
    <x v="2"/>
    <x v="1257"/>
    <n v="3.82"/>
    <n v="261738.76"/>
  </r>
  <r>
    <s v="ORD01261"/>
    <x v="548"/>
    <s v="C081"/>
    <x v="456"/>
    <x v="3"/>
    <x v="2"/>
    <x v="2"/>
    <x v="1"/>
    <x v="1258"/>
    <n v="17.23"/>
    <n v="787031.94"/>
  </r>
  <r>
    <s v="ORD01262"/>
    <x v="324"/>
    <s v="C285"/>
    <x v="421"/>
    <x v="0"/>
    <x v="34"/>
    <x v="34"/>
    <x v="2"/>
    <x v="1259"/>
    <n v="47.7"/>
    <n v="482342.40000000002"/>
  </r>
  <r>
    <s v="ORD01263"/>
    <x v="323"/>
    <s v="C445"/>
    <x v="248"/>
    <x v="3"/>
    <x v="43"/>
    <x v="43"/>
    <x v="4"/>
    <x v="1260"/>
    <n v="33.99"/>
    <n v="2445648.48"/>
  </r>
  <r>
    <s v="ORD01264"/>
    <x v="14"/>
    <s v="C122"/>
    <x v="297"/>
    <x v="4"/>
    <x v="46"/>
    <x v="46"/>
    <x v="0"/>
    <x v="1261"/>
    <n v="46.48"/>
    <n v="759576.16"/>
  </r>
  <r>
    <s v="ORD01265"/>
    <x v="60"/>
    <s v="C324"/>
    <x v="208"/>
    <x v="0"/>
    <x v="9"/>
    <x v="9"/>
    <x v="4"/>
    <x v="1262"/>
    <n v="47.99"/>
    <n v="610336.81999999995"/>
  </r>
  <r>
    <s v="ORD01266"/>
    <x v="347"/>
    <s v="C241"/>
    <x v="457"/>
    <x v="1"/>
    <x v="19"/>
    <x v="19"/>
    <x v="3"/>
    <x v="1263"/>
    <n v="31.63"/>
    <n v="1968271.64"/>
  </r>
  <r>
    <s v="ORD01267"/>
    <x v="437"/>
    <s v="C306"/>
    <x v="274"/>
    <x v="4"/>
    <x v="29"/>
    <x v="29"/>
    <x v="0"/>
    <x v="1264"/>
    <n v="13.67"/>
    <n v="1317555.6100000001"/>
  </r>
  <r>
    <s v="ORD01268"/>
    <x v="205"/>
    <s v="C325"/>
    <x v="414"/>
    <x v="0"/>
    <x v="49"/>
    <x v="49"/>
    <x v="3"/>
    <x v="1265"/>
    <n v="26.08"/>
    <n v="2400298.88"/>
  </r>
  <r>
    <s v="ORD01269"/>
    <x v="520"/>
    <s v="C450"/>
    <x v="429"/>
    <x v="2"/>
    <x v="45"/>
    <x v="45"/>
    <x v="3"/>
    <x v="1266"/>
    <n v="17.260000000000002"/>
    <n v="95068.08"/>
  </r>
  <r>
    <s v="ORD01270"/>
    <x v="602"/>
    <s v="C461"/>
    <x v="164"/>
    <x v="0"/>
    <x v="3"/>
    <x v="3"/>
    <x v="2"/>
    <x v="1267"/>
    <n v="20.53"/>
    <n v="474160.88"/>
  </r>
  <r>
    <s v="ORD01271"/>
    <x v="58"/>
    <s v="C480"/>
    <x v="331"/>
    <x v="3"/>
    <x v="6"/>
    <x v="6"/>
    <x v="0"/>
    <x v="1268"/>
    <n v="37.21"/>
    <n v="2481348.85"/>
  </r>
  <r>
    <s v="ORD01272"/>
    <x v="603"/>
    <s v="C123"/>
    <x v="284"/>
    <x v="3"/>
    <x v="35"/>
    <x v="35"/>
    <x v="1"/>
    <x v="1269"/>
    <n v="10.16"/>
    <n v="624332"/>
  </r>
  <r>
    <s v="ORD01273"/>
    <x v="604"/>
    <s v="C167"/>
    <x v="404"/>
    <x v="4"/>
    <x v="41"/>
    <x v="41"/>
    <x v="4"/>
    <x v="1270"/>
    <n v="34.979999999999997"/>
    <n v="2436147.12"/>
  </r>
  <r>
    <s v="ORD01274"/>
    <x v="323"/>
    <s v="C050"/>
    <x v="351"/>
    <x v="4"/>
    <x v="45"/>
    <x v="45"/>
    <x v="3"/>
    <x v="1271"/>
    <n v="48.43"/>
    <n v="2635996.4700000002"/>
  </r>
  <r>
    <s v="ORD01275"/>
    <x v="330"/>
    <s v="C078"/>
    <x v="41"/>
    <x v="4"/>
    <x v="5"/>
    <x v="5"/>
    <x v="3"/>
    <x v="1272"/>
    <n v="18.010000000000002"/>
    <n v="1352208.81"/>
  </r>
  <r>
    <s v="ORD01276"/>
    <x v="54"/>
    <s v="C204"/>
    <x v="240"/>
    <x v="0"/>
    <x v="3"/>
    <x v="3"/>
    <x v="2"/>
    <x v="1273"/>
    <n v="22.51"/>
    <n v="697449.84"/>
  </r>
  <r>
    <s v="ORD01277"/>
    <x v="605"/>
    <s v="C114"/>
    <x v="370"/>
    <x v="1"/>
    <x v="19"/>
    <x v="19"/>
    <x v="3"/>
    <x v="1274"/>
    <n v="14.17"/>
    <n v="21042.45"/>
  </r>
  <r>
    <s v="ORD01278"/>
    <x v="444"/>
    <s v="C091"/>
    <x v="458"/>
    <x v="1"/>
    <x v="36"/>
    <x v="36"/>
    <x v="4"/>
    <x v="1275"/>
    <n v="31.73"/>
    <n v="3160561.84"/>
  </r>
  <r>
    <s v="ORD01279"/>
    <x v="606"/>
    <s v="C466"/>
    <x v="23"/>
    <x v="2"/>
    <x v="28"/>
    <x v="28"/>
    <x v="3"/>
    <x v="1276"/>
    <n v="22.89"/>
    <n v="612902.64"/>
  </r>
  <r>
    <s v="ORD01280"/>
    <x v="553"/>
    <s v="C105"/>
    <x v="386"/>
    <x v="0"/>
    <x v="40"/>
    <x v="40"/>
    <x v="0"/>
    <x v="1277"/>
    <n v="45.65"/>
    <n v="2200421.2999999998"/>
  </r>
  <r>
    <s v="ORD01281"/>
    <x v="118"/>
    <s v="C215"/>
    <x v="459"/>
    <x v="1"/>
    <x v="49"/>
    <x v="49"/>
    <x v="3"/>
    <x v="1278"/>
    <n v="12.96"/>
    <n v="509652"/>
  </r>
  <r>
    <s v="ORD01282"/>
    <x v="164"/>
    <s v="C499"/>
    <x v="100"/>
    <x v="0"/>
    <x v="31"/>
    <x v="31"/>
    <x v="0"/>
    <x v="1279"/>
    <n v="21.89"/>
    <n v="139658.20000000001"/>
  </r>
  <r>
    <s v="ORD01283"/>
    <x v="175"/>
    <s v="C075"/>
    <x v="460"/>
    <x v="3"/>
    <x v="49"/>
    <x v="49"/>
    <x v="3"/>
    <x v="1280"/>
    <n v="46.62"/>
    <n v="3312770.58"/>
  </r>
  <r>
    <s v="ORD01284"/>
    <x v="591"/>
    <s v="C274"/>
    <x v="461"/>
    <x v="4"/>
    <x v="19"/>
    <x v="19"/>
    <x v="3"/>
    <x v="1281"/>
    <n v="38.130000000000003"/>
    <n v="2245056.27"/>
  </r>
  <r>
    <s v="ORD01285"/>
    <x v="607"/>
    <s v="C036"/>
    <x v="40"/>
    <x v="3"/>
    <x v="38"/>
    <x v="38"/>
    <x v="2"/>
    <x v="1282"/>
    <n v="23.25"/>
    <n v="424963.5"/>
  </r>
  <r>
    <s v="ORD01286"/>
    <x v="199"/>
    <s v="C392"/>
    <x v="383"/>
    <x v="3"/>
    <x v="0"/>
    <x v="0"/>
    <x v="0"/>
    <x v="1283"/>
    <n v="11.79"/>
    <n v="706951.98"/>
  </r>
  <r>
    <s v="ORD01287"/>
    <x v="208"/>
    <s v="C259"/>
    <x v="36"/>
    <x v="2"/>
    <x v="47"/>
    <x v="47"/>
    <x v="2"/>
    <x v="1284"/>
    <n v="34.5"/>
    <n v="1085473.5"/>
  </r>
  <r>
    <s v="ORD01288"/>
    <x v="555"/>
    <s v="C121"/>
    <x v="8"/>
    <x v="2"/>
    <x v="5"/>
    <x v="5"/>
    <x v="3"/>
    <x v="1285"/>
    <n v="34.090000000000003"/>
    <n v="1399224.05"/>
  </r>
  <r>
    <s v="ORD01289"/>
    <x v="608"/>
    <s v="C168"/>
    <x v="285"/>
    <x v="1"/>
    <x v="13"/>
    <x v="13"/>
    <x v="2"/>
    <x v="1286"/>
    <n v="35.81"/>
    <n v="54860.92"/>
  </r>
  <r>
    <s v="ORD01290"/>
    <x v="468"/>
    <s v="C119"/>
    <x v="122"/>
    <x v="0"/>
    <x v="49"/>
    <x v="49"/>
    <x v="3"/>
    <x v="1287"/>
    <n v="29.7"/>
    <n v="1768159.8"/>
  </r>
  <r>
    <s v="ORD01291"/>
    <x v="144"/>
    <s v="C245"/>
    <x v="137"/>
    <x v="1"/>
    <x v="27"/>
    <x v="27"/>
    <x v="4"/>
    <x v="1288"/>
    <n v="11.64"/>
    <n v="234906.84"/>
  </r>
  <r>
    <s v="ORD01292"/>
    <x v="10"/>
    <s v="C206"/>
    <x v="401"/>
    <x v="1"/>
    <x v="9"/>
    <x v="9"/>
    <x v="4"/>
    <x v="1289"/>
    <n v="43.98"/>
    <n v="4225598.4000000004"/>
  </r>
  <r>
    <s v="ORD01293"/>
    <x v="327"/>
    <s v="C217"/>
    <x v="145"/>
    <x v="4"/>
    <x v="46"/>
    <x v="46"/>
    <x v="0"/>
    <x v="1290"/>
    <n v="24.73"/>
    <n v="1552153.72"/>
  </r>
  <r>
    <s v="ORD01294"/>
    <x v="339"/>
    <s v="C187"/>
    <x v="108"/>
    <x v="3"/>
    <x v="37"/>
    <x v="37"/>
    <x v="1"/>
    <x v="1291"/>
    <n v="47.22"/>
    <n v="2963338.32"/>
  </r>
  <r>
    <s v="ORD01295"/>
    <x v="151"/>
    <s v="C138"/>
    <x v="251"/>
    <x v="2"/>
    <x v="12"/>
    <x v="12"/>
    <x v="4"/>
    <x v="1292"/>
    <n v="12.64"/>
    <n v="409927.84"/>
  </r>
  <r>
    <s v="ORD01296"/>
    <x v="258"/>
    <s v="C094"/>
    <x v="55"/>
    <x v="1"/>
    <x v="4"/>
    <x v="4"/>
    <x v="1"/>
    <x v="1293"/>
    <n v="47.5"/>
    <n v="2288217.5"/>
  </r>
  <r>
    <s v="ORD01297"/>
    <x v="609"/>
    <s v="C500"/>
    <x v="86"/>
    <x v="0"/>
    <x v="49"/>
    <x v="49"/>
    <x v="3"/>
    <x v="1294"/>
    <n v="21.05"/>
    <n v="1312046.5"/>
  </r>
  <r>
    <s v="ORD01298"/>
    <x v="509"/>
    <s v="C189"/>
    <x v="253"/>
    <x v="0"/>
    <x v="33"/>
    <x v="33"/>
    <x v="1"/>
    <x v="1295"/>
    <n v="48.36"/>
    <n v="2802171.84"/>
  </r>
  <r>
    <s v="ORD01299"/>
    <x v="65"/>
    <s v="C311"/>
    <x v="128"/>
    <x v="0"/>
    <x v="38"/>
    <x v="38"/>
    <x v="2"/>
    <x v="1296"/>
    <n v="27.31"/>
    <n v="2386675.52"/>
  </r>
  <r>
    <s v="ORD01300"/>
    <x v="174"/>
    <s v="C342"/>
    <x v="258"/>
    <x v="4"/>
    <x v="15"/>
    <x v="15"/>
    <x v="2"/>
    <x v="1297"/>
    <n v="18.149999999999999"/>
    <n v="916956.15"/>
  </r>
  <r>
    <s v="ORD01301"/>
    <x v="610"/>
    <s v="C121"/>
    <x v="8"/>
    <x v="2"/>
    <x v="42"/>
    <x v="42"/>
    <x v="1"/>
    <x v="1298"/>
    <n v="45.25"/>
    <n v="2500469.75"/>
  </r>
  <r>
    <s v="ORD01302"/>
    <x v="485"/>
    <s v="C231"/>
    <x v="315"/>
    <x v="2"/>
    <x v="12"/>
    <x v="12"/>
    <x v="4"/>
    <x v="1299"/>
    <n v="28.87"/>
    <n v="350279.71"/>
  </r>
  <r>
    <s v="ORD01303"/>
    <x v="562"/>
    <s v="C254"/>
    <x v="431"/>
    <x v="1"/>
    <x v="29"/>
    <x v="29"/>
    <x v="0"/>
    <x v="1300"/>
    <n v="41.81"/>
    <n v="2918630.67"/>
  </r>
  <r>
    <s v="ORD01304"/>
    <x v="192"/>
    <s v="C363"/>
    <x v="72"/>
    <x v="4"/>
    <x v="31"/>
    <x v="31"/>
    <x v="0"/>
    <x v="1301"/>
    <n v="22.99"/>
    <n v="786074.08"/>
  </r>
  <r>
    <s v="ORD01305"/>
    <x v="611"/>
    <s v="C425"/>
    <x v="144"/>
    <x v="1"/>
    <x v="11"/>
    <x v="11"/>
    <x v="4"/>
    <x v="1302"/>
    <n v="47.58"/>
    <n v="3641297.4"/>
  </r>
  <r>
    <s v="ORD01306"/>
    <x v="365"/>
    <s v="C215"/>
    <x v="459"/>
    <x v="1"/>
    <x v="40"/>
    <x v="40"/>
    <x v="0"/>
    <x v="1303"/>
    <n v="16.12"/>
    <n v="707619.64"/>
  </r>
  <r>
    <s v="ORD01307"/>
    <x v="612"/>
    <s v="C207"/>
    <x v="352"/>
    <x v="3"/>
    <x v="29"/>
    <x v="29"/>
    <x v="0"/>
    <x v="1304"/>
    <n v="39.159999999999997"/>
    <n v="870800.92"/>
  </r>
  <r>
    <s v="ORD01308"/>
    <x v="521"/>
    <s v="C410"/>
    <x v="326"/>
    <x v="4"/>
    <x v="47"/>
    <x v="47"/>
    <x v="2"/>
    <x v="1305"/>
    <n v="49.72"/>
    <n v="835445.16"/>
  </r>
  <r>
    <s v="ORD01309"/>
    <x v="613"/>
    <s v="C250"/>
    <x v="64"/>
    <x v="1"/>
    <x v="17"/>
    <x v="17"/>
    <x v="1"/>
    <x v="1306"/>
    <n v="36.619999999999997"/>
    <n v="2587093.14"/>
  </r>
  <r>
    <s v="ORD01310"/>
    <x v="271"/>
    <s v="C158"/>
    <x v="117"/>
    <x v="3"/>
    <x v="32"/>
    <x v="32"/>
    <x v="4"/>
    <x v="1307"/>
    <n v="8.64"/>
    <n v="696954.24"/>
  </r>
  <r>
    <s v="ORD01311"/>
    <x v="614"/>
    <s v="C089"/>
    <x v="79"/>
    <x v="4"/>
    <x v="35"/>
    <x v="35"/>
    <x v="1"/>
    <x v="1308"/>
    <n v="21.73"/>
    <n v="1288958.4099999999"/>
  </r>
  <r>
    <s v="ORD01312"/>
    <x v="37"/>
    <s v="C227"/>
    <x v="278"/>
    <x v="2"/>
    <x v="34"/>
    <x v="34"/>
    <x v="2"/>
    <x v="1309"/>
    <n v="25.25"/>
    <n v="1568908.75"/>
  </r>
  <r>
    <s v="ORD01313"/>
    <x v="60"/>
    <s v="C113"/>
    <x v="442"/>
    <x v="3"/>
    <x v="3"/>
    <x v="3"/>
    <x v="2"/>
    <x v="1310"/>
    <n v="39.630000000000003"/>
    <n v="2370706.23"/>
  </r>
  <r>
    <s v="ORD01314"/>
    <x v="569"/>
    <s v="C034"/>
    <x v="19"/>
    <x v="0"/>
    <x v="16"/>
    <x v="16"/>
    <x v="1"/>
    <x v="1311"/>
    <n v="5.15"/>
    <n v="319861.34999999998"/>
  </r>
  <r>
    <s v="ORD01315"/>
    <x v="615"/>
    <s v="C175"/>
    <x v="29"/>
    <x v="4"/>
    <x v="9"/>
    <x v="9"/>
    <x v="4"/>
    <x v="1312"/>
    <n v="45.14"/>
    <n v="3133573.66"/>
  </r>
  <r>
    <s v="ORD01316"/>
    <x v="128"/>
    <s v="C019"/>
    <x v="88"/>
    <x v="0"/>
    <x v="3"/>
    <x v="3"/>
    <x v="2"/>
    <x v="1313"/>
    <n v="4.6100000000000003"/>
    <n v="74488.38"/>
  </r>
  <r>
    <s v="ORD01317"/>
    <x v="409"/>
    <s v="C034"/>
    <x v="19"/>
    <x v="0"/>
    <x v="16"/>
    <x v="16"/>
    <x v="1"/>
    <x v="1314"/>
    <n v="7.76"/>
    <n v="492946.24"/>
  </r>
  <r>
    <s v="ORD01318"/>
    <x v="282"/>
    <s v="C057"/>
    <x v="161"/>
    <x v="4"/>
    <x v="49"/>
    <x v="49"/>
    <x v="3"/>
    <x v="1315"/>
    <n v="21.43"/>
    <n v="749064.22"/>
  </r>
  <r>
    <s v="ORD01319"/>
    <x v="81"/>
    <s v="C082"/>
    <x v="462"/>
    <x v="0"/>
    <x v="9"/>
    <x v="9"/>
    <x v="4"/>
    <x v="1316"/>
    <n v="24.2"/>
    <n v="947067"/>
  </r>
  <r>
    <s v="ORD01320"/>
    <x v="345"/>
    <s v="C096"/>
    <x v="454"/>
    <x v="1"/>
    <x v="16"/>
    <x v="16"/>
    <x v="1"/>
    <x v="1317"/>
    <n v="14.71"/>
    <n v="699195.72"/>
  </r>
  <r>
    <s v="ORD01321"/>
    <x v="69"/>
    <s v="C465"/>
    <x v="140"/>
    <x v="2"/>
    <x v="12"/>
    <x v="12"/>
    <x v="4"/>
    <x v="1318"/>
    <n v="27.6"/>
    <n v="2228010"/>
  </r>
  <r>
    <s v="ORD01322"/>
    <x v="75"/>
    <s v="C397"/>
    <x v="95"/>
    <x v="3"/>
    <x v="11"/>
    <x v="11"/>
    <x v="4"/>
    <x v="1319"/>
    <n v="14.65"/>
    <n v="658810.5"/>
  </r>
  <r>
    <s v="ORD01323"/>
    <x v="41"/>
    <s v="C012"/>
    <x v="412"/>
    <x v="1"/>
    <x v="35"/>
    <x v="35"/>
    <x v="1"/>
    <x v="1320"/>
    <n v="2.04"/>
    <n v="126563.64"/>
  </r>
  <r>
    <s v="ORD01324"/>
    <x v="572"/>
    <s v="C284"/>
    <x v="287"/>
    <x v="4"/>
    <x v="47"/>
    <x v="47"/>
    <x v="2"/>
    <x v="1321"/>
    <n v="7.28"/>
    <n v="419357.12"/>
  </r>
  <r>
    <s v="ORD01325"/>
    <x v="200"/>
    <s v="C213"/>
    <x v="283"/>
    <x v="1"/>
    <x v="6"/>
    <x v="6"/>
    <x v="0"/>
    <x v="1322"/>
    <n v="41.46"/>
    <n v="282301.14"/>
  </r>
  <r>
    <s v="ORD01326"/>
    <x v="365"/>
    <s v="C303"/>
    <x v="262"/>
    <x v="0"/>
    <x v="38"/>
    <x v="38"/>
    <x v="2"/>
    <x v="1323"/>
    <n v="35.299999999999997"/>
    <n v="1936275.6"/>
  </r>
  <r>
    <s v="ORD01327"/>
    <x v="320"/>
    <s v="C005"/>
    <x v="373"/>
    <x v="3"/>
    <x v="16"/>
    <x v="16"/>
    <x v="1"/>
    <x v="1324"/>
    <n v="25.45"/>
    <n v="952898.9"/>
  </r>
  <r>
    <s v="ORD01328"/>
    <x v="174"/>
    <s v="C143"/>
    <x v="448"/>
    <x v="4"/>
    <x v="31"/>
    <x v="31"/>
    <x v="0"/>
    <x v="1325"/>
    <n v="26.33"/>
    <n v="618702.34"/>
  </r>
  <r>
    <s v="ORD01329"/>
    <x v="35"/>
    <s v="C484"/>
    <x v="124"/>
    <x v="3"/>
    <x v="9"/>
    <x v="9"/>
    <x v="4"/>
    <x v="1326"/>
    <n v="7.58"/>
    <n v="636909.5"/>
  </r>
  <r>
    <s v="ORD01330"/>
    <x v="32"/>
    <s v="C167"/>
    <x v="404"/>
    <x v="4"/>
    <x v="18"/>
    <x v="18"/>
    <x v="0"/>
    <x v="1327"/>
    <n v="39.39"/>
    <n v="2579296.59"/>
  </r>
  <r>
    <s v="ORD01331"/>
    <x v="287"/>
    <s v="C367"/>
    <x v="337"/>
    <x v="4"/>
    <x v="47"/>
    <x v="47"/>
    <x v="2"/>
    <x v="1151"/>
    <n v="9.9499999999999993"/>
    <n v="587288.80000000005"/>
  </r>
  <r>
    <s v="ORD01332"/>
    <x v="65"/>
    <s v="C169"/>
    <x v="375"/>
    <x v="0"/>
    <x v="38"/>
    <x v="38"/>
    <x v="2"/>
    <x v="1328"/>
    <n v="23.63"/>
    <n v="1049928.1599999999"/>
  </r>
  <r>
    <s v="ORD01333"/>
    <x v="616"/>
    <s v="C247"/>
    <x v="433"/>
    <x v="4"/>
    <x v="46"/>
    <x v="46"/>
    <x v="0"/>
    <x v="1329"/>
    <n v="39.520000000000003"/>
    <n v="3014388"/>
  </r>
  <r>
    <s v="ORD01334"/>
    <x v="393"/>
    <s v="C054"/>
    <x v="129"/>
    <x v="3"/>
    <x v="37"/>
    <x v="37"/>
    <x v="1"/>
    <x v="1330"/>
    <n v="19.11"/>
    <n v="602156.1"/>
  </r>
  <r>
    <s v="ORD01335"/>
    <x v="320"/>
    <s v="C427"/>
    <x v="293"/>
    <x v="0"/>
    <x v="15"/>
    <x v="15"/>
    <x v="2"/>
    <x v="1331"/>
    <n v="17.72"/>
    <n v="222793.56"/>
  </r>
  <r>
    <s v="ORD01336"/>
    <x v="382"/>
    <s v="C037"/>
    <x v="255"/>
    <x v="1"/>
    <x v="14"/>
    <x v="14"/>
    <x v="2"/>
    <x v="1332"/>
    <n v="28.7"/>
    <n v="1665288.8"/>
  </r>
  <r>
    <s v="ORD01337"/>
    <x v="479"/>
    <s v="C388"/>
    <x v="191"/>
    <x v="2"/>
    <x v="26"/>
    <x v="26"/>
    <x v="0"/>
    <x v="1333"/>
    <n v="13.04"/>
    <n v="1136057.8400000001"/>
  </r>
  <r>
    <s v="ORD01338"/>
    <x v="234"/>
    <s v="C045"/>
    <x v="174"/>
    <x v="2"/>
    <x v="5"/>
    <x v="5"/>
    <x v="3"/>
    <x v="1334"/>
    <n v="36.51"/>
    <n v="463640.49"/>
  </r>
  <r>
    <s v="ORD01339"/>
    <x v="164"/>
    <s v="C435"/>
    <x v="60"/>
    <x v="4"/>
    <x v="29"/>
    <x v="29"/>
    <x v="0"/>
    <x v="1335"/>
    <n v="8.19"/>
    <n v="289639.34999999998"/>
  </r>
  <r>
    <s v="ORD01340"/>
    <x v="210"/>
    <s v="C214"/>
    <x v="463"/>
    <x v="2"/>
    <x v="44"/>
    <x v="44"/>
    <x v="2"/>
    <x v="1336"/>
    <n v="19.87"/>
    <n v="1275395.69"/>
  </r>
  <r>
    <s v="ORD01341"/>
    <x v="1"/>
    <s v="C319"/>
    <x v="210"/>
    <x v="2"/>
    <x v="18"/>
    <x v="18"/>
    <x v="0"/>
    <x v="1337"/>
    <n v="12.73"/>
    <n v="157533.75"/>
  </r>
  <r>
    <s v="ORD01342"/>
    <x v="617"/>
    <s v="C225"/>
    <x v="34"/>
    <x v="0"/>
    <x v="19"/>
    <x v="19"/>
    <x v="3"/>
    <x v="1338"/>
    <n v="46.74"/>
    <n v="4640721.12"/>
  </r>
  <r>
    <s v="ORD01343"/>
    <x v="503"/>
    <s v="C141"/>
    <x v="438"/>
    <x v="0"/>
    <x v="16"/>
    <x v="16"/>
    <x v="1"/>
    <x v="1339"/>
    <n v="28.45"/>
    <n v="1128696.8500000001"/>
  </r>
  <r>
    <s v="ORD01344"/>
    <x v="618"/>
    <s v="C308"/>
    <x v="149"/>
    <x v="4"/>
    <x v="39"/>
    <x v="39"/>
    <x v="3"/>
    <x v="1340"/>
    <n v="9.35"/>
    <n v="563356.19999999995"/>
  </r>
  <r>
    <s v="ORD01345"/>
    <x v="242"/>
    <s v="C397"/>
    <x v="95"/>
    <x v="3"/>
    <x v="3"/>
    <x v="3"/>
    <x v="2"/>
    <x v="1341"/>
    <n v="45.19"/>
    <n v="2541350.0299999998"/>
  </r>
  <r>
    <s v="ORD01346"/>
    <x v="489"/>
    <s v="C223"/>
    <x v="358"/>
    <x v="1"/>
    <x v="22"/>
    <x v="22"/>
    <x v="0"/>
    <x v="1342"/>
    <n v="41.15"/>
    <n v="2686395.45"/>
  </r>
  <r>
    <s v="ORD01347"/>
    <x v="188"/>
    <s v="C265"/>
    <x v="382"/>
    <x v="4"/>
    <x v="8"/>
    <x v="8"/>
    <x v="3"/>
    <x v="1343"/>
    <n v="43.33"/>
    <n v="607573.26"/>
  </r>
  <r>
    <s v="ORD01348"/>
    <x v="487"/>
    <s v="C407"/>
    <x v="70"/>
    <x v="0"/>
    <x v="11"/>
    <x v="11"/>
    <x v="4"/>
    <x v="1344"/>
    <n v="40.5"/>
    <n v="447363"/>
  </r>
  <r>
    <s v="ORD01349"/>
    <x v="388"/>
    <s v="C143"/>
    <x v="448"/>
    <x v="4"/>
    <x v="45"/>
    <x v="45"/>
    <x v="3"/>
    <x v="1345"/>
    <n v="22.38"/>
    <n v="676480.26"/>
  </r>
  <r>
    <s v="ORD01350"/>
    <x v="619"/>
    <s v="C369"/>
    <x v="464"/>
    <x v="4"/>
    <x v="26"/>
    <x v="26"/>
    <x v="0"/>
    <x v="1346"/>
    <n v="18.71"/>
    <n v="241396.42"/>
  </r>
  <r>
    <s v="ORD01351"/>
    <x v="379"/>
    <s v="C199"/>
    <x v="419"/>
    <x v="3"/>
    <x v="9"/>
    <x v="9"/>
    <x v="4"/>
    <x v="1347"/>
    <n v="7.29"/>
    <n v="158222.16"/>
  </r>
  <r>
    <s v="ORD01352"/>
    <x v="296"/>
    <s v="C364"/>
    <x v="398"/>
    <x v="3"/>
    <x v="0"/>
    <x v="0"/>
    <x v="0"/>
    <x v="1348"/>
    <n v="41.5"/>
    <n v="2869766.5"/>
  </r>
  <r>
    <s v="ORD01353"/>
    <x v="239"/>
    <s v="C477"/>
    <x v="87"/>
    <x v="4"/>
    <x v="17"/>
    <x v="17"/>
    <x v="1"/>
    <x v="1318"/>
    <n v="26.02"/>
    <n v="2100464.5"/>
  </r>
  <r>
    <s v="ORD01354"/>
    <x v="263"/>
    <s v="C151"/>
    <x v="328"/>
    <x v="0"/>
    <x v="43"/>
    <x v="43"/>
    <x v="4"/>
    <x v="1349"/>
    <n v="21.96"/>
    <n v="1284045.1200000001"/>
  </r>
  <r>
    <s v="ORD01355"/>
    <x v="53"/>
    <s v="C218"/>
    <x v="263"/>
    <x v="4"/>
    <x v="19"/>
    <x v="19"/>
    <x v="3"/>
    <x v="1350"/>
    <n v="46.85"/>
    <n v="3117961.2"/>
  </r>
  <r>
    <s v="ORD01356"/>
    <x v="417"/>
    <s v="C455"/>
    <x v="366"/>
    <x v="4"/>
    <x v="27"/>
    <x v="27"/>
    <x v="4"/>
    <x v="1351"/>
    <n v="41.97"/>
    <n v="772331.94"/>
  </r>
  <r>
    <s v="ORD01357"/>
    <x v="620"/>
    <s v="C231"/>
    <x v="315"/>
    <x v="2"/>
    <x v="36"/>
    <x v="36"/>
    <x v="4"/>
    <x v="1352"/>
    <n v="32.21"/>
    <n v="484921.55"/>
  </r>
  <r>
    <s v="ORD01358"/>
    <x v="262"/>
    <s v="C392"/>
    <x v="383"/>
    <x v="3"/>
    <x v="34"/>
    <x v="34"/>
    <x v="2"/>
    <x v="1353"/>
    <n v="24.84"/>
    <n v="1998055.08"/>
  </r>
  <r>
    <s v="ORD01359"/>
    <x v="450"/>
    <s v="C033"/>
    <x v="150"/>
    <x v="4"/>
    <x v="12"/>
    <x v="12"/>
    <x v="4"/>
    <x v="1354"/>
    <n v="27.73"/>
    <n v="2536213.5299999998"/>
  </r>
  <r>
    <s v="ORD01360"/>
    <x v="206"/>
    <s v="C198"/>
    <x v="0"/>
    <x v="0"/>
    <x v="29"/>
    <x v="29"/>
    <x v="0"/>
    <x v="1355"/>
    <n v="16.170000000000002"/>
    <n v="549537.44999999995"/>
  </r>
  <r>
    <s v="ORD01361"/>
    <x v="22"/>
    <s v="C359"/>
    <x v="31"/>
    <x v="0"/>
    <x v="36"/>
    <x v="36"/>
    <x v="4"/>
    <x v="1356"/>
    <n v="44.65"/>
    <n v="2615195.15"/>
  </r>
  <r>
    <s v="ORD01362"/>
    <x v="510"/>
    <s v="C240"/>
    <x v="218"/>
    <x v="3"/>
    <x v="17"/>
    <x v="17"/>
    <x v="1"/>
    <x v="1357"/>
    <n v="6.66"/>
    <n v="128071.8"/>
  </r>
  <r>
    <s v="ORD01363"/>
    <x v="152"/>
    <s v="C099"/>
    <x v="302"/>
    <x v="2"/>
    <x v="43"/>
    <x v="43"/>
    <x v="4"/>
    <x v="1358"/>
    <n v="48.02"/>
    <n v="3612400.54"/>
  </r>
  <r>
    <s v="ORD01364"/>
    <x v="610"/>
    <s v="C380"/>
    <x v="193"/>
    <x v="3"/>
    <x v="7"/>
    <x v="7"/>
    <x v="3"/>
    <x v="1359"/>
    <n v="29.34"/>
    <n v="1574443.08"/>
  </r>
  <r>
    <s v="ORD01365"/>
    <x v="386"/>
    <s v="C267"/>
    <x v="172"/>
    <x v="4"/>
    <x v="33"/>
    <x v="33"/>
    <x v="1"/>
    <x v="1360"/>
    <n v="42.8"/>
    <n v="3204607.2"/>
  </r>
  <r>
    <s v="ORD01366"/>
    <x v="311"/>
    <s v="C247"/>
    <x v="433"/>
    <x v="4"/>
    <x v="36"/>
    <x v="36"/>
    <x v="4"/>
    <x v="1361"/>
    <n v="29.81"/>
    <n v="2749912.88"/>
  </r>
  <r>
    <s v="ORD01367"/>
    <x v="313"/>
    <s v="C440"/>
    <x v="73"/>
    <x v="0"/>
    <x v="37"/>
    <x v="37"/>
    <x v="1"/>
    <x v="1362"/>
    <n v="15.22"/>
    <n v="78839.600000000006"/>
  </r>
  <r>
    <s v="ORD01368"/>
    <x v="621"/>
    <s v="C230"/>
    <x v="465"/>
    <x v="4"/>
    <x v="41"/>
    <x v="41"/>
    <x v="4"/>
    <x v="1363"/>
    <n v="24.59"/>
    <n v="1439129.75"/>
  </r>
  <r>
    <s v="ORD01369"/>
    <x v="85"/>
    <s v="C354"/>
    <x v="97"/>
    <x v="4"/>
    <x v="27"/>
    <x v="27"/>
    <x v="4"/>
    <x v="1364"/>
    <n v="5.39"/>
    <n v="423141.95"/>
  </r>
  <r>
    <s v="ORD01370"/>
    <x v="66"/>
    <s v="C102"/>
    <x v="20"/>
    <x v="0"/>
    <x v="5"/>
    <x v="5"/>
    <x v="3"/>
    <x v="1365"/>
    <n v="7.99"/>
    <n v="744116.69"/>
  </r>
  <r>
    <s v="ORD01371"/>
    <x v="139"/>
    <s v="C320"/>
    <x v="257"/>
    <x v="1"/>
    <x v="23"/>
    <x v="23"/>
    <x v="0"/>
    <x v="1366"/>
    <n v="46.06"/>
    <n v="438767.56"/>
  </r>
  <r>
    <s v="ORD01372"/>
    <x v="390"/>
    <s v="C472"/>
    <x v="3"/>
    <x v="3"/>
    <x v="30"/>
    <x v="30"/>
    <x v="4"/>
    <x v="1367"/>
    <n v="41.68"/>
    <n v="1182044.8"/>
  </r>
  <r>
    <s v="ORD01373"/>
    <x v="179"/>
    <s v="C094"/>
    <x v="55"/>
    <x v="1"/>
    <x v="1"/>
    <x v="1"/>
    <x v="1"/>
    <x v="1368"/>
    <n v="3.5"/>
    <n v="312525.5"/>
  </r>
  <r>
    <s v="ORD01374"/>
    <x v="144"/>
    <s v="C445"/>
    <x v="248"/>
    <x v="3"/>
    <x v="45"/>
    <x v="45"/>
    <x v="3"/>
    <x v="1369"/>
    <n v="24.26"/>
    <n v="406282.22"/>
  </r>
  <r>
    <s v="ORD01375"/>
    <x v="575"/>
    <s v="C228"/>
    <x v="69"/>
    <x v="2"/>
    <x v="33"/>
    <x v="33"/>
    <x v="1"/>
    <x v="1370"/>
    <n v="46.95"/>
    <n v="3925160.85"/>
  </r>
  <r>
    <s v="ORD01376"/>
    <x v="564"/>
    <s v="C277"/>
    <x v="158"/>
    <x v="3"/>
    <x v="26"/>
    <x v="26"/>
    <x v="0"/>
    <x v="1371"/>
    <n v="37.770000000000003"/>
    <n v="2659914.48"/>
  </r>
  <r>
    <s v="ORD01377"/>
    <x v="480"/>
    <s v="C470"/>
    <x v="190"/>
    <x v="4"/>
    <x v="48"/>
    <x v="48"/>
    <x v="2"/>
    <x v="1372"/>
    <n v="37.450000000000003"/>
    <n v="268703.75"/>
  </r>
  <r>
    <s v="ORD01378"/>
    <x v="548"/>
    <s v="C194"/>
    <x v="106"/>
    <x v="2"/>
    <x v="0"/>
    <x v="0"/>
    <x v="0"/>
    <x v="1373"/>
    <n v="38.69"/>
    <n v="3113771.2"/>
  </r>
  <r>
    <s v="ORD01379"/>
    <x v="271"/>
    <s v="C471"/>
    <x v="160"/>
    <x v="2"/>
    <x v="16"/>
    <x v="16"/>
    <x v="1"/>
    <x v="1374"/>
    <n v="4.72"/>
    <n v="172275.28"/>
  </r>
  <r>
    <s v="ORD01380"/>
    <x v="11"/>
    <s v="C101"/>
    <x v="120"/>
    <x v="4"/>
    <x v="9"/>
    <x v="9"/>
    <x v="4"/>
    <x v="1375"/>
    <n v="21.44"/>
    <n v="132606.39999999999"/>
  </r>
  <r>
    <s v="ORD01381"/>
    <x v="36"/>
    <s v="C350"/>
    <x v="280"/>
    <x v="3"/>
    <x v="38"/>
    <x v="38"/>
    <x v="2"/>
    <x v="1376"/>
    <n v="34.729999999999997"/>
    <n v="1887193.47"/>
  </r>
  <r>
    <s v="ORD01382"/>
    <x v="622"/>
    <s v="C274"/>
    <x v="461"/>
    <x v="4"/>
    <x v="20"/>
    <x v="20"/>
    <x v="1"/>
    <x v="1377"/>
    <n v="40.08"/>
    <n v="2965759.68"/>
  </r>
  <r>
    <s v="ORD01383"/>
    <x v="181"/>
    <s v="C084"/>
    <x v="291"/>
    <x v="3"/>
    <x v="1"/>
    <x v="1"/>
    <x v="1"/>
    <x v="1378"/>
    <n v="39.54"/>
    <n v="1797013.92"/>
  </r>
  <r>
    <s v="ORD01384"/>
    <x v="520"/>
    <s v="C495"/>
    <x v="348"/>
    <x v="3"/>
    <x v="30"/>
    <x v="30"/>
    <x v="4"/>
    <x v="1379"/>
    <n v="11.84"/>
    <n v="1126765.44"/>
  </r>
  <r>
    <s v="ORD01385"/>
    <x v="49"/>
    <s v="C391"/>
    <x v="425"/>
    <x v="0"/>
    <x v="38"/>
    <x v="38"/>
    <x v="2"/>
    <x v="1380"/>
    <n v="32.51"/>
    <n v="1716495.49"/>
  </r>
  <r>
    <s v="ORD01386"/>
    <x v="412"/>
    <s v="C100"/>
    <x v="39"/>
    <x v="0"/>
    <x v="33"/>
    <x v="33"/>
    <x v="1"/>
    <x v="1381"/>
    <n v="39.65"/>
    <n v="3188573.7"/>
  </r>
  <r>
    <s v="ORD01387"/>
    <x v="168"/>
    <s v="C157"/>
    <x v="327"/>
    <x v="4"/>
    <x v="4"/>
    <x v="4"/>
    <x v="1"/>
    <x v="1382"/>
    <n v="36.89"/>
    <n v="1358769.37"/>
  </r>
  <r>
    <s v="ORD01388"/>
    <x v="56"/>
    <s v="C211"/>
    <x v="24"/>
    <x v="1"/>
    <x v="15"/>
    <x v="15"/>
    <x v="2"/>
    <x v="1383"/>
    <n v="47.19"/>
    <n v="3750755.58"/>
  </r>
  <r>
    <s v="ORD01389"/>
    <x v="331"/>
    <s v="C112"/>
    <x v="77"/>
    <x v="1"/>
    <x v="19"/>
    <x v="19"/>
    <x v="3"/>
    <x v="1384"/>
    <n v="16.34"/>
    <n v="112811.36"/>
  </r>
  <r>
    <s v="ORD01390"/>
    <x v="623"/>
    <s v="C409"/>
    <x v="466"/>
    <x v="3"/>
    <x v="31"/>
    <x v="31"/>
    <x v="0"/>
    <x v="1385"/>
    <n v="9.26"/>
    <n v="13723.32"/>
  </r>
  <r>
    <s v="ORD01391"/>
    <x v="23"/>
    <s v="C310"/>
    <x v="467"/>
    <x v="3"/>
    <x v="14"/>
    <x v="14"/>
    <x v="2"/>
    <x v="1386"/>
    <n v="46.14"/>
    <n v="2977460.34"/>
  </r>
  <r>
    <s v="ORD01392"/>
    <x v="425"/>
    <s v="C465"/>
    <x v="140"/>
    <x v="2"/>
    <x v="24"/>
    <x v="24"/>
    <x v="3"/>
    <x v="1387"/>
    <n v="44.39"/>
    <n v="1600170.72"/>
  </r>
  <r>
    <s v="ORD01393"/>
    <x v="50"/>
    <s v="C185"/>
    <x v="241"/>
    <x v="2"/>
    <x v="41"/>
    <x v="41"/>
    <x v="4"/>
    <x v="1388"/>
    <n v="38.31"/>
    <n v="3528925.65"/>
  </r>
  <r>
    <s v="ORD01394"/>
    <x v="147"/>
    <s v="C180"/>
    <x v="200"/>
    <x v="0"/>
    <x v="42"/>
    <x v="42"/>
    <x v="1"/>
    <x v="1389"/>
    <n v="47.54"/>
    <n v="3511874.88"/>
  </r>
  <r>
    <s v="ORD01395"/>
    <x v="237"/>
    <s v="C307"/>
    <x v="318"/>
    <x v="0"/>
    <x v="15"/>
    <x v="15"/>
    <x v="2"/>
    <x v="1390"/>
    <n v="29.99"/>
    <n v="329919.99"/>
  </r>
  <r>
    <s v="ORD01396"/>
    <x v="391"/>
    <s v="C199"/>
    <x v="419"/>
    <x v="3"/>
    <x v="36"/>
    <x v="36"/>
    <x v="4"/>
    <x v="1391"/>
    <n v="12.86"/>
    <n v="1226098.1200000001"/>
  </r>
  <r>
    <s v="ORD01397"/>
    <x v="489"/>
    <s v="C155"/>
    <x v="407"/>
    <x v="1"/>
    <x v="29"/>
    <x v="29"/>
    <x v="0"/>
    <x v="1392"/>
    <n v="20.11"/>
    <n v="718148.21"/>
  </r>
  <r>
    <s v="ORD01398"/>
    <x v="82"/>
    <s v="C395"/>
    <x v="261"/>
    <x v="3"/>
    <x v="9"/>
    <x v="9"/>
    <x v="4"/>
    <x v="1393"/>
    <n v="19.829999999999998"/>
    <n v="659962.23"/>
  </r>
  <r>
    <s v="ORD01399"/>
    <x v="316"/>
    <s v="C317"/>
    <x v="211"/>
    <x v="1"/>
    <x v="25"/>
    <x v="25"/>
    <x v="4"/>
    <x v="1394"/>
    <n v="31.77"/>
    <n v="1921163.67"/>
  </r>
  <r>
    <s v="ORD01400"/>
    <x v="432"/>
    <s v="C498"/>
    <x v="68"/>
    <x v="0"/>
    <x v="48"/>
    <x v="48"/>
    <x v="2"/>
    <x v="1395"/>
    <n v="9.31"/>
    <n v="339703.28"/>
  </r>
  <r>
    <s v="ORD01401"/>
    <x v="19"/>
    <s v="C315"/>
    <x v="132"/>
    <x v="2"/>
    <x v="22"/>
    <x v="22"/>
    <x v="0"/>
    <x v="1396"/>
    <n v="9.15"/>
    <n v="515090.1"/>
  </r>
  <r>
    <s v="ORD01402"/>
    <x v="176"/>
    <s v="C133"/>
    <x v="71"/>
    <x v="4"/>
    <x v="43"/>
    <x v="43"/>
    <x v="4"/>
    <x v="1397"/>
    <n v="44.19"/>
    <n v="1480011.48"/>
  </r>
  <r>
    <s v="ORD01403"/>
    <x v="343"/>
    <s v="C114"/>
    <x v="370"/>
    <x v="1"/>
    <x v="33"/>
    <x v="33"/>
    <x v="1"/>
    <x v="1398"/>
    <n v="42.47"/>
    <n v="1634542.89"/>
  </r>
  <r>
    <s v="ORD01404"/>
    <x v="442"/>
    <s v="C134"/>
    <x v="107"/>
    <x v="3"/>
    <x v="28"/>
    <x v="28"/>
    <x v="3"/>
    <x v="1399"/>
    <n v="37.770000000000003"/>
    <n v="1382419.77"/>
  </r>
  <r>
    <s v="ORD01405"/>
    <x v="624"/>
    <s v="C033"/>
    <x v="150"/>
    <x v="4"/>
    <x v="5"/>
    <x v="5"/>
    <x v="3"/>
    <x v="1400"/>
    <n v="41.41"/>
    <n v="1023323.92"/>
  </r>
  <r>
    <s v="ORD01406"/>
    <x v="537"/>
    <s v="C051"/>
    <x v="66"/>
    <x v="4"/>
    <x v="42"/>
    <x v="42"/>
    <x v="1"/>
    <x v="1401"/>
    <n v="28.65"/>
    <n v="158835.6"/>
  </r>
  <r>
    <s v="ORD01407"/>
    <x v="98"/>
    <s v="C002"/>
    <x v="314"/>
    <x v="3"/>
    <x v="33"/>
    <x v="33"/>
    <x v="1"/>
    <x v="1402"/>
    <n v="42.87"/>
    <n v="4175580.87"/>
  </r>
  <r>
    <s v="ORD01408"/>
    <x v="615"/>
    <s v="C413"/>
    <x v="298"/>
    <x v="3"/>
    <x v="35"/>
    <x v="35"/>
    <x v="1"/>
    <x v="1403"/>
    <n v="29.16"/>
    <n v="2344755.6"/>
  </r>
  <r>
    <s v="ORD01409"/>
    <x v="188"/>
    <s v="C313"/>
    <x v="350"/>
    <x v="2"/>
    <x v="33"/>
    <x v="33"/>
    <x v="1"/>
    <x v="1404"/>
    <n v="48.63"/>
    <n v="4035852.33"/>
  </r>
  <r>
    <s v="ORD01410"/>
    <x v="37"/>
    <s v="C032"/>
    <x v="234"/>
    <x v="4"/>
    <x v="35"/>
    <x v="35"/>
    <x v="1"/>
    <x v="1405"/>
    <n v="25.26"/>
    <n v="530586.30000000005"/>
  </r>
  <r>
    <s v="ORD01411"/>
    <x v="161"/>
    <s v="C030"/>
    <x v="468"/>
    <x v="4"/>
    <x v="6"/>
    <x v="6"/>
    <x v="0"/>
    <x v="1406"/>
    <n v="11.1"/>
    <n v="319990.8"/>
  </r>
  <r>
    <s v="ORD01412"/>
    <x v="206"/>
    <s v="C133"/>
    <x v="71"/>
    <x v="4"/>
    <x v="13"/>
    <x v="13"/>
    <x v="2"/>
    <x v="1407"/>
    <n v="3.98"/>
    <n v="164827.72"/>
  </r>
  <r>
    <s v="ORD01413"/>
    <x v="36"/>
    <s v="C161"/>
    <x v="169"/>
    <x v="1"/>
    <x v="29"/>
    <x v="29"/>
    <x v="0"/>
    <x v="1408"/>
    <n v="45.16"/>
    <n v="2825977.32"/>
  </r>
  <r>
    <s v="ORD01414"/>
    <x v="377"/>
    <s v="C176"/>
    <x v="469"/>
    <x v="2"/>
    <x v="37"/>
    <x v="37"/>
    <x v="1"/>
    <x v="1409"/>
    <n v="46.19"/>
    <n v="4453547.42"/>
  </r>
  <r>
    <s v="ORD01415"/>
    <x v="625"/>
    <s v="C397"/>
    <x v="95"/>
    <x v="3"/>
    <x v="16"/>
    <x v="16"/>
    <x v="1"/>
    <x v="1410"/>
    <n v="18.13"/>
    <n v="132258.35"/>
  </r>
  <r>
    <s v="ORD01416"/>
    <x v="626"/>
    <s v="C357"/>
    <x v="357"/>
    <x v="4"/>
    <x v="48"/>
    <x v="48"/>
    <x v="2"/>
    <x v="1411"/>
    <n v="13.38"/>
    <n v="960951.6"/>
  </r>
  <r>
    <s v="ORD01417"/>
    <x v="46"/>
    <s v="C376"/>
    <x v="35"/>
    <x v="1"/>
    <x v="0"/>
    <x v="0"/>
    <x v="0"/>
    <x v="1412"/>
    <n v="20.64"/>
    <n v="1314582.24"/>
  </r>
  <r>
    <s v="ORD01418"/>
    <x v="133"/>
    <s v="C144"/>
    <x v="470"/>
    <x v="4"/>
    <x v="45"/>
    <x v="45"/>
    <x v="3"/>
    <x v="1413"/>
    <n v="10.37"/>
    <n v="755962.63"/>
  </r>
  <r>
    <s v="ORD01419"/>
    <x v="627"/>
    <s v="C007"/>
    <x v="471"/>
    <x v="1"/>
    <x v="18"/>
    <x v="18"/>
    <x v="0"/>
    <x v="1414"/>
    <n v="7.69"/>
    <n v="118733.6"/>
  </r>
  <r>
    <s v="ORD01420"/>
    <x v="38"/>
    <s v="C417"/>
    <x v="417"/>
    <x v="2"/>
    <x v="15"/>
    <x v="15"/>
    <x v="2"/>
    <x v="1415"/>
    <n v="43.07"/>
    <n v="193470.44"/>
  </r>
  <r>
    <s v="ORD01421"/>
    <x v="125"/>
    <s v="C097"/>
    <x v="91"/>
    <x v="3"/>
    <x v="3"/>
    <x v="3"/>
    <x v="2"/>
    <x v="1416"/>
    <n v="22.3"/>
    <n v="675467"/>
  </r>
  <r>
    <s v="ORD01422"/>
    <x v="550"/>
    <s v="C113"/>
    <x v="442"/>
    <x v="3"/>
    <x v="24"/>
    <x v="24"/>
    <x v="3"/>
    <x v="1417"/>
    <n v="49.16"/>
    <n v="2128283.88"/>
  </r>
  <r>
    <s v="ORD01423"/>
    <x v="308"/>
    <s v="C069"/>
    <x v="410"/>
    <x v="4"/>
    <x v="4"/>
    <x v="4"/>
    <x v="1"/>
    <x v="1418"/>
    <n v="28.92"/>
    <n v="2717062.92"/>
  </r>
  <r>
    <s v="ORD01424"/>
    <x v="543"/>
    <s v="C287"/>
    <x v="228"/>
    <x v="4"/>
    <x v="35"/>
    <x v="35"/>
    <x v="1"/>
    <x v="1419"/>
    <n v="29.01"/>
    <n v="1174411.83"/>
  </r>
  <r>
    <s v="ORD01425"/>
    <x v="573"/>
    <s v="C066"/>
    <x v="237"/>
    <x v="4"/>
    <x v="0"/>
    <x v="0"/>
    <x v="0"/>
    <x v="1420"/>
    <n v="26.85"/>
    <n v="601789.05000000005"/>
  </r>
  <r>
    <s v="ORD01426"/>
    <x v="104"/>
    <s v="C378"/>
    <x v="216"/>
    <x v="2"/>
    <x v="42"/>
    <x v="42"/>
    <x v="1"/>
    <x v="1421"/>
    <n v="49.04"/>
    <n v="2343376.4"/>
  </r>
  <r>
    <s v="ORD01427"/>
    <x v="628"/>
    <s v="C289"/>
    <x v="408"/>
    <x v="1"/>
    <x v="33"/>
    <x v="33"/>
    <x v="1"/>
    <x v="1422"/>
    <n v="11.59"/>
    <n v="1007982.3"/>
  </r>
  <r>
    <s v="ORD01428"/>
    <x v="395"/>
    <s v="C027"/>
    <x v="289"/>
    <x v="1"/>
    <x v="34"/>
    <x v="34"/>
    <x v="2"/>
    <x v="1423"/>
    <n v="39.97"/>
    <n v="2378614.7000000002"/>
  </r>
  <r>
    <s v="ORD01429"/>
    <x v="60"/>
    <s v="C025"/>
    <x v="396"/>
    <x v="0"/>
    <x v="35"/>
    <x v="35"/>
    <x v="1"/>
    <x v="1424"/>
    <n v="31.1"/>
    <n v="151643.6"/>
  </r>
  <r>
    <s v="ORD01430"/>
    <x v="304"/>
    <s v="C421"/>
    <x v="110"/>
    <x v="2"/>
    <x v="10"/>
    <x v="10"/>
    <x v="3"/>
    <x v="1425"/>
    <n v="23.25"/>
    <n v="1071127.5"/>
  </r>
  <r>
    <s v="ORD01431"/>
    <x v="354"/>
    <s v="C111"/>
    <x v="286"/>
    <x v="0"/>
    <x v="9"/>
    <x v="9"/>
    <x v="4"/>
    <x v="1426"/>
    <n v="35.69"/>
    <n v="2522105.23"/>
  </r>
  <r>
    <s v="ORD01432"/>
    <x v="624"/>
    <s v="C139"/>
    <x v="385"/>
    <x v="2"/>
    <x v="11"/>
    <x v="11"/>
    <x v="4"/>
    <x v="1427"/>
    <n v="34.369999999999997"/>
    <n v="1592808.91"/>
  </r>
  <r>
    <s v="ORD01433"/>
    <x v="55"/>
    <s v="C471"/>
    <x v="160"/>
    <x v="2"/>
    <x v="7"/>
    <x v="7"/>
    <x v="3"/>
    <x v="1428"/>
    <n v="33.31"/>
    <n v="1886112.13"/>
  </r>
  <r>
    <s v="ORD01434"/>
    <x v="179"/>
    <s v="C108"/>
    <x v="310"/>
    <x v="4"/>
    <x v="7"/>
    <x v="7"/>
    <x v="3"/>
    <x v="1429"/>
    <n v="27.31"/>
    <n v="308302.59000000003"/>
  </r>
  <r>
    <s v="ORD01435"/>
    <x v="329"/>
    <s v="C278"/>
    <x v="227"/>
    <x v="1"/>
    <x v="13"/>
    <x v="13"/>
    <x v="2"/>
    <x v="1430"/>
    <n v="20.309999999999999"/>
    <n v="1029818.55"/>
  </r>
  <r>
    <s v="ORD01436"/>
    <x v="107"/>
    <s v="C238"/>
    <x v="450"/>
    <x v="4"/>
    <x v="4"/>
    <x v="4"/>
    <x v="1"/>
    <x v="1431"/>
    <n v="39.270000000000003"/>
    <n v="1150493.19"/>
  </r>
  <r>
    <s v="ORD01437"/>
    <x v="120"/>
    <s v="C342"/>
    <x v="258"/>
    <x v="4"/>
    <x v="17"/>
    <x v="17"/>
    <x v="1"/>
    <x v="1195"/>
    <n v="39.229999999999997"/>
    <n v="914255.15"/>
  </r>
  <r>
    <s v="ORD01438"/>
    <x v="565"/>
    <s v="C121"/>
    <x v="8"/>
    <x v="2"/>
    <x v="7"/>
    <x v="7"/>
    <x v="3"/>
    <x v="1432"/>
    <n v="43.25"/>
    <n v="4310511.25"/>
  </r>
  <r>
    <s v="ORD01439"/>
    <x v="532"/>
    <s v="C455"/>
    <x v="366"/>
    <x v="4"/>
    <x v="40"/>
    <x v="40"/>
    <x v="0"/>
    <x v="1433"/>
    <n v="18.2"/>
    <n v="1732439.8"/>
  </r>
  <r>
    <s v="ORD01440"/>
    <x v="39"/>
    <s v="C424"/>
    <x v="57"/>
    <x v="2"/>
    <x v="47"/>
    <x v="47"/>
    <x v="2"/>
    <x v="1434"/>
    <n v="7.84"/>
    <n v="488698.56"/>
  </r>
  <r>
    <s v="ORD01441"/>
    <x v="125"/>
    <s v="C184"/>
    <x v="125"/>
    <x v="2"/>
    <x v="16"/>
    <x v="16"/>
    <x v="1"/>
    <x v="1435"/>
    <n v="39.979999999999997"/>
    <n v="3709664.24"/>
  </r>
  <r>
    <s v="ORD01442"/>
    <x v="345"/>
    <s v="C077"/>
    <x v="426"/>
    <x v="0"/>
    <x v="22"/>
    <x v="22"/>
    <x v="0"/>
    <x v="1436"/>
    <n v="12.67"/>
    <n v="558658.31000000006"/>
  </r>
  <r>
    <s v="ORD01443"/>
    <x v="526"/>
    <s v="C052"/>
    <x v="212"/>
    <x v="4"/>
    <x v="2"/>
    <x v="2"/>
    <x v="1"/>
    <x v="1437"/>
    <n v="35.380000000000003"/>
    <n v="124006.9"/>
  </r>
  <r>
    <s v="ORD01444"/>
    <x v="236"/>
    <s v="C417"/>
    <x v="417"/>
    <x v="2"/>
    <x v="35"/>
    <x v="35"/>
    <x v="1"/>
    <x v="1438"/>
    <n v="4.28"/>
    <n v="90868.68"/>
  </r>
  <r>
    <s v="ORD01445"/>
    <x v="274"/>
    <s v="C010"/>
    <x v="220"/>
    <x v="3"/>
    <x v="41"/>
    <x v="41"/>
    <x v="4"/>
    <x v="1439"/>
    <n v="45.61"/>
    <n v="568665.48"/>
  </r>
  <r>
    <s v="ORD01446"/>
    <x v="174"/>
    <s v="C167"/>
    <x v="404"/>
    <x v="4"/>
    <x v="9"/>
    <x v="9"/>
    <x v="4"/>
    <x v="1440"/>
    <n v="34.79"/>
    <n v="1770497.89"/>
  </r>
  <r>
    <s v="ORD01447"/>
    <x v="579"/>
    <s v="C251"/>
    <x v="142"/>
    <x v="0"/>
    <x v="35"/>
    <x v="35"/>
    <x v="1"/>
    <x v="1441"/>
    <n v="21.66"/>
    <n v="880803.9"/>
  </r>
  <r>
    <s v="ORD01448"/>
    <x v="534"/>
    <s v="C281"/>
    <x v="317"/>
    <x v="2"/>
    <x v="13"/>
    <x v="13"/>
    <x v="2"/>
    <x v="1442"/>
    <n v="13.67"/>
    <n v="1190246.8999999999"/>
  </r>
  <r>
    <s v="ORD01449"/>
    <x v="53"/>
    <s v="C052"/>
    <x v="212"/>
    <x v="4"/>
    <x v="35"/>
    <x v="35"/>
    <x v="1"/>
    <x v="1443"/>
    <n v="25.96"/>
    <n v="421927.88"/>
  </r>
  <r>
    <s v="ORD01450"/>
    <x v="629"/>
    <s v="C482"/>
    <x v="369"/>
    <x v="4"/>
    <x v="31"/>
    <x v="31"/>
    <x v="0"/>
    <x v="1444"/>
    <n v="10.28"/>
    <n v="236018.52"/>
  </r>
  <r>
    <s v="ORD01451"/>
    <x v="547"/>
    <s v="C107"/>
    <x v="324"/>
    <x v="1"/>
    <x v="33"/>
    <x v="33"/>
    <x v="1"/>
    <x v="1445"/>
    <n v="45.93"/>
    <n v="111058.74"/>
  </r>
  <r>
    <s v="ORD01452"/>
    <x v="155"/>
    <s v="C334"/>
    <x v="135"/>
    <x v="3"/>
    <x v="33"/>
    <x v="33"/>
    <x v="1"/>
    <x v="1446"/>
    <n v="36.299999999999997"/>
    <n v="1366549.8"/>
  </r>
  <r>
    <s v="ORD01453"/>
    <x v="488"/>
    <s v="C179"/>
    <x v="377"/>
    <x v="3"/>
    <x v="40"/>
    <x v="40"/>
    <x v="0"/>
    <x v="1447"/>
    <n v="33.92"/>
    <n v="1451504.6399999999"/>
  </r>
  <r>
    <s v="ORD01454"/>
    <x v="71"/>
    <s v="C402"/>
    <x v="16"/>
    <x v="3"/>
    <x v="16"/>
    <x v="16"/>
    <x v="1"/>
    <x v="1448"/>
    <n v="45.24"/>
    <n v="1909308.96"/>
  </r>
  <r>
    <s v="ORD01455"/>
    <x v="630"/>
    <s v="C081"/>
    <x v="456"/>
    <x v="3"/>
    <x v="9"/>
    <x v="9"/>
    <x v="4"/>
    <x v="1449"/>
    <n v="33.4"/>
    <n v="3311877.2"/>
  </r>
  <r>
    <s v="ORD01456"/>
    <x v="140"/>
    <s v="C344"/>
    <x v="307"/>
    <x v="4"/>
    <x v="43"/>
    <x v="43"/>
    <x v="4"/>
    <x v="1450"/>
    <n v="17.86"/>
    <n v="1198602.46"/>
  </r>
  <r>
    <s v="ORD01457"/>
    <x v="62"/>
    <s v="C057"/>
    <x v="161"/>
    <x v="4"/>
    <x v="25"/>
    <x v="25"/>
    <x v="4"/>
    <x v="1451"/>
    <n v="33.409999999999997"/>
    <n v="403626.21"/>
  </r>
  <r>
    <s v="ORD01458"/>
    <x v="631"/>
    <s v="C064"/>
    <x v="387"/>
    <x v="2"/>
    <x v="37"/>
    <x v="37"/>
    <x v="1"/>
    <x v="1452"/>
    <n v="25.89"/>
    <n v="1475238.09"/>
  </r>
  <r>
    <s v="ORD01459"/>
    <x v="65"/>
    <s v="C049"/>
    <x v="384"/>
    <x v="2"/>
    <x v="48"/>
    <x v="48"/>
    <x v="2"/>
    <x v="1453"/>
    <n v="20.43"/>
    <n v="1031817.15"/>
  </r>
  <r>
    <s v="ORD01460"/>
    <x v="514"/>
    <s v="C321"/>
    <x v="455"/>
    <x v="2"/>
    <x v="12"/>
    <x v="12"/>
    <x v="4"/>
    <x v="1454"/>
    <n v="9.8800000000000008"/>
    <n v="423990.32"/>
  </r>
  <r>
    <s v="ORD01461"/>
    <x v="601"/>
    <s v="C188"/>
    <x v="138"/>
    <x v="0"/>
    <x v="17"/>
    <x v="17"/>
    <x v="1"/>
    <x v="1455"/>
    <n v="19.89"/>
    <n v="238978.35"/>
  </r>
  <r>
    <s v="ORD01462"/>
    <x v="155"/>
    <s v="C440"/>
    <x v="73"/>
    <x v="0"/>
    <x v="17"/>
    <x v="17"/>
    <x v="1"/>
    <x v="1456"/>
    <n v="13.56"/>
    <n v="159140.16"/>
  </r>
  <r>
    <s v="ORD01463"/>
    <x v="310"/>
    <s v="C059"/>
    <x v="256"/>
    <x v="4"/>
    <x v="12"/>
    <x v="12"/>
    <x v="4"/>
    <x v="1457"/>
    <n v="47.37"/>
    <n v="3287856.96"/>
  </r>
  <r>
    <s v="ORD01464"/>
    <x v="623"/>
    <s v="C013"/>
    <x v="84"/>
    <x v="3"/>
    <x v="19"/>
    <x v="19"/>
    <x v="3"/>
    <x v="1458"/>
    <n v="49.22"/>
    <n v="2442542.5"/>
  </r>
  <r>
    <s v="ORD01465"/>
    <x v="241"/>
    <s v="C498"/>
    <x v="68"/>
    <x v="0"/>
    <x v="12"/>
    <x v="12"/>
    <x v="4"/>
    <x v="1459"/>
    <n v="8.48"/>
    <n v="163519.84"/>
  </r>
  <r>
    <s v="ORD01466"/>
    <x v="453"/>
    <s v="C109"/>
    <x v="78"/>
    <x v="1"/>
    <x v="28"/>
    <x v="28"/>
    <x v="3"/>
    <x v="1460"/>
    <n v="25.03"/>
    <n v="2012186.73"/>
  </r>
  <r>
    <s v="ORD01467"/>
    <x v="219"/>
    <s v="C304"/>
    <x v="381"/>
    <x v="3"/>
    <x v="16"/>
    <x v="16"/>
    <x v="1"/>
    <x v="1461"/>
    <n v="16.14"/>
    <n v="579974.76"/>
  </r>
  <r>
    <s v="ORD01468"/>
    <x v="205"/>
    <s v="C343"/>
    <x v="229"/>
    <x v="1"/>
    <x v="34"/>
    <x v="34"/>
    <x v="2"/>
    <x v="1462"/>
    <n v="39.18"/>
    <n v="2199369.2999999998"/>
  </r>
  <r>
    <s v="ORD01469"/>
    <x v="201"/>
    <s v="C064"/>
    <x v="387"/>
    <x v="2"/>
    <x v="40"/>
    <x v="40"/>
    <x v="0"/>
    <x v="1463"/>
    <n v="48.71"/>
    <n v="2778710.66"/>
  </r>
  <r>
    <s v="ORD01470"/>
    <x v="626"/>
    <s v="C353"/>
    <x v="472"/>
    <x v="0"/>
    <x v="6"/>
    <x v="6"/>
    <x v="0"/>
    <x v="1464"/>
    <n v="8.6"/>
    <n v="554906.4"/>
  </r>
  <r>
    <s v="ORD01471"/>
    <x v="413"/>
    <s v="C209"/>
    <x v="409"/>
    <x v="4"/>
    <x v="36"/>
    <x v="36"/>
    <x v="4"/>
    <x v="1465"/>
    <n v="9.2899999999999991"/>
    <n v="682415.53"/>
  </r>
  <r>
    <s v="ORD01472"/>
    <x v="135"/>
    <s v="C088"/>
    <x v="83"/>
    <x v="0"/>
    <x v="15"/>
    <x v="15"/>
    <x v="2"/>
    <x v="1466"/>
    <n v="2.2799999999999998"/>
    <n v="215560.32000000001"/>
  </r>
  <r>
    <s v="ORD01473"/>
    <x v="310"/>
    <s v="C039"/>
    <x v="188"/>
    <x v="0"/>
    <x v="32"/>
    <x v="32"/>
    <x v="4"/>
    <x v="772"/>
    <n v="7.8"/>
    <n v="143059.79999999999"/>
  </r>
  <r>
    <s v="ORD01474"/>
    <x v="632"/>
    <s v="C129"/>
    <x v="334"/>
    <x v="3"/>
    <x v="5"/>
    <x v="5"/>
    <x v="3"/>
    <x v="1467"/>
    <n v="43.83"/>
    <n v="1432583.55"/>
  </r>
  <r>
    <s v="ORD01475"/>
    <x v="282"/>
    <s v="C125"/>
    <x v="473"/>
    <x v="0"/>
    <x v="28"/>
    <x v="28"/>
    <x v="3"/>
    <x v="1468"/>
    <n v="48.87"/>
    <n v="447600.33"/>
  </r>
  <r>
    <s v="ORD01476"/>
    <x v="217"/>
    <s v="C136"/>
    <x v="428"/>
    <x v="1"/>
    <x v="8"/>
    <x v="8"/>
    <x v="3"/>
    <x v="1469"/>
    <n v="18.559999999999999"/>
    <n v="1760453.12"/>
  </r>
  <r>
    <s v="ORD01477"/>
    <x v="633"/>
    <s v="C414"/>
    <x v="341"/>
    <x v="4"/>
    <x v="18"/>
    <x v="18"/>
    <x v="0"/>
    <x v="1470"/>
    <n v="33.119999999999997"/>
    <n v="167554.07999999999"/>
  </r>
  <r>
    <s v="ORD01478"/>
    <x v="221"/>
    <s v="C095"/>
    <x v="236"/>
    <x v="0"/>
    <x v="21"/>
    <x v="21"/>
    <x v="2"/>
    <x v="1471"/>
    <n v="42.98"/>
    <n v="1616864.62"/>
  </r>
  <r>
    <s v="ORD01479"/>
    <x v="634"/>
    <s v="C312"/>
    <x v="231"/>
    <x v="1"/>
    <x v="25"/>
    <x v="25"/>
    <x v="4"/>
    <x v="1472"/>
    <n v="5.64"/>
    <n v="200755.8"/>
  </r>
  <r>
    <s v="ORD01480"/>
    <x v="481"/>
    <s v="C234"/>
    <x v="406"/>
    <x v="4"/>
    <x v="32"/>
    <x v="32"/>
    <x v="4"/>
    <x v="1473"/>
    <n v="16.89"/>
    <n v="130188.12"/>
  </r>
  <r>
    <s v="ORD01481"/>
    <x v="635"/>
    <s v="C236"/>
    <x v="25"/>
    <x v="2"/>
    <x v="2"/>
    <x v="2"/>
    <x v="1"/>
    <x v="1474"/>
    <n v="34.200000000000003"/>
    <n v="1741874.4"/>
  </r>
  <r>
    <s v="ORD01482"/>
    <x v="623"/>
    <s v="C177"/>
    <x v="183"/>
    <x v="1"/>
    <x v="33"/>
    <x v="33"/>
    <x v="1"/>
    <x v="1475"/>
    <n v="15.75"/>
    <n v="67567.5"/>
  </r>
  <r>
    <s v="ORD01483"/>
    <x v="636"/>
    <s v="C075"/>
    <x v="460"/>
    <x v="3"/>
    <x v="37"/>
    <x v="37"/>
    <x v="1"/>
    <x v="1476"/>
    <n v="25.03"/>
    <n v="1862757.63"/>
  </r>
  <r>
    <s v="ORD01484"/>
    <x v="553"/>
    <s v="C161"/>
    <x v="169"/>
    <x v="1"/>
    <x v="48"/>
    <x v="48"/>
    <x v="2"/>
    <x v="1477"/>
    <n v="9.06"/>
    <n v="903544.74"/>
  </r>
  <r>
    <s v="ORD01485"/>
    <x v="292"/>
    <s v="C236"/>
    <x v="25"/>
    <x v="2"/>
    <x v="43"/>
    <x v="43"/>
    <x v="4"/>
    <x v="1478"/>
    <n v="27.31"/>
    <n v="965790.84"/>
  </r>
  <r>
    <s v="ORD01486"/>
    <x v="289"/>
    <s v="C297"/>
    <x v="49"/>
    <x v="3"/>
    <x v="39"/>
    <x v="39"/>
    <x v="3"/>
    <x v="1479"/>
    <n v="27.25"/>
    <n v="2036310.75"/>
  </r>
  <r>
    <s v="ORD01487"/>
    <x v="413"/>
    <s v="C289"/>
    <x v="408"/>
    <x v="1"/>
    <x v="41"/>
    <x v="41"/>
    <x v="4"/>
    <x v="1480"/>
    <n v="2.58"/>
    <n v="37871.82"/>
  </r>
  <r>
    <s v="ORD01488"/>
    <x v="603"/>
    <s v="C248"/>
    <x v="392"/>
    <x v="0"/>
    <x v="40"/>
    <x v="40"/>
    <x v="0"/>
    <x v="1481"/>
    <n v="41.38"/>
    <n v="2894779.28"/>
  </r>
  <r>
    <s v="ORD01489"/>
    <x v="58"/>
    <s v="C248"/>
    <x v="392"/>
    <x v="0"/>
    <x v="44"/>
    <x v="44"/>
    <x v="2"/>
    <x v="1482"/>
    <n v="2.57"/>
    <n v="165883.22"/>
  </r>
  <r>
    <s v="ORD01490"/>
    <x v="105"/>
    <s v="C140"/>
    <x v="393"/>
    <x v="3"/>
    <x v="35"/>
    <x v="35"/>
    <x v="1"/>
    <x v="1483"/>
    <n v="12.17"/>
    <n v="1144758.8799999999"/>
  </r>
  <r>
    <s v="ORD01491"/>
    <x v="192"/>
    <s v="C161"/>
    <x v="169"/>
    <x v="1"/>
    <x v="46"/>
    <x v="46"/>
    <x v="0"/>
    <x v="1484"/>
    <n v="27.34"/>
    <n v="795429.96"/>
  </r>
  <r>
    <s v="ORD01492"/>
    <x v="41"/>
    <s v="C299"/>
    <x v="252"/>
    <x v="4"/>
    <x v="41"/>
    <x v="41"/>
    <x v="4"/>
    <x v="1485"/>
    <n v="28.93"/>
    <n v="2538376.06"/>
  </r>
  <r>
    <s v="ORD01493"/>
    <x v="609"/>
    <s v="C117"/>
    <x v="441"/>
    <x v="2"/>
    <x v="24"/>
    <x v="24"/>
    <x v="3"/>
    <x v="1486"/>
    <n v="18.71"/>
    <n v="246504.25"/>
  </r>
  <r>
    <s v="ORD01494"/>
    <x v="477"/>
    <s v="C168"/>
    <x v="285"/>
    <x v="1"/>
    <x v="36"/>
    <x v="36"/>
    <x v="4"/>
    <x v="1487"/>
    <n v="45.16"/>
    <n v="2307359.88"/>
  </r>
  <r>
    <s v="ORD01495"/>
    <x v="17"/>
    <s v="C037"/>
    <x v="255"/>
    <x v="1"/>
    <x v="49"/>
    <x v="49"/>
    <x v="3"/>
    <x v="1488"/>
    <n v="40.04"/>
    <n v="2198716.52"/>
  </r>
  <r>
    <s v="ORD01496"/>
    <x v="534"/>
    <s v="C437"/>
    <x v="195"/>
    <x v="2"/>
    <x v="23"/>
    <x v="23"/>
    <x v="0"/>
    <x v="1489"/>
    <n v="23.12"/>
    <n v="742175.12"/>
  </r>
  <r>
    <s v="ORD01497"/>
    <x v="514"/>
    <s v="C467"/>
    <x v="131"/>
    <x v="2"/>
    <x v="43"/>
    <x v="43"/>
    <x v="4"/>
    <x v="1490"/>
    <n v="10.58"/>
    <n v="433790.58"/>
  </r>
  <r>
    <s v="ORD01498"/>
    <x v="246"/>
    <s v="C453"/>
    <x v="168"/>
    <x v="3"/>
    <x v="49"/>
    <x v="49"/>
    <x v="3"/>
    <x v="1491"/>
    <n v="33.15"/>
    <n v="3239981.55"/>
  </r>
  <r>
    <s v="ORD01499"/>
    <x v="3"/>
    <s v="C440"/>
    <x v="73"/>
    <x v="0"/>
    <x v="20"/>
    <x v="20"/>
    <x v="1"/>
    <x v="1492"/>
    <n v="44.44"/>
    <n v="576386.80000000005"/>
  </r>
  <r>
    <s v="ORD01500"/>
    <x v="282"/>
    <s v="C080"/>
    <x v="222"/>
    <x v="4"/>
    <x v="5"/>
    <x v="5"/>
    <x v="3"/>
    <x v="1493"/>
    <n v="32.020000000000003"/>
    <n v="921087.32"/>
  </r>
  <r>
    <s v="ORD01501"/>
    <x v="597"/>
    <s v="C201"/>
    <x v="359"/>
    <x v="2"/>
    <x v="33"/>
    <x v="33"/>
    <x v="1"/>
    <x v="1494"/>
    <n v="21.61"/>
    <n v="1989157.28"/>
  </r>
  <r>
    <s v="ORD01502"/>
    <x v="556"/>
    <s v="C173"/>
    <x v="342"/>
    <x v="2"/>
    <x v="46"/>
    <x v="46"/>
    <x v="0"/>
    <x v="1495"/>
    <n v="49.21"/>
    <n v="3067603.77"/>
  </r>
  <r>
    <s v="ORD01503"/>
    <x v="637"/>
    <s v="C429"/>
    <x v="474"/>
    <x v="3"/>
    <x v="20"/>
    <x v="20"/>
    <x v="1"/>
    <x v="1496"/>
    <n v="47.83"/>
    <n v="3465474.82"/>
  </r>
  <r>
    <s v="ORD01504"/>
    <x v="319"/>
    <s v="C161"/>
    <x v="169"/>
    <x v="1"/>
    <x v="15"/>
    <x v="15"/>
    <x v="2"/>
    <x v="1497"/>
    <n v="20.260000000000002"/>
    <n v="1121066.8400000001"/>
  </r>
  <r>
    <s v="ORD01505"/>
    <x v="638"/>
    <s v="C208"/>
    <x v="53"/>
    <x v="1"/>
    <x v="9"/>
    <x v="9"/>
    <x v="4"/>
    <x v="1498"/>
    <n v="34.200000000000003"/>
    <n v="3081693.6"/>
  </r>
  <r>
    <s v="ORD01506"/>
    <x v="229"/>
    <s v="C284"/>
    <x v="287"/>
    <x v="4"/>
    <x v="22"/>
    <x v="22"/>
    <x v="0"/>
    <x v="1499"/>
    <n v="43.74"/>
    <n v="1523770.38"/>
  </r>
  <r>
    <s v="ORD01507"/>
    <x v="240"/>
    <s v="C203"/>
    <x v="403"/>
    <x v="0"/>
    <x v="16"/>
    <x v="16"/>
    <x v="1"/>
    <x v="1500"/>
    <n v="42.22"/>
    <n v="969202.32"/>
  </r>
  <r>
    <s v="ORD01508"/>
    <x v="145"/>
    <s v="C277"/>
    <x v="158"/>
    <x v="3"/>
    <x v="35"/>
    <x v="35"/>
    <x v="1"/>
    <x v="747"/>
    <n v="10.5"/>
    <n v="636961.5"/>
  </r>
  <r>
    <s v="ORD01509"/>
    <x v="221"/>
    <s v="C361"/>
    <x v="62"/>
    <x v="4"/>
    <x v="18"/>
    <x v="18"/>
    <x v="0"/>
    <x v="1501"/>
    <n v="42.81"/>
    <n v="2556441.96"/>
  </r>
  <r>
    <s v="ORD01510"/>
    <x v="48"/>
    <s v="C255"/>
    <x v="143"/>
    <x v="0"/>
    <x v="16"/>
    <x v="16"/>
    <x v="1"/>
    <x v="363"/>
    <n v="27.94"/>
    <n v="1624291.9"/>
  </r>
  <r>
    <s v="ORD01511"/>
    <x v="32"/>
    <s v="C336"/>
    <x v="239"/>
    <x v="2"/>
    <x v="12"/>
    <x v="12"/>
    <x v="4"/>
    <x v="1502"/>
    <n v="43.76"/>
    <n v="767856.72"/>
  </r>
  <r>
    <s v="ORD01512"/>
    <x v="246"/>
    <s v="C177"/>
    <x v="183"/>
    <x v="1"/>
    <x v="26"/>
    <x v="26"/>
    <x v="0"/>
    <x v="1503"/>
    <n v="10.26"/>
    <n v="874100.7"/>
  </r>
  <r>
    <s v="ORD01513"/>
    <x v="542"/>
    <s v="C213"/>
    <x v="283"/>
    <x v="1"/>
    <x v="17"/>
    <x v="17"/>
    <x v="1"/>
    <x v="1504"/>
    <n v="42.8"/>
    <n v="3346018.4"/>
  </r>
  <r>
    <s v="ORD01514"/>
    <x v="251"/>
    <s v="C317"/>
    <x v="211"/>
    <x v="1"/>
    <x v="24"/>
    <x v="24"/>
    <x v="3"/>
    <x v="1505"/>
    <n v="48.28"/>
    <n v="4121856.72"/>
  </r>
  <r>
    <s v="ORD01515"/>
    <x v="424"/>
    <s v="C351"/>
    <x v="422"/>
    <x v="2"/>
    <x v="25"/>
    <x v="25"/>
    <x v="4"/>
    <x v="1506"/>
    <n v="34.770000000000003"/>
    <n v="221380.59"/>
  </r>
  <r>
    <s v="ORD01516"/>
    <x v="105"/>
    <s v="C321"/>
    <x v="455"/>
    <x v="2"/>
    <x v="10"/>
    <x v="10"/>
    <x v="3"/>
    <x v="1507"/>
    <n v="48.1"/>
    <n v="2156178.7000000002"/>
  </r>
  <r>
    <s v="ORD01517"/>
    <x v="621"/>
    <s v="C448"/>
    <x v="434"/>
    <x v="0"/>
    <x v="0"/>
    <x v="0"/>
    <x v="0"/>
    <x v="1508"/>
    <n v="12.23"/>
    <n v="206161.11"/>
  </r>
  <r>
    <s v="ORD01518"/>
    <x v="226"/>
    <s v="C145"/>
    <x v="94"/>
    <x v="4"/>
    <x v="48"/>
    <x v="48"/>
    <x v="2"/>
    <x v="1509"/>
    <n v="20.04"/>
    <n v="760558.07999999996"/>
  </r>
  <r>
    <s v="ORD01519"/>
    <x v="372"/>
    <s v="C470"/>
    <x v="190"/>
    <x v="4"/>
    <x v="35"/>
    <x v="35"/>
    <x v="1"/>
    <x v="1510"/>
    <n v="11.67"/>
    <n v="474688.92"/>
  </r>
  <r>
    <s v="ORD01520"/>
    <x v="174"/>
    <s v="C011"/>
    <x v="28"/>
    <x v="4"/>
    <x v="30"/>
    <x v="30"/>
    <x v="4"/>
    <x v="1511"/>
    <n v="48.4"/>
    <n v="1931160"/>
  </r>
  <r>
    <s v="ORD01521"/>
    <x v="75"/>
    <s v="C344"/>
    <x v="307"/>
    <x v="4"/>
    <x v="2"/>
    <x v="2"/>
    <x v="1"/>
    <x v="1512"/>
    <n v="28"/>
    <n v="2640344"/>
  </r>
  <r>
    <s v="ORD01522"/>
    <x v="376"/>
    <s v="C141"/>
    <x v="438"/>
    <x v="0"/>
    <x v="7"/>
    <x v="7"/>
    <x v="3"/>
    <x v="1513"/>
    <n v="17.22"/>
    <n v="880269.18"/>
  </r>
  <r>
    <s v="ORD01523"/>
    <x v="26"/>
    <s v="C417"/>
    <x v="417"/>
    <x v="2"/>
    <x v="4"/>
    <x v="4"/>
    <x v="1"/>
    <x v="1514"/>
    <n v="49.88"/>
    <n v="2816075.16"/>
  </r>
  <r>
    <s v="ORD01524"/>
    <x v="337"/>
    <s v="C198"/>
    <x v="0"/>
    <x v="0"/>
    <x v="25"/>
    <x v="25"/>
    <x v="4"/>
    <x v="1515"/>
    <n v="18.09"/>
    <n v="1211541.57"/>
  </r>
  <r>
    <s v="ORD01525"/>
    <x v="561"/>
    <s v="C060"/>
    <x v="420"/>
    <x v="2"/>
    <x v="39"/>
    <x v="39"/>
    <x v="3"/>
    <x v="1516"/>
    <n v="11.67"/>
    <n v="1052715.69"/>
  </r>
  <r>
    <s v="ORD01526"/>
    <x v="204"/>
    <s v="C363"/>
    <x v="72"/>
    <x v="4"/>
    <x v="26"/>
    <x v="26"/>
    <x v="0"/>
    <x v="1517"/>
    <n v="5"/>
    <n v="14345"/>
  </r>
  <r>
    <s v="ORD01527"/>
    <x v="112"/>
    <s v="C438"/>
    <x v="475"/>
    <x v="1"/>
    <x v="4"/>
    <x v="4"/>
    <x v="1"/>
    <x v="1518"/>
    <n v="6.26"/>
    <n v="128073.34"/>
  </r>
  <r>
    <s v="ORD01528"/>
    <x v="630"/>
    <s v="C409"/>
    <x v="466"/>
    <x v="3"/>
    <x v="15"/>
    <x v="15"/>
    <x v="2"/>
    <x v="1519"/>
    <n v="39.89"/>
    <n v="68172.009999999995"/>
  </r>
  <r>
    <s v="ORD01529"/>
    <x v="191"/>
    <s v="C347"/>
    <x v="476"/>
    <x v="1"/>
    <x v="6"/>
    <x v="6"/>
    <x v="0"/>
    <x v="1520"/>
    <n v="29.15"/>
    <n v="2499204.4"/>
  </r>
  <r>
    <s v="ORD01530"/>
    <x v="11"/>
    <s v="C481"/>
    <x v="56"/>
    <x v="0"/>
    <x v="33"/>
    <x v="33"/>
    <x v="1"/>
    <x v="1521"/>
    <n v="46.99"/>
    <n v="1262104.4099999999"/>
  </r>
  <r>
    <s v="ORD01531"/>
    <x v="343"/>
    <s v="C233"/>
    <x v="173"/>
    <x v="4"/>
    <x v="6"/>
    <x v="6"/>
    <x v="0"/>
    <x v="1522"/>
    <n v="28.51"/>
    <n v="832520.51"/>
  </r>
  <r>
    <s v="ORD01532"/>
    <x v="634"/>
    <s v="C324"/>
    <x v="208"/>
    <x v="0"/>
    <x v="46"/>
    <x v="46"/>
    <x v="0"/>
    <x v="1523"/>
    <n v="47.11"/>
    <n v="3862172.02"/>
  </r>
  <r>
    <s v="ORD01533"/>
    <x v="410"/>
    <s v="C087"/>
    <x v="44"/>
    <x v="0"/>
    <x v="17"/>
    <x v="17"/>
    <x v="1"/>
    <x v="1524"/>
    <n v="10.23"/>
    <n v="372116.25"/>
  </r>
  <r>
    <s v="ORD01534"/>
    <x v="639"/>
    <s v="C015"/>
    <x v="18"/>
    <x v="4"/>
    <x v="33"/>
    <x v="33"/>
    <x v="1"/>
    <x v="1525"/>
    <n v="31.25"/>
    <n v="661437.5"/>
  </r>
  <r>
    <s v="ORD01535"/>
    <x v="191"/>
    <s v="C437"/>
    <x v="195"/>
    <x v="2"/>
    <x v="43"/>
    <x v="43"/>
    <x v="4"/>
    <x v="671"/>
    <n v="8.23"/>
    <n v="599144"/>
  </r>
  <r>
    <s v="ORD01536"/>
    <x v="55"/>
    <s v="C242"/>
    <x v="264"/>
    <x v="0"/>
    <x v="45"/>
    <x v="45"/>
    <x v="3"/>
    <x v="1526"/>
    <n v="47.34"/>
    <n v="2864354.04"/>
  </r>
  <r>
    <s v="ORD01537"/>
    <x v="589"/>
    <s v="C091"/>
    <x v="458"/>
    <x v="1"/>
    <x v="1"/>
    <x v="1"/>
    <x v="1"/>
    <x v="1527"/>
    <n v="35.21"/>
    <n v="757120.63"/>
  </r>
  <r>
    <s v="ORD01538"/>
    <x v="191"/>
    <s v="C042"/>
    <x v="175"/>
    <x v="0"/>
    <x v="5"/>
    <x v="5"/>
    <x v="3"/>
    <x v="1528"/>
    <n v="30.71"/>
    <n v="802790.11"/>
  </r>
  <r>
    <s v="ORD01539"/>
    <x v="213"/>
    <s v="C462"/>
    <x v="477"/>
    <x v="2"/>
    <x v="13"/>
    <x v="13"/>
    <x v="2"/>
    <x v="1529"/>
    <n v="26.94"/>
    <n v="1455756.78"/>
  </r>
  <r>
    <s v="ORD01540"/>
    <x v="181"/>
    <s v="C254"/>
    <x v="431"/>
    <x v="1"/>
    <x v="8"/>
    <x v="8"/>
    <x v="3"/>
    <x v="1530"/>
    <n v="5.87"/>
    <n v="13688.84"/>
  </r>
  <r>
    <s v="ORD01541"/>
    <x v="640"/>
    <s v="C466"/>
    <x v="23"/>
    <x v="2"/>
    <x v="32"/>
    <x v="32"/>
    <x v="4"/>
    <x v="1531"/>
    <n v="21"/>
    <n v="625674"/>
  </r>
  <r>
    <s v="ORD01542"/>
    <x v="250"/>
    <s v="C150"/>
    <x v="356"/>
    <x v="4"/>
    <x v="32"/>
    <x v="32"/>
    <x v="4"/>
    <x v="1532"/>
    <n v="48.28"/>
    <n v="1661363.08"/>
  </r>
  <r>
    <s v="ORD01543"/>
    <x v="245"/>
    <s v="C494"/>
    <x v="267"/>
    <x v="0"/>
    <x v="41"/>
    <x v="41"/>
    <x v="4"/>
    <x v="1533"/>
    <n v="20.12"/>
    <n v="1865425.8"/>
  </r>
  <r>
    <s v="ORD01544"/>
    <x v="422"/>
    <s v="C472"/>
    <x v="3"/>
    <x v="3"/>
    <x v="4"/>
    <x v="4"/>
    <x v="1"/>
    <x v="1534"/>
    <n v="23.87"/>
    <n v="1466071.53"/>
  </r>
  <r>
    <s v="ORD01545"/>
    <x v="509"/>
    <s v="C003"/>
    <x v="133"/>
    <x v="1"/>
    <x v="37"/>
    <x v="37"/>
    <x v="1"/>
    <x v="1535"/>
    <n v="28.22"/>
    <n v="542388.4"/>
  </r>
  <r>
    <s v="ORD01546"/>
    <x v="641"/>
    <s v="C190"/>
    <x v="346"/>
    <x v="1"/>
    <x v="5"/>
    <x v="5"/>
    <x v="3"/>
    <x v="1536"/>
    <n v="12.49"/>
    <n v="555105.56000000006"/>
  </r>
  <r>
    <s v="ORD01547"/>
    <x v="144"/>
    <s v="C259"/>
    <x v="36"/>
    <x v="2"/>
    <x v="35"/>
    <x v="35"/>
    <x v="1"/>
    <x v="1537"/>
    <n v="25.53"/>
    <n v="2135941.92"/>
  </r>
  <r>
    <s v="ORD01548"/>
    <x v="25"/>
    <s v="C128"/>
    <x v="361"/>
    <x v="4"/>
    <x v="49"/>
    <x v="49"/>
    <x v="3"/>
    <x v="1538"/>
    <n v="30.46"/>
    <n v="2292480.52"/>
  </r>
  <r>
    <s v="ORD01549"/>
    <x v="74"/>
    <s v="C257"/>
    <x v="281"/>
    <x v="0"/>
    <x v="45"/>
    <x v="45"/>
    <x v="3"/>
    <x v="1539"/>
    <n v="44.9"/>
    <n v="4322792.4000000004"/>
  </r>
  <r>
    <s v="ORD01550"/>
    <x v="274"/>
    <s v="C329"/>
    <x v="388"/>
    <x v="2"/>
    <x v="38"/>
    <x v="38"/>
    <x v="2"/>
    <x v="1540"/>
    <n v="13.83"/>
    <n v="1342339.8"/>
  </r>
  <r>
    <s v="ORD01551"/>
    <x v="121"/>
    <s v="C362"/>
    <x v="9"/>
    <x v="4"/>
    <x v="23"/>
    <x v="23"/>
    <x v="0"/>
    <x v="1541"/>
    <n v="45.37"/>
    <n v="3171544.48"/>
  </r>
  <r>
    <s v="ORD01552"/>
    <x v="373"/>
    <s v="C283"/>
    <x v="478"/>
    <x v="0"/>
    <x v="9"/>
    <x v="9"/>
    <x v="4"/>
    <x v="1542"/>
    <n v="37.229999999999997"/>
    <n v="3024416.28"/>
  </r>
  <r>
    <s v="ORD01553"/>
    <x v="277"/>
    <s v="C197"/>
    <x v="437"/>
    <x v="1"/>
    <x v="37"/>
    <x v="37"/>
    <x v="1"/>
    <x v="1543"/>
    <n v="22.99"/>
    <n v="2009808.79"/>
  </r>
  <r>
    <s v="ORD01554"/>
    <x v="137"/>
    <s v="C005"/>
    <x v="373"/>
    <x v="3"/>
    <x v="43"/>
    <x v="43"/>
    <x v="4"/>
    <x v="1544"/>
    <n v="24.58"/>
    <n v="787469.46"/>
  </r>
  <r>
    <s v="ORD01555"/>
    <x v="642"/>
    <s v="C272"/>
    <x v="98"/>
    <x v="0"/>
    <x v="34"/>
    <x v="34"/>
    <x v="2"/>
    <x v="1545"/>
    <n v="26.94"/>
    <n v="118859.28"/>
  </r>
  <r>
    <s v="ORD01556"/>
    <x v="243"/>
    <s v="C129"/>
    <x v="334"/>
    <x v="3"/>
    <x v="20"/>
    <x v="20"/>
    <x v="1"/>
    <x v="1546"/>
    <n v="37.03"/>
    <n v="3471229.23"/>
  </r>
  <r>
    <s v="ORD01557"/>
    <x v="394"/>
    <s v="C135"/>
    <x v="67"/>
    <x v="1"/>
    <x v="38"/>
    <x v="38"/>
    <x v="2"/>
    <x v="1547"/>
    <n v="12.96"/>
    <n v="1052624.1599999999"/>
  </r>
  <r>
    <s v="ORD01558"/>
    <x v="230"/>
    <s v="C427"/>
    <x v="293"/>
    <x v="0"/>
    <x v="36"/>
    <x v="36"/>
    <x v="4"/>
    <x v="1548"/>
    <n v="13.71"/>
    <n v="1211662.3799999999"/>
  </r>
  <r>
    <s v="ORD01559"/>
    <x v="438"/>
    <s v="C344"/>
    <x v="307"/>
    <x v="4"/>
    <x v="46"/>
    <x v="46"/>
    <x v="0"/>
    <x v="1549"/>
    <n v="31.4"/>
    <n v="2798493.6"/>
  </r>
  <r>
    <s v="ORD01560"/>
    <x v="376"/>
    <s v="C141"/>
    <x v="438"/>
    <x v="0"/>
    <x v="24"/>
    <x v="24"/>
    <x v="3"/>
    <x v="1550"/>
    <n v="45.32"/>
    <n v="2737962.48"/>
  </r>
  <r>
    <s v="ORD01561"/>
    <x v="476"/>
    <s v="C336"/>
    <x v="239"/>
    <x v="2"/>
    <x v="43"/>
    <x v="43"/>
    <x v="4"/>
    <x v="1551"/>
    <n v="13.3"/>
    <n v="587647.19999999995"/>
  </r>
  <r>
    <s v="ORD01562"/>
    <x v="30"/>
    <s v="C121"/>
    <x v="8"/>
    <x v="2"/>
    <x v="26"/>
    <x v="26"/>
    <x v="0"/>
    <x v="1552"/>
    <n v="36.07"/>
    <n v="2318002.48"/>
  </r>
  <r>
    <s v="ORD01563"/>
    <x v="643"/>
    <s v="C113"/>
    <x v="442"/>
    <x v="3"/>
    <x v="19"/>
    <x v="19"/>
    <x v="3"/>
    <x v="1553"/>
    <n v="38.770000000000003"/>
    <n v="3491897.59"/>
  </r>
  <r>
    <s v="ORD01564"/>
    <x v="319"/>
    <s v="C065"/>
    <x v="13"/>
    <x v="2"/>
    <x v="36"/>
    <x v="36"/>
    <x v="4"/>
    <x v="1554"/>
    <n v="19.12"/>
    <n v="1857316.8"/>
  </r>
  <r>
    <s v="ORD01565"/>
    <x v="511"/>
    <s v="C457"/>
    <x v="196"/>
    <x v="3"/>
    <x v="20"/>
    <x v="20"/>
    <x v="1"/>
    <x v="1555"/>
    <n v="32.270000000000003"/>
    <n v="3145647.33"/>
  </r>
  <r>
    <s v="ORD01566"/>
    <x v="618"/>
    <s v="C476"/>
    <x v="201"/>
    <x v="3"/>
    <x v="44"/>
    <x v="44"/>
    <x v="2"/>
    <x v="1556"/>
    <n v="18.52"/>
    <n v="1403130.76"/>
  </r>
  <r>
    <s v="ORD01567"/>
    <x v="288"/>
    <s v="C464"/>
    <x v="118"/>
    <x v="2"/>
    <x v="21"/>
    <x v="21"/>
    <x v="2"/>
    <x v="1557"/>
    <n v="48.13"/>
    <n v="737640.38"/>
  </r>
  <r>
    <s v="ORD01568"/>
    <x v="644"/>
    <s v="C386"/>
    <x v="272"/>
    <x v="0"/>
    <x v="48"/>
    <x v="48"/>
    <x v="2"/>
    <x v="1558"/>
    <n v="49.88"/>
    <n v="3625328.28"/>
  </r>
  <r>
    <s v="ORD01569"/>
    <x v="383"/>
    <s v="C472"/>
    <x v="3"/>
    <x v="3"/>
    <x v="49"/>
    <x v="49"/>
    <x v="3"/>
    <x v="1559"/>
    <n v="6.16"/>
    <n v="78533.84"/>
  </r>
  <r>
    <s v="ORD01570"/>
    <x v="207"/>
    <s v="C436"/>
    <x v="443"/>
    <x v="4"/>
    <x v="7"/>
    <x v="7"/>
    <x v="3"/>
    <x v="1560"/>
    <n v="38.380000000000003"/>
    <n v="3020122.2"/>
  </r>
  <r>
    <s v="ORD01571"/>
    <x v="116"/>
    <s v="C396"/>
    <x v="427"/>
    <x v="3"/>
    <x v="42"/>
    <x v="42"/>
    <x v="1"/>
    <x v="1561"/>
    <n v="27.89"/>
    <n v="394810.84"/>
  </r>
  <r>
    <s v="ORD01572"/>
    <x v="471"/>
    <s v="C301"/>
    <x v="418"/>
    <x v="3"/>
    <x v="24"/>
    <x v="24"/>
    <x v="3"/>
    <x v="1562"/>
    <n v="21.93"/>
    <n v="2124161.73"/>
  </r>
  <r>
    <s v="ORD01573"/>
    <x v="391"/>
    <s v="C072"/>
    <x v="265"/>
    <x v="3"/>
    <x v="19"/>
    <x v="19"/>
    <x v="3"/>
    <x v="1563"/>
    <n v="21.82"/>
    <n v="2094829.1"/>
  </r>
  <r>
    <s v="ORD01574"/>
    <x v="271"/>
    <s v="C421"/>
    <x v="110"/>
    <x v="2"/>
    <x v="14"/>
    <x v="14"/>
    <x v="2"/>
    <x v="1564"/>
    <n v="13.32"/>
    <n v="1252732.68"/>
  </r>
  <r>
    <s v="ORD01575"/>
    <x v="353"/>
    <s v="C470"/>
    <x v="190"/>
    <x v="4"/>
    <x v="38"/>
    <x v="38"/>
    <x v="2"/>
    <x v="1565"/>
    <n v="24.39"/>
    <n v="1496667.96"/>
  </r>
  <r>
    <s v="ORD01576"/>
    <x v="313"/>
    <s v="C058"/>
    <x v="479"/>
    <x v="2"/>
    <x v="42"/>
    <x v="42"/>
    <x v="1"/>
    <x v="1566"/>
    <n v="37.520000000000003"/>
    <n v="1970475.36"/>
  </r>
  <r>
    <s v="ORD01577"/>
    <x v="295"/>
    <s v="C436"/>
    <x v="443"/>
    <x v="4"/>
    <x v="38"/>
    <x v="38"/>
    <x v="2"/>
    <x v="1567"/>
    <n v="32.53"/>
    <n v="2667004.58"/>
  </r>
  <r>
    <s v="ORD01578"/>
    <x v="645"/>
    <s v="C476"/>
    <x v="201"/>
    <x v="3"/>
    <x v="9"/>
    <x v="9"/>
    <x v="4"/>
    <x v="1568"/>
    <n v="5.93"/>
    <n v="346015.5"/>
  </r>
  <r>
    <s v="ORD01579"/>
    <x v="646"/>
    <s v="C277"/>
    <x v="158"/>
    <x v="3"/>
    <x v="18"/>
    <x v="18"/>
    <x v="0"/>
    <x v="1569"/>
    <n v="35.380000000000003"/>
    <n v="167630.44"/>
  </r>
  <r>
    <s v="ORD01580"/>
    <x v="647"/>
    <s v="C194"/>
    <x v="106"/>
    <x v="2"/>
    <x v="45"/>
    <x v="45"/>
    <x v="3"/>
    <x v="1570"/>
    <n v="22.97"/>
    <n v="923187.27"/>
  </r>
  <r>
    <s v="ORD01581"/>
    <x v="490"/>
    <s v="C236"/>
    <x v="25"/>
    <x v="2"/>
    <x v="19"/>
    <x v="19"/>
    <x v="3"/>
    <x v="1571"/>
    <n v="31.73"/>
    <n v="2325333.0499999998"/>
  </r>
  <r>
    <s v="ORD01582"/>
    <x v="444"/>
    <s v="C246"/>
    <x v="480"/>
    <x v="1"/>
    <x v="37"/>
    <x v="37"/>
    <x v="1"/>
    <x v="1572"/>
    <n v="40.11"/>
    <n v="61368.3"/>
  </r>
  <r>
    <s v="ORD01583"/>
    <x v="98"/>
    <s v="C040"/>
    <x v="300"/>
    <x v="2"/>
    <x v="23"/>
    <x v="23"/>
    <x v="0"/>
    <x v="1573"/>
    <n v="27.74"/>
    <n v="2545228.2200000002"/>
  </r>
  <r>
    <s v="ORD01584"/>
    <x v="220"/>
    <s v="C296"/>
    <x v="321"/>
    <x v="3"/>
    <x v="10"/>
    <x v="10"/>
    <x v="3"/>
    <x v="1574"/>
    <n v="30.79"/>
    <n v="2524903.16"/>
  </r>
  <r>
    <s v="ORD01585"/>
    <x v="320"/>
    <s v="C352"/>
    <x v="162"/>
    <x v="2"/>
    <x v="43"/>
    <x v="43"/>
    <x v="4"/>
    <x v="1575"/>
    <n v="43.5"/>
    <n v="2630793"/>
  </r>
  <r>
    <s v="ORD01586"/>
    <x v="209"/>
    <s v="C470"/>
    <x v="190"/>
    <x v="4"/>
    <x v="48"/>
    <x v="48"/>
    <x v="2"/>
    <x v="1576"/>
    <n v="35.83"/>
    <n v="3020254.02"/>
  </r>
  <r>
    <s v="ORD01587"/>
    <x v="504"/>
    <s v="C208"/>
    <x v="53"/>
    <x v="1"/>
    <x v="37"/>
    <x v="37"/>
    <x v="1"/>
    <x v="1577"/>
    <n v="4.97"/>
    <n v="218829.1"/>
  </r>
  <r>
    <s v="ORD01588"/>
    <x v="474"/>
    <s v="C240"/>
    <x v="218"/>
    <x v="3"/>
    <x v="25"/>
    <x v="25"/>
    <x v="4"/>
    <x v="1578"/>
    <n v="16.86"/>
    <n v="1456029.6"/>
  </r>
  <r>
    <s v="ORD01589"/>
    <x v="439"/>
    <s v="C456"/>
    <x v="338"/>
    <x v="2"/>
    <x v="23"/>
    <x v="23"/>
    <x v="0"/>
    <x v="1579"/>
    <n v="30.5"/>
    <n v="2379518.5"/>
  </r>
  <r>
    <s v="ORD01590"/>
    <x v="6"/>
    <s v="C196"/>
    <x v="1"/>
    <x v="1"/>
    <x v="44"/>
    <x v="44"/>
    <x v="2"/>
    <x v="1580"/>
    <n v="25.04"/>
    <n v="1908849.28"/>
  </r>
  <r>
    <s v="ORD01591"/>
    <x v="7"/>
    <s v="C333"/>
    <x v="189"/>
    <x v="0"/>
    <x v="5"/>
    <x v="5"/>
    <x v="3"/>
    <x v="1581"/>
    <n v="3.71"/>
    <n v="326335.31"/>
  </r>
  <r>
    <s v="ORD01592"/>
    <x v="43"/>
    <s v="C332"/>
    <x v="242"/>
    <x v="2"/>
    <x v="32"/>
    <x v="32"/>
    <x v="4"/>
    <x v="1582"/>
    <n v="37.72"/>
    <n v="1966192.72"/>
  </r>
  <r>
    <s v="ORD01593"/>
    <x v="283"/>
    <s v="C378"/>
    <x v="216"/>
    <x v="2"/>
    <x v="30"/>
    <x v="30"/>
    <x v="4"/>
    <x v="1583"/>
    <n v="32.31"/>
    <n v="1213402.05"/>
  </r>
  <r>
    <s v="ORD01594"/>
    <x v="442"/>
    <s v="C079"/>
    <x v="439"/>
    <x v="4"/>
    <x v="42"/>
    <x v="42"/>
    <x v="1"/>
    <x v="1584"/>
    <n v="32.19"/>
    <n v="1648964.94"/>
  </r>
  <r>
    <s v="ORD01595"/>
    <x v="65"/>
    <s v="C399"/>
    <x v="194"/>
    <x v="4"/>
    <x v="15"/>
    <x v="15"/>
    <x v="2"/>
    <x v="1585"/>
    <n v="7.07"/>
    <n v="15900.43"/>
  </r>
  <r>
    <s v="ORD01596"/>
    <x v="419"/>
    <s v="C301"/>
    <x v="418"/>
    <x v="3"/>
    <x v="16"/>
    <x v="16"/>
    <x v="1"/>
    <x v="1586"/>
    <n v="7.39"/>
    <n v="127987.41"/>
  </r>
  <r>
    <s v="ORD01597"/>
    <x v="648"/>
    <s v="C069"/>
    <x v="410"/>
    <x v="4"/>
    <x v="46"/>
    <x v="46"/>
    <x v="0"/>
    <x v="1587"/>
    <n v="8.4499999999999993"/>
    <n v="421342.35"/>
  </r>
  <r>
    <s v="ORD01598"/>
    <x v="98"/>
    <s v="C147"/>
    <x v="308"/>
    <x v="4"/>
    <x v="26"/>
    <x v="26"/>
    <x v="0"/>
    <x v="1588"/>
    <n v="39.06"/>
    <n v="3804404.94"/>
  </r>
  <r>
    <s v="ORD01599"/>
    <x v="233"/>
    <s v="C437"/>
    <x v="195"/>
    <x v="2"/>
    <x v="15"/>
    <x v="15"/>
    <x v="2"/>
    <x v="1589"/>
    <n v="9.66"/>
    <n v="20836.62"/>
  </r>
  <r>
    <s v="ORD01600"/>
    <x v="649"/>
    <s v="C447"/>
    <x v="146"/>
    <x v="1"/>
    <x v="26"/>
    <x v="26"/>
    <x v="0"/>
    <x v="1590"/>
    <n v="16.940000000000001"/>
    <n v="1652700.28"/>
  </r>
  <r>
    <s v="ORD01601"/>
    <x v="236"/>
    <s v="C149"/>
    <x v="430"/>
    <x v="2"/>
    <x v="37"/>
    <x v="37"/>
    <x v="1"/>
    <x v="1591"/>
    <n v="31.48"/>
    <n v="2292436.56"/>
  </r>
  <r>
    <s v="ORD01602"/>
    <x v="219"/>
    <s v="C258"/>
    <x v="276"/>
    <x v="3"/>
    <x v="45"/>
    <x v="45"/>
    <x v="3"/>
    <x v="1592"/>
    <n v="26.29"/>
    <n v="910475.28"/>
  </r>
  <r>
    <s v="ORD01603"/>
    <x v="449"/>
    <s v="C052"/>
    <x v="212"/>
    <x v="4"/>
    <x v="44"/>
    <x v="44"/>
    <x v="2"/>
    <x v="1593"/>
    <n v="10.34"/>
    <n v="158450.16"/>
  </r>
  <r>
    <s v="ORD01604"/>
    <x v="140"/>
    <s v="C160"/>
    <x v="481"/>
    <x v="1"/>
    <x v="33"/>
    <x v="33"/>
    <x v="1"/>
    <x v="1594"/>
    <n v="49.61"/>
    <n v="644681.94999999995"/>
  </r>
  <r>
    <s v="ORD01605"/>
    <x v="141"/>
    <s v="C403"/>
    <x v="59"/>
    <x v="0"/>
    <x v="23"/>
    <x v="23"/>
    <x v="0"/>
    <x v="1595"/>
    <n v="5.01"/>
    <n v="19178.28"/>
  </r>
  <r>
    <s v="ORD01606"/>
    <x v="215"/>
    <s v="C468"/>
    <x v="76"/>
    <x v="1"/>
    <x v="32"/>
    <x v="32"/>
    <x v="4"/>
    <x v="1596"/>
    <n v="43.59"/>
    <n v="2054832.6"/>
  </r>
  <r>
    <s v="ORD01607"/>
    <x v="271"/>
    <s v="C191"/>
    <x v="186"/>
    <x v="2"/>
    <x v="32"/>
    <x v="32"/>
    <x v="4"/>
    <x v="1597"/>
    <n v="27.63"/>
    <n v="506209.23"/>
  </r>
  <r>
    <s v="ORD01608"/>
    <x v="583"/>
    <s v="C031"/>
    <x v="296"/>
    <x v="1"/>
    <x v="5"/>
    <x v="5"/>
    <x v="3"/>
    <x v="1244"/>
    <n v="39.82"/>
    <n v="1771870.54"/>
  </r>
  <r>
    <s v="ORD01609"/>
    <x v="193"/>
    <s v="C376"/>
    <x v="35"/>
    <x v="1"/>
    <x v="21"/>
    <x v="21"/>
    <x v="2"/>
    <x v="1598"/>
    <n v="16.72"/>
    <n v="731851.12"/>
  </r>
  <r>
    <s v="ORD01610"/>
    <x v="222"/>
    <s v="C137"/>
    <x v="182"/>
    <x v="4"/>
    <x v="0"/>
    <x v="0"/>
    <x v="0"/>
    <x v="1599"/>
    <n v="30.27"/>
    <n v="1342111.26"/>
  </r>
  <r>
    <s v="ORD01611"/>
    <x v="146"/>
    <s v="C264"/>
    <x v="65"/>
    <x v="0"/>
    <x v="4"/>
    <x v="4"/>
    <x v="1"/>
    <x v="1600"/>
    <n v="5.21"/>
    <n v="50891.28"/>
  </r>
  <r>
    <s v="ORD01612"/>
    <x v="650"/>
    <s v="C129"/>
    <x v="334"/>
    <x v="3"/>
    <x v="13"/>
    <x v="13"/>
    <x v="2"/>
    <x v="1601"/>
    <n v="37.409999999999997"/>
    <n v="271933.28999999998"/>
  </r>
  <r>
    <s v="ORD01613"/>
    <x v="431"/>
    <s v="C457"/>
    <x v="196"/>
    <x v="3"/>
    <x v="33"/>
    <x v="33"/>
    <x v="1"/>
    <x v="1602"/>
    <n v="6.73"/>
    <n v="527208.01"/>
  </r>
  <r>
    <s v="ORD01614"/>
    <x v="500"/>
    <s v="C076"/>
    <x v="206"/>
    <x v="2"/>
    <x v="39"/>
    <x v="39"/>
    <x v="3"/>
    <x v="1603"/>
    <n v="41.77"/>
    <n v="1779026.07"/>
  </r>
  <r>
    <s v="ORD01615"/>
    <x v="353"/>
    <s v="C232"/>
    <x v="75"/>
    <x v="0"/>
    <x v="16"/>
    <x v="16"/>
    <x v="1"/>
    <x v="1604"/>
    <n v="10.210000000000001"/>
    <n v="492642.71"/>
  </r>
  <r>
    <s v="ORD01616"/>
    <x v="71"/>
    <s v="C134"/>
    <x v="107"/>
    <x v="3"/>
    <x v="47"/>
    <x v="47"/>
    <x v="2"/>
    <x v="1605"/>
    <n v="44.76"/>
    <n v="4426271.6399999997"/>
  </r>
  <r>
    <s v="ORD01617"/>
    <x v="16"/>
    <s v="C117"/>
    <x v="441"/>
    <x v="2"/>
    <x v="46"/>
    <x v="46"/>
    <x v="0"/>
    <x v="1606"/>
    <n v="17.329999999999998"/>
    <n v="215949.13"/>
  </r>
  <r>
    <s v="ORD01618"/>
    <x v="511"/>
    <s v="C074"/>
    <x v="329"/>
    <x v="2"/>
    <x v="20"/>
    <x v="20"/>
    <x v="1"/>
    <x v="1607"/>
    <n v="8.33"/>
    <n v="383363.26"/>
  </r>
  <r>
    <s v="ORD01619"/>
    <x v="17"/>
    <s v="C123"/>
    <x v="284"/>
    <x v="3"/>
    <x v="33"/>
    <x v="33"/>
    <x v="1"/>
    <x v="1608"/>
    <n v="9.86"/>
    <n v="371524.8"/>
  </r>
  <r>
    <s v="ORD01620"/>
    <x v="11"/>
    <s v="C201"/>
    <x v="359"/>
    <x v="2"/>
    <x v="37"/>
    <x v="37"/>
    <x v="1"/>
    <x v="1609"/>
    <n v="8.23"/>
    <n v="782870.52"/>
  </r>
  <r>
    <s v="ORD01621"/>
    <x v="336"/>
    <s v="C389"/>
    <x v="394"/>
    <x v="0"/>
    <x v="45"/>
    <x v="45"/>
    <x v="3"/>
    <x v="1610"/>
    <n v="8.2100000000000009"/>
    <n v="140144.70000000001"/>
  </r>
  <r>
    <s v="ORD01622"/>
    <x v="114"/>
    <s v="C285"/>
    <x v="421"/>
    <x v="0"/>
    <x v="41"/>
    <x v="41"/>
    <x v="4"/>
    <x v="1611"/>
    <n v="6"/>
    <n v="359436"/>
  </r>
  <r>
    <s v="ORD01623"/>
    <x v="421"/>
    <s v="C230"/>
    <x v="465"/>
    <x v="4"/>
    <x v="46"/>
    <x v="46"/>
    <x v="0"/>
    <x v="1612"/>
    <n v="25.9"/>
    <n v="1853559.4"/>
  </r>
  <r>
    <s v="ORD01624"/>
    <x v="201"/>
    <s v="C246"/>
    <x v="480"/>
    <x v="1"/>
    <x v="22"/>
    <x v="22"/>
    <x v="0"/>
    <x v="1613"/>
    <n v="41.84"/>
    <n v="825252.16"/>
  </r>
  <r>
    <s v="ORD01625"/>
    <x v="107"/>
    <s v="C478"/>
    <x v="269"/>
    <x v="0"/>
    <x v="29"/>
    <x v="29"/>
    <x v="0"/>
    <x v="1614"/>
    <n v="35.19"/>
    <n v="1706820.57"/>
  </r>
  <r>
    <s v="ORD01626"/>
    <x v="589"/>
    <s v="C398"/>
    <x v="63"/>
    <x v="1"/>
    <x v="6"/>
    <x v="6"/>
    <x v="0"/>
    <x v="1615"/>
    <n v="46.59"/>
    <n v="2175147.33"/>
  </r>
  <r>
    <s v="ORD01627"/>
    <x v="25"/>
    <s v="C237"/>
    <x v="482"/>
    <x v="0"/>
    <x v="11"/>
    <x v="11"/>
    <x v="4"/>
    <x v="1616"/>
    <n v="5.55"/>
    <n v="16289.25"/>
  </r>
  <r>
    <s v="ORD01628"/>
    <x v="229"/>
    <s v="C158"/>
    <x v="117"/>
    <x v="3"/>
    <x v="45"/>
    <x v="45"/>
    <x v="3"/>
    <x v="1617"/>
    <n v="39.74"/>
    <n v="2514826.6800000002"/>
  </r>
  <r>
    <s v="ORD01629"/>
    <x v="201"/>
    <s v="C424"/>
    <x v="57"/>
    <x v="2"/>
    <x v="7"/>
    <x v="7"/>
    <x v="3"/>
    <x v="1618"/>
    <n v="7.13"/>
    <n v="362767.27"/>
  </r>
  <r>
    <s v="ORD01630"/>
    <x v="32"/>
    <s v="C418"/>
    <x v="246"/>
    <x v="2"/>
    <x v="17"/>
    <x v="17"/>
    <x v="1"/>
    <x v="1619"/>
    <n v="23.53"/>
    <n v="58001.45"/>
  </r>
  <r>
    <s v="ORD01631"/>
    <x v="164"/>
    <s v="C310"/>
    <x v="467"/>
    <x v="3"/>
    <x v="18"/>
    <x v="18"/>
    <x v="0"/>
    <x v="1620"/>
    <n v="19.940000000000001"/>
    <n v="1281783.08"/>
  </r>
  <r>
    <s v="ORD01632"/>
    <x v="347"/>
    <s v="C303"/>
    <x v="262"/>
    <x v="0"/>
    <x v="19"/>
    <x v="19"/>
    <x v="3"/>
    <x v="1621"/>
    <n v="39.380000000000003"/>
    <n v="2694655.26"/>
  </r>
  <r>
    <s v="ORD01633"/>
    <x v="651"/>
    <s v="C025"/>
    <x v="396"/>
    <x v="0"/>
    <x v="2"/>
    <x v="2"/>
    <x v="1"/>
    <x v="1622"/>
    <n v="23.4"/>
    <n v="1876071.6"/>
  </r>
  <r>
    <s v="ORD01634"/>
    <x v="3"/>
    <s v="C034"/>
    <x v="19"/>
    <x v="0"/>
    <x v="35"/>
    <x v="35"/>
    <x v="1"/>
    <x v="1623"/>
    <n v="35.85"/>
    <n v="917509.05"/>
  </r>
  <r>
    <s v="ORD01635"/>
    <x v="15"/>
    <s v="C463"/>
    <x v="61"/>
    <x v="3"/>
    <x v="17"/>
    <x v="17"/>
    <x v="1"/>
    <x v="864"/>
    <n v="17.36"/>
    <n v="39615.519999999997"/>
  </r>
  <r>
    <s v="ORD01636"/>
    <x v="501"/>
    <s v="C324"/>
    <x v="208"/>
    <x v="0"/>
    <x v="17"/>
    <x v="17"/>
    <x v="1"/>
    <x v="1624"/>
    <n v="18.89"/>
    <n v="664739.1"/>
  </r>
  <r>
    <s v="ORD01637"/>
    <x v="539"/>
    <s v="C230"/>
    <x v="465"/>
    <x v="4"/>
    <x v="43"/>
    <x v="43"/>
    <x v="4"/>
    <x v="1625"/>
    <n v="36.19"/>
    <n v="968878.68"/>
  </r>
  <r>
    <s v="ORD01638"/>
    <x v="462"/>
    <s v="C200"/>
    <x v="119"/>
    <x v="4"/>
    <x v="23"/>
    <x v="23"/>
    <x v="0"/>
    <x v="1626"/>
    <n v="33.74"/>
    <n v="3072634.32"/>
  </r>
  <r>
    <s v="ORD01639"/>
    <x v="342"/>
    <s v="C296"/>
    <x v="321"/>
    <x v="3"/>
    <x v="21"/>
    <x v="21"/>
    <x v="2"/>
    <x v="1627"/>
    <n v="4.2699999999999996"/>
    <n v="119671.02"/>
  </r>
  <r>
    <s v="ORD01640"/>
    <x v="504"/>
    <s v="C195"/>
    <x v="85"/>
    <x v="4"/>
    <x v="42"/>
    <x v="42"/>
    <x v="1"/>
    <x v="1628"/>
    <n v="46.79"/>
    <n v="4171094.55"/>
  </r>
  <r>
    <s v="ORD01641"/>
    <x v="572"/>
    <s v="C116"/>
    <x v="323"/>
    <x v="3"/>
    <x v="12"/>
    <x v="12"/>
    <x v="4"/>
    <x v="1629"/>
    <n v="45.08"/>
    <n v="4252080.84"/>
  </r>
  <r>
    <s v="ORD01642"/>
    <x v="568"/>
    <s v="C452"/>
    <x v="148"/>
    <x v="4"/>
    <x v="25"/>
    <x v="25"/>
    <x v="4"/>
    <x v="1630"/>
    <n v="33.54"/>
    <n v="437663.46"/>
  </r>
  <r>
    <s v="ORD01643"/>
    <x v="276"/>
    <s v="C180"/>
    <x v="200"/>
    <x v="0"/>
    <x v="34"/>
    <x v="34"/>
    <x v="2"/>
    <x v="1631"/>
    <n v="18.059999999999999"/>
    <n v="907858.14"/>
  </r>
  <r>
    <s v="ORD01644"/>
    <x v="147"/>
    <s v="C209"/>
    <x v="409"/>
    <x v="4"/>
    <x v="14"/>
    <x v="14"/>
    <x v="2"/>
    <x v="1632"/>
    <n v="35.799999999999997"/>
    <n v="3019264.6"/>
  </r>
  <r>
    <s v="ORD01645"/>
    <x v="34"/>
    <s v="C030"/>
    <x v="468"/>
    <x v="4"/>
    <x v="24"/>
    <x v="24"/>
    <x v="3"/>
    <x v="1633"/>
    <n v="2.86"/>
    <n v="99362.12"/>
  </r>
  <r>
    <s v="ORD01646"/>
    <x v="298"/>
    <s v="C366"/>
    <x v="447"/>
    <x v="3"/>
    <x v="30"/>
    <x v="30"/>
    <x v="4"/>
    <x v="1634"/>
    <n v="41.46"/>
    <n v="2087054.94"/>
  </r>
  <r>
    <s v="ORD01647"/>
    <x v="584"/>
    <s v="C042"/>
    <x v="175"/>
    <x v="0"/>
    <x v="26"/>
    <x v="26"/>
    <x v="0"/>
    <x v="1635"/>
    <n v="5.96"/>
    <n v="220627.28"/>
  </r>
  <r>
    <s v="ORD01648"/>
    <x v="150"/>
    <s v="C133"/>
    <x v="71"/>
    <x v="4"/>
    <x v="2"/>
    <x v="2"/>
    <x v="1"/>
    <x v="1636"/>
    <n v="36.619999999999997"/>
    <n v="1892082.16"/>
  </r>
  <r>
    <s v="ORD01649"/>
    <x v="401"/>
    <s v="C437"/>
    <x v="195"/>
    <x v="2"/>
    <x v="20"/>
    <x v="20"/>
    <x v="1"/>
    <x v="1637"/>
    <n v="22.46"/>
    <n v="747513.72"/>
  </r>
  <r>
    <s v="ORD01650"/>
    <x v="526"/>
    <s v="C299"/>
    <x v="252"/>
    <x v="4"/>
    <x v="33"/>
    <x v="33"/>
    <x v="1"/>
    <x v="1638"/>
    <n v="22.49"/>
    <n v="2151258.46"/>
  </r>
  <r>
    <s v="ORD01651"/>
    <x v="576"/>
    <s v="C301"/>
    <x v="418"/>
    <x v="3"/>
    <x v="2"/>
    <x v="2"/>
    <x v="1"/>
    <x v="1639"/>
    <n v="6.04"/>
    <n v="490641.28"/>
  </r>
  <r>
    <s v="ORD01652"/>
    <x v="652"/>
    <s v="C385"/>
    <x v="309"/>
    <x v="3"/>
    <x v="37"/>
    <x v="37"/>
    <x v="1"/>
    <x v="1640"/>
    <n v="15.69"/>
    <n v="201302.7"/>
  </r>
  <r>
    <s v="ORD01653"/>
    <x v="202"/>
    <s v="C158"/>
    <x v="117"/>
    <x v="3"/>
    <x v="44"/>
    <x v="44"/>
    <x v="2"/>
    <x v="1641"/>
    <n v="12.42"/>
    <n v="749149.56"/>
  </r>
  <r>
    <s v="ORD01654"/>
    <x v="547"/>
    <s v="C143"/>
    <x v="448"/>
    <x v="4"/>
    <x v="19"/>
    <x v="19"/>
    <x v="3"/>
    <x v="1642"/>
    <n v="8.69"/>
    <n v="715604.12"/>
  </r>
  <r>
    <s v="ORD01655"/>
    <x v="586"/>
    <s v="C061"/>
    <x v="178"/>
    <x v="2"/>
    <x v="8"/>
    <x v="8"/>
    <x v="3"/>
    <x v="1643"/>
    <n v="45.84"/>
    <n v="2152188"/>
  </r>
  <r>
    <s v="ORD01656"/>
    <x v="248"/>
    <s v="C477"/>
    <x v="87"/>
    <x v="4"/>
    <x v="13"/>
    <x v="13"/>
    <x v="2"/>
    <x v="1644"/>
    <n v="42.83"/>
    <n v="4150312.66"/>
  </r>
  <r>
    <s v="ORD01657"/>
    <x v="20"/>
    <s v="C308"/>
    <x v="149"/>
    <x v="4"/>
    <x v="3"/>
    <x v="3"/>
    <x v="2"/>
    <x v="1645"/>
    <n v="33.93"/>
    <n v="2290987.5299999998"/>
  </r>
  <r>
    <s v="ORD01658"/>
    <x v="145"/>
    <s v="C426"/>
    <x v="163"/>
    <x v="2"/>
    <x v="30"/>
    <x v="30"/>
    <x v="4"/>
    <x v="1646"/>
    <n v="43.77"/>
    <n v="1813872.57"/>
  </r>
  <r>
    <s v="ORD01659"/>
    <x v="526"/>
    <s v="C398"/>
    <x v="63"/>
    <x v="1"/>
    <x v="12"/>
    <x v="12"/>
    <x v="4"/>
    <x v="1647"/>
    <n v="4.13"/>
    <n v="15404.9"/>
  </r>
  <r>
    <s v="ORD01660"/>
    <x v="149"/>
    <s v="C420"/>
    <x v="11"/>
    <x v="4"/>
    <x v="42"/>
    <x v="42"/>
    <x v="1"/>
    <x v="1648"/>
    <n v="21.85"/>
    <n v="459221.45"/>
  </r>
  <r>
    <s v="ORD01661"/>
    <x v="600"/>
    <s v="C307"/>
    <x v="318"/>
    <x v="0"/>
    <x v="42"/>
    <x v="42"/>
    <x v="1"/>
    <x v="1649"/>
    <n v="9.66"/>
    <n v="810329.1"/>
  </r>
  <r>
    <s v="ORD01662"/>
    <x v="109"/>
    <s v="C337"/>
    <x v="483"/>
    <x v="0"/>
    <x v="45"/>
    <x v="45"/>
    <x v="3"/>
    <x v="1650"/>
    <n v="2.59"/>
    <n v="53136.44"/>
  </r>
  <r>
    <s v="ORD01663"/>
    <x v="653"/>
    <s v="C466"/>
    <x v="23"/>
    <x v="2"/>
    <x v="20"/>
    <x v="20"/>
    <x v="1"/>
    <x v="1651"/>
    <n v="9.9"/>
    <n v="68022.899999999994"/>
  </r>
  <r>
    <s v="ORD01664"/>
    <x v="23"/>
    <s v="C028"/>
    <x v="151"/>
    <x v="2"/>
    <x v="14"/>
    <x v="14"/>
    <x v="2"/>
    <x v="1652"/>
    <n v="37.49"/>
    <n v="2429239.5299999998"/>
  </r>
  <r>
    <s v="ORD01665"/>
    <x v="569"/>
    <s v="C278"/>
    <x v="227"/>
    <x v="1"/>
    <x v="18"/>
    <x v="18"/>
    <x v="0"/>
    <x v="1653"/>
    <n v="34.21"/>
    <n v="2507866.6800000002"/>
  </r>
  <r>
    <s v="ORD01666"/>
    <x v="593"/>
    <s v="C416"/>
    <x v="451"/>
    <x v="3"/>
    <x v="27"/>
    <x v="27"/>
    <x v="4"/>
    <x v="1654"/>
    <n v="34.119999999999997"/>
    <n v="500711"/>
  </r>
  <r>
    <s v="ORD01667"/>
    <x v="422"/>
    <s v="C441"/>
    <x v="115"/>
    <x v="0"/>
    <x v="9"/>
    <x v="9"/>
    <x v="4"/>
    <x v="1655"/>
    <n v="7.84"/>
    <n v="392674.24"/>
  </r>
  <r>
    <s v="ORD01668"/>
    <x v="654"/>
    <s v="C275"/>
    <x v="126"/>
    <x v="1"/>
    <x v="1"/>
    <x v="1"/>
    <x v="1"/>
    <x v="1656"/>
    <n v="44.11"/>
    <n v="2845227.33"/>
  </r>
  <r>
    <s v="ORD01669"/>
    <x v="234"/>
    <s v="C128"/>
    <x v="361"/>
    <x v="4"/>
    <x v="0"/>
    <x v="0"/>
    <x v="0"/>
    <x v="1657"/>
    <n v="32.770000000000003"/>
    <n v="1304311.54"/>
  </r>
  <r>
    <s v="ORD01670"/>
    <x v="605"/>
    <s v="C347"/>
    <x v="476"/>
    <x v="1"/>
    <x v="1"/>
    <x v="1"/>
    <x v="1"/>
    <x v="1658"/>
    <n v="5.14"/>
    <n v="55758.720000000001"/>
  </r>
  <r>
    <s v="ORD01671"/>
    <x v="430"/>
    <s v="C190"/>
    <x v="346"/>
    <x v="1"/>
    <x v="33"/>
    <x v="33"/>
    <x v="1"/>
    <x v="1659"/>
    <n v="9.57"/>
    <n v="678819.24"/>
  </r>
  <r>
    <s v="ORD01672"/>
    <x v="507"/>
    <s v="C352"/>
    <x v="162"/>
    <x v="2"/>
    <x v="12"/>
    <x v="12"/>
    <x v="4"/>
    <x v="1660"/>
    <n v="41.09"/>
    <n v="2279467.75"/>
  </r>
  <r>
    <s v="ORD01673"/>
    <x v="640"/>
    <s v="C359"/>
    <x v="31"/>
    <x v="0"/>
    <x v="43"/>
    <x v="43"/>
    <x v="4"/>
    <x v="1661"/>
    <n v="43.33"/>
    <n v="2750241.76"/>
  </r>
  <r>
    <s v="ORD01674"/>
    <x v="447"/>
    <s v="C207"/>
    <x v="352"/>
    <x v="3"/>
    <x v="2"/>
    <x v="2"/>
    <x v="1"/>
    <x v="1662"/>
    <n v="45.83"/>
    <n v="1047215.5"/>
  </r>
  <r>
    <s v="ORD01675"/>
    <x v="324"/>
    <s v="C246"/>
    <x v="480"/>
    <x v="1"/>
    <x v="34"/>
    <x v="34"/>
    <x v="2"/>
    <x v="1663"/>
    <n v="7.73"/>
    <n v="28879.279999999999"/>
  </r>
  <r>
    <s v="ORD01676"/>
    <x v="655"/>
    <s v="C219"/>
    <x v="43"/>
    <x v="0"/>
    <x v="33"/>
    <x v="33"/>
    <x v="1"/>
    <x v="1664"/>
    <n v="21.89"/>
    <n v="1374407.43"/>
  </r>
  <r>
    <s v="ORD01677"/>
    <x v="656"/>
    <s v="C323"/>
    <x v="343"/>
    <x v="2"/>
    <x v="36"/>
    <x v="36"/>
    <x v="4"/>
    <x v="1665"/>
    <n v="43.12"/>
    <n v="2381905.6800000002"/>
  </r>
  <r>
    <s v="ORD01678"/>
    <x v="657"/>
    <s v="C294"/>
    <x v="484"/>
    <x v="4"/>
    <x v="27"/>
    <x v="27"/>
    <x v="4"/>
    <x v="1666"/>
    <n v="16.12"/>
    <n v="577708.56000000006"/>
  </r>
  <r>
    <s v="ORD01679"/>
    <x v="282"/>
    <s v="C054"/>
    <x v="129"/>
    <x v="3"/>
    <x v="22"/>
    <x v="22"/>
    <x v="0"/>
    <x v="1667"/>
    <n v="23.78"/>
    <n v="761887.42"/>
  </r>
  <r>
    <s v="ORD01680"/>
    <x v="658"/>
    <s v="C229"/>
    <x v="46"/>
    <x v="1"/>
    <x v="45"/>
    <x v="45"/>
    <x v="3"/>
    <x v="1668"/>
    <n v="29.61"/>
    <n v="1623072.15"/>
  </r>
  <r>
    <s v="ORD01681"/>
    <x v="418"/>
    <s v="C295"/>
    <x v="485"/>
    <x v="4"/>
    <x v="8"/>
    <x v="8"/>
    <x v="3"/>
    <x v="1669"/>
    <n v="13.35"/>
    <n v="108121.65"/>
  </r>
  <r>
    <s v="ORD01682"/>
    <x v="562"/>
    <s v="C216"/>
    <x v="47"/>
    <x v="1"/>
    <x v="38"/>
    <x v="38"/>
    <x v="2"/>
    <x v="1670"/>
    <n v="38.6"/>
    <n v="1156764.8"/>
  </r>
  <r>
    <s v="ORD01683"/>
    <x v="198"/>
    <s v="C485"/>
    <x v="374"/>
    <x v="0"/>
    <x v="21"/>
    <x v="21"/>
    <x v="2"/>
    <x v="1671"/>
    <n v="28.91"/>
    <n v="1509015.27"/>
  </r>
  <r>
    <s v="ORD01684"/>
    <x v="659"/>
    <s v="C239"/>
    <x v="12"/>
    <x v="3"/>
    <x v="28"/>
    <x v="28"/>
    <x v="3"/>
    <x v="1672"/>
    <n v="46.9"/>
    <n v="1453665.5"/>
  </r>
  <r>
    <s v="ORD01685"/>
    <x v="484"/>
    <s v="C312"/>
    <x v="231"/>
    <x v="1"/>
    <x v="3"/>
    <x v="3"/>
    <x v="2"/>
    <x v="1673"/>
    <n v="32.590000000000003"/>
    <n v="1959799.65"/>
  </r>
  <r>
    <s v="ORD01686"/>
    <x v="175"/>
    <s v="C342"/>
    <x v="258"/>
    <x v="4"/>
    <x v="42"/>
    <x v="42"/>
    <x v="1"/>
    <x v="1674"/>
    <n v="44.32"/>
    <n v="452329.92"/>
  </r>
  <r>
    <s v="ORD01687"/>
    <x v="470"/>
    <s v="C447"/>
    <x v="146"/>
    <x v="1"/>
    <x v="22"/>
    <x v="22"/>
    <x v="0"/>
    <x v="1675"/>
    <n v="28.3"/>
    <n v="1872441.2"/>
  </r>
  <r>
    <s v="ORD01688"/>
    <x v="93"/>
    <s v="C493"/>
    <x v="354"/>
    <x v="4"/>
    <x v="40"/>
    <x v="40"/>
    <x v="0"/>
    <x v="1676"/>
    <n v="8.68"/>
    <n v="129505.60000000001"/>
  </r>
  <r>
    <s v="ORD01689"/>
    <x v="239"/>
    <s v="C370"/>
    <x v="486"/>
    <x v="3"/>
    <x v="26"/>
    <x v="26"/>
    <x v="0"/>
    <x v="1677"/>
    <n v="45.48"/>
    <n v="258735.72"/>
  </r>
  <r>
    <s v="ORD01690"/>
    <x v="375"/>
    <s v="C470"/>
    <x v="190"/>
    <x v="4"/>
    <x v="9"/>
    <x v="9"/>
    <x v="4"/>
    <x v="1678"/>
    <n v="12.92"/>
    <n v="1138109.8799999999"/>
  </r>
  <r>
    <s v="ORD01691"/>
    <x v="367"/>
    <s v="C024"/>
    <x v="487"/>
    <x v="0"/>
    <x v="0"/>
    <x v="0"/>
    <x v="0"/>
    <x v="1679"/>
    <n v="4.1399999999999997"/>
    <n v="67515.12"/>
  </r>
  <r>
    <s v="ORD01692"/>
    <x v="480"/>
    <s v="C314"/>
    <x v="10"/>
    <x v="0"/>
    <x v="36"/>
    <x v="36"/>
    <x v="4"/>
    <x v="1680"/>
    <n v="41.73"/>
    <n v="1771480.23"/>
  </r>
  <r>
    <s v="ORD01693"/>
    <x v="481"/>
    <s v="C130"/>
    <x v="192"/>
    <x v="3"/>
    <x v="28"/>
    <x v="28"/>
    <x v="3"/>
    <x v="1681"/>
    <n v="23.44"/>
    <n v="385986.48"/>
  </r>
  <r>
    <s v="ORD01694"/>
    <x v="276"/>
    <s v="C277"/>
    <x v="158"/>
    <x v="3"/>
    <x v="39"/>
    <x v="39"/>
    <x v="3"/>
    <x v="1682"/>
    <n v="12.18"/>
    <n v="431598.3"/>
  </r>
  <r>
    <s v="ORD01695"/>
    <x v="515"/>
    <s v="C220"/>
    <x v="157"/>
    <x v="0"/>
    <x v="39"/>
    <x v="39"/>
    <x v="3"/>
    <x v="1683"/>
    <n v="26.16"/>
    <n v="2177820"/>
  </r>
  <r>
    <s v="ORD01696"/>
    <x v="271"/>
    <s v="C077"/>
    <x v="426"/>
    <x v="0"/>
    <x v="31"/>
    <x v="31"/>
    <x v="0"/>
    <x v="1684"/>
    <n v="9.1999999999999993"/>
    <n v="381450.4"/>
  </r>
  <r>
    <s v="ORD01697"/>
    <x v="381"/>
    <s v="C345"/>
    <x v="15"/>
    <x v="2"/>
    <x v="22"/>
    <x v="22"/>
    <x v="0"/>
    <x v="1685"/>
    <n v="11.69"/>
    <n v="991732.84"/>
  </r>
  <r>
    <s v="ORD01698"/>
    <x v="347"/>
    <s v="C253"/>
    <x v="379"/>
    <x v="4"/>
    <x v="1"/>
    <x v="1"/>
    <x v="1"/>
    <x v="1686"/>
    <n v="10.8"/>
    <n v="32022"/>
  </r>
  <r>
    <s v="ORD01699"/>
    <x v="335"/>
    <s v="C235"/>
    <x v="199"/>
    <x v="0"/>
    <x v="0"/>
    <x v="0"/>
    <x v="0"/>
    <x v="1687"/>
    <n v="13.6"/>
    <n v="494047.2"/>
  </r>
  <r>
    <s v="ORD01700"/>
    <x v="631"/>
    <s v="C194"/>
    <x v="106"/>
    <x v="2"/>
    <x v="34"/>
    <x v="34"/>
    <x v="2"/>
    <x v="1688"/>
    <n v="29.86"/>
    <n v="1535550.5"/>
  </r>
  <r>
    <s v="ORD01701"/>
    <x v="317"/>
    <s v="C273"/>
    <x v="185"/>
    <x v="0"/>
    <x v="41"/>
    <x v="41"/>
    <x v="4"/>
    <x v="1689"/>
    <n v="17.86"/>
    <n v="727116.32"/>
  </r>
  <r>
    <s v="ORD01702"/>
    <x v="35"/>
    <s v="C236"/>
    <x v="25"/>
    <x v="2"/>
    <x v="2"/>
    <x v="2"/>
    <x v="1"/>
    <x v="1690"/>
    <n v="17.66"/>
    <n v="1752949.26"/>
  </r>
  <r>
    <s v="ORD01703"/>
    <x v="531"/>
    <s v="C156"/>
    <x v="27"/>
    <x v="0"/>
    <x v="8"/>
    <x v="8"/>
    <x v="3"/>
    <x v="1691"/>
    <n v="22.72"/>
    <n v="1985909.76"/>
  </r>
  <r>
    <s v="ORD01704"/>
    <x v="150"/>
    <s v="C264"/>
    <x v="65"/>
    <x v="0"/>
    <x v="12"/>
    <x v="12"/>
    <x v="4"/>
    <x v="1692"/>
    <n v="46.25"/>
    <n v="540107.5"/>
  </r>
  <r>
    <s v="ORD01705"/>
    <x v="282"/>
    <s v="C113"/>
    <x v="442"/>
    <x v="3"/>
    <x v="7"/>
    <x v="7"/>
    <x v="3"/>
    <x v="1693"/>
    <n v="20.82"/>
    <n v="1078434.3600000001"/>
  </r>
  <r>
    <s v="ORD01706"/>
    <x v="660"/>
    <s v="C119"/>
    <x v="122"/>
    <x v="0"/>
    <x v="1"/>
    <x v="1"/>
    <x v="1"/>
    <x v="1694"/>
    <n v="45.15"/>
    <n v="859069.05"/>
  </r>
  <r>
    <s v="ORD01707"/>
    <x v="244"/>
    <s v="C089"/>
    <x v="79"/>
    <x v="4"/>
    <x v="21"/>
    <x v="21"/>
    <x v="2"/>
    <x v="1695"/>
    <n v="28.74"/>
    <n v="2834884.86"/>
  </r>
  <r>
    <s v="ORD01708"/>
    <x v="277"/>
    <s v="C391"/>
    <x v="425"/>
    <x v="0"/>
    <x v="38"/>
    <x v="38"/>
    <x v="2"/>
    <x v="1696"/>
    <n v="17.989999999999998"/>
    <n v="934994.27"/>
  </r>
  <r>
    <s v="ORD01709"/>
    <x v="643"/>
    <s v="C486"/>
    <x v="339"/>
    <x v="1"/>
    <x v="28"/>
    <x v="28"/>
    <x v="3"/>
    <x v="1697"/>
    <n v="38.630000000000003"/>
    <n v="1771958.1"/>
  </r>
  <r>
    <s v="ORD01710"/>
    <x v="649"/>
    <s v="C171"/>
    <x v="423"/>
    <x v="0"/>
    <x v="32"/>
    <x v="32"/>
    <x v="4"/>
    <x v="1698"/>
    <n v="29.7"/>
    <n v="1384346.7"/>
  </r>
  <r>
    <s v="ORD01711"/>
    <x v="31"/>
    <s v="C001"/>
    <x v="488"/>
    <x v="4"/>
    <x v="12"/>
    <x v="12"/>
    <x v="4"/>
    <x v="1699"/>
    <n v="3.81"/>
    <n v="21907.5"/>
  </r>
  <r>
    <s v="ORD01712"/>
    <x v="45"/>
    <s v="C059"/>
    <x v="256"/>
    <x v="4"/>
    <x v="14"/>
    <x v="14"/>
    <x v="2"/>
    <x v="1700"/>
    <n v="38.92"/>
    <n v="1098127.8"/>
  </r>
  <r>
    <s v="ORD01713"/>
    <x v="70"/>
    <s v="C438"/>
    <x v="475"/>
    <x v="1"/>
    <x v="3"/>
    <x v="3"/>
    <x v="2"/>
    <x v="1701"/>
    <n v="21.08"/>
    <n v="1087116.68"/>
  </r>
  <r>
    <s v="ORD01714"/>
    <x v="138"/>
    <s v="C016"/>
    <x v="170"/>
    <x v="2"/>
    <x v="34"/>
    <x v="34"/>
    <x v="2"/>
    <x v="1702"/>
    <n v="43.33"/>
    <n v="2085472.9"/>
  </r>
  <r>
    <s v="ORD01715"/>
    <x v="597"/>
    <s v="C482"/>
    <x v="369"/>
    <x v="4"/>
    <x v="4"/>
    <x v="4"/>
    <x v="1"/>
    <x v="1703"/>
    <n v="37.42"/>
    <n v="1114105.6599999999"/>
  </r>
  <r>
    <s v="ORD01716"/>
    <x v="362"/>
    <s v="C089"/>
    <x v="79"/>
    <x v="4"/>
    <x v="13"/>
    <x v="13"/>
    <x v="2"/>
    <x v="1704"/>
    <n v="26.27"/>
    <n v="2491341.7200000002"/>
  </r>
  <r>
    <s v="ORD01717"/>
    <x v="230"/>
    <s v="C061"/>
    <x v="178"/>
    <x v="2"/>
    <x v="6"/>
    <x v="6"/>
    <x v="0"/>
    <x v="1705"/>
    <n v="25.94"/>
    <n v="396959.82"/>
  </r>
  <r>
    <s v="ORD01718"/>
    <x v="77"/>
    <s v="C259"/>
    <x v="36"/>
    <x v="2"/>
    <x v="26"/>
    <x v="26"/>
    <x v="0"/>
    <x v="1706"/>
    <n v="2.19"/>
    <n v="24939.72"/>
  </r>
  <r>
    <s v="ORD01719"/>
    <x v="214"/>
    <s v="C122"/>
    <x v="297"/>
    <x v="4"/>
    <x v="3"/>
    <x v="3"/>
    <x v="2"/>
    <x v="1707"/>
    <n v="32.090000000000003"/>
    <n v="582273.05000000005"/>
  </r>
  <r>
    <s v="ORD01720"/>
    <x v="584"/>
    <s v="C432"/>
    <x v="14"/>
    <x v="0"/>
    <x v="8"/>
    <x v="8"/>
    <x v="3"/>
    <x v="1708"/>
    <n v="33.450000000000003"/>
    <n v="848927.55"/>
  </r>
  <r>
    <s v="ORD01721"/>
    <x v="601"/>
    <s v="C105"/>
    <x v="386"/>
    <x v="0"/>
    <x v="6"/>
    <x v="6"/>
    <x v="0"/>
    <x v="1709"/>
    <n v="2.4"/>
    <n v="84657.600000000006"/>
  </r>
  <r>
    <s v="ORD01722"/>
    <x v="334"/>
    <s v="C332"/>
    <x v="242"/>
    <x v="2"/>
    <x v="2"/>
    <x v="2"/>
    <x v="1"/>
    <x v="1710"/>
    <n v="41.33"/>
    <n v="2821061.81"/>
  </r>
  <r>
    <s v="ORD01723"/>
    <x v="158"/>
    <s v="C438"/>
    <x v="475"/>
    <x v="1"/>
    <x v="35"/>
    <x v="35"/>
    <x v="1"/>
    <x v="1711"/>
    <n v="13.65"/>
    <n v="719668.95"/>
  </r>
  <r>
    <s v="ORD01724"/>
    <x v="533"/>
    <s v="C448"/>
    <x v="434"/>
    <x v="0"/>
    <x v="47"/>
    <x v="47"/>
    <x v="2"/>
    <x v="1712"/>
    <n v="16.95"/>
    <n v="1168312.6499999999"/>
  </r>
  <r>
    <s v="ORD01725"/>
    <x v="459"/>
    <s v="C261"/>
    <x v="390"/>
    <x v="2"/>
    <x v="13"/>
    <x v="13"/>
    <x v="2"/>
    <x v="1657"/>
    <n v="28.48"/>
    <n v="1133560.96"/>
  </r>
  <r>
    <s v="ORD01726"/>
    <x v="468"/>
    <s v="C435"/>
    <x v="60"/>
    <x v="4"/>
    <x v="40"/>
    <x v="40"/>
    <x v="0"/>
    <x v="1713"/>
    <n v="14.9"/>
    <n v="1398797.1"/>
  </r>
  <r>
    <s v="ORD01727"/>
    <x v="491"/>
    <s v="C329"/>
    <x v="388"/>
    <x v="2"/>
    <x v="27"/>
    <x v="27"/>
    <x v="4"/>
    <x v="1714"/>
    <n v="17.98"/>
    <n v="197726.06"/>
  </r>
  <r>
    <s v="ORD01728"/>
    <x v="661"/>
    <s v="C177"/>
    <x v="183"/>
    <x v="1"/>
    <x v="12"/>
    <x v="12"/>
    <x v="4"/>
    <x v="1715"/>
    <n v="29.15"/>
    <n v="2128270.65"/>
  </r>
  <r>
    <s v="ORD01729"/>
    <x v="436"/>
    <s v="C200"/>
    <x v="119"/>
    <x v="4"/>
    <x v="18"/>
    <x v="18"/>
    <x v="0"/>
    <x v="1716"/>
    <n v="21.37"/>
    <n v="822210.75"/>
  </r>
  <r>
    <s v="ORD01730"/>
    <x v="53"/>
    <s v="C497"/>
    <x v="215"/>
    <x v="1"/>
    <x v="26"/>
    <x v="26"/>
    <x v="0"/>
    <x v="1717"/>
    <n v="6.83"/>
    <n v="621277.29"/>
  </r>
  <r>
    <s v="ORD01731"/>
    <x v="98"/>
    <s v="C364"/>
    <x v="398"/>
    <x v="3"/>
    <x v="27"/>
    <x v="27"/>
    <x v="4"/>
    <x v="1718"/>
    <n v="32.1"/>
    <n v="2226905.4"/>
  </r>
  <r>
    <s v="ORD01732"/>
    <x v="312"/>
    <s v="C477"/>
    <x v="87"/>
    <x v="4"/>
    <x v="31"/>
    <x v="31"/>
    <x v="0"/>
    <x v="1719"/>
    <n v="36.97"/>
    <n v="3218460.32"/>
  </r>
  <r>
    <s v="ORD01733"/>
    <x v="662"/>
    <s v="C160"/>
    <x v="481"/>
    <x v="1"/>
    <x v="8"/>
    <x v="8"/>
    <x v="3"/>
    <x v="1720"/>
    <n v="30.26"/>
    <n v="2004150.06"/>
  </r>
  <r>
    <s v="ORD01734"/>
    <x v="389"/>
    <s v="C424"/>
    <x v="57"/>
    <x v="2"/>
    <x v="21"/>
    <x v="21"/>
    <x v="2"/>
    <x v="1721"/>
    <n v="30.13"/>
    <n v="2963195.11"/>
  </r>
  <r>
    <s v="ORD01735"/>
    <x v="592"/>
    <s v="C496"/>
    <x v="82"/>
    <x v="0"/>
    <x v="39"/>
    <x v="39"/>
    <x v="3"/>
    <x v="1722"/>
    <n v="14.95"/>
    <n v="601064.75"/>
  </r>
  <r>
    <s v="ORD01736"/>
    <x v="494"/>
    <s v="C437"/>
    <x v="195"/>
    <x v="2"/>
    <x v="36"/>
    <x v="36"/>
    <x v="4"/>
    <x v="1723"/>
    <n v="39.869999999999997"/>
    <n v="3048380.46"/>
  </r>
  <r>
    <s v="ORD01737"/>
    <x v="324"/>
    <s v="C014"/>
    <x v="134"/>
    <x v="2"/>
    <x v="3"/>
    <x v="3"/>
    <x v="2"/>
    <x v="1724"/>
    <n v="25.74"/>
    <n v="1126305.18"/>
  </r>
  <r>
    <s v="ORD01738"/>
    <x v="114"/>
    <s v="C263"/>
    <x v="432"/>
    <x v="3"/>
    <x v="43"/>
    <x v="43"/>
    <x v="4"/>
    <x v="1725"/>
    <n v="14.22"/>
    <n v="1132509.24"/>
  </r>
  <r>
    <s v="ORD01739"/>
    <x v="176"/>
    <s v="C107"/>
    <x v="324"/>
    <x v="1"/>
    <x v="23"/>
    <x v="23"/>
    <x v="0"/>
    <x v="1726"/>
    <n v="6.21"/>
    <n v="226466.28"/>
  </r>
  <r>
    <s v="ORD01740"/>
    <x v="393"/>
    <s v="C131"/>
    <x v="449"/>
    <x v="1"/>
    <x v="46"/>
    <x v="46"/>
    <x v="0"/>
    <x v="1727"/>
    <n v="30.75"/>
    <n v="2114523.75"/>
  </r>
  <r>
    <s v="ORD01741"/>
    <x v="71"/>
    <s v="C159"/>
    <x v="243"/>
    <x v="0"/>
    <x v="2"/>
    <x v="2"/>
    <x v="1"/>
    <x v="1728"/>
    <n v="39"/>
    <n v="44967"/>
  </r>
  <r>
    <s v="ORD01742"/>
    <x v="485"/>
    <s v="C161"/>
    <x v="169"/>
    <x v="1"/>
    <x v="8"/>
    <x v="8"/>
    <x v="3"/>
    <x v="1729"/>
    <n v="36.24"/>
    <n v="2555970.96"/>
  </r>
  <r>
    <s v="ORD01743"/>
    <x v="348"/>
    <s v="C171"/>
    <x v="423"/>
    <x v="0"/>
    <x v="25"/>
    <x v="25"/>
    <x v="4"/>
    <x v="1730"/>
    <n v="13.88"/>
    <n v="23151.84"/>
  </r>
  <r>
    <s v="ORD01744"/>
    <x v="663"/>
    <s v="C236"/>
    <x v="25"/>
    <x v="2"/>
    <x v="46"/>
    <x v="46"/>
    <x v="0"/>
    <x v="1731"/>
    <n v="24.96"/>
    <n v="228309.12"/>
  </r>
  <r>
    <s v="ORD01745"/>
    <x v="217"/>
    <s v="C213"/>
    <x v="283"/>
    <x v="1"/>
    <x v="42"/>
    <x v="42"/>
    <x v="1"/>
    <x v="1732"/>
    <n v="35.380000000000003"/>
    <n v="3516382.82"/>
  </r>
  <r>
    <s v="ORD01746"/>
    <x v="103"/>
    <s v="C427"/>
    <x v="293"/>
    <x v="0"/>
    <x v="18"/>
    <x v="18"/>
    <x v="0"/>
    <x v="1733"/>
    <n v="33.01"/>
    <n v="1059687.02"/>
  </r>
  <r>
    <s v="ORD01747"/>
    <x v="12"/>
    <s v="C257"/>
    <x v="281"/>
    <x v="0"/>
    <x v="0"/>
    <x v="0"/>
    <x v="0"/>
    <x v="1734"/>
    <n v="14.11"/>
    <n v="1151629.98"/>
  </r>
  <r>
    <s v="ORD01748"/>
    <x v="658"/>
    <s v="C031"/>
    <x v="296"/>
    <x v="1"/>
    <x v="14"/>
    <x v="14"/>
    <x v="2"/>
    <x v="1735"/>
    <n v="18.39"/>
    <n v="1413804.81"/>
  </r>
  <r>
    <s v="ORD01749"/>
    <x v="181"/>
    <s v="C485"/>
    <x v="374"/>
    <x v="0"/>
    <x v="47"/>
    <x v="47"/>
    <x v="2"/>
    <x v="1736"/>
    <n v="23.75"/>
    <n v="644741.25"/>
  </r>
  <r>
    <s v="ORD01750"/>
    <x v="411"/>
    <s v="C280"/>
    <x v="244"/>
    <x v="1"/>
    <x v="35"/>
    <x v="35"/>
    <x v="1"/>
    <x v="1737"/>
    <n v="21.03"/>
    <n v="730371.9"/>
  </r>
  <r>
    <s v="ORD01751"/>
    <x v="125"/>
    <s v="C245"/>
    <x v="137"/>
    <x v="1"/>
    <x v="26"/>
    <x v="26"/>
    <x v="0"/>
    <x v="1738"/>
    <n v="18.48"/>
    <n v="36072.959999999999"/>
  </r>
  <r>
    <s v="ORD01752"/>
    <x v="627"/>
    <s v="C025"/>
    <x v="396"/>
    <x v="0"/>
    <x v="4"/>
    <x v="4"/>
    <x v="1"/>
    <x v="1739"/>
    <n v="16.100000000000001"/>
    <n v="450365.3"/>
  </r>
  <r>
    <s v="ORD01753"/>
    <x v="664"/>
    <s v="C192"/>
    <x v="154"/>
    <x v="3"/>
    <x v="32"/>
    <x v="32"/>
    <x v="4"/>
    <x v="1740"/>
    <n v="29.79"/>
    <n v="2058667.74"/>
  </r>
  <r>
    <s v="ORD01754"/>
    <x v="289"/>
    <s v="C303"/>
    <x v="262"/>
    <x v="0"/>
    <x v="26"/>
    <x v="26"/>
    <x v="0"/>
    <x v="1741"/>
    <n v="16.71"/>
    <n v="498927.18"/>
  </r>
  <r>
    <s v="ORD01755"/>
    <x v="260"/>
    <s v="C399"/>
    <x v="194"/>
    <x v="4"/>
    <x v="39"/>
    <x v="39"/>
    <x v="3"/>
    <x v="1742"/>
    <n v="26.26"/>
    <n v="1528647.12"/>
  </r>
  <r>
    <s v="ORD01756"/>
    <x v="55"/>
    <s v="C019"/>
    <x v="88"/>
    <x v="0"/>
    <x v="40"/>
    <x v="40"/>
    <x v="0"/>
    <x v="1743"/>
    <n v="2.12"/>
    <n v="196668.16"/>
  </r>
  <r>
    <s v="ORD01757"/>
    <x v="532"/>
    <s v="C026"/>
    <x v="221"/>
    <x v="1"/>
    <x v="25"/>
    <x v="25"/>
    <x v="4"/>
    <x v="1744"/>
    <n v="24.19"/>
    <n v="926573.76"/>
  </r>
  <r>
    <s v="ORD01758"/>
    <x v="618"/>
    <s v="C185"/>
    <x v="241"/>
    <x v="2"/>
    <x v="18"/>
    <x v="18"/>
    <x v="0"/>
    <x v="1745"/>
    <n v="38.92"/>
    <n v="1820911.12"/>
  </r>
  <r>
    <s v="ORD01759"/>
    <x v="296"/>
    <s v="C498"/>
    <x v="68"/>
    <x v="0"/>
    <x v="30"/>
    <x v="30"/>
    <x v="4"/>
    <x v="601"/>
    <n v="18.329999999999998"/>
    <n v="1674848.76"/>
  </r>
  <r>
    <s v="ORD01760"/>
    <x v="197"/>
    <s v="C491"/>
    <x v="32"/>
    <x v="0"/>
    <x v="13"/>
    <x v="13"/>
    <x v="2"/>
    <x v="1746"/>
    <n v="4.78"/>
    <n v="203020.94"/>
  </r>
  <r>
    <s v="ORD01761"/>
    <x v="204"/>
    <s v="C239"/>
    <x v="12"/>
    <x v="3"/>
    <x v="21"/>
    <x v="21"/>
    <x v="2"/>
    <x v="1747"/>
    <n v="18.7"/>
    <n v="1310739.1000000001"/>
  </r>
  <r>
    <s v="ORD01762"/>
    <x v="97"/>
    <s v="C202"/>
    <x v="400"/>
    <x v="1"/>
    <x v="19"/>
    <x v="19"/>
    <x v="3"/>
    <x v="1748"/>
    <n v="21.8"/>
    <n v="1379678.4"/>
  </r>
  <r>
    <s v="ORD01763"/>
    <x v="599"/>
    <s v="C385"/>
    <x v="309"/>
    <x v="3"/>
    <x v="9"/>
    <x v="9"/>
    <x v="4"/>
    <x v="1749"/>
    <n v="48.09"/>
    <n v="428481.9"/>
  </r>
  <r>
    <s v="ORD01764"/>
    <x v="276"/>
    <s v="C272"/>
    <x v="98"/>
    <x v="0"/>
    <x v="19"/>
    <x v="19"/>
    <x v="3"/>
    <x v="1750"/>
    <n v="23.3"/>
    <n v="1668629.5"/>
  </r>
  <r>
    <s v="ORD01765"/>
    <x v="610"/>
    <s v="C241"/>
    <x v="457"/>
    <x v="1"/>
    <x v="34"/>
    <x v="34"/>
    <x v="2"/>
    <x v="1751"/>
    <n v="17.82"/>
    <n v="1278424.6200000001"/>
  </r>
  <r>
    <s v="ORD01766"/>
    <x v="200"/>
    <s v="C375"/>
    <x v="305"/>
    <x v="0"/>
    <x v="31"/>
    <x v="31"/>
    <x v="0"/>
    <x v="1752"/>
    <n v="17.670000000000002"/>
    <n v="359478.48"/>
  </r>
  <r>
    <s v="ORD01767"/>
    <x v="140"/>
    <s v="C145"/>
    <x v="94"/>
    <x v="4"/>
    <x v="1"/>
    <x v="1"/>
    <x v="1"/>
    <x v="1753"/>
    <n v="18.11"/>
    <n v="193288.03"/>
  </r>
  <r>
    <s v="ORD01768"/>
    <x v="259"/>
    <s v="C028"/>
    <x v="151"/>
    <x v="2"/>
    <x v="34"/>
    <x v="34"/>
    <x v="2"/>
    <x v="1754"/>
    <n v="6.07"/>
    <n v="543878.06999999995"/>
  </r>
  <r>
    <s v="ORD01769"/>
    <x v="53"/>
    <s v="C426"/>
    <x v="163"/>
    <x v="2"/>
    <x v="41"/>
    <x v="41"/>
    <x v="4"/>
    <x v="1755"/>
    <n v="7.87"/>
    <n v="366804.96"/>
  </r>
  <r>
    <s v="ORD01770"/>
    <x v="161"/>
    <s v="C451"/>
    <x v="225"/>
    <x v="1"/>
    <x v="49"/>
    <x v="49"/>
    <x v="3"/>
    <x v="1756"/>
    <n v="37.29"/>
    <n v="2046698.94"/>
  </r>
  <r>
    <s v="ORD01771"/>
    <x v="589"/>
    <s v="C479"/>
    <x v="58"/>
    <x v="3"/>
    <x v="9"/>
    <x v="9"/>
    <x v="4"/>
    <x v="1757"/>
    <n v="40.729999999999997"/>
    <n v="3445147.05"/>
  </r>
  <r>
    <s v="ORD01772"/>
    <x v="665"/>
    <s v="C132"/>
    <x v="250"/>
    <x v="3"/>
    <x v="6"/>
    <x v="6"/>
    <x v="0"/>
    <x v="1758"/>
    <n v="22.16"/>
    <n v="710427.44"/>
  </r>
  <r>
    <s v="ORD01773"/>
    <x v="269"/>
    <s v="C406"/>
    <x v="50"/>
    <x v="3"/>
    <x v="12"/>
    <x v="12"/>
    <x v="4"/>
    <x v="1759"/>
    <n v="27.5"/>
    <n v="1451862.5"/>
  </r>
  <r>
    <s v="ORD01774"/>
    <x v="377"/>
    <s v="C076"/>
    <x v="206"/>
    <x v="2"/>
    <x v="16"/>
    <x v="16"/>
    <x v="1"/>
    <x v="1760"/>
    <n v="9.3800000000000008"/>
    <n v="849677.92"/>
  </r>
  <r>
    <s v="ORD01775"/>
    <x v="452"/>
    <s v="C076"/>
    <x v="206"/>
    <x v="2"/>
    <x v="22"/>
    <x v="22"/>
    <x v="0"/>
    <x v="1761"/>
    <n v="29.18"/>
    <n v="496964.58"/>
  </r>
  <r>
    <s v="ORD01776"/>
    <x v="666"/>
    <s v="C286"/>
    <x v="116"/>
    <x v="3"/>
    <x v="22"/>
    <x v="22"/>
    <x v="0"/>
    <x v="1762"/>
    <n v="45.96"/>
    <n v="694041.96"/>
  </r>
  <r>
    <s v="ORD01777"/>
    <x v="536"/>
    <s v="C061"/>
    <x v="178"/>
    <x v="2"/>
    <x v="6"/>
    <x v="6"/>
    <x v="0"/>
    <x v="1763"/>
    <n v="30.99"/>
    <n v="1519315.74"/>
  </r>
  <r>
    <s v="ORD01778"/>
    <x v="309"/>
    <s v="C390"/>
    <x v="233"/>
    <x v="2"/>
    <x v="15"/>
    <x v="15"/>
    <x v="2"/>
    <x v="1764"/>
    <n v="40.44"/>
    <n v="1690351.56"/>
  </r>
  <r>
    <s v="ORD01779"/>
    <x v="250"/>
    <s v="C130"/>
    <x v="192"/>
    <x v="3"/>
    <x v="10"/>
    <x v="10"/>
    <x v="3"/>
    <x v="1765"/>
    <n v="6.77"/>
    <n v="180779.31"/>
  </r>
  <r>
    <s v="ORD01780"/>
    <x v="130"/>
    <s v="C223"/>
    <x v="358"/>
    <x v="1"/>
    <x v="21"/>
    <x v="21"/>
    <x v="2"/>
    <x v="1766"/>
    <n v="46.32"/>
    <n v="284590.08000000002"/>
  </r>
  <r>
    <s v="ORD01781"/>
    <x v="607"/>
    <s v="C105"/>
    <x v="386"/>
    <x v="0"/>
    <x v="1"/>
    <x v="1"/>
    <x v="1"/>
    <x v="1767"/>
    <n v="47.52"/>
    <n v="1893719.52"/>
  </r>
  <r>
    <s v="ORD01782"/>
    <x v="284"/>
    <s v="C222"/>
    <x v="453"/>
    <x v="0"/>
    <x v="2"/>
    <x v="2"/>
    <x v="1"/>
    <x v="1768"/>
    <n v="38.659999999999997"/>
    <n v="3480637.12"/>
  </r>
  <r>
    <s v="ORD01783"/>
    <x v="154"/>
    <s v="C378"/>
    <x v="216"/>
    <x v="2"/>
    <x v="19"/>
    <x v="19"/>
    <x v="3"/>
    <x v="1769"/>
    <n v="41.81"/>
    <n v="954605.92"/>
  </r>
  <r>
    <s v="ORD01784"/>
    <x v="535"/>
    <s v="C414"/>
    <x v="341"/>
    <x v="4"/>
    <x v="0"/>
    <x v="0"/>
    <x v="0"/>
    <x v="1770"/>
    <n v="26.97"/>
    <n v="2264104.5299999998"/>
  </r>
  <r>
    <s v="ORD01785"/>
    <x v="617"/>
    <s v="C255"/>
    <x v="143"/>
    <x v="0"/>
    <x v="30"/>
    <x v="30"/>
    <x v="4"/>
    <x v="1771"/>
    <n v="48.02"/>
    <n v="4152625.54"/>
  </r>
  <r>
    <s v="ORD01786"/>
    <x v="444"/>
    <s v="C183"/>
    <x v="89"/>
    <x v="0"/>
    <x v="14"/>
    <x v="14"/>
    <x v="2"/>
    <x v="1772"/>
    <n v="41.87"/>
    <n v="2775520.43"/>
  </r>
  <r>
    <s v="ORD01787"/>
    <x v="495"/>
    <s v="C058"/>
    <x v="479"/>
    <x v="2"/>
    <x v="17"/>
    <x v="17"/>
    <x v="1"/>
    <x v="1773"/>
    <n v="44.78"/>
    <n v="3963701.7"/>
  </r>
  <r>
    <s v="ORD01788"/>
    <x v="410"/>
    <s v="C223"/>
    <x v="358"/>
    <x v="1"/>
    <x v="23"/>
    <x v="23"/>
    <x v="0"/>
    <x v="1774"/>
    <n v="16.46"/>
    <n v="1227883.08"/>
  </r>
  <r>
    <s v="ORD01789"/>
    <x v="345"/>
    <s v="C241"/>
    <x v="457"/>
    <x v="1"/>
    <x v="46"/>
    <x v="46"/>
    <x v="0"/>
    <x v="1775"/>
    <n v="38.67"/>
    <n v="3329873.7"/>
  </r>
  <r>
    <s v="ORD01790"/>
    <x v="352"/>
    <s v="C283"/>
    <x v="478"/>
    <x v="0"/>
    <x v="22"/>
    <x v="22"/>
    <x v="0"/>
    <x v="1776"/>
    <n v="22.61"/>
    <n v="929700.59"/>
  </r>
  <r>
    <s v="ORD01791"/>
    <x v="232"/>
    <s v="C416"/>
    <x v="451"/>
    <x v="3"/>
    <x v="46"/>
    <x v="46"/>
    <x v="0"/>
    <x v="1777"/>
    <n v="7.22"/>
    <n v="526208.04"/>
  </r>
  <r>
    <s v="ORD01792"/>
    <x v="289"/>
    <s v="C244"/>
    <x v="259"/>
    <x v="1"/>
    <x v="7"/>
    <x v="7"/>
    <x v="3"/>
    <x v="1778"/>
    <n v="45"/>
    <n v="1453185"/>
  </r>
  <r>
    <s v="ORD01793"/>
    <x v="667"/>
    <s v="C300"/>
    <x v="204"/>
    <x v="0"/>
    <x v="40"/>
    <x v="40"/>
    <x v="0"/>
    <x v="1779"/>
    <n v="2.19"/>
    <n v="54209.07"/>
  </r>
  <r>
    <s v="ORD01794"/>
    <x v="508"/>
    <s v="C204"/>
    <x v="240"/>
    <x v="0"/>
    <x v="25"/>
    <x v="25"/>
    <x v="4"/>
    <x v="1780"/>
    <n v="25.16"/>
    <n v="554727.68000000005"/>
  </r>
  <r>
    <s v="ORD01795"/>
    <x v="479"/>
    <s v="C002"/>
    <x v="314"/>
    <x v="3"/>
    <x v="18"/>
    <x v="18"/>
    <x v="0"/>
    <x v="1781"/>
    <n v="9.58"/>
    <n v="54807.18"/>
  </r>
  <r>
    <s v="ORD01796"/>
    <x v="441"/>
    <s v="C027"/>
    <x v="289"/>
    <x v="1"/>
    <x v="1"/>
    <x v="1"/>
    <x v="1"/>
    <x v="1782"/>
    <n v="22.47"/>
    <n v="230384.91"/>
  </r>
  <r>
    <s v="ORD01797"/>
    <x v="544"/>
    <s v="C069"/>
    <x v="410"/>
    <x v="4"/>
    <x v="24"/>
    <x v="24"/>
    <x v="3"/>
    <x v="1783"/>
    <n v="11.34"/>
    <n v="401243.22"/>
  </r>
  <r>
    <s v="ORD01798"/>
    <x v="603"/>
    <s v="C451"/>
    <x v="225"/>
    <x v="1"/>
    <x v="25"/>
    <x v="25"/>
    <x v="4"/>
    <x v="1784"/>
    <n v="46.96"/>
    <n v="2201062.16"/>
  </r>
  <r>
    <s v="ORD01799"/>
    <x v="131"/>
    <s v="C352"/>
    <x v="162"/>
    <x v="2"/>
    <x v="49"/>
    <x v="49"/>
    <x v="3"/>
    <x v="1785"/>
    <n v="5.82"/>
    <n v="437856.06"/>
  </r>
  <r>
    <s v="ORD01800"/>
    <x v="486"/>
    <s v="C051"/>
    <x v="66"/>
    <x v="4"/>
    <x v="23"/>
    <x v="23"/>
    <x v="0"/>
    <x v="1786"/>
    <n v="44.57"/>
    <n v="3463356.42"/>
  </r>
  <r>
    <s v="ORD01801"/>
    <x v="653"/>
    <s v="C030"/>
    <x v="468"/>
    <x v="4"/>
    <x v="12"/>
    <x v="12"/>
    <x v="4"/>
    <x v="1787"/>
    <n v="48.2"/>
    <n v="3626519.8"/>
  </r>
  <r>
    <s v="ORD01802"/>
    <x v="10"/>
    <s v="C374"/>
    <x v="399"/>
    <x v="1"/>
    <x v="29"/>
    <x v="29"/>
    <x v="0"/>
    <x v="1788"/>
    <n v="19.66"/>
    <n v="288313.90000000002"/>
  </r>
  <r>
    <s v="ORD01803"/>
    <x v="306"/>
    <s v="C378"/>
    <x v="216"/>
    <x v="2"/>
    <x v="38"/>
    <x v="38"/>
    <x v="2"/>
    <x v="1789"/>
    <n v="6.89"/>
    <n v="228065.89"/>
  </r>
  <r>
    <s v="ORD01804"/>
    <x v="246"/>
    <s v="C267"/>
    <x v="172"/>
    <x v="4"/>
    <x v="38"/>
    <x v="38"/>
    <x v="2"/>
    <x v="1790"/>
    <n v="48.56"/>
    <n v="4465140.5599999996"/>
  </r>
  <r>
    <s v="ORD01805"/>
    <x v="248"/>
    <s v="C141"/>
    <x v="438"/>
    <x v="0"/>
    <x v="10"/>
    <x v="10"/>
    <x v="3"/>
    <x v="1791"/>
    <n v="35.44"/>
    <n v="1338497.92"/>
  </r>
  <r>
    <s v="ORD01806"/>
    <x v="488"/>
    <s v="C397"/>
    <x v="95"/>
    <x v="3"/>
    <x v="42"/>
    <x v="42"/>
    <x v="1"/>
    <x v="1792"/>
    <n v="19.489999999999998"/>
    <n v="1577442.64"/>
  </r>
  <r>
    <s v="ORD01807"/>
    <x v="26"/>
    <s v="C211"/>
    <x v="24"/>
    <x v="1"/>
    <x v="4"/>
    <x v="4"/>
    <x v="1"/>
    <x v="1793"/>
    <n v="4.6900000000000004"/>
    <n v="245483.98"/>
  </r>
  <r>
    <s v="ORD01808"/>
    <x v="609"/>
    <s v="C266"/>
    <x v="99"/>
    <x v="0"/>
    <x v="34"/>
    <x v="34"/>
    <x v="2"/>
    <x v="1794"/>
    <n v="15.04"/>
    <n v="1483274.88"/>
  </r>
  <r>
    <s v="ORD01809"/>
    <x v="282"/>
    <s v="C424"/>
    <x v="57"/>
    <x v="2"/>
    <x v="30"/>
    <x v="30"/>
    <x v="4"/>
    <x v="1795"/>
    <n v="15.92"/>
    <n v="22128.799999999999"/>
  </r>
  <r>
    <s v="ORD01810"/>
    <x v="347"/>
    <s v="C336"/>
    <x v="239"/>
    <x v="2"/>
    <x v="37"/>
    <x v="37"/>
    <x v="1"/>
    <x v="1796"/>
    <n v="2.87"/>
    <n v="152910.73000000001"/>
  </r>
  <r>
    <s v="ORD01811"/>
    <x v="379"/>
    <s v="C482"/>
    <x v="369"/>
    <x v="4"/>
    <x v="46"/>
    <x v="46"/>
    <x v="0"/>
    <x v="1797"/>
    <n v="20.07"/>
    <n v="1771016.94"/>
  </r>
  <r>
    <s v="ORD01812"/>
    <x v="132"/>
    <s v="C025"/>
    <x v="396"/>
    <x v="0"/>
    <x v="15"/>
    <x v="15"/>
    <x v="2"/>
    <x v="1798"/>
    <n v="16.100000000000001"/>
    <n v="138556.6"/>
  </r>
  <r>
    <s v="ORD01813"/>
    <x v="537"/>
    <s v="C191"/>
    <x v="186"/>
    <x v="2"/>
    <x v="42"/>
    <x v="42"/>
    <x v="1"/>
    <x v="1799"/>
    <n v="46.47"/>
    <n v="683759.58"/>
  </r>
  <r>
    <s v="ORD01814"/>
    <x v="186"/>
    <s v="C280"/>
    <x v="244"/>
    <x v="1"/>
    <x v="32"/>
    <x v="32"/>
    <x v="4"/>
    <x v="1800"/>
    <n v="13.55"/>
    <n v="313384.40000000002"/>
  </r>
  <r>
    <s v="ORD01815"/>
    <x v="260"/>
    <s v="C140"/>
    <x v="393"/>
    <x v="3"/>
    <x v="11"/>
    <x v="11"/>
    <x v="4"/>
    <x v="1801"/>
    <n v="18.71"/>
    <n v="489977.48"/>
  </r>
  <r>
    <s v="ORD01816"/>
    <x v="338"/>
    <s v="C222"/>
    <x v="453"/>
    <x v="0"/>
    <x v="25"/>
    <x v="25"/>
    <x v="4"/>
    <x v="1802"/>
    <n v="43.94"/>
    <n v="974061.92"/>
  </r>
  <r>
    <s v="ORD01817"/>
    <x v="218"/>
    <s v="C207"/>
    <x v="352"/>
    <x v="3"/>
    <x v="23"/>
    <x v="23"/>
    <x v="0"/>
    <x v="1803"/>
    <n v="7.17"/>
    <n v="705592.53"/>
  </r>
  <r>
    <s v="ORD01818"/>
    <x v="488"/>
    <s v="C416"/>
    <x v="451"/>
    <x v="3"/>
    <x v="19"/>
    <x v="19"/>
    <x v="3"/>
    <x v="811"/>
    <n v="37.1"/>
    <n v="2810473.4"/>
  </r>
  <r>
    <s v="ORD01819"/>
    <x v="395"/>
    <s v="C265"/>
    <x v="382"/>
    <x v="4"/>
    <x v="1"/>
    <x v="1"/>
    <x v="1"/>
    <x v="1804"/>
    <n v="26.66"/>
    <n v="2024400.44"/>
  </r>
  <r>
    <s v="ORD01820"/>
    <x v="13"/>
    <s v="C037"/>
    <x v="255"/>
    <x v="1"/>
    <x v="47"/>
    <x v="47"/>
    <x v="2"/>
    <x v="1805"/>
    <n v="34.409999999999997"/>
    <n v="1194508.74"/>
  </r>
  <r>
    <s v="ORD01821"/>
    <x v="404"/>
    <s v="C249"/>
    <x v="347"/>
    <x v="4"/>
    <x v="49"/>
    <x v="49"/>
    <x v="3"/>
    <x v="1806"/>
    <n v="48.88"/>
    <n v="2519666.2400000002"/>
  </r>
  <r>
    <s v="ORD01822"/>
    <x v="121"/>
    <s v="C397"/>
    <x v="95"/>
    <x v="3"/>
    <x v="45"/>
    <x v="45"/>
    <x v="3"/>
    <x v="1807"/>
    <n v="28.74"/>
    <n v="2073332.34"/>
  </r>
  <r>
    <s v="ORD01823"/>
    <x v="381"/>
    <s v="C357"/>
    <x v="357"/>
    <x v="4"/>
    <x v="4"/>
    <x v="4"/>
    <x v="1"/>
    <x v="1808"/>
    <n v="21.57"/>
    <n v="922419.48"/>
  </r>
  <r>
    <s v="ORD01824"/>
    <x v="164"/>
    <s v="C147"/>
    <x v="308"/>
    <x v="4"/>
    <x v="0"/>
    <x v="0"/>
    <x v="0"/>
    <x v="1809"/>
    <n v="15.04"/>
    <n v="426775.03999999998"/>
  </r>
  <r>
    <s v="ORD01825"/>
    <x v="393"/>
    <s v="C460"/>
    <x v="17"/>
    <x v="1"/>
    <x v="31"/>
    <x v="31"/>
    <x v="0"/>
    <x v="1810"/>
    <n v="27.25"/>
    <n v="2599977"/>
  </r>
  <r>
    <s v="ORD01826"/>
    <x v="429"/>
    <s v="C195"/>
    <x v="85"/>
    <x v="4"/>
    <x v="25"/>
    <x v="25"/>
    <x v="4"/>
    <x v="1811"/>
    <n v="48.8"/>
    <n v="3812158.4"/>
  </r>
  <r>
    <s v="ORD01827"/>
    <x v="431"/>
    <s v="C011"/>
    <x v="28"/>
    <x v="4"/>
    <x v="11"/>
    <x v="11"/>
    <x v="4"/>
    <x v="1812"/>
    <n v="29.9"/>
    <n v="863003.7"/>
  </r>
  <r>
    <s v="ORD01828"/>
    <x v="489"/>
    <s v="C311"/>
    <x v="128"/>
    <x v="0"/>
    <x v="21"/>
    <x v="21"/>
    <x v="2"/>
    <x v="1813"/>
    <n v="31.34"/>
    <n v="708660.08"/>
  </r>
  <r>
    <s v="ORD01829"/>
    <x v="476"/>
    <s v="C218"/>
    <x v="263"/>
    <x v="4"/>
    <x v="44"/>
    <x v="44"/>
    <x v="2"/>
    <x v="1814"/>
    <n v="13.72"/>
    <n v="608262.48"/>
  </r>
  <r>
    <s v="ORD01830"/>
    <x v="278"/>
    <s v="C232"/>
    <x v="75"/>
    <x v="0"/>
    <x v="27"/>
    <x v="27"/>
    <x v="4"/>
    <x v="1815"/>
    <n v="20.8"/>
    <n v="41184"/>
  </r>
  <r>
    <s v="ORD01831"/>
    <x v="2"/>
    <s v="C002"/>
    <x v="314"/>
    <x v="3"/>
    <x v="44"/>
    <x v="44"/>
    <x v="2"/>
    <x v="1816"/>
    <n v="35.86"/>
    <n v="2517551.2999999998"/>
  </r>
  <r>
    <s v="ORD01832"/>
    <x v="28"/>
    <s v="C388"/>
    <x v="191"/>
    <x v="2"/>
    <x v="27"/>
    <x v="27"/>
    <x v="4"/>
    <x v="1817"/>
    <n v="40.79"/>
    <n v="167932.43"/>
  </r>
  <r>
    <s v="ORD01833"/>
    <x v="434"/>
    <s v="C312"/>
    <x v="231"/>
    <x v="1"/>
    <x v="33"/>
    <x v="33"/>
    <x v="1"/>
    <x v="1818"/>
    <n v="20.14"/>
    <n v="952581.72"/>
  </r>
  <r>
    <s v="ORD01834"/>
    <x v="409"/>
    <s v="C493"/>
    <x v="354"/>
    <x v="4"/>
    <x v="33"/>
    <x v="33"/>
    <x v="1"/>
    <x v="1819"/>
    <n v="6.8"/>
    <n v="291903.59999999998"/>
  </r>
  <r>
    <s v="ORD01835"/>
    <x v="64"/>
    <s v="C071"/>
    <x v="279"/>
    <x v="0"/>
    <x v="46"/>
    <x v="46"/>
    <x v="0"/>
    <x v="1820"/>
    <n v="26.45"/>
    <n v="1726206.35"/>
  </r>
  <r>
    <s v="ORD01836"/>
    <x v="585"/>
    <s v="C318"/>
    <x v="235"/>
    <x v="2"/>
    <x v="27"/>
    <x v="27"/>
    <x v="4"/>
    <x v="1821"/>
    <n v="13.99"/>
    <n v="1168360.8600000001"/>
  </r>
  <r>
    <s v="ORD01837"/>
    <x v="395"/>
    <s v="C441"/>
    <x v="115"/>
    <x v="0"/>
    <x v="13"/>
    <x v="13"/>
    <x v="2"/>
    <x v="1822"/>
    <n v="2.6"/>
    <n v="168690.6"/>
  </r>
  <r>
    <s v="ORD01838"/>
    <x v="249"/>
    <s v="C451"/>
    <x v="225"/>
    <x v="1"/>
    <x v="33"/>
    <x v="33"/>
    <x v="1"/>
    <x v="1335"/>
    <n v="36.96"/>
    <n v="1307090.3999999999"/>
  </r>
  <r>
    <s v="ORD01839"/>
    <x v="100"/>
    <s v="C297"/>
    <x v="49"/>
    <x v="3"/>
    <x v="28"/>
    <x v="28"/>
    <x v="3"/>
    <x v="1823"/>
    <n v="46.15"/>
    <n v="4557174.05"/>
  </r>
  <r>
    <s v="ORD01840"/>
    <x v="526"/>
    <s v="C332"/>
    <x v="242"/>
    <x v="2"/>
    <x v="31"/>
    <x v="31"/>
    <x v="0"/>
    <x v="1824"/>
    <n v="23.98"/>
    <n v="658251"/>
  </r>
  <r>
    <s v="ORD01841"/>
    <x v="202"/>
    <s v="C500"/>
    <x v="86"/>
    <x v="0"/>
    <x v="36"/>
    <x v="36"/>
    <x v="4"/>
    <x v="1825"/>
    <n v="30.81"/>
    <n v="2109560.7000000002"/>
  </r>
  <r>
    <s v="ORD01842"/>
    <x v="118"/>
    <s v="C253"/>
    <x v="379"/>
    <x v="4"/>
    <x v="12"/>
    <x v="12"/>
    <x v="4"/>
    <x v="1826"/>
    <n v="21.86"/>
    <n v="177503.2"/>
  </r>
  <r>
    <s v="ORD01843"/>
    <x v="452"/>
    <s v="C444"/>
    <x v="6"/>
    <x v="1"/>
    <x v="6"/>
    <x v="6"/>
    <x v="0"/>
    <x v="1827"/>
    <n v="40.799999999999997"/>
    <n v="3367917.6"/>
  </r>
  <r>
    <s v="ORD01844"/>
    <x v="148"/>
    <s v="C119"/>
    <x v="122"/>
    <x v="0"/>
    <x v="8"/>
    <x v="8"/>
    <x v="3"/>
    <x v="1828"/>
    <n v="32.85"/>
    <n v="2633518.7999999998"/>
  </r>
  <r>
    <s v="ORD01845"/>
    <x v="235"/>
    <s v="C060"/>
    <x v="420"/>
    <x v="2"/>
    <x v="42"/>
    <x v="42"/>
    <x v="1"/>
    <x v="1829"/>
    <n v="33.549999999999997"/>
    <n v="1771876.15"/>
  </r>
  <r>
    <s v="ORD01846"/>
    <x v="519"/>
    <s v="C432"/>
    <x v="14"/>
    <x v="0"/>
    <x v="11"/>
    <x v="11"/>
    <x v="4"/>
    <x v="1830"/>
    <n v="47.18"/>
    <n v="149749.32"/>
  </r>
  <r>
    <s v="ORD01847"/>
    <x v="76"/>
    <s v="C249"/>
    <x v="347"/>
    <x v="4"/>
    <x v="37"/>
    <x v="37"/>
    <x v="1"/>
    <x v="1831"/>
    <n v="17.850000000000001"/>
    <n v="205167.9"/>
  </r>
  <r>
    <s v="ORD01848"/>
    <x v="408"/>
    <s v="C472"/>
    <x v="3"/>
    <x v="3"/>
    <x v="30"/>
    <x v="30"/>
    <x v="4"/>
    <x v="1832"/>
    <n v="8.1"/>
    <n v="293633.09999999998"/>
  </r>
  <r>
    <s v="ORD01849"/>
    <x v="620"/>
    <s v="C425"/>
    <x v="144"/>
    <x v="1"/>
    <x v="6"/>
    <x v="6"/>
    <x v="0"/>
    <x v="1833"/>
    <n v="40.53"/>
    <n v="3070593.33"/>
  </r>
  <r>
    <s v="ORD01850"/>
    <x v="0"/>
    <s v="C394"/>
    <x v="213"/>
    <x v="0"/>
    <x v="28"/>
    <x v="28"/>
    <x v="3"/>
    <x v="1834"/>
    <n v="39.159999999999997"/>
    <n v="1209809.04"/>
  </r>
  <r>
    <s v="ORD01851"/>
    <x v="439"/>
    <s v="C500"/>
    <x v="86"/>
    <x v="0"/>
    <x v="37"/>
    <x v="37"/>
    <x v="1"/>
    <x v="1835"/>
    <n v="44.55"/>
    <n v="2914015.5"/>
  </r>
  <r>
    <s v="ORD01852"/>
    <x v="608"/>
    <s v="C120"/>
    <x v="445"/>
    <x v="2"/>
    <x v="31"/>
    <x v="31"/>
    <x v="0"/>
    <x v="1836"/>
    <n v="30.17"/>
    <n v="439275.2"/>
  </r>
  <r>
    <s v="ORD01853"/>
    <x v="375"/>
    <s v="C197"/>
    <x v="437"/>
    <x v="1"/>
    <x v="29"/>
    <x v="29"/>
    <x v="0"/>
    <x v="1837"/>
    <n v="34.770000000000003"/>
    <n v="654475.71"/>
  </r>
  <r>
    <s v="ORD01854"/>
    <x v="625"/>
    <s v="C135"/>
    <x v="67"/>
    <x v="1"/>
    <x v="11"/>
    <x v="11"/>
    <x v="4"/>
    <x v="1838"/>
    <n v="48.93"/>
    <n v="458474.1"/>
  </r>
  <r>
    <s v="ORD01855"/>
    <x v="127"/>
    <s v="C070"/>
    <x v="249"/>
    <x v="4"/>
    <x v="48"/>
    <x v="48"/>
    <x v="2"/>
    <x v="1839"/>
    <n v="7.65"/>
    <n v="553209.75"/>
  </r>
  <r>
    <s v="ORD01856"/>
    <x v="240"/>
    <s v="C126"/>
    <x v="424"/>
    <x v="4"/>
    <x v="40"/>
    <x v="40"/>
    <x v="0"/>
    <x v="1840"/>
    <n v="2.1800000000000002"/>
    <n v="207069.48"/>
  </r>
  <r>
    <s v="ORD01857"/>
    <x v="57"/>
    <s v="C368"/>
    <x v="7"/>
    <x v="1"/>
    <x v="32"/>
    <x v="32"/>
    <x v="4"/>
    <x v="1841"/>
    <n v="9.77"/>
    <n v="630243.16"/>
  </r>
  <r>
    <s v="ORD01858"/>
    <x v="172"/>
    <s v="C366"/>
    <x v="447"/>
    <x v="3"/>
    <x v="36"/>
    <x v="36"/>
    <x v="4"/>
    <x v="1842"/>
    <n v="32.950000000000003"/>
    <n v="2943687.1"/>
  </r>
  <r>
    <s v="ORD01859"/>
    <x v="157"/>
    <s v="C139"/>
    <x v="385"/>
    <x v="2"/>
    <x v="41"/>
    <x v="41"/>
    <x v="4"/>
    <x v="1843"/>
    <n v="26.22"/>
    <n v="1395847.92"/>
  </r>
  <r>
    <s v="ORD01860"/>
    <x v="238"/>
    <s v="C460"/>
    <x v="17"/>
    <x v="1"/>
    <x v="14"/>
    <x v="14"/>
    <x v="2"/>
    <x v="1844"/>
    <n v="42.22"/>
    <n v="3932033.04"/>
  </r>
  <r>
    <s v="ORD01861"/>
    <x v="28"/>
    <s v="C486"/>
    <x v="339"/>
    <x v="1"/>
    <x v="31"/>
    <x v="31"/>
    <x v="0"/>
    <x v="1845"/>
    <n v="2.7"/>
    <n v="227151"/>
  </r>
  <r>
    <s v="ORD01862"/>
    <x v="416"/>
    <s v="C438"/>
    <x v="475"/>
    <x v="1"/>
    <x v="0"/>
    <x v="0"/>
    <x v="0"/>
    <x v="1846"/>
    <n v="2.14"/>
    <n v="68180.399999999994"/>
  </r>
  <r>
    <s v="ORD01863"/>
    <x v="556"/>
    <s v="C356"/>
    <x v="416"/>
    <x v="1"/>
    <x v="45"/>
    <x v="45"/>
    <x v="3"/>
    <x v="1847"/>
    <n v="3.48"/>
    <n v="173512.8"/>
  </r>
  <r>
    <s v="ORD01864"/>
    <x v="543"/>
    <s v="C470"/>
    <x v="190"/>
    <x v="4"/>
    <x v="48"/>
    <x v="48"/>
    <x v="2"/>
    <x v="1848"/>
    <n v="8.94"/>
    <n v="552152.28"/>
  </r>
  <r>
    <s v="ORD01865"/>
    <x v="668"/>
    <s v="C063"/>
    <x v="282"/>
    <x v="3"/>
    <x v="37"/>
    <x v="37"/>
    <x v="1"/>
    <x v="1849"/>
    <n v="49.44"/>
    <n v="3819141.1200000001"/>
  </r>
  <r>
    <s v="ORD01866"/>
    <x v="288"/>
    <s v="C097"/>
    <x v="91"/>
    <x v="3"/>
    <x v="24"/>
    <x v="24"/>
    <x v="3"/>
    <x v="1850"/>
    <n v="33.31"/>
    <n v="2866425.43"/>
  </r>
  <r>
    <s v="ORD01867"/>
    <x v="189"/>
    <s v="C490"/>
    <x v="141"/>
    <x v="2"/>
    <x v="23"/>
    <x v="23"/>
    <x v="0"/>
    <x v="1851"/>
    <n v="23.79"/>
    <n v="654058.47"/>
  </r>
  <r>
    <s v="ORD01868"/>
    <x v="669"/>
    <s v="C089"/>
    <x v="79"/>
    <x v="4"/>
    <x v="22"/>
    <x v="22"/>
    <x v="0"/>
    <x v="1852"/>
    <n v="13.01"/>
    <n v="1181308"/>
  </r>
  <r>
    <s v="ORD01869"/>
    <x v="217"/>
    <s v="C092"/>
    <x v="405"/>
    <x v="0"/>
    <x v="28"/>
    <x v="28"/>
    <x v="3"/>
    <x v="1853"/>
    <n v="36.57"/>
    <n v="293071.98"/>
  </r>
  <r>
    <s v="ORD01870"/>
    <x v="558"/>
    <s v="C392"/>
    <x v="383"/>
    <x v="3"/>
    <x v="23"/>
    <x v="23"/>
    <x v="0"/>
    <x v="1854"/>
    <n v="23.45"/>
    <n v="1931412.35"/>
  </r>
  <r>
    <s v="ORD01871"/>
    <x v="71"/>
    <s v="C478"/>
    <x v="269"/>
    <x v="0"/>
    <x v="46"/>
    <x v="46"/>
    <x v="0"/>
    <x v="1855"/>
    <n v="31.53"/>
    <n v="1574797.38"/>
  </r>
  <r>
    <s v="ORD01872"/>
    <x v="55"/>
    <s v="C432"/>
    <x v="14"/>
    <x v="0"/>
    <x v="13"/>
    <x v="13"/>
    <x v="2"/>
    <x v="1856"/>
    <n v="28.7"/>
    <n v="2060832.2"/>
  </r>
  <r>
    <s v="ORD01873"/>
    <x v="563"/>
    <s v="C491"/>
    <x v="32"/>
    <x v="0"/>
    <x v="19"/>
    <x v="19"/>
    <x v="3"/>
    <x v="1857"/>
    <n v="44.62"/>
    <n v="3964219.28"/>
  </r>
  <r>
    <s v="ORD01874"/>
    <x v="430"/>
    <s v="C409"/>
    <x v="466"/>
    <x v="3"/>
    <x v="31"/>
    <x v="31"/>
    <x v="0"/>
    <x v="1858"/>
    <n v="48.16"/>
    <n v="4172534.24"/>
  </r>
  <r>
    <s v="ORD01875"/>
    <x v="122"/>
    <s v="C164"/>
    <x v="340"/>
    <x v="0"/>
    <x v="40"/>
    <x v="40"/>
    <x v="0"/>
    <x v="1859"/>
    <n v="25.2"/>
    <n v="484948.8"/>
  </r>
  <r>
    <s v="ORD01876"/>
    <x v="670"/>
    <s v="C088"/>
    <x v="83"/>
    <x v="0"/>
    <x v="6"/>
    <x v="6"/>
    <x v="0"/>
    <x v="1860"/>
    <n v="8.82"/>
    <n v="173392.38"/>
  </r>
  <r>
    <s v="ORD01877"/>
    <x v="110"/>
    <s v="C055"/>
    <x v="301"/>
    <x v="1"/>
    <x v="22"/>
    <x v="22"/>
    <x v="0"/>
    <x v="1861"/>
    <n v="22.1"/>
    <n v="2015387.4"/>
  </r>
  <r>
    <s v="ORD01878"/>
    <x v="671"/>
    <s v="C280"/>
    <x v="244"/>
    <x v="1"/>
    <x v="6"/>
    <x v="6"/>
    <x v="0"/>
    <x v="1862"/>
    <n v="42.87"/>
    <n v="4027379.28"/>
  </r>
  <r>
    <s v="ORD01879"/>
    <x v="351"/>
    <s v="C343"/>
    <x v="229"/>
    <x v="1"/>
    <x v="41"/>
    <x v="41"/>
    <x v="4"/>
    <x v="1863"/>
    <n v="24.64"/>
    <n v="883590.4"/>
  </r>
  <r>
    <s v="ORD01880"/>
    <x v="666"/>
    <s v="C444"/>
    <x v="6"/>
    <x v="1"/>
    <x v="0"/>
    <x v="0"/>
    <x v="0"/>
    <x v="1864"/>
    <n v="32.700000000000003"/>
    <n v="3130174.8"/>
  </r>
  <r>
    <s v="ORD01881"/>
    <x v="604"/>
    <s v="C157"/>
    <x v="327"/>
    <x v="4"/>
    <x v="6"/>
    <x v="6"/>
    <x v="0"/>
    <x v="1865"/>
    <n v="17.059999999999999"/>
    <n v="45277.24"/>
  </r>
  <r>
    <s v="ORD01882"/>
    <x v="72"/>
    <s v="C102"/>
    <x v="20"/>
    <x v="0"/>
    <x v="49"/>
    <x v="49"/>
    <x v="3"/>
    <x v="1866"/>
    <n v="21.54"/>
    <n v="953209.62"/>
  </r>
  <r>
    <s v="ORD01883"/>
    <x v="456"/>
    <s v="C400"/>
    <x v="376"/>
    <x v="2"/>
    <x v="19"/>
    <x v="19"/>
    <x v="3"/>
    <x v="1867"/>
    <n v="32.909999999999997"/>
    <n v="833116.65"/>
  </r>
  <r>
    <s v="ORD01884"/>
    <x v="459"/>
    <s v="C151"/>
    <x v="328"/>
    <x v="0"/>
    <x v="14"/>
    <x v="14"/>
    <x v="2"/>
    <x v="1868"/>
    <n v="39.06"/>
    <n v="1361123.82"/>
  </r>
  <r>
    <s v="ORD01885"/>
    <x v="543"/>
    <s v="C399"/>
    <x v="194"/>
    <x v="4"/>
    <x v="21"/>
    <x v="21"/>
    <x v="2"/>
    <x v="1869"/>
    <n v="13.12"/>
    <n v="1159388.1599999999"/>
  </r>
  <r>
    <s v="ORD01886"/>
    <x v="672"/>
    <s v="C269"/>
    <x v="320"/>
    <x v="3"/>
    <x v="34"/>
    <x v="34"/>
    <x v="2"/>
    <x v="1870"/>
    <n v="36.33"/>
    <n v="1213240.3500000001"/>
  </r>
  <r>
    <s v="ORD01887"/>
    <x v="337"/>
    <s v="C212"/>
    <x v="90"/>
    <x v="4"/>
    <x v="0"/>
    <x v="0"/>
    <x v="0"/>
    <x v="1871"/>
    <n v="50"/>
    <n v="2965400"/>
  </r>
  <r>
    <s v="ORD01888"/>
    <x v="228"/>
    <s v="C372"/>
    <x v="217"/>
    <x v="4"/>
    <x v="7"/>
    <x v="7"/>
    <x v="3"/>
    <x v="1872"/>
    <n v="2.86"/>
    <n v="113390.42"/>
  </r>
  <r>
    <s v="ORD01889"/>
    <x v="665"/>
    <s v="C246"/>
    <x v="480"/>
    <x v="1"/>
    <x v="14"/>
    <x v="14"/>
    <x v="2"/>
    <x v="1873"/>
    <n v="12.39"/>
    <n v="450079.14"/>
  </r>
  <r>
    <s v="ORD01890"/>
    <x v="394"/>
    <s v="C329"/>
    <x v="388"/>
    <x v="2"/>
    <x v="17"/>
    <x v="17"/>
    <x v="1"/>
    <x v="1874"/>
    <n v="18.48"/>
    <n v="935827.2"/>
  </r>
  <r>
    <s v="ORD01891"/>
    <x v="439"/>
    <s v="C315"/>
    <x v="132"/>
    <x v="2"/>
    <x v="6"/>
    <x v="6"/>
    <x v="0"/>
    <x v="1875"/>
    <n v="46.64"/>
    <n v="3622482.16"/>
  </r>
  <r>
    <s v="ORD01892"/>
    <x v="484"/>
    <s v="C169"/>
    <x v="375"/>
    <x v="0"/>
    <x v="36"/>
    <x v="36"/>
    <x v="4"/>
    <x v="1876"/>
    <n v="47.1"/>
    <n v="3540177.3"/>
  </r>
  <r>
    <s v="ORD01893"/>
    <x v="343"/>
    <s v="C439"/>
    <x v="489"/>
    <x v="4"/>
    <x v="5"/>
    <x v="5"/>
    <x v="3"/>
    <x v="1877"/>
    <n v="11.17"/>
    <n v="1098145.04"/>
  </r>
  <r>
    <s v="ORD01894"/>
    <x v="534"/>
    <s v="C159"/>
    <x v="243"/>
    <x v="0"/>
    <x v="20"/>
    <x v="20"/>
    <x v="1"/>
    <x v="1878"/>
    <n v="28.8"/>
    <n v="880070.4"/>
  </r>
  <r>
    <s v="ORD01895"/>
    <x v="176"/>
    <s v="C095"/>
    <x v="236"/>
    <x v="0"/>
    <x v="30"/>
    <x v="30"/>
    <x v="4"/>
    <x v="1879"/>
    <n v="47.59"/>
    <n v="4490925.53"/>
  </r>
  <r>
    <s v="ORD01896"/>
    <x v="8"/>
    <s v="C113"/>
    <x v="442"/>
    <x v="3"/>
    <x v="18"/>
    <x v="18"/>
    <x v="0"/>
    <x v="1880"/>
    <n v="40.49"/>
    <n v="892156.66"/>
  </r>
  <r>
    <s v="ORD01897"/>
    <x v="253"/>
    <s v="C342"/>
    <x v="258"/>
    <x v="4"/>
    <x v="15"/>
    <x v="15"/>
    <x v="2"/>
    <x v="1881"/>
    <n v="10.18"/>
    <n v="789347.02"/>
  </r>
  <r>
    <s v="ORD01898"/>
    <x v="37"/>
    <s v="C476"/>
    <x v="201"/>
    <x v="3"/>
    <x v="21"/>
    <x v="21"/>
    <x v="2"/>
    <x v="1882"/>
    <n v="32.42"/>
    <n v="2329441.84"/>
  </r>
  <r>
    <s v="ORD01899"/>
    <x v="536"/>
    <s v="C370"/>
    <x v="486"/>
    <x v="3"/>
    <x v="14"/>
    <x v="14"/>
    <x v="2"/>
    <x v="1883"/>
    <n v="3.54"/>
    <n v="143617.79999999999"/>
  </r>
  <r>
    <s v="ORD01900"/>
    <x v="419"/>
    <s v="C396"/>
    <x v="427"/>
    <x v="3"/>
    <x v="15"/>
    <x v="15"/>
    <x v="2"/>
    <x v="1884"/>
    <n v="22.38"/>
    <n v="1027242"/>
  </r>
  <r>
    <s v="ORD01901"/>
    <x v="495"/>
    <s v="C164"/>
    <x v="340"/>
    <x v="0"/>
    <x v="33"/>
    <x v="33"/>
    <x v="1"/>
    <x v="1885"/>
    <n v="33.24"/>
    <n v="1995895.8"/>
  </r>
  <r>
    <s v="ORD01902"/>
    <x v="157"/>
    <s v="C187"/>
    <x v="108"/>
    <x v="3"/>
    <x v="49"/>
    <x v="49"/>
    <x v="3"/>
    <x v="1886"/>
    <n v="49.69"/>
    <n v="3531716.75"/>
  </r>
  <r>
    <s v="ORD01903"/>
    <x v="293"/>
    <s v="C015"/>
    <x v="18"/>
    <x v="4"/>
    <x v="15"/>
    <x v="15"/>
    <x v="2"/>
    <x v="1887"/>
    <n v="27.57"/>
    <n v="85715.13"/>
  </r>
  <r>
    <s v="ORD01904"/>
    <x v="509"/>
    <s v="C190"/>
    <x v="346"/>
    <x v="1"/>
    <x v="7"/>
    <x v="7"/>
    <x v="3"/>
    <x v="1888"/>
    <n v="24.4"/>
    <n v="679369.2"/>
  </r>
  <r>
    <s v="ORD01905"/>
    <x v="388"/>
    <s v="C448"/>
    <x v="434"/>
    <x v="0"/>
    <x v="17"/>
    <x v="17"/>
    <x v="1"/>
    <x v="1889"/>
    <n v="3.45"/>
    <n v="190091.55"/>
  </r>
  <r>
    <s v="ORD01906"/>
    <x v="666"/>
    <s v="C386"/>
    <x v="272"/>
    <x v="0"/>
    <x v="8"/>
    <x v="8"/>
    <x v="3"/>
    <x v="1890"/>
    <n v="6.46"/>
    <n v="92319.86"/>
  </r>
  <r>
    <s v="ORD01907"/>
    <x v="253"/>
    <s v="C078"/>
    <x v="41"/>
    <x v="4"/>
    <x v="26"/>
    <x v="26"/>
    <x v="0"/>
    <x v="1891"/>
    <n v="36.85"/>
    <n v="315509.7"/>
  </r>
  <r>
    <s v="ORD01908"/>
    <x v="33"/>
    <s v="C419"/>
    <x v="156"/>
    <x v="3"/>
    <x v="45"/>
    <x v="45"/>
    <x v="3"/>
    <x v="1892"/>
    <n v="5.94"/>
    <n v="90133.56"/>
  </r>
  <r>
    <s v="ORD01909"/>
    <x v="591"/>
    <s v="C189"/>
    <x v="253"/>
    <x v="0"/>
    <x v="12"/>
    <x v="12"/>
    <x v="4"/>
    <x v="1893"/>
    <n v="40.83"/>
    <n v="3078377.85"/>
  </r>
  <r>
    <s v="ORD01910"/>
    <x v="104"/>
    <s v="C387"/>
    <x v="52"/>
    <x v="2"/>
    <x v="2"/>
    <x v="2"/>
    <x v="1"/>
    <x v="1894"/>
    <n v="6.42"/>
    <n v="441310.8"/>
  </r>
  <r>
    <s v="ORD01911"/>
    <x v="253"/>
    <s v="C464"/>
    <x v="118"/>
    <x v="2"/>
    <x v="9"/>
    <x v="9"/>
    <x v="4"/>
    <x v="1895"/>
    <n v="23.59"/>
    <n v="40409.67"/>
  </r>
  <r>
    <s v="ORD01912"/>
    <x v="263"/>
    <s v="C065"/>
    <x v="13"/>
    <x v="2"/>
    <x v="42"/>
    <x v="42"/>
    <x v="1"/>
    <x v="1896"/>
    <n v="44.27"/>
    <n v="2482263.17"/>
  </r>
  <r>
    <s v="ORD01913"/>
    <x v="522"/>
    <s v="C041"/>
    <x v="389"/>
    <x v="4"/>
    <x v="4"/>
    <x v="4"/>
    <x v="1"/>
    <x v="1897"/>
    <n v="11.07"/>
    <n v="528935.67000000004"/>
  </r>
  <r>
    <s v="ORD01914"/>
    <x v="167"/>
    <s v="C045"/>
    <x v="174"/>
    <x v="2"/>
    <x v="40"/>
    <x v="40"/>
    <x v="0"/>
    <x v="1898"/>
    <n v="24.33"/>
    <n v="546403.14"/>
  </r>
  <r>
    <s v="ORD01915"/>
    <x v="476"/>
    <s v="C008"/>
    <x v="96"/>
    <x v="1"/>
    <x v="40"/>
    <x v="40"/>
    <x v="0"/>
    <x v="1899"/>
    <n v="33.020000000000003"/>
    <n v="2106081.64"/>
  </r>
  <r>
    <s v="ORD01916"/>
    <x v="345"/>
    <s v="C456"/>
    <x v="338"/>
    <x v="2"/>
    <x v="37"/>
    <x v="37"/>
    <x v="1"/>
    <x v="1900"/>
    <n v="49.91"/>
    <n v="673535.45"/>
  </r>
  <r>
    <s v="ORD01917"/>
    <x v="435"/>
    <s v="C123"/>
    <x v="284"/>
    <x v="3"/>
    <x v="44"/>
    <x v="44"/>
    <x v="2"/>
    <x v="1901"/>
    <n v="32.49"/>
    <n v="2270921.04"/>
  </r>
  <r>
    <s v="ORD01918"/>
    <x v="173"/>
    <s v="C048"/>
    <x v="411"/>
    <x v="3"/>
    <x v="48"/>
    <x v="48"/>
    <x v="2"/>
    <x v="1902"/>
    <n v="16.39"/>
    <n v="1363336.59"/>
  </r>
  <r>
    <s v="ORD01919"/>
    <x v="393"/>
    <s v="C064"/>
    <x v="387"/>
    <x v="2"/>
    <x v="11"/>
    <x v="11"/>
    <x v="4"/>
    <x v="481"/>
    <n v="13.24"/>
    <n v="1053546.52"/>
  </r>
  <r>
    <s v="ORD01920"/>
    <x v="387"/>
    <s v="C393"/>
    <x v="5"/>
    <x v="3"/>
    <x v="41"/>
    <x v="41"/>
    <x v="4"/>
    <x v="1903"/>
    <n v="7.55"/>
    <n v="486522"/>
  </r>
  <r>
    <s v="ORD01921"/>
    <x v="673"/>
    <s v="C400"/>
    <x v="376"/>
    <x v="2"/>
    <x v="22"/>
    <x v="22"/>
    <x v="0"/>
    <x v="1904"/>
    <n v="5.79"/>
    <n v="289928.46000000002"/>
  </r>
  <r>
    <s v="ORD01922"/>
    <x v="101"/>
    <s v="C101"/>
    <x v="120"/>
    <x v="4"/>
    <x v="7"/>
    <x v="7"/>
    <x v="3"/>
    <x v="1905"/>
    <n v="39.25"/>
    <n v="949771.5"/>
  </r>
  <r>
    <s v="ORD01923"/>
    <x v="6"/>
    <s v="C059"/>
    <x v="256"/>
    <x v="4"/>
    <x v="24"/>
    <x v="24"/>
    <x v="3"/>
    <x v="1906"/>
    <n v="23.09"/>
    <n v="1627290.84"/>
  </r>
  <r>
    <s v="ORD01924"/>
    <x v="521"/>
    <s v="C098"/>
    <x v="364"/>
    <x v="2"/>
    <x v="22"/>
    <x v="22"/>
    <x v="0"/>
    <x v="1907"/>
    <n v="16.09"/>
    <n v="718450.68"/>
  </r>
  <r>
    <s v="ORD01925"/>
    <x v="102"/>
    <s v="C444"/>
    <x v="6"/>
    <x v="1"/>
    <x v="46"/>
    <x v="46"/>
    <x v="0"/>
    <x v="1908"/>
    <n v="9.9600000000000009"/>
    <n v="445281.72"/>
  </r>
  <r>
    <s v="ORD01926"/>
    <x v="59"/>
    <s v="C151"/>
    <x v="328"/>
    <x v="0"/>
    <x v="9"/>
    <x v="9"/>
    <x v="4"/>
    <x v="1909"/>
    <n v="15.55"/>
    <n v="1115619.2"/>
  </r>
  <r>
    <s v="ORD01927"/>
    <x v="22"/>
    <s v="C097"/>
    <x v="91"/>
    <x v="3"/>
    <x v="24"/>
    <x v="24"/>
    <x v="3"/>
    <x v="1910"/>
    <n v="45.68"/>
    <n v="54359.199999999997"/>
  </r>
  <r>
    <s v="ORD01928"/>
    <x v="370"/>
    <s v="C262"/>
    <x v="123"/>
    <x v="1"/>
    <x v="43"/>
    <x v="43"/>
    <x v="4"/>
    <x v="1911"/>
    <n v="4.78"/>
    <n v="322004.7"/>
  </r>
  <r>
    <s v="ORD01929"/>
    <x v="674"/>
    <s v="C452"/>
    <x v="148"/>
    <x v="4"/>
    <x v="13"/>
    <x v="13"/>
    <x v="2"/>
    <x v="1912"/>
    <n v="10.5"/>
    <n v="822034.5"/>
  </r>
  <r>
    <s v="ORD01930"/>
    <x v="503"/>
    <s v="C492"/>
    <x v="299"/>
    <x v="3"/>
    <x v="12"/>
    <x v="12"/>
    <x v="4"/>
    <x v="1913"/>
    <n v="5.33"/>
    <n v="463278.27"/>
  </r>
  <r>
    <s v="ORD01931"/>
    <x v="644"/>
    <s v="C273"/>
    <x v="185"/>
    <x v="0"/>
    <x v="14"/>
    <x v="14"/>
    <x v="2"/>
    <x v="1914"/>
    <n v="29.6"/>
    <n v="1150433.6000000001"/>
  </r>
  <r>
    <s v="ORD01932"/>
    <x v="357"/>
    <s v="C195"/>
    <x v="85"/>
    <x v="4"/>
    <x v="32"/>
    <x v="32"/>
    <x v="4"/>
    <x v="1915"/>
    <n v="17.71"/>
    <n v="150074.54"/>
  </r>
  <r>
    <s v="ORD01933"/>
    <x v="148"/>
    <s v="C340"/>
    <x v="444"/>
    <x v="4"/>
    <x v="34"/>
    <x v="34"/>
    <x v="2"/>
    <x v="1916"/>
    <n v="12.17"/>
    <n v="310249.81"/>
  </r>
  <r>
    <s v="ORD01934"/>
    <x v="248"/>
    <s v="C246"/>
    <x v="480"/>
    <x v="1"/>
    <x v="29"/>
    <x v="29"/>
    <x v="0"/>
    <x v="1917"/>
    <n v="20.5"/>
    <n v="558194.5"/>
  </r>
  <r>
    <s v="ORD01935"/>
    <x v="208"/>
    <s v="C351"/>
    <x v="422"/>
    <x v="2"/>
    <x v="1"/>
    <x v="1"/>
    <x v="1"/>
    <x v="1918"/>
    <n v="7.06"/>
    <n v="204535.26"/>
  </r>
  <r>
    <s v="ORD01936"/>
    <x v="257"/>
    <s v="C064"/>
    <x v="387"/>
    <x v="2"/>
    <x v="40"/>
    <x v="40"/>
    <x v="0"/>
    <x v="1919"/>
    <n v="9.92"/>
    <n v="18917.439999999999"/>
  </r>
  <r>
    <s v="ORD01937"/>
    <x v="207"/>
    <s v="C447"/>
    <x v="146"/>
    <x v="1"/>
    <x v="7"/>
    <x v="7"/>
    <x v="3"/>
    <x v="1920"/>
    <n v="23.05"/>
    <n v="27590.85"/>
  </r>
  <r>
    <s v="ORD01938"/>
    <x v="224"/>
    <s v="C093"/>
    <x v="292"/>
    <x v="1"/>
    <x v="25"/>
    <x v="25"/>
    <x v="4"/>
    <x v="1921"/>
    <n v="31.48"/>
    <n v="1976157"/>
  </r>
  <r>
    <s v="ORD01939"/>
    <x v="123"/>
    <s v="C233"/>
    <x v="173"/>
    <x v="4"/>
    <x v="31"/>
    <x v="31"/>
    <x v="0"/>
    <x v="1922"/>
    <n v="11.49"/>
    <n v="670751.73"/>
  </r>
  <r>
    <s v="ORD01940"/>
    <x v="381"/>
    <s v="C342"/>
    <x v="258"/>
    <x v="4"/>
    <x v="45"/>
    <x v="45"/>
    <x v="3"/>
    <x v="1923"/>
    <n v="47.54"/>
    <n v="1640557.86"/>
  </r>
  <r>
    <s v="ORD01941"/>
    <x v="514"/>
    <s v="C291"/>
    <x v="198"/>
    <x v="1"/>
    <x v="6"/>
    <x v="6"/>
    <x v="0"/>
    <x v="1924"/>
    <n v="16.940000000000001"/>
    <n v="1067236.94"/>
  </r>
  <r>
    <s v="ORD01942"/>
    <x v="286"/>
    <s v="C075"/>
    <x v="460"/>
    <x v="3"/>
    <x v="16"/>
    <x v="16"/>
    <x v="1"/>
    <x v="1925"/>
    <n v="30.06"/>
    <n v="544446.71999999997"/>
  </r>
  <r>
    <s v="ORD01943"/>
    <x v="583"/>
    <s v="C365"/>
    <x v="155"/>
    <x v="4"/>
    <x v="32"/>
    <x v="32"/>
    <x v="4"/>
    <x v="1926"/>
    <n v="15.37"/>
    <n v="1443827.06"/>
  </r>
  <r>
    <s v="ORD01944"/>
    <x v="661"/>
    <s v="C357"/>
    <x v="357"/>
    <x v="4"/>
    <x v="19"/>
    <x v="19"/>
    <x v="3"/>
    <x v="1927"/>
    <n v="34.840000000000003"/>
    <n v="2859458.16"/>
  </r>
  <r>
    <s v="ORD01945"/>
    <x v="221"/>
    <s v="C319"/>
    <x v="210"/>
    <x v="2"/>
    <x v="46"/>
    <x v="46"/>
    <x v="0"/>
    <x v="1928"/>
    <n v="19.18"/>
    <n v="142871.82"/>
  </r>
  <r>
    <s v="ORD01946"/>
    <x v="401"/>
    <s v="C021"/>
    <x v="333"/>
    <x v="2"/>
    <x v="26"/>
    <x v="26"/>
    <x v="0"/>
    <x v="1929"/>
    <n v="48.24"/>
    <n v="2883401.28"/>
  </r>
  <r>
    <s v="ORD01947"/>
    <x v="371"/>
    <s v="C375"/>
    <x v="305"/>
    <x v="0"/>
    <x v="12"/>
    <x v="12"/>
    <x v="4"/>
    <x v="1930"/>
    <n v="13.06"/>
    <n v="105511.74"/>
  </r>
  <r>
    <s v="ORD01948"/>
    <x v="595"/>
    <s v="C208"/>
    <x v="53"/>
    <x v="1"/>
    <x v="13"/>
    <x v="13"/>
    <x v="2"/>
    <x v="1641"/>
    <n v="32.56"/>
    <n v="1963954.08"/>
  </r>
  <r>
    <s v="ORD01949"/>
    <x v="533"/>
    <s v="C059"/>
    <x v="256"/>
    <x v="4"/>
    <x v="24"/>
    <x v="24"/>
    <x v="3"/>
    <x v="1931"/>
    <n v="13.8"/>
    <n v="596215.19999999995"/>
  </r>
  <r>
    <s v="ORD01950"/>
    <x v="511"/>
    <s v="C454"/>
    <x v="345"/>
    <x v="3"/>
    <x v="40"/>
    <x v="40"/>
    <x v="0"/>
    <x v="1932"/>
    <n v="30.59"/>
    <n v="77637.42"/>
  </r>
  <r>
    <s v="ORD01951"/>
    <x v="142"/>
    <s v="C130"/>
    <x v="192"/>
    <x v="3"/>
    <x v="30"/>
    <x v="30"/>
    <x v="4"/>
    <x v="1933"/>
    <n v="46.15"/>
    <n v="1194546.6000000001"/>
  </r>
  <r>
    <s v="ORD01952"/>
    <x v="397"/>
    <s v="C150"/>
    <x v="356"/>
    <x v="4"/>
    <x v="21"/>
    <x v="21"/>
    <x v="2"/>
    <x v="1934"/>
    <n v="23.72"/>
    <n v="1105565.48"/>
  </r>
  <r>
    <s v="ORD01953"/>
    <x v="33"/>
    <s v="C074"/>
    <x v="329"/>
    <x v="2"/>
    <x v="30"/>
    <x v="30"/>
    <x v="4"/>
    <x v="1935"/>
    <n v="4.5599999999999996"/>
    <n v="136198.07999999999"/>
  </r>
  <r>
    <s v="ORD01954"/>
    <x v="666"/>
    <s v="C442"/>
    <x v="205"/>
    <x v="3"/>
    <x v="47"/>
    <x v="47"/>
    <x v="2"/>
    <x v="1936"/>
    <n v="9.35"/>
    <n v="539887.69999999995"/>
  </r>
  <r>
    <s v="ORD01955"/>
    <x v="675"/>
    <s v="C231"/>
    <x v="315"/>
    <x v="2"/>
    <x v="13"/>
    <x v="13"/>
    <x v="2"/>
    <x v="1937"/>
    <n v="42.69"/>
    <n v="2717730.78"/>
  </r>
  <r>
    <s v="ORD01956"/>
    <x v="35"/>
    <s v="C016"/>
    <x v="170"/>
    <x v="2"/>
    <x v="44"/>
    <x v="44"/>
    <x v="2"/>
    <x v="1938"/>
    <n v="21.01"/>
    <n v="1417943.89"/>
  </r>
  <r>
    <s v="ORD01957"/>
    <x v="348"/>
    <s v="C270"/>
    <x v="391"/>
    <x v="4"/>
    <x v="43"/>
    <x v="43"/>
    <x v="4"/>
    <x v="1939"/>
    <n v="34.01"/>
    <n v="2291559.79"/>
  </r>
  <r>
    <s v="ORD01958"/>
    <x v="642"/>
    <s v="C060"/>
    <x v="420"/>
    <x v="2"/>
    <x v="17"/>
    <x v="17"/>
    <x v="1"/>
    <x v="1940"/>
    <n v="28.78"/>
    <n v="709772.36"/>
  </r>
  <r>
    <s v="ORD01959"/>
    <x v="312"/>
    <s v="C259"/>
    <x v="36"/>
    <x v="2"/>
    <x v="42"/>
    <x v="42"/>
    <x v="1"/>
    <x v="1941"/>
    <n v="34.75"/>
    <n v="2746257.75"/>
  </r>
  <r>
    <s v="ORD01960"/>
    <x v="532"/>
    <s v="C409"/>
    <x v="466"/>
    <x v="3"/>
    <x v="8"/>
    <x v="8"/>
    <x v="3"/>
    <x v="1942"/>
    <n v="27.29"/>
    <n v="1419516.64"/>
  </r>
  <r>
    <s v="ORD01961"/>
    <x v="77"/>
    <s v="C267"/>
    <x v="172"/>
    <x v="4"/>
    <x v="8"/>
    <x v="8"/>
    <x v="3"/>
    <x v="1943"/>
    <n v="28.52"/>
    <n v="59407.16"/>
  </r>
  <r>
    <s v="ORD01962"/>
    <x v="235"/>
    <s v="C198"/>
    <x v="0"/>
    <x v="0"/>
    <x v="1"/>
    <x v="1"/>
    <x v="1"/>
    <x v="1944"/>
    <n v="7.49"/>
    <n v="654131.66"/>
  </r>
  <r>
    <s v="ORD01963"/>
    <x v="438"/>
    <s v="C002"/>
    <x v="314"/>
    <x v="3"/>
    <x v="10"/>
    <x v="10"/>
    <x v="3"/>
    <x v="1945"/>
    <n v="43.19"/>
    <n v="3378710.51"/>
  </r>
  <r>
    <s v="ORD01964"/>
    <x v="612"/>
    <s v="C205"/>
    <x v="490"/>
    <x v="4"/>
    <x v="30"/>
    <x v="30"/>
    <x v="4"/>
    <x v="1946"/>
    <n v="34.01"/>
    <n v="1568847.29"/>
  </r>
  <r>
    <s v="ORD01965"/>
    <x v="264"/>
    <s v="C123"/>
    <x v="284"/>
    <x v="3"/>
    <x v="5"/>
    <x v="5"/>
    <x v="3"/>
    <x v="1947"/>
    <n v="41.8"/>
    <n v="3521106.6"/>
  </r>
  <r>
    <s v="ORD01966"/>
    <x v="409"/>
    <s v="C407"/>
    <x v="70"/>
    <x v="0"/>
    <x v="44"/>
    <x v="44"/>
    <x v="2"/>
    <x v="1948"/>
    <n v="32.119999999999997"/>
    <n v="1710839.68"/>
  </r>
  <r>
    <s v="ORD01967"/>
    <x v="269"/>
    <s v="C244"/>
    <x v="259"/>
    <x v="1"/>
    <x v="32"/>
    <x v="32"/>
    <x v="4"/>
    <x v="1949"/>
    <n v="43.99"/>
    <n v="2979574.67"/>
  </r>
  <r>
    <s v="ORD01968"/>
    <x v="540"/>
    <s v="C085"/>
    <x v="223"/>
    <x v="0"/>
    <x v="14"/>
    <x v="14"/>
    <x v="2"/>
    <x v="1950"/>
    <n v="16.239999999999998"/>
    <n v="1088063.76"/>
  </r>
  <r>
    <s v="ORD01969"/>
    <x v="172"/>
    <s v="C127"/>
    <x v="180"/>
    <x v="3"/>
    <x v="18"/>
    <x v="18"/>
    <x v="0"/>
    <x v="1951"/>
    <n v="28.86"/>
    <n v="2554773.7799999998"/>
  </r>
  <r>
    <s v="ORD01970"/>
    <x v="163"/>
    <s v="C084"/>
    <x v="291"/>
    <x v="3"/>
    <x v="35"/>
    <x v="35"/>
    <x v="1"/>
    <x v="1952"/>
    <n v="8.41"/>
    <n v="701822.91"/>
  </r>
  <r>
    <s v="ORD01971"/>
    <x v="577"/>
    <s v="C424"/>
    <x v="57"/>
    <x v="2"/>
    <x v="21"/>
    <x v="21"/>
    <x v="2"/>
    <x v="1953"/>
    <n v="2.0499999999999998"/>
    <n v="29210.45"/>
  </r>
  <r>
    <s v="ORD01972"/>
    <x v="76"/>
    <s v="C331"/>
    <x v="167"/>
    <x v="1"/>
    <x v="30"/>
    <x v="30"/>
    <x v="4"/>
    <x v="1954"/>
    <n v="39.06"/>
    <n v="3686365.62"/>
  </r>
  <r>
    <s v="ORD01973"/>
    <x v="569"/>
    <s v="C242"/>
    <x v="264"/>
    <x v="0"/>
    <x v="37"/>
    <x v="37"/>
    <x v="1"/>
    <x v="1955"/>
    <n v="49.18"/>
    <n v="3539287.88"/>
  </r>
  <r>
    <s v="ORD01974"/>
    <x v="628"/>
    <s v="C260"/>
    <x v="153"/>
    <x v="2"/>
    <x v="4"/>
    <x v="4"/>
    <x v="1"/>
    <x v="1956"/>
    <n v="19.079999999999998"/>
    <n v="746886.6"/>
  </r>
  <r>
    <s v="ORD01975"/>
    <x v="513"/>
    <s v="C084"/>
    <x v="291"/>
    <x v="3"/>
    <x v="20"/>
    <x v="20"/>
    <x v="1"/>
    <x v="1957"/>
    <n v="3.82"/>
    <n v="136049.29999999999"/>
  </r>
  <r>
    <s v="ORD01976"/>
    <x v="438"/>
    <s v="C009"/>
    <x v="42"/>
    <x v="1"/>
    <x v="46"/>
    <x v="46"/>
    <x v="0"/>
    <x v="1958"/>
    <n v="13.62"/>
    <n v="126870.3"/>
  </r>
  <r>
    <s v="ORD01977"/>
    <x v="676"/>
    <s v="C201"/>
    <x v="359"/>
    <x v="2"/>
    <x v="33"/>
    <x v="33"/>
    <x v="1"/>
    <x v="1959"/>
    <n v="27.95"/>
    <n v="2597169.9"/>
  </r>
  <r>
    <s v="ORD01978"/>
    <x v="411"/>
    <s v="C360"/>
    <x v="92"/>
    <x v="3"/>
    <x v="28"/>
    <x v="28"/>
    <x v="3"/>
    <x v="1960"/>
    <n v="44.35"/>
    <n v="319852.2"/>
  </r>
  <r>
    <s v="ORD01979"/>
    <x v="97"/>
    <s v="C141"/>
    <x v="438"/>
    <x v="0"/>
    <x v="43"/>
    <x v="43"/>
    <x v="4"/>
    <x v="1961"/>
    <n v="45.89"/>
    <n v="4040385.05"/>
  </r>
  <r>
    <s v="ORD01980"/>
    <x v="268"/>
    <s v="C146"/>
    <x v="37"/>
    <x v="4"/>
    <x v="44"/>
    <x v="44"/>
    <x v="2"/>
    <x v="1962"/>
    <n v="40.520000000000003"/>
    <n v="870491.16"/>
  </r>
  <r>
    <s v="ORD01981"/>
    <x v="601"/>
    <s v="C065"/>
    <x v="13"/>
    <x v="2"/>
    <x v="18"/>
    <x v="18"/>
    <x v="0"/>
    <x v="1963"/>
    <n v="2.34"/>
    <n v="58900.14"/>
  </r>
  <r>
    <s v="ORD01982"/>
    <x v="563"/>
    <s v="C101"/>
    <x v="120"/>
    <x v="4"/>
    <x v="31"/>
    <x v="31"/>
    <x v="0"/>
    <x v="1964"/>
    <n v="25.14"/>
    <n v="2470331.8199999998"/>
  </r>
  <r>
    <s v="ORD01983"/>
    <x v="610"/>
    <s v="C076"/>
    <x v="206"/>
    <x v="2"/>
    <x v="43"/>
    <x v="43"/>
    <x v="4"/>
    <x v="1965"/>
    <n v="6.69"/>
    <n v="418814.07"/>
  </r>
  <r>
    <s v="ORD01984"/>
    <x v="245"/>
    <s v="C166"/>
    <x v="491"/>
    <x v="2"/>
    <x v="6"/>
    <x v="6"/>
    <x v="0"/>
    <x v="1966"/>
    <n v="45.85"/>
    <n v="4337868.5"/>
  </r>
  <r>
    <s v="ORD01985"/>
    <x v="677"/>
    <s v="C005"/>
    <x v="373"/>
    <x v="3"/>
    <x v="36"/>
    <x v="36"/>
    <x v="4"/>
    <x v="1967"/>
    <n v="9.9700000000000006"/>
    <n v="347783.51"/>
  </r>
  <r>
    <s v="ORD01986"/>
    <x v="357"/>
    <s v="C082"/>
    <x v="462"/>
    <x v="0"/>
    <x v="25"/>
    <x v="25"/>
    <x v="4"/>
    <x v="1968"/>
    <n v="19.059999999999999"/>
    <n v="784967.04"/>
  </r>
  <r>
    <s v="ORD01987"/>
    <x v="508"/>
    <s v="C338"/>
    <x v="197"/>
    <x v="4"/>
    <x v="37"/>
    <x v="37"/>
    <x v="1"/>
    <x v="1969"/>
    <n v="25.51"/>
    <n v="2457123.2000000002"/>
  </r>
  <r>
    <s v="ORD01988"/>
    <x v="19"/>
    <s v="C311"/>
    <x v="128"/>
    <x v="0"/>
    <x v="14"/>
    <x v="14"/>
    <x v="2"/>
    <x v="1970"/>
    <n v="6.09"/>
    <n v="589639.89"/>
  </r>
  <r>
    <s v="ORD01989"/>
    <x v="554"/>
    <s v="C242"/>
    <x v="264"/>
    <x v="0"/>
    <x v="28"/>
    <x v="28"/>
    <x v="3"/>
    <x v="1971"/>
    <n v="2.5"/>
    <n v="119327.5"/>
  </r>
  <r>
    <s v="ORD01990"/>
    <x v="164"/>
    <s v="C235"/>
    <x v="199"/>
    <x v="0"/>
    <x v="21"/>
    <x v="21"/>
    <x v="2"/>
    <x v="1972"/>
    <n v="20.64"/>
    <n v="1950975.36"/>
  </r>
  <r>
    <s v="ORD01991"/>
    <x v="254"/>
    <s v="C425"/>
    <x v="144"/>
    <x v="1"/>
    <x v="15"/>
    <x v="15"/>
    <x v="2"/>
    <x v="1973"/>
    <n v="27.03"/>
    <n v="1323659.1000000001"/>
  </r>
  <r>
    <s v="ORD01992"/>
    <x v="577"/>
    <s v="C302"/>
    <x v="166"/>
    <x v="3"/>
    <x v="18"/>
    <x v="18"/>
    <x v="0"/>
    <x v="1877"/>
    <n v="47.55"/>
    <n v="4674735.5999999996"/>
  </r>
  <r>
    <s v="ORD01993"/>
    <x v="56"/>
    <s v="C390"/>
    <x v="233"/>
    <x v="2"/>
    <x v="17"/>
    <x v="17"/>
    <x v="1"/>
    <x v="1974"/>
    <n v="38.549999999999997"/>
    <n v="2622325.2000000002"/>
  </r>
  <r>
    <s v="ORD01994"/>
    <x v="678"/>
    <s v="C432"/>
    <x v="14"/>
    <x v="0"/>
    <x v="36"/>
    <x v="36"/>
    <x v="4"/>
    <x v="1975"/>
    <n v="4.4800000000000004"/>
    <n v="371719.04"/>
  </r>
  <r>
    <s v="ORD01995"/>
    <x v="422"/>
    <s v="C326"/>
    <x v="209"/>
    <x v="0"/>
    <x v="33"/>
    <x v="33"/>
    <x v="1"/>
    <x v="1976"/>
    <n v="10.58"/>
    <n v="616411.96"/>
  </r>
  <r>
    <s v="ORD01996"/>
    <x v="199"/>
    <s v="C143"/>
    <x v="448"/>
    <x v="4"/>
    <x v="1"/>
    <x v="1"/>
    <x v="1"/>
    <x v="1977"/>
    <n v="48.55"/>
    <n v="3617169.2"/>
  </r>
  <r>
    <s v="ORD01997"/>
    <x v="35"/>
    <s v="C007"/>
    <x v="471"/>
    <x v="1"/>
    <x v="11"/>
    <x v="11"/>
    <x v="4"/>
    <x v="1978"/>
    <n v="38.22"/>
    <n v="2926428.96"/>
  </r>
  <r>
    <s v="ORD01998"/>
    <x v="586"/>
    <s v="C260"/>
    <x v="153"/>
    <x v="2"/>
    <x v="6"/>
    <x v="6"/>
    <x v="0"/>
    <x v="1979"/>
    <n v="25.82"/>
    <n v="2073010.34"/>
  </r>
  <r>
    <s v="ORD01999"/>
    <x v="58"/>
    <s v="C238"/>
    <x v="450"/>
    <x v="4"/>
    <x v="20"/>
    <x v="20"/>
    <x v="1"/>
    <x v="1980"/>
    <n v="17.04"/>
    <n v="253913.04"/>
  </r>
  <r>
    <s v="ORD02000"/>
    <x v="144"/>
    <s v="C367"/>
    <x v="337"/>
    <x v="4"/>
    <x v="39"/>
    <x v="39"/>
    <x v="3"/>
    <x v="1981"/>
    <n v="19.59"/>
    <n v="1672006.5"/>
  </r>
  <r>
    <s v="ORD02001"/>
    <x v="477"/>
    <s v="C373"/>
    <x v="435"/>
    <x v="2"/>
    <x v="6"/>
    <x v="6"/>
    <x v="0"/>
    <x v="1982"/>
    <n v="49.86"/>
    <n v="2321830.62"/>
  </r>
  <r>
    <s v="ORD02002"/>
    <x v="679"/>
    <s v="C298"/>
    <x v="349"/>
    <x v="1"/>
    <x v="34"/>
    <x v="34"/>
    <x v="2"/>
    <x v="1983"/>
    <n v="14.52"/>
    <n v="743641.8"/>
  </r>
  <r>
    <s v="ORD02003"/>
    <x v="152"/>
    <s v="C424"/>
    <x v="57"/>
    <x v="2"/>
    <x v="31"/>
    <x v="31"/>
    <x v="0"/>
    <x v="1984"/>
    <n v="19.260000000000002"/>
    <n v="972437.4"/>
  </r>
  <r>
    <s v="ORD02004"/>
    <x v="174"/>
    <s v="C148"/>
    <x v="365"/>
    <x v="1"/>
    <x v="1"/>
    <x v="1"/>
    <x v="1"/>
    <x v="1985"/>
    <n v="48.04"/>
    <n v="173616.56"/>
  </r>
  <r>
    <s v="ORD02005"/>
    <x v="36"/>
    <s v="C286"/>
    <x v="116"/>
    <x v="3"/>
    <x v="19"/>
    <x v="19"/>
    <x v="3"/>
    <x v="1986"/>
    <n v="6.98"/>
    <n v="39883.72"/>
  </r>
  <r>
    <s v="ORD02006"/>
    <x v="127"/>
    <s v="C315"/>
    <x v="132"/>
    <x v="2"/>
    <x v="5"/>
    <x v="5"/>
    <x v="3"/>
    <x v="1987"/>
    <n v="12.58"/>
    <n v="388822.64"/>
  </r>
  <r>
    <s v="ORD02007"/>
    <x v="110"/>
    <s v="C078"/>
    <x v="41"/>
    <x v="4"/>
    <x v="40"/>
    <x v="40"/>
    <x v="0"/>
    <x v="1988"/>
    <n v="18.62"/>
    <n v="162385.01999999999"/>
  </r>
  <r>
    <s v="ORD02008"/>
    <x v="591"/>
    <s v="C390"/>
    <x v="233"/>
    <x v="2"/>
    <x v="32"/>
    <x v="32"/>
    <x v="4"/>
    <x v="1989"/>
    <n v="22.37"/>
    <n v="1987775.83"/>
  </r>
  <r>
    <s v="ORD02009"/>
    <x v="130"/>
    <s v="C393"/>
    <x v="5"/>
    <x v="3"/>
    <x v="0"/>
    <x v="0"/>
    <x v="0"/>
    <x v="1990"/>
    <n v="28.74"/>
    <n v="2045770.68"/>
  </r>
  <r>
    <s v="ORD02010"/>
    <x v="531"/>
    <s v="C246"/>
    <x v="480"/>
    <x v="1"/>
    <x v="7"/>
    <x v="7"/>
    <x v="3"/>
    <x v="1991"/>
    <n v="14.33"/>
    <n v="588848.36"/>
  </r>
  <r>
    <s v="ORD02011"/>
    <x v="585"/>
    <s v="C340"/>
    <x v="444"/>
    <x v="4"/>
    <x v="22"/>
    <x v="22"/>
    <x v="0"/>
    <x v="1992"/>
    <n v="47.67"/>
    <n v="2122316.0699999998"/>
  </r>
  <r>
    <s v="ORD02012"/>
    <x v="187"/>
    <s v="C049"/>
    <x v="384"/>
    <x v="2"/>
    <x v="37"/>
    <x v="37"/>
    <x v="1"/>
    <x v="1993"/>
    <n v="41.33"/>
    <n v="2330888.0099999998"/>
  </r>
  <r>
    <s v="ORD02013"/>
    <x v="317"/>
    <s v="C135"/>
    <x v="67"/>
    <x v="1"/>
    <x v="46"/>
    <x v="46"/>
    <x v="0"/>
    <x v="1994"/>
    <n v="15.64"/>
    <n v="790711.48"/>
  </r>
  <r>
    <s v="ORD02014"/>
    <x v="407"/>
    <s v="C160"/>
    <x v="481"/>
    <x v="1"/>
    <x v="47"/>
    <x v="47"/>
    <x v="2"/>
    <x v="1995"/>
    <n v="46.68"/>
    <n v="3547680"/>
  </r>
  <r>
    <s v="ORD02015"/>
    <x v="218"/>
    <s v="C367"/>
    <x v="337"/>
    <x v="4"/>
    <x v="9"/>
    <x v="9"/>
    <x v="4"/>
    <x v="1996"/>
    <n v="2.4500000000000002"/>
    <n v="149261.35"/>
  </r>
  <r>
    <s v="ORD02016"/>
    <x v="274"/>
    <s v="C388"/>
    <x v="191"/>
    <x v="2"/>
    <x v="7"/>
    <x v="7"/>
    <x v="3"/>
    <x v="1997"/>
    <n v="40.450000000000003"/>
    <n v="2468703.9500000002"/>
  </r>
  <r>
    <s v="ORD02017"/>
    <x v="259"/>
    <s v="C420"/>
    <x v="11"/>
    <x v="4"/>
    <x v="7"/>
    <x v="7"/>
    <x v="3"/>
    <x v="1998"/>
    <n v="4.8899999999999997"/>
    <n v="52068.72"/>
  </r>
  <r>
    <s v="ORD02018"/>
    <x v="547"/>
    <s v="C332"/>
    <x v="242"/>
    <x v="2"/>
    <x v="39"/>
    <x v="39"/>
    <x v="3"/>
    <x v="1999"/>
    <n v="21.76"/>
    <n v="1753747.2"/>
  </r>
  <r>
    <s v="ORD02019"/>
    <x v="551"/>
    <s v="C407"/>
    <x v="70"/>
    <x v="0"/>
    <x v="15"/>
    <x v="15"/>
    <x v="2"/>
    <x v="2000"/>
    <n v="9.07"/>
    <n v="611571.96"/>
  </r>
  <r>
    <s v="ORD02020"/>
    <x v="535"/>
    <s v="C274"/>
    <x v="461"/>
    <x v="4"/>
    <x v="12"/>
    <x v="12"/>
    <x v="4"/>
    <x v="2001"/>
    <n v="26.01"/>
    <n v="2291793.12"/>
  </r>
  <r>
    <s v="ORD02021"/>
    <x v="646"/>
    <s v="C132"/>
    <x v="250"/>
    <x v="3"/>
    <x v="32"/>
    <x v="32"/>
    <x v="4"/>
    <x v="2002"/>
    <n v="30.83"/>
    <n v="1054725.1299999999"/>
  </r>
  <r>
    <s v="ORD02022"/>
    <x v="546"/>
    <s v="C328"/>
    <x v="335"/>
    <x v="3"/>
    <x v="19"/>
    <x v="19"/>
    <x v="3"/>
    <x v="1885"/>
    <n v="13.8"/>
    <n v="828621"/>
  </r>
  <r>
    <s v="ORD02023"/>
    <x v="329"/>
    <s v="C497"/>
    <x v="215"/>
    <x v="1"/>
    <x v="40"/>
    <x v="40"/>
    <x v="0"/>
    <x v="2003"/>
    <n v="22.01"/>
    <n v="605627.16"/>
  </r>
  <r>
    <s v="ORD02024"/>
    <x v="98"/>
    <s v="C389"/>
    <x v="394"/>
    <x v="0"/>
    <x v="36"/>
    <x v="36"/>
    <x v="4"/>
    <x v="2004"/>
    <n v="17.079999999999998"/>
    <n v="989990.96"/>
  </r>
  <r>
    <s v="ORD02025"/>
    <x v="502"/>
    <s v="C009"/>
    <x v="42"/>
    <x v="1"/>
    <x v="28"/>
    <x v="28"/>
    <x v="3"/>
    <x v="2005"/>
    <n v="13.76"/>
    <n v="1018597.76"/>
  </r>
  <r>
    <s v="ORD02026"/>
    <x v="92"/>
    <s v="C229"/>
    <x v="46"/>
    <x v="1"/>
    <x v="42"/>
    <x v="42"/>
    <x v="1"/>
    <x v="2006"/>
    <n v="23.25"/>
    <n v="1052225.25"/>
  </r>
  <r>
    <s v="ORD02027"/>
    <x v="10"/>
    <s v="C205"/>
    <x v="490"/>
    <x v="4"/>
    <x v="40"/>
    <x v="40"/>
    <x v="0"/>
    <x v="2007"/>
    <n v="24.05"/>
    <n v="378066"/>
  </r>
  <r>
    <s v="ORD02028"/>
    <x v="370"/>
    <s v="C179"/>
    <x v="377"/>
    <x v="3"/>
    <x v="9"/>
    <x v="9"/>
    <x v="4"/>
    <x v="2008"/>
    <n v="30.36"/>
    <n v="592505.76"/>
  </r>
  <r>
    <s v="ORD02029"/>
    <x v="51"/>
    <s v="C450"/>
    <x v="429"/>
    <x v="2"/>
    <x v="10"/>
    <x v="10"/>
    <x v="3"/>
    <x v="2009"/>
    <n v="5.38"/>
    <n v="235595.58"/>
  </r>
  <r>
    <s v="ORD02030"/>
    <x v="656"/>
    <s v="C251"/>
    <x v="142"/>
    <x v="0"/>
    <x v="6"/>
    <x v="6"/>
    <x v="0"/>
    <x v="2010"/>
    <n v="7.49"/>
    <n v="520569.98"/>
  </r>
  <r>
    <s v="ORD02031"/>
    <x v="269"/>
    <s v="C034"/>
    <x v="19"/>
    <x v="0"/>
    <x v="8"/>
    <x v="8"/>
    <x v="3"/>
    <x v="2011"/>
    <n v="37.270000000000003"/>
    <n v="2803151.24"/>
  </r>
  <r>
    <s v="ORD02032"/>
    <x v="398"/>
    <s v="C319"/>
    <x v="210"/>
    <x v="2"/>
    <x v="27"/>
    <x v="27"/>
    <x v="4"/>
    <x v="2012"/>
    <n v="34.75"/>
    <n v="1815791.75"/>
  </r>
  <r>
    <s v="ORD02033"/>
    <x v="636"/>
    <s v="C500"/>
    <x v="86"/>
    <x v="0"/>
    <x v="48"/>
    <x v="48"/>
    <x v="2"/>
    <x v="2013"/>
    <n v="5.62"/>
    <n v="122892.54"/>
  </r>
  <r>
    <s v="ORD02034"/>
    <x v="497"/>
    <s v="C159"/>
    <x v="243"/>
    <x v="0"/>
    <x v="11"/>
    <x v="11"/>
    <x v="4"/>
    <x v="2014"/>
    <n v="16.57"/>
    <n v="1039187.55"/>
  </r>
  <r>
    <s v="ORD02035"/>
    <x v="509"/>
    <s v="C459"/>
    <x v="295"/>
    <x v="2"/>
    <x v="29"/>
    <x v="29"/>
    <x v="0"/>
    <x v="2015"/>
    <n v="20.55"/>
    <n v="621925.19999999995"/>
  </r>
  <r>
    <s v="ORD02036"/>
    <x v="680"/>
    <s v="C040"/>
    <x v="300"/>
    <x v="2"/>
    <x v="3"/>
    <x v="3"/>
    <x v="2"/>
    <x v="2016"/>
    <n v="11.89"/>
    <n v="728274.39"/>
  </r>
  <r>
    <s v="ORD02037"/>
    <x v="187"/>
    <s v="C227"/>
    <x v="278"/>
    <x v="2"/>
    <x v="24"/>
    <x v="24"/>
    <x v="3"/>
    <x v="2017"/>
    <n v="43.58"/>
    <n v="3228449.98"/>
  </r>
  <r>
    <s v="ORD02038"/>
    <x v="262"/>
    <s v="C499"/>
    <x v="100"/>
    <x v="0"/>
    <x v="7"/>
    <x v="7"/>
    <x v="3"/>
    <x v="2018"/>
    <n v="11.58"/>
    <n v="1132246.08"/>
  </r>
  <r>
    <s v="ORD02039"/>
    <x v="185"/>
    <s v="C339"/>
    <x v="330"/>
    <x v="3"/>
    <x v="16"/>
    <x v="16"/>
    <x v="1"/>
    <x v="2019"/>
    <n v="47.66"/>
    <n v="4551053.4000000004"/>
  </r>
  <r>
    <s v="ORD02040"/>
    <x v="438"/>
    <s v="C457"/>
    <x v="196"/>
    <x v="3"/>
    <x v="27"/>
    <x v="27"/>
    <x v="4"/>
    <x v="2020"/>
    <n v="43.49"/>
    <n v="4005081.08"/>
  </r>
  <r>
    <s v="ORD02041"/>
    <x v="177"/>
    <s v="C279"/>
    <x v="270"/>
    <x v="1"/>
    <x v="31"/>
    <x v="31"/>
    <x v="0"/>
    <x v="2021"/>
    <n v="10.68"/>
    <n v="473946.36"/>
  </r>
  <r>
    <s v="ORD02042"/>
    <x v="399"/>
    <s v="C212"/>
    <x v="90"/>
    <x v="4"/>
    <x v="1"/>
    <x v="1"/>
    <x v="1"/>
    <x v="2022"/>
    <n v="13.31"/>
    <n v="1152393.1100000001"/>
  </r>
  <r>
    <s v="ORD02043"/>
    <x v="564"/>
    <s v="C166"/>
    <x v="491"/>
    <x v="2"/>
    <x v="20"/>
    <x v="20"/>
    <x v="1"/>
    <x v="2023"/>
    <n v="5.1100000000000003"/>
    <n v="359805.32"/>
  </r>
  <r>
    <s v="ORD02044"/>
    <x v="681"/>
    <s v="C340"/>
    <x v="444"/>
    <x v="4"/>
    <x v="34"/>
    <x v="34"/>
    <x v="2"/>
    <x v="2024"/>
    <n v="7.59"/>
    <n v="389678.19"/>
  </r>
  <r>
    <s v="ORD02045"/>
    <x v="573"/>
    <s v="C389"/>
    <x v="394"/>
    <x v="0"/>
    <x v="44"/>
    <x v="44"/>
    <x v="2"/>
    <x v="2025"/>
    <n v="11.67"/>
    <n v="535232.88"/>
  </r>
  <r>
    <s v="ORD02046"/>
    <x v="73"/>
    <s v="C364"/>
    <x v="398"/>
    <x v="3"/>
    <x v="28"/>
    <x v="28"/>
    <x v="3"/>
    <x v="2026"/>
    <n v="44.03"/>
    <n v="3094604.52"/>
  </r>
  <r>
    <s v="ORD02047"/>
    <x v="41"/>
    <s v="C080"/>
    <x v="222"/>
    <x v="4"/>
    <x v="30"/>
    <x v="30"/>
    <x v="4"/>
    <x v="2027"/>
    <n v="29.45"/>
    <n v="1528396.1"/>
  </r>
  <r>
    <s v="ORD02048"/>
    <x v="93"/>
    <s v="C085"/>
    <x v="223"/>
    <x v="0"/>
    <x v="42"/>
    <x v="42"/>
    <x v="1"/>
    <x v="2028"/>
    <n v="27.23"/>
    <n v="103419.54"/>
  </r>
  <r>
    <s v="ORD02049"/>
    <x v="594"/>
    <s v="C415"/>
    <x v="152"/>
    <x v="0"/>
    <x v="31"/>
    <x v="31"/>
    <x v="0"/>
    <x v="2029"/>
    <n v="41.81"/>
    <n v="1145384.95"/>
  </r>
  <r>
    <s v="ORD02050"/>
    <x v="125"/>
    <s v="C298"/>
    <x v="349"/>
    <x v="1"/>
    <x v="47"/>
    <x v="47"/>
    <x v="2"/>
    <x v="2030"/>
    <n v="14.52"/>
    <n v="1162485.72"/>
  </r>
  <r>
    <s v="ORD02051"/>
    <x v="404"/>
    <s v="C030"/>
    <x v="468"/>
    <x v="4"/>
    <x v="5"/>
    <x v="5"/>
    <x v="3"/>
    <x v="2031"/>
    <n v="43.77"/>
    <n v="3578854.05"/>
  </r>
  <r>
    <s v="ORD02052"/>
    <x v="419"/>
    <s v="C354"/>
    <x v="97"/>
    <x v="4"/>
    <x v="12"/>
    <x v="12"/>
    <x v="4"/>
    <x v="2032"/>
    <n v="7.18"/>
    <n v="328161.90000000002"/>
  </r>
  <r>
    <s v="ORD02053"/>
    <x v="415"/>
    <s v="C246"/>
    <x v="480"/>
    <x v="1"/>
    <x v="13"/>
    <x v="13"/>
    <x v="2"/>
    <x v="2033"/>
    <n v="45.31"/>
    <n v="3525389.86"/>
  </r>
  <r>
    <s v="ORD02054"/>
    <x v="556"/>
    <s v="C478"/>
    <x v="269"/>
    <x v="0"/>
    <x v="40"/>
    <x v="40"/>
    <x v="0"/>
    <x v="2034"/>
    <n v="40.24"/>
    <n v="2911001.84"/>
  </r>
  <r>
    <s v="ORD02055"/>
    <x v="596"/>
    <s v="C332"/>
    <x v="242"/>
    <x v="2"/>
    <x v="29"/>
    <x v="29"/>
    <x v="0"/>
    <x v="2035"/>
    <n v="29.27"/>
    <n v="309120.46999999997"/>
  </r>
  <r>
    <s v="ORD02056"/>
    <x v="478"/>
    <s v="C291"/>
    <x v="198"/>
    <x v="1"/>
    <x v="0"/>
    <x v="0"/>
    <x v="0"/>
    <x v="2036"/>
    <n v="11.73"/>
    <n v="883644.36"/>
  </r>
  <r>
    <s v="ORD02057"/>
    <x v="591"/>
    <s v="C058"/>
    <x v="479"/>
    <x v="2"/>
    <x v="8"/>
    <x v="8"/>
    <x v="3"/>
    <x v="2037"/>
    <n v="21.7"/>
    <n v="2153421.2000000002"/>
  </r>
  <r>
    <s v="ORD02058"/>
    <x v="150"/>
    <s v="C284"/>
    <x v="287"/>
    <x v="4"/>
    <x v="1"/>
    <x v="1"/>
    <x v="1"/>
    <x v="2038"/>
    <n v="14.74"/>
    <n v="836627.66"/>
  </r>
  <r>
    <s v="ORD02059"/>
    <x v="505"/>
    <s v="C041"/>
    <x v="389"/>
    <x v="4"/>
    <x v="39"/>
    <x v="39"/>
    <x v="3"/>
    <x v="2039"/>
    <n v="37.74"/>
    <n v="3573600.6"/>
  </r>
  <r>
    <s v="ORD02060"/>
    <x v="1"/>
    <s v="C409"/>
    <x v="466"/>
    <x v="3"/>
    <x v="47"/>
    <x v="47"/>
    <x v="2"/>
    <x v="2040"/>
    <n v="5.88"/>
    <n v="245831.04000000001"/>
  </r>
  <r>
    <s v="ORD02061"/>
    <x v="581"/>
    <s v="C377"/>
    <x v="165"/>
    <x v="4"/>
    <x v="45"/>
    <x v="45"/>
    <x v="3"/>
    <x v="2041"/>
    <n v="47.83"/>
    <n v="4359417.5199999996"/>
  </r>
  <r>
    <s v="ORD02062"/>
    <x v="451"/>
    <s v="C289"/>
    <x v="408"/>
    <x v="1"/>
    <x v="19"/>
    <x v="19"/>
    <x v="3"/>
    <x v="2042"/>
    <n v="43.12"/>
    <n v="1657101.6"/>
  </r>
  <r>
    <s v="ORD02063"/>
    <x v="94"/>
    <s v="C054"/>
    <x v="129"/>
    <x v="3"/>
    <x v="38"/>
    <x v="38"/>
    <x v="2"/>
    <x v="2043"/>
    <n v="9.81"/>
    <n v="577750.14"/>
  </r>
  <r>
    <s v="ORD02064"/>
    <x v="26"/>
    <s v="C413"/>
    <x v="298"/>
    <x v="3"/>
    <x v="11"/>
    <x v="11"/>
    <x v="4"/>
    <x v="2044"/>
    <n v="12.19"/>
    <n v="1142836.8799999999"/>
  </r>
  <r>
    <s v="ORD02065"/>
    <x v="465"/>
    <s v="C148"/>
    <x v="365"/>
    <x v="1"/>
    <x v="25"/>
    <x v="25"/>
    <x v="4"/>
    <x v="2045"/>
    <n v="37.51"/>
    <n v="3552834.67"/>
  </r>
  <r>
    <s v="ORD02066"/>
    <x v="208"/>
    <s v="C106"/>
    <x v="492"/>
    <x v="3"/>
    <x v="9"/>
    <x v="9"/>
    <x v="4"/>
    <x v="2046"/>
    <n v="13.2"/>
    <n v="309856.8"/>
  </r>
  <r>
    <s v="ORD02067"/>
    <x v="164"/>
    <s v="C003"/>
    <x v="133"/>
    <x v="1"/>
    <x v="39"/>
    <x v="39"/>
    <x v="3"/>
    <x v="2047"/>
    <n v="3.44"/>
    <n v="311199.59999999998"/>
  </r>
  <r>
    <s v="ORD02068"/>
    <x v="682"/>
    <s v="C240"/>
    <x v="218"/>
    <x v="3"/>
    <x v="46"/>
    <x v="46"/>
    <x v="0"/>
    <x v="2048"/>
    <n v="9.8699999999999992"/>
    <n v="528587.85"/>
  </r>
  <r>
    <s v="ORD02069"/>
    <x v="177"/>
    <s v="C471"/>
    <x v="160"/>
    <x v="2"/>
    <x v="31"/>
    <x v="31"/>
    <x v="0"/>
    <x v="2049"/>
    <n v="5.13"/>
    <n v="162774.9"/>
  </r>
  <r>
    <s v="ORD02070"/>
    <x v="76"/>
    <s v="C494"/>
    <x v="267"/>
    <x v="0"/>
    <x v="8"/>
    <x v="8"/>
    <x v="3"/>
    <x v="2050"/>
    <n v="19.57"/>
    <n v="792076.18"/>
  </r>
  <r>
    <s v="ORD02071"/>
    <x v="392"/>
    <s v="C089"/>
    <x v="79"/>
    <x v="4"/>
    <x v="28"/>
    <x v="28"/>
    <x v="3"/>
    <x v="2051"/>
    <n v="28.18"/>
    <n v="1843112.9"/>
  </r>
  <r>
    <s v="ORD02072"/>
    <x v="512"/>
    <s v="C490"/>
    <x v="141"/>
    <x v="2"/>
    <x v="42"/>
    <x v="42"/>
    <x v="1"/>
    <x v="2052"/>
    <n v="9.7200000000000006"/>
    <n v="226845.36"/>
  </r>
  <r>
    <s v="ORD02073"/>
    <x v="115"/>
    <s v="C246"/>
    <x v="480"/>
    <x v="1"/>
    <x v="26"/>
    <x v="26"/>
    <x v="0"/>
    <x v="2053"/>
    <n v="38.85"/>
    <n v="1763790"/>
  </r>
  <r>
    <s v="ORD02074"/>
    <x v="290"/>
    <s v="C490"/>
    <x v="141"/>
    <x v="2"/>
    <x v="2"/>
    <x v="2"/>
    <x v="1"/>
    <x v="2054"/>
    <n v="41.83"/>
    <n v="618205.56999999995"/>
  </r>
  <r>
    <s v="ORD02075"/>
    <x v="487"/>
    <s v="C443"/>
    <x v="105"/>
    <x v="1"/>
    <x v="25"/>
    <x v="25"/>
    <x v="4"/>
    <x v="2055"/>
    <n v="8.8000000000000007"/>
    <n v="328908.79999999999"/>
  </r>
  <r>
    <s v="ORD02076"/>
    <x v="261"/>
    <s v="C266"/>
    <x v="99"/>
    <x v="0"/>
    <x v="43"/>
    <x v="43"/>
    <x v="4"/>
    <x v="847"/>
    <n v="49.08"/>
    <n v="4505642.16"/>
  </r>
  <r>
    <s v="ORD02077"/>
    <x v="117"/>
    <s v="C470"/>
    <x v="190"/>
    <x v="4"/>
    <x v="29"/>
    <x v="29"/>
    <x v="0"/>
    <x v="2056"/>
    <n v="24.33"/>
    <n v="2235489.06"/>
  </r>
  <r>
    <s v="ORD02078"/>
    <x v="266"/>
    <s v="C474"/>
    <x v="203"/>
    <x v="3"/>
    <x v="17"/>
    <x v="17"/>
    <x v="1"/>
    <x v="2057"/>
    <n v="11.22"/>
    <n v="671718.96"/>
  </r>
  <r>
    <s v="ORD02079"/>
    <x v="683"/>
    <s v="C008"/>
    <x v="96"/>
    <x v="1"/>
    <x v="43"/>
    <x v="43"/>
    <x v="4"/>
    <x v="2058"/>
    <n v="5.79"/>
    <n v="163509.6"/>
  </r>
  <r>
    <s v="ORD02080"/>
    <x v="94"/>
    <s v="C400"/>
    <x v="376"/>
    <x v="2"/>
    <x v="25"/>
    <x v="25"/>
    <x v="4"/>
    <x v="2059"/>
    <n v="34.17"/>
    <n v="3143674.17"/>
  </r>
  <r>
    <s v="ORD02081"/>
    <x v="170"/>
    <s v="C370"/>
    <x v="486"/>
    <x v="3"/>
    <x v="13"/>
    <x v="13"/>
    <x v="2"/>
    <x v="75"/>
    <n v="15.97"/>
    <n v="1108733.22"/>
  </r>
  <r>
    <s v="ORD02082"/>
    <x v="159"/>
    <s v="C426"/>
    <x v="163"/>
    <x v="2"/>
    <x v="14"/>
    <x v="14"/>
    <x v="2"/>
    <x v="2060"/>
    <n v="35.32"/>
    <n v="988606.8"/>
  </r>
  <r>
    <s v="ORD02083"/>
    <x v="640"/>
    <s v="C274"/>
    <x v="461"/>
    <x v="4"/>
    <x v="2"/>
    <x v="2"/>
    <x v="1"/>
    <x v="2061"/>
    <n v="47.58"/>
    <n v="2332086.12"/>
  </r>
  <r>
    <s v="ORD02084"/>
    <x v="680"/>
    <s v="C390"/>
    <x v="233"/>
    <x v="2"/>
    <x v="41"/>
    <x v="41"/>
    <x v="4"/>
    <x v="2062"/>
    <n v="10.210000000000001"/>
    <n v="162053.12"/>
  </r>
  <r>
    <s v="ORD02085"/>
    <x v="373"/>
    <s v="C330"/>
    <x v="48"/>
    <x v="2"/>
    <x v="39"/>
    <x v="39"/>
    <x v="3"/>
    <x v="2063"/>
    <n v="23.16"/>
    <n v="1954263.96"/>
  </r>
  <r>
    <s v="ORD02086"/>
    <x v="549"/>
    <s v="C169"/>
    <x v="375"/>
    <x v="0"/>
    <x v="39"/>
    <x v="39"/>
    <x v="3"/>
    <x v="2064"/>
    <n v="11.96"/>
    <n v="165538.35999999999"/>
  </r>
  <r>
    <s v="ORD02087"/>
    <x v="508"/>
    <s v="C454"/>
    <x v="345"/>
    <x v="3"/>
    <x v="23"/>
    <x v="23"/>
    <x v="0"/>
    <x v="2065"/>
    <n v="38.82"/>
    <n v="2696281.92"/>
  </r>
  <r>
    <s v="ORD02088"/>
    <x v="112"/>
    <s v="C451"/>
    <x v="225"/>
    <x v="1"/>
    <x v="37"/>
    <x v="37"/>
    <x v="1"/>
    <x v="2066"/>
    <n v="33.82"/>
    <n v="1500931.6"/>
  </r>
  <r>
    <s v="ORD02089"/>
    <x v="649"/>
    <s v="C326"/>
    <x v="209"/>
    <x v="0"/>
    <x v="35"/>
    <x v="35"/>
    <x v="1"/>
    <x v="2067"/>
    <n v="17.62"/>
    <n v="59890.38"/>
  </r>
  <r>
    <s v="ORD02090"/>
    <x v="120"/>
    <s v="C023"/>
    <x v="304"/>
    <x v="4"/>
    <x v="28"/>
    <x v="28"/>
    <x v="3"/>
    <x v="2068"/>
    <n v="26.41"/>
    <n v="1983206.13"/>
  </r>
  <r>
    <s v="ORD02091"/>
    <x v="77"/>
    <s v="C213"/>
    <x v="283"/>
    <x v="1"/>
    <x v="48"/>
    <x v="48"/>
    <x v="2"/>
    <x v="2069"/>
    <n v="19.940000000000001"/>
    <n v="1806424.42"/>
  </r>
  <r>
    <s v="ORD02092"/>
    <x v="591"/>
    <s v="C392"/>
    <x v="383"/>
    <x v="3"/>
    <x v="22"/>
    <x v="22"/>
    <x v="0"/>
    <x v="2070"/>
    <n v="2.98"/>
    <n v="133551.67999999999"/>
  </r>
  <r>
    <s v="ORD02093"/>
    <x v="665"/>
    <s v="C376"/>
    <x v="35"/>
    <x v="1"/>
    <x v="24"/>
    <x v="24"/>
    <x v="3"/>
    <x v="2071"/>
    <n v="33.04"/>
    <n v="310245.59999999998"/>
  </r>
  <r>
    <s v="ORD02094"/>
    <x v="221"/>
    <s v="C134"/>
    <x v="107"/>
    <x v="3"/>
    <x v="41"/>
    <x v="41"/>
    <x v="4"/>
    <x v="2072"/>
    <n v="13.62"/>
    <n v="1361550.54"/>
  </r>
  <r>
    <s v="ORD02095"/>
    <x v="195"/>
    <s v="C404"/>
    <x v="378"/>
    <x v="3"/>
    <x v="20"/>
    <x v="20"/>
    <x v="1"/>
    <x v="2073"/>
    <n v="45.17"/>
    <n v="3050601.12"/>
  </r>
  <r>
    <s v="ORD02096"/>
    <x v="3"/>
    <s v="C276"/>
    <x v="360"/>
    <x v="1"/>
    <x v="48"/>
    <x v="48"/>
    <x v="2"/>
    <x v="2074"/>
    <n v="7.79"/>
    <n v="664183.18999999994"/>
  </r>
  <r>
    <s v="ORD02097"/>
    <x v="625"/>
    <s v="C382"/>
    <x v="136"/>
    <x v="3"/>
    <x v="24"/>
    <x v="24"/>
    <x v="3"/>
    <x v="2075"/>
    <n v="43.09"/>
    <n v="2110892.92"/>
  </r>
  <r>
    <s v="ORD02098"/>
    <x v="477"/>
    <s v="C017"/>
    <x v="139"/>
    <x v="4"/>
    <x v="45"/>
    <x v="45"/>
    <x v="3"/>
    <x v="2076"/>
    <n v="48.77"/>
    <n v="4468551.25"/>
  </r>
  <r>
    <s v="ORD02099"/>
    <x v="684"/>
    <s v="C360"/>
    <x v="92"/>
    <x v="3"/>
    <x v="2"/>
    <x v="2"/>
    <x v="1"/>
    <x v="2077"/>
    <n v="16.36"/>
    <n v="1055923.48"/>
  </r>
  <r>
    <s v="ORD02100"/>
    <x v="421"/>
    <s v="C278"/>
    <x v="227"/>
    <x v="1"/>
    <x v="12"/>
    <x v="12"/>
    <x v="4"/>
    <x v="2078"/>
    <n v="29.58"/>
    <n v="2079326.1"/>
  </r>
  <r>
    <s v="ORD02101"/>
    <x v="302"/>
    <s v="C216"/>
    <x v="47"/>
    <x v="1"/>
    <x v="38"/>
    <x v="38"/>
    <x v="2"/>
    <x v="346"/>
    <n v="22.75"/>
    <n v="266493.5"/>
  </r>
  <r>
    <s v="ORD02102"/>
    <x v="120"/>
    <s v="C359"/>
    <x v="31"/>
    <x v="0"/>
    <x v="41"/>
    <x v="41"/>
    <x v="4"/>
    <x v="2079"/>
    <n v="8.67"/>
    <n v="615986.16"/>
  </r>
  <r>
    <s v="ORD02103"/>
    <x v="466"/>
    <s v="C385"/>
    <x v="309"/>
    <x v="3"/>
    <x v="18"/>
    <x v="18"/>
    <x v="0"/>
    <x v="2080"/>
    <n v="44.68"/>
    <n v="3887562.12"/>
  </r>
  <r>
    <s v="ORD02104"/>
    <x v="290"/>
    <s v="C224"/>
    <x v="147"/>
    <x v="4"/>
    <x v="5"/>
    <x v="5"/>
    <x v="3"/>
    <x v="2081"/>
    <n v="7.51"/>
    <n v="351175.11"/>
  </r>
  <r>
    <s v="ORD02105"/>
    <x v="159"/>
    <s v="C089"/>
    <x v="79"/>
    <x v="4"/>
    <x v="14"/>
    <x v="14"/>
    <x v="2"/>
    <x v="2082"/>
    <n v="31.65"/>
    <n v="2486582.25"/>
  </r>
  <r>
    <s v="ORD02106"/>
    <x v="656"/>
    <s v="C111"/>
    <x v="286"/>
    <x v="0"/>
    <x v="9"/>
    <x v="9"/>
    <x v="4"/>
    <x v="2083"/>
    <n v="44.9"/>
    <n v="3850713.8"/>
  </r>
  <r>
    <s v="ORD02107"/>
    <x v="321"/>
    <s v="C277"/>
    <x v="158"/>
    <x v="3"/>
    <x v="5"/>
    <x v="5"/>
    <x v="3"/>
    <x v="2084"/>
    <n v="13.44"/>
    <n v="1019975.04"/>
  </r>
  <r>
    <s v="ORD02108"/>
    <x v="685"/>
    <s v="C204"/>
    <x v="240"/>
    <x v="0"/>
    <x v="20"/>
    <x v="20"/>
    <x v="1"/>
    <x v="2085"/>
    <n v="25.54"/>
    <n v="539890.06000000006"/>
  </r>
  <r>
    <s v="ORD02109"/>
    <x v="631"/>
    <s v="C288"/>
    <x v="177"/>
    <x v="3"/>
    <x v="11"/>
    <x v="11"/>
    <x v="4"/>
    <x v="2086"/>
    <n v="30.96"/>
    <n v="503038.08"/>
  </r>
  <r>
    <s v="ORD02110"/>
    <x v="405"/>
    <s v="C408"/>
    <x v="45"/>
    <x v="4"/>
    <x v="38"/>
    <x v="38"/>
    <x v="2"/>
    <x v="2087"/>
    <n v="17.11"/>
    <n v="273554.68"/>
  </r>
  <r>
    <s v="ORD02111"/>
    <x v="488"/>
    <s v="C036"/>
    <x v="40"/>
    <x v="3"/>
    <x v="33"/>
    <x v="33"/>
    <x v="1"/>
    <x v="2088"/>
    <n v="8.84"/>
    <n v="848869.84"/>
  </r>
  <r>
    <s v="ORD02112"/>
    <x v="95"/>
    <s v="C055"/>
    <x v="301"/>
    <x v="1"/>
    <x v="34"/>
    <x v="34"/>
    <x v="2"/>
    <x v="2089"/>
    <n v="18.84"/>
    <n v="699095.88"/>
  </r>
  <r>
    <s v="ORD02113"/>
    <x v="290"/>
    <s v="C264"/>
    <x v="65"/>
    <x v="0"/>
    <x v="38"/>
    <x v="38"/>
    <x v="2"/>
    <x v="2090"/>
    <n v="19.41"/>
    <n v="154406.54999999999"/>
  </r>
  <r>
    <s v="ORD02114"/>
    <x v="214"/>
    <s v="C363"/>
    <x v="72"/>
    <x v="4"/>
    <x v="33"/>
    <x v="33"/>
    <x v="1"/>
    <x v="2091"/>
    <n v="18.7"/>
    <n v="1449137.8"/>
  </r>
  <r>
    <s v="ORD02115"/>
    <x v="121"/>
    <s v="C170"/>
    <x v="493"/>
    <x v="4"/>
    <x v="40"/>
    <x v="40"/>
    <x v="0"/>
    <x v="2092"/>
    <n v="34.31"/>
    <n v="528888.65"/>
  </r>
  <r>
    <s v="ORD02116"/>
    <x v="686"/>
    <s v="C396"/>
    <x v="427"/>
    <x v="3"/>
    <x v="21"/>
    <x v="21"/>
    <x v="2"/>
    <x v="2093"/>
    <n v="31.48"/>
    <n v="679086.56"/>
  </r>
  <r>
    <s v="ORD02117"/>
    <x v="545"/>
    <s v="C417"/>
    <x v="417"/>
    <x v="2"/>
    <x v="10"/>
    <x v="10"/>
    <x v="3"/>
    <x v="2094"/>
    <n v="45.78"/>
    <n v="3451628.88"/>
  </r>
  <r>
    <s v="ORD02118"/>
    <x v="656"/>
    <s v="C381"/>
    <x v="113"/>
    <x v="2"/>
    <x v="22"/>
    <x v="22"/>
    <x v="0"/>
    <x v="2095"/>
    <n v="35.47"/>
    <n v="109886.06"/>
  </r>
  <r>
    <s v="ORD02119"/>
    <x v="687"/>
    <s v="C041"/>
    <x v="389"/>
    <x v="4"/>
    <x v="32"/>
    <x v="32"/>
    <x v="4"/>
    <x v="2096"/>
    <n v="22.8"/>
    <n v="2201568"/>
  </r>
  <r>
    <s v="ORD02120"/>
    <x v="499"/>
    <s v="C205"/>
    <x v="490"/>
    <x v="4"/>
    <x v="18"/>
    <x v="18"/>
    <x v="0"/>
    <x v="2097"/>
    <n v="48.46"/>
    <n v="3294165.42"/>
  </r>
  <r>
    <s v="ORD02121"/>
    <x v="86"/>
    <s v="C096"/>
    <x v="454"/>
    <x v="1"/>
    <x v="0"/>
    <x v="0"/>
    <x v="0"/>
    <x v="2098"/>
    <n v="4.38"/>
    <n v="308973.96000000002"/>
  </r>
  <r>
    <s v="ORD02122"/>
    <x v="391"/>
    <s v="C458"/>
    <x v="103"/>
    <x v="1"/>
    <x v="11"/>
    <x v="11"/>
    <x v="4"/>
    <x v="2099"/>
    <n v="22.36"/>
    <n v="2033284.24"/>
  </r>
  <r>
    <s v="ORD02123"/>
    <x v="23"/>
    <s v="C383"/>
    <x v="232"/>
    <x v="0"/>
    <x v="33"/>
    <x v="33"/>
    <x v="1"/>
    <x v="2100"/>
    <n v="15.16"/>
    <n v="1267103.1200000001"/>
  </r>
  <r>
    <s v="ORD02124"/>
    <x v="465"/>
    <s v="C007"/>
    <x v="471"/>
    <x v="1"/>
    <x v="41"/>
    <x v="41"/>
    <x v="4"/>
    <x v="2101"/>
    <n v="23.02"/>
    <n v="600223.48"/>
  </r>
  <r>
    <s v="ORD02125"/>
    <x v="574"/>
    <s v="C320"/>
    <x v="257"/>
    <x v="1"/>
    <x v="28"/>
    <x v="28"/>
    <x v="3"/>
    <x v="2102"/>
    <n v="7.45"/>
    <n v="147748.4"/>
  </r>
  <r>
    <s v="ORD02126"/>
    <x v="461"/>
    <s v="C310"/>
    <x v="467"/>
    <x v="3"/>
    <x v="0"/>
    <x v="0"/>
    <x v="0"/>
    <x v="2103"/>
    <n v="36.049999999999997"/>
    <n v="187135.55"/>
  </r>
  <r>
    <s v="ORD02127"/>
    <x v="549"/>
    <s v="C258"/>
    <x v="276"/>
    <x v="3"/>
    <x v="4"/>
    <x v="4"/>
    <x v="1"/>
    <x v="2104"/>
    <n v="41.08"/>
    <n v="2706884.44"/>
  </r>
  <r>
    <s v="ORD02128"/>
    <x v="688"/>
    <s v="C137"/>
    <x v="182"/>
    <x v="4"/>
    <x v="31"/>
    <x v="31"/>
    <x v="0"/>
    <x v="2105"/>
    <n v="39.020000000000003"/>
    <n v="3302184.56"/>
  </r>
  <r>
    <s v="ORD02129"/>
    <x v="449"/>
    <s v="C330"/>
    <x v="48"/>
    <x v="2"/>
    <x v="13"/>
    <x v="13"/>
    <x v="2"/>
    <x v="2106"/>
    <n v="49.78"/>
    <n v="1942266.26"/>
  </r>
  <r>
    <s v="ORD02130"/>
    <x v="474"/>
    <s v="C037"/>
    <x v="255"/>
    <x v="1"/>
    <x v="21"/>
    <x v="21"/>
    <x v="2"/>
    <x v="2107"/>
    <n v="38.9"/>
    <n v="3572614.9"/>
  </r>
  <r>
    <s v="ORD02131"/>
    <x v="95"/>
    <s v="C328"/>
    <x v="335"/>
    <x v="3"/>
    <x v="36"/>
    <x v="36"/>
    <x v="4"/>
    <x v="2108"/>
    <n v="5.4"/>
    <n v="57580.2"/>
  </r>
  <r>
    <s v="ORD02132"/>
    <x v="340"/>
    <s v="C420"/>
    <x v="11"/>
    <x v="4"/>
    <x v="23"/>
    <x v="23"/>
    <x v="0"/>
    <x v="2109"/>
    <n v="44.96"/>
    <n v="1759644.48"/>
  </r>
  <r>
    <s v="ORD02133"/>
    <x v="237"/>
    <s v="C015"/>
    <x v="18"/>
    <x v="4"/>
    <x v="13"/>
    <x v="13"/>
    <x v="2"/>
    <x v="2110"/>
    <n v="18.03"/>
    <n v="1228888.74"/>
  </r>
  <r>
    <s v="ORD02134"/>
    <x v="448"/>
    <s v="C432"/>
    <x v="14"/>
    <x v="0"/>
    <x v="5"/>
    <x v="5"/>
    <x v="3"/>
    <x v="2111"/>
    <n v="8.52"/>
    <n v="208365.12"/>
  </r>
  <r>
    <s v="ORD02135"/>
    <x v="99"/>
    <s v="C385"/>
    <x v="309"/>
    <x v="3"/>
    <x v="49"/>
    <x v="49"/>
    <x v="3"/>
    <x v="2112"/>
    <n v="17.89"/>
    <n v="664667.17000000004"/>
  </r>
  <r>
    <s v="ORD02136"/>
    <x v="75"/>
    <s v="C200"/>
    <x v="119"/>
    <x v="4"/>
    <x v="22"/>
    <x v="22"/>
    <x v="0"/>
    <x v="2113"/>
    <n v="48.4"/>
    <n v="3363461.2"/>
  </r>
  <r>
    <s v="ORD02137"/>
    <x v="336"/>
    <s v="C188"/>
    <x v="138"/>
    <x v="0"/>
    <x v="30"/>
    <x v="30"/>
    <x v="4"/>
    <x v="2114"/>
    <n v="46.35"/>
    <n v="2977802.1"/>
  </r>
  <r>
    <s v="ORD02138"/>
    <x v="177"/>
    <s v="C240"/>
    <x v="218"/>
    <x v="3"/>
    <x v="24"/>
    <x v="24"/>
    <x v="3"/>
    <x v="2115"/>
    <n v="18.91"/>
    <n v="1393042.97"/>
  </r>
  <r>
    <s v="ORD02139"/>
    <x v="53"/>
    <s v="C121"/>
    <x v="8"/>
    <x v="2"/>
    <x v="41"/>
    <x v="41"/>
    <x v="4"/>
    <x v="2116"/>
    <n v="4.99"/>
    <n v="145992.43"/>
  </r>
  <r>
    <s v="ORD02140"/>
    <x v="203"/>
    <s v="C230"/>
    <x v="465"/>
    <x v="4"/>
    <x v="4"/>
    <x v="4"/>
    <x v="1"/>
    <x v="2117"/>
    <n v="24.21"/>
    <n v="1290489.8400000001"/>
  </r>
  <r>
    <s v="ORD02141"/>
    <x v="115"/>
    <s v="C197"/>
    <x v="437"/>
    <x v="1"/>
    <x v="19"/>
    <x v="19"/>
    <x v="3"/>
    <x v="2118"/>
    <n v="43.18"/>
    <n v="4167129.08"/>
  </r>
  <r>
    <s v="ORD02142"/>
    <x v="539"/>
    <s v="C045"/>
    <x v="174"/>
    <x v="2"/>
    <x v="47"/>
    <x v="47"/>
    <x v="2"/>
    <x v="2119"/>
    <n v="12.73"/>
    <n v="143925.38"/>
  </r>
  <r>
    <s v="ORD02143"/>
    <x v="643"/>
    <s v="C119"/>
    <x v="122"/>
    <x v="0"/>
    <x v="4"/>
    <x v="4"/>
    <x v="1"/>
    <x v="2120"/>
    <n v="14.97"/>
    <n v="319504.71000000002"/>
  </r>
  <r>
    <s v="ORD02144"/>
    <x v="152"/>
    <s v="C090"/>
    <x v="380"/>
    <x v="1"/>
    <x v="35"/>
    <x v="35"/>
    <x v="1"/>
    <x v="2121"/>
    <n v="37.76"/>
    <n v="971829.12"/>
  </r>
  <r>
    <s v="ORD02145"/>
    <x v="266"/>
    <s v="C431"/>
    <x v="367"/>
    <x v="2"/>
    <x v="19"/>
    <x v="19"/>
    <x v="3"/>
    <x v="2122"/>
    <n v="8.5500000000000007"/>
    <n v="165750.29999999999"/>
  </r>
  <r>
    <s v="ORD02146"/>
    <x v="88"/>
    <s v="C262"/>
    <x v="123"/>
    <x v="1"/>
    <x v="39"/>
    <x v="39"/>
    <x v="3"/>
    <x v="2123"/>
    <n v="40.69"/>
    <n v="2399855.5099999998"/>
  </r>
  <r>
    <s v="ORD02147"/>
    <x v="0"/>
    <s v="C126"/>
    <x v="424"/>
    <x v="4"/>
    <x v="33"/>
    <x v="33"/>
    <x v="1"/>
    <x v="2124"/>
    <n v="28.83"/>
    <n v="1930053.18"/>
  </r>
  <r>
    <s v="ORD02148"/>
    <x v="464"/>
    <s v="C245"/>
    <x v="137"/>
    <x v="1"/>
    <x v="38"/>
    <x v="38"/>
    <x v="2"/>
    <x v="2125"/>
    <n v="16.170000000000002"/>
    <n v="797698.44"/>
  </r>
  <r>
    <s v="ORD02149"/>
    <x v="611"/>
    <s v="C339"/>
    <x v="330"/>
    <x v="3"/>
    <x v="38"/>
    <x v="38"/>
    <x v="2"/>
    <x v="2126"/>
    <n v="40.380000000000003"/>
    <n v="1877952.66"/>
  </r>
  <r>
    <s v="ORD02150"/>
    <x v="193"/>
    <s v="C099"/>
    <x v="302"/>
    <x v="2"/>
    <x v="35"/>
    <x v="35"/>
    <x v="1"/>
    <x v="2127"/>
    <n v="16.28"/>
    <n v="397362.24"/>
  </r>
  <r>
    <s v="ORD02151"/>
    <x v="142"/>
    <s v="C456"/>
    <x v="338"/>
    <x v="2"/>
    <x v="31"/>
    <x v="31"/>
    <x v="0"/>
    <x v="2128"/>
    <n v="3.72"/>
    <n v="115755.24"/>
  </r>
  <r>
    <s v="ORD02152"/>
    <x v="630"/>
    <s v="C262"/>
    <x v="123"/>
    <x v="1"/>
    <x v="33"/>
    <x v="33"/>
    <x v="1"/>
    <x v="2129"/>
    <n v="24.15"/>
    <n v="2374886.85"/>
  </r>
  <r>
    <s v="ORD02153"/>
    <x v="140"/>
    <s v="C335"/>
    <x v="402"/>
    <x v="4"/>
    <x v="43"/>
    <x v="43"/>
    <x v="4"/>
    <x v="2130"/>
    <n v="43.32"/>
    <n v="1634766.84"/>
  </r>
  <r>
    <s v="ORD02154"/>
    <x v="283"/>
    <s v="C215"/>
    <x v="459"/>
    <x v="1"/>
    <x v="25"/>
    <x v="25"/>
    <x v="4"/>
    <x v="2131"/>
    <n v="29.03"/>
    <n v="1420321.78"/>
  </r>
  <r>
    <s v="ORD02155"/>
    <x v="289"/>
    <s v="C013"/>
    <x v="84"/>
    <x v="3"/>
    <x v="5"/>
    <x v="5"/>
    <x v="3"/>
    <x v="2132"/>
    <n v="22.51"/>
    <n v="2041904.61"/>
  </r>
  <r>
    <s v="ORD02156"/>
    <x v="529"/>
    <s v="C268"/>
    <x v="313"/>
    <x v="0"/>
    <x v="30"/>
    <x v="30"/>
    <x v="4"/>
    <x v="2133"/>
    <n v="41.94"/>
    <n v="378676.26"/>
  </r>
  <r>
    <s v="ORD02157"/>
    <x v="89"/>
    <s v="C335"/>
    <x v="402"/>
    <x v="4"/>
    <x v="27"/>
    <x v="27"/>
    <x v="4"/>
    <x v="2134"/>
    <n v="33.9"/>
    <n v="158855.4"/>
  </r>
  <r>
    <s v="ORD02158"/>
    <x v="229"/>
    <s v="C428"/>
    <x v="260"/>
    <x v="3"/>
    <x v="45"/>
    <x v="45"/>
    <x v="3"/>
    <x v="2135"/>
    <n v="45.28"/>
    <n v="636274.56000000006"/>
  </r>
  <r>
    <s v="ORD02159"/>
    <x v="297"/>
    <s v="C348"/>
    <x v="413"/>
    <x v="0"/>
    <x v="49"/>
    <x v="49"/>
    <x v="3"/>
    <x v="2082"/>
    <n v="29.21"/>
    <n v="2294883.65"/>
  </r>
  <r>
    <s v="ORD02160"/>
    <x v="24"/>
    <s v="C051"/>
    <x v="66"/>
    <x v="4"/>
    <x v="24"/>
    <x v="24"/>
    <x v="3"/>
    <x v="2136"/>
    <n v="41.29"/>
    <n v="1363106.77"/>
  </r>
  <r>
    <s v="ORD02161"/>
    <x v="281"/>
    <s v="C146"/>
    <x v="37"/>
    <x v="4"/>
    <x v="39"/>
    <x v="39"/>
    <x v="3"/>
    <x v="2137"/>
    <n v="42.68"/>
    <n v="1422609.76"/>
  </r>
  <r>
    <s v="ORD02162"/>
    <x v="644"/>
    <s v="C241"/>
    <x v="457"/>
    <x v="1"/>
    <x v="28"/>
    <x v="28"/>
    <x v="3"/>
    <x v="2138"/>
    <n v="42.03"/>
    <n v="1688387.13"/>
  </r>
  <r>
    <s v="ORD02163"/>
    <x v="584"/>
    <s v="C457"/>
    <x v="196"/>
    <x v="3"/>
    <x v="43"/>
    <x v="43"/>
    <x v="4"/>
    <x v="2139"/>
    <n v="27.81"/>
    <n v="2223882.27"/>
  </r>
  <r>
    <s v="ORD02164"/>
    <x v="638"/>
    <s v="C018"/>
    <x v="332"/>
    <x v="3"/>
    <x v="9"/>
    <x v="9"/>
    <x v="4"/>
    <x v="2140"/>
    <n v="48.63"/>
    <n v="3494746.32"/>
  </r>
  <r>
    <s v="ORD02165"/>
    <x v="298"/>
    <s v="C490"/>
    <x v="141"/>
    <x v="2"/>
    <x v="24"/>
    <x v="24"/>
    <x v="3"/>
    <x v="2141"/>
    <n v="5.82"/>
    <n v="278376.42"/>
  </r>
  <r>
    <s v="ORD02166"/>
    <x v="554"/>
    <s v="C241"/>
    <x v="457"/>
    <x v="1"/>
    <x v="7"/>
    <x v="7"/>
    <x v="3"/>
    <x v="2142"/>
    <n v="15.38"/>
    <n v="49631.26"/>
  </r>
  <r>
    <s v="ORD02167"/>
    <x v="356"/>
    <s v="C170"/>
    <x v="493"/>
    <x v="4"/>
    <x v="10"/>
    <x v="10"/>
    <x v="3"/>
    <x v="2143"/>
    <n v="49.31"/>
    <n v="2155488.0299999998"/>
  </r>
  <r>
    <s v="ORD02168"/>
    <x v="403"/>
    <s v="C032"/>
    <x v="234"/>
    <x v="4"/>
    <x v="15"/>
    <x v="15"/>
    <x v="2"/>
    <x v="2144"/>
    <n v="47.16"/>
    <n v="3241259.64"/>
  </r>
  <r>
    <s v="ORD02169"/>
    <x v="317"/>
    <s v="C019"/>
    <x v="88"/>
    <x v="0"/>
    <x v="44"/>
    <x v="44"/>
    <x v="2"/>
    <x v="2145"/>
    <n v="42.73"/>
    <n v="3867449.57"/>
  </r>
  <r>
    <s v="ORD02170"/>
    <x v="367"/>
    <s v="C322"/>
    <x v="238"/>
    <x v="2"/>
    <x v="0"/>
    <x v="0"/>
    <x v="0"/>
    <x v="2146"/>
    <n v="36.590000000000003"/>
    <n v="1895032.69"/>
  </r>
  <r>
    <s v="ORD02171"/>
    <x v="451"/>
    <s v="C360"/>
    <x v="92"/>
    <x v="3"/>
    <x v="25"/>
    <x v="25"/>
    <x v="4"/>
    <x v="2147"/>
    <n v="38.31"/>
    <n v="1536537.48"/>
  </r>
  <r>
    <s v="ORD02172"/>
    <x v="515"/>
    <s v="C368"/>
    <x v="7"/>
    <x v="1"/>
    <x v="12"/>
    <x v="12"/>
    <x v="4"/>
    <x v="2148"/>
    <n v="29.55"/>
    <n v="2062412.7"/>
  </r>
  <r>
    <s v="ORD02173"/>
    <x v="672"/>
    <s v="C337"/>
    <x v="483"/>
    <x v="0"/>
    <x v="18"/>
    <x v="18"/>
    <x v="0"/>
    <x v="2149"/>
    <n v="39.03"/>
    <n v="442053.78"/>
  </r>
  <r>
    <s v="ORD02174"/>
    <x v="107"/>
    <s v="C174"/>
    <x v="26"/>
    <x v="4"/>
    <x v="13"/>
    <x v="13"/>
    <x v="2"/>
    <x v="2150"/>
    <n v="33.69"/>
    <n v="1688205.9"/>
  </r>
  <r>
    <s v="ORD02175"/>
    <x v="649"/>
    <s v="C300"/>
    <x v="204"/>
    <x v="0"/>
    <x v="45"/>
    <x v="45"/>
    <x v="3"/>
    <x v="2151"/>
    <n v="33.18"/>
    <n v="306019.14"/>
  </r>
  <r>
    <s v="ORD02176"/>
    <x v="13"/>
    <s v="C304"/>
    <x v="381"/>
    <x v="3"/>
    <x v="5"/>
    <x v="5"/>
    <x v="3"/>
    <x v="2152"/>
    <n v="17.16"/>
    <n v="814791.12"/>
  </r>
  <r>
    <s v="ORD02177"/>
    <x v="569"/>
    <s v="C203"/>
    <x v="403"/>
    <x v="0"/>
    <x v="6"/>
    <x v="6"/>
    <x v="0"/>
    <x v="2153"/>
    <n v="35.32"/>
    <n v="928068.32"/>
  </r>
  <r>
    <s v="ORD02178"/>
    <x v="60"/>
    <s v="C062"/>
    <x v="38"/>
    <x v="4"/>
    <x v="0"/>
    <x v="0"/>
    <x v="0"/>
    <x v="2154"/>
    <n v="25.28"/>
    <n v="1678592"/>
  </r>
  <r>
    <s v="ORD02179"/>
    <x v="240"/>
    <s v="C301"/>
    <x v="418"/>
    <x v="3"/>
    <x v="7"/>
    <x v="7"/>
    <x v="3"/>
    <x v="2155"/>
    <n v="2.97"/>
    <n v="85654.8"/>
  </r>
  <r>
    <s v="ORD02180"/>
    <x v="236"/>
    <s v="C002"/>
    <x v="314"/>
    <x v="3"/>
    <x v="36"/>
    <x v="36"/>
    <x v="4"/>
    <x v="2156"/>
    <n v="42.36"/>
    <n v="2686683"/>
  </r>
  <r>
    <s v="ORD02181"/>
    <x v="105"/>
    <s v="C155"/>
    <x v="407"/>
    <x v="1"/>
    <x v="19"/>
    <x v="19"/>
    <x v="3"/>
    <x v="2157"/>
    <n v="14.36"/>
    <n v="494630.2"/>
  </r>
  <r>
    <s v="ORD02182"/>
    <x v="68"/>
    <s v="C207"/>
    <x v="352"/>
    <x v="3"/>
    <x v="38"/>
    <x v="38"/>
    <x v="2"/>
    <x v="2158"/>
    <n v="49.87"/>
    <n v="3422229.01"/>
  </r>
  <r>
    <s v="ORD02183"/>
    <x v="75"/>
    <s v="C331"/>
    <x v="167"/>
    <x v="1"/>
    <x v="37"/>
    <x v="37"/>
    <x v="1"/>
    <x v="2159"/>
    <n v="40.39"/>
    <n v="58565.5"/>
  </r>
  <r>
    <s v="ORD02184"/>
    <x v="355"/>
    <s v="C326"/>
    <x v="209"/>
    <x v="0"/>
    <x v="48"/>
    <x v="48"/>
    <x v="2"/>
    <x v="2160"/>
    <n v="43.17"/>
    <n v="155066.64000000001"/>
  </r>
  <r>
    <s v="ORD02185"/>
    <x v="18"/>
    <s v="C415"/>
    <x v="152"/>
    <x v="0"/>
    <x v="45"/>
    <x v="45"/>
    <x v="3"/>
    <x v="2161"/>
    <n v="45.91"/>
    <n v="469751.12"/>
  </r>
  <r>
    <s v="ORD02186"/>
    <x v="397"/>
    <s v="C390"/>
    <x v="233"/>
    <x v="2"/>
    <x v="44"/>
    <x v="44"/>
    <x v="2"/>
    <x v="2162"/>
    <n v="46.77"/>
    <n v="3972503.49"/>
  </r>
  <r>
    <s v="ORD02187"/>
    <x v="689"/>
    <s v="C472"/>
    <x v="3"/>
    <x v="3"/>
    <x v="12"/>
    <x v="12"/>
    <x v="4"/>
    <x v="2163"/>
    <n v="26.47"/>
    <n v="2178533.94"/>
  </r>
  <r>
    <s v="ORD02188"/>
    <x v="674"/>
    <s v="C485"/>
    <x v="374"/>
    <x v="0"/>
    <x v="6"/>
    <x v="6"/>
    <x v="0"/>
    <x v="2164"/>
    <n v="20.29"/>
    <n v="2015141.93"/>
  </r>
  <r>
    <s v="ORD02189"/>
    <x v="526"/>
    <s v="C178"/>
    <x v="245"/>
    <x v="0"/>
    <x v="22"/>
    <x v="22"/>
    <x v="0"/>
    <x v="2165"/>
    <n v="28.95"/>
    <n v="476285.4"/>
  </r>
  <r>
    <s v="ORD02190"/>
    <x v="0"/>
    <s v="C069"/>
    <x v="410"/>
    <x v="4"/>
    <x v="26"/>
    <x v="26"/>
    <x v="0"/>
    <x v="2166"/>
    <n v="32.94"/>
    <n v="906278.22"/>
  </r>
  <r>
    <s v="ORD02191"/>
    <x v="509"/>
    <s v="C287"/>
    <x v="228"/>
    <x v="4"/>
    <x v="3"/>
    <x v="3"/>
    <x v="2"/>
    <x v="2167"/>
    <n v="26.48"/>
    <n v="1826643.36"/>
  </r>
  <r>
    <s v="ORD02192"/>
    <x v="198"/>
    <s v="C243"/>
    <x v="353"/>
    <x v="0"/>
    <x v="11"/>
    <x v="11"/>
    <x v="4"/>
    <x v="2168"/>
    <n v="49.69"/>
    <n v="1873163.93"/>
  </r>
  <r>
    <s v="ORD02193"/>
    <x v="374"/>
    <s v="C379"/>
    <x v="494"/>
    <x v="2"/>
    <x v="2"/>
    <x v="2"/>
    <x v="1"/>
    <x v="2169"/>
    <n v="37.47"/>
    <n v="3153737.49"/>
  </r>
  <r>
    <s v="ORD02194"/>
    <x v="643"/>
    <s v="C085"/>
    <x v="223"/>
    <x v="0"/>
    <x v="9"/>
    <x v="9"/>
    <x v="4"/>
    <x v="2170"/>
    <n v="2.2000000000000002"/>
    <n v="188005.4"/>
  </r>
  <r>
    <s v="ORD02195"/>
    <x v="407"/>
    <s v="C041"/>
    <x v="389"/>
    <x v="4"/>
    <x v="18"/>
    <x v="18"/>
    <x v="0"/>
    <x v="2171"/>
    <n v="9.18"/>
    <n v="359461.26"/>
  </r>
  <r>
    <s v="ORD02196"/>
    <x v="332"/>
    <s v="C045"/>
    <x v="174"/>
    <x v="2"/>
    <x v="10"/>
    <x v="10"/>
    <x v="3"/>
    <x v="2172"/>
    <n v="25.74"/>
    <n v="1158557.3999999999"/>
  </r>
  <r>
    <s v="ORD02197"/>
    <x v="63"/>
    <s v="C103"/>
    <x v="226"/>
    <x v="4"/>
    <x v="35"/>
    <x v="35"/>
    <x v="1"/>
    <x v="2173"/>
    <n v="28.23"/>
    <n v="2019941.19"/>
  </r>
  <r>
    <s v="ORD02198"/>
    <x v="162"/>
    <s v="C012"/>
    <x v="412"/>
    <x v="1"/>
    <x v="23"/>
    <x v="23"/>
    <x v="0"/>
    <x v="2174"/>
    <n v="2.11"/>
    <n v="209508.23"/>
  </r>
  <r>
    <s v="ORD02199"/>
    <x v="106"/>
    <s v="C125"/>
    <x v="473"/>
    <x v="0"/>
    <x v="10"/>
    <x v="10"/>
    <x v="3"/>
    <x v="2175"/>
    <n v="11.75"/>
    <n v="945275.75"/>
  </r>
  <r>
    <s v="ORD02200"/>
    <x v="22"/>
    <s v="C266"/>
    <x v="99"/>
    <x v="0"/>
    <x v="27"/>
    <x v="27"/>
    <x v="4"/>
    <x v="2176"/>
    <n v="36.75"/>
    <n v="898941.75"/>
  </r>
  <r>
    <s v="ORD02201"/>
    <x v="270"/>
    <s v="C213"/>
    <x v="283"/>
    <x v="1"/>
    <x v="38"/>
    <x v="38"/>
    <x v="2"/>
    <x v="2177"/>
    <n v="35.11"/>
    <n v="942984.38"/>
  </r>
  <r>
    <s v="ORD02202"/>
    <x v="452"/>
    <s v="C279"/>
    <x v="270"/>
    <x v="1"/>
    <x v="31"/>
    <x v="31"/>
    <x v="0"/>
    <x v="2178"/>
    <n v="24.16"/>
    <n v="1006384.8"/>
  </r>
  <r>
    <s v="ORD02203"/>
    <x v="343"/>
    <s v="C497"/>
    <x v="215"/>
    <x v="1"/>
    <x v="1"/>
    <x v="1"/>
    <x v="1"/>
    <x v="2179"/>
    <n v="30.94"/>
    <n v="839897.24"/>
  </r>
  <r>
    <s v="ORD02204"/>
    <x v="107"/>
    <s v="C227"/>
    <x v="278"/>
    <x v="2"/>
    <x v="40"/>
    <x v="40"/>
    <x v="0"/>
    <x v="2180"/>
    <n v="29.3"/>
    <n v="1008828.3"/>
  </r>
  <r>
    <s v="ORD02205"/>
    <x v="545"/>
    <s v="C455"/>
    <x v="366"/>
    <x v="4"/>
    <x v="49"/>
    <x v="49"/>
    <x v="3"/>
    <x v="2181"/>
    <n v="3.88"/>
    <n v="122902.88"/>
  </r>
  <r>
    <s v="ORD02206"/>
    <x v="304"/>
    <s v="C250"/>
    <x v="64"/>
    <x v="1"/>
    <x v="22"/>
    <x v="22"/>
    <x v="0"/>
    <x v="2182"/>
    <n v="33.96"/>
    <n v="3274287.36"/>
  </r>
  <r>
    <s v="ORD02207"/>
    <x v="90"/>
    <s v="C331"/>
    <x v="167"/>
    <x v="1"/>
    <x v="15"/>
    <x v="15"/>
    <x v="2"/>
    <x v="2183"/>
    <n v="18.09"/>
    <n v="1135274.1299999999"/>
  </r>
  <r>
    <s v="ORD02208"/>
    <x v="207"/>
    <s v="C291"/>
    <x v="198"/>
    <x v="1"/>
    <x v="10"/>
    <x v="10"/>
    <x v="3"/>
    <x v="2184"/>
    <n v="25.16"/>
    <n v="1508719.4"/>
  </r>
  <r>
    <s v="ORD02209"/>
    <x v="497"/>
    <s v="C095"/>
    <x v="236"/>
    <x v="0"/>
    <x v="11"/>
    <x v="11"/>
    <x v="4"/>
    <x v="2185"/>
    <n v="34.520000000000003"/>
    <n v="1113097.3999999999"/>
  </r>
  <r>
    <s v="ORD02210"/>
    <x v="478"/>
    <s v="C327"/>
    <x v="368"/>
    <x v="1"/>
    <x v="23"/>
    <x v="23"/>
    <x v="0"/>
    <x v="2186"/>
    <n v="34.58"/>
    <n v="514100.86"/>
  </r>
  <r>
    <s v="ORD02211"/>
    <x v="673"/>
    <s v="C463"/>
    <x v="61"/>
    <x v="3"/>
    <x v="2"/>
    <x v="2"/>
    <x v="1"/>
    <x v="2187"/>
    <n v="9.52"/>
    <n v="786685.2"/>
  </r>
  <r>
    <s v="ORD02212"/>
    <x v="623"/>
    <s v="C221"/>
    <x v="176"/>
    <x v="2"/>
    <x v="25"/>
    <x v="25"/>
    <x v="4"/>
    <x v="2188"/>
    <n v="8.85"/>
    <n v="879601.5"/>
  </r>
  <r>
    <s v="ORD02213"/>
    <x v="229"/>
    <s v="C034"/>
    <x v="19"/>
    <x v="0"/>
    <x v="22"/>
    <x v="22"/>
    <x v="0"/>
    <x v="2189"/>
    <n v="28.21"/>
    <n v="905935.94"/>
  </r>
  <r>
    <s v="ORD02214"/>
    <x v="345"/>
    <s v="C018"/>
    <x v="332"/>
    <x v="3"/>
    <x v="33"/>
    <x v="33"/>
    <x v="1"/>
    <x v="2190"/>
    <n v="30.18"/>
    <n v="3009428.88"/>
  </r>
  <r>
    <s v="ORD02215"/>
    <x v="97"/>
    <s v="C496"/>
    <x v="82"/>
    <x v="0"/>
    <x v="4"/>
    <x v="4"/>
    <x v="1"/>
    <x v="2191"/>
    <n v="24.1"/>
    <n v="190245.4"/>
  </r>
  <r>
    <s v="ORD02216"/>
    <x v="338"/>
    <s v="C114"/>
    <x v="370"/>
    <x v="1"/>
    <x v="12"/>
    <x v="12"/>
    <x v="4"/>
    <x v="2192"/>
    <n v="3.33"/>
    <n v="83939.31"/>
  </r>
  <r>
    <s v="ORD02217"/>
    <x v="441"/>
    <s v="C377"/>
    <x v="165"/>
    <x v="4"/>
    <x v="10"/>
    <x v="10"/>
    <x v="3"/>
    <x v="2193"/>
    <n v="11.67"/>
    <n v="1001974.53"/>
  </r>
  <r>
    <s v="ORD02218"/>
    <x v="82"/>
    <s v="C143"/>
    <x v="448"/>
    <x v="4"/>
    <x v="37"/>
    <x v="37"/>
    <x v="1"/>
    <x v="2194"/>
    <n v="27.57"/>
    <n v="1539949.92"/>
  </r>
  <r>
    <s v="ORD02219"/>
    <x v="118"/>
    <s v="C198"/>
    <x v="0"/>
    <x v="0"/>
    <x v="1"/>
    <x v="1"/>
    <x v="1"/>
    <x v="2195"/>
    <n v="45.58"/>
    <n v="3954201.74"/>
  </r>
  <r>
    <s v="ORD02220"/>
    <x v="115"/>
    <s v="C197"/>
    <x v="437"/>
    <x v="1"/>
    <x v="46"/>
    <x v="46"/>
    <x v="0"/>
    <x v="2196"/>
    <n v="24.65"/>
    <n v="599438.69999999995"/>
  </r>
  <r>
    <s v="ORD02221"/>
    <x v="340"/>
    <s v="C277"/>
    <x v="158"/>
    <x v="3"/>
    <x v="19"/>
    <x v="19"/>
    <x v="3"/>
    <x v="2197"/>
    <n v="22.87"/>
    <n v="1370553.36"/>
  </r>
  <r>
    <s v="ORD02222"/>
    <x v="17"/>
    <s v="C023"/>
    <x v="304"/>
    <x v="4"/>
    <x v="46"/>
    <x v="46"/>
    <x v="0"/>
    <x v="2198"/>
    <n v="36.9"/>
    <n v="1060432.2"/>
  </r>
  <r>
    <s v="ORD02223"/>
    <x v="58"/>
    <s v="C393"/>
    <x v="5"/>
    <x v="3"/>
    <x v="49"/>
    <x v="49"/>
    <x v="3"/>
    <x v="2199"/>
    <n v="47.71"/>
    <n v="3859548.1600000001"/>
  </r>
  <r>
    <s v="ORD02224"/>
    <x v="92"/>
    <s v="C234"/>
    <x v="406"/>
    <x v="4"/>
    <x v="48"/>
    <x v="48"/>
    <x v="2"/>
    <x v="2200"/>
    <n v="14.69"/>
    <n v="816910.9"/>
  </r>
  <r>
    <s v="ORD02225"/>
    <x v="211"/>
    <s v="C259"/>
    <x v="36"/>
    <x v="2"/>
    <x v="2"/>
    <x v="2"/>
    <x v="1"/>
    <x v="2201"/>
    <n v="41.41"/>
    <n v="4123442.16"/>
  </r>
  <r>
    <s v="ORD02226"/>
    <x v="85"/>
    <s v="C336"/>
    <x v="239"/>
    <x v="2"/>
    <x v="28"/>
    <x v="28"/>
    <x v="3"/>
    <x v="2202"/>
    <n v="10.52"/>
    <n v="611801.12"/>
  </r>
  <r>
    <s v="ORD02227"/>
    <x v="678"/>
    <s v="C096"/>
    <x v="454"/>
    <x v="1"/>
    <x v="47"/>
    <x v="47"/>
    <x v="2"/>
    <x v="2203"/>
    <n v="2.63"/>
    <n v="7779.54"/>
  </r>
  <r>
    <s v="ORD02228"/>
    <x v="561"/>
    <s v="C174"/>
    <x v="26"/>
    <x v="4"/>
    <x v="45"/>
    <x v="45"/>
    <x v="3"/>
    <x v="2204"/>
    <n v="9.0500000000000007"/>
    <n v="77404.649999999994"/>
  </r>
  <r>
    <s v="ORD02229"/>
    <x v="455"/>
    <s v="C116"/>
    <x v="323"/>
    <x v="3"/>
    <x v="8"/>
    <x v="8"/>
    <x v="3"/>
    <x v="2205"/>
    <n v="44.3"/>
    <n v="2339970.2999999998"/>
  </r>
  <r>
    <s v="ORD02230"/>
    <x v="558"/>
    <s v="C131"/>
    <x v="449"/>
    <x v="1"/>
    <x v="23"/>
    <x v="23"/>
    <x v="0"/>
    <x v="2206"/>
    <n v="38.67"/>
    <n v="1826964.15"/>
  </r>
  <r>
    <s v="ORD02231"/>
    <x v="33"/>
    <s v="C076"/>
    <x v="206"/>
    <x v="2"/>
    <x v="32"/>
    <x v="32"/>
    <x v="4"/>
    <x v="2207"/>
    <n v="29.32"/>
    <n v="417927.28"/>
  </r>
  <r>
    <s v="ORD02232"/>
    <x v="428"/>
    <s v="C113"/>
    <x v="442"/>
    <x v="3"/>
    <x v="47"/>
    <x v="47"/>
    <x v="2"/>
    <x v="2208"/>
    <n v="21.97"/>
    <n v="1380133.43"/>
  </r>
  <r>
    <s v="ORD02233"/>
    <x v="466"/>
    <s v="C070"/>
    <x v="249"/>
    <x v="4"/>
    <x v="21"/>
    <x v="21"/>
    <x v="2"/>
    <x v="2209"/>
    <n v="39.659999999999997"/>
    <n v="600730.02"/>
  </r>
  <r>
    <s v="ORD02234"/>
    <x v="146"/>
    <s v="C131"/>
    <x v="449"/>
    <x v="1"/>
    <x v="21"/>
    <x v="21"/>
    <x v="2"/>
    <x v="2210"/>
    <n v="32.4"/>
    <n v="2876569.2"/>
  </r>
  <r>
    <s v="ORD02235"/>
    <x v="84"/>
    <s v="C035"/>
    <x v="325"/>
    <x v="1"/>
    <x v="8"/>
    <x v="8"/>
    <x v="3"/>
    <x v="2211"/>
    <n v="39.42"/>
    <n v="1026378.54"/>
  </r>
  <r>
    <s v="ORD02236"/>
    <x v="212"/>
    <s v="C480"/>
    <x v="331"/>
    <x v="3"/>
    <x v="41"/>
    <x v="41"/>
    <x v="4"/>
    <x v="2212"/>
    <n v="37.11"/>
    <n v="1892535.78"/>
  </r>
  <r>
    <s v="ORD02237"/>
    <x v="415"/>
    <s v="C464"/>
    <x v="118"/>
    <x v="2"/>
    <x v="33"/>
    <x v="33"/>
    <x v="1"/>
    <x v="2213"/>
    <n v="38.08"/>
    <n v="785590.4"/>
  </r>
  <r>
    <s v="ORD02238"/>
    <x v="342"/>
    <s v="C244"/>
    <x v="259"/>
    <x v="1"/>
    <x v="27"/>
    <x v="27"/>
    <x v="4"/>
    <x v="2214"/>
    <n v="30.68"/>
    <n v="949177.84"/>
  </r>
  <r>
    <s v="ORD02239"/>
    <x v="444"/>
    <s v="C255"/>
    <x v="143"/>
    <x v="0"/>
    <x v="18"/>
    <x v="18"/>
    <x v="0"/>
    <x v="2215"/>
    <n v="29.69"/>
    <n v="1108119.8700000001"/>
  </r>
  <r>
    <s v="ORD02240"/>
    <x v="257"/>
    <s v="C306"/>
    <x v="274"/>
    <x v="4"/>
    <x v="38"/>
    <x v="38"/>
    <x v="2"/>
    <x v="2216"/>
    <n v="15.28"/>
    <n v="442844.96"/>
  </r>
  <r>
    <s v="ORD02241"/>
    <x v="8"/>
    <s v="C082"/>
    <x v="462"/>
    <x v="0"/>
    <x v="30"/>
    <x v="30"/>
    <x v="4"/>
    <x v="2217"/>
    <n v="5.03"/>
    <n v="362678.09"/>
  </r>
  <r>
    <s v="ORD02242"/>
    <x v="687"/>
    <s v="C384"/>
    <x v="187"/>
    <x v="4"/>
    <x v="25"/>
    <x v="25"/>
    <x v="4"/>
    <x v="2218"/>
    <n v="41.85"/>
    <n v="3564322.65"/>
  </r>
  <r>
    <s v="ORD02243"/>
    <x v="501"/>
    <s v="C271"/>
    <x v="4"/>
    <x v="1"/>
    <x v="4"/>
    <x v="4"/>
    <x v="1"/>
    <x v="2219"/>
    <n v="21.95"/>
    <n v="209600.55"/>
  </r>
  <r>
    <s v="ORD02244"/>
    <x v="259"/>
    <s v="C316"/>
    <x v="495"/>
    <x v="2"/>
    <x v="17"/>
    <x v="17"/>
    <x v="1"/>
    <x v="2220"/>
    <n v="2.89"/>
    <n v="215657.58"/>
  </r>
  <r>
    <s v="ORD02245"/>
    <x v="211"/>
    <s v="C068"/>
    <x v="112"/>
    <x v="2"/>
    <x v="7"/>
    <x v="7"/>
    <x v="3"/>
    <x v="2221"/>
    <n v="38.380000000000003"/>
    <n v="3394365.58"/>
  </r>
  <r>
    <s v="ORD02246"/>
    <x v="28"/>
    <s v="C461"/>
    <x v="164"/>
    <x v="0"/>
    <x v="30"/>
    <x v="30"/>
    <x v="4"/>
    <x v="2222"/>
    <n v="38.07"/>
    <n v="488514.24"/>
  </r>
  <r>
    <s v="ORD02247"/>
    <x v="16"/>
    <s v="C136"/>
    <x v="428"/>
    <x v="1"/>
    <x v="11"/>
    <x v="11"/>
    <x v="4"/>
    <x v="2223"/>
    <n v="6.73"/>
    <n v="595564.62"/>
  </r>
  <r>
    <s v="ORD02248"/>
    <x v="3"/>
    <s v="C090"/>
    <x v="380"/>
    <x v="1"/>
    <x v="19"/>
    <x v="19"/>
    <x v="3"/>
    <x v="2224"/>
    <n v="39.22"/>
    <n v="2973346.64"/>
  </r>
  <r>
    <s v="ORD02249"/>
    <x v="586"/>
    <s v="C082"/>
    <x v="462"/>
    <x v="0"/>
    <x v="35"/>
    <x v="35"/>
    <x v="1"/>
    <x v="2225"/>
    <n v="21.51"/>
    <n v="1950978.51"/>
  </r>
  <r>
    <s v="ORD02250"/>
    <x v="306"/>
    <s v="C419"/>
    <x v="156"/>
    <x v="3"/>
    <x v="39"/>
    <x v="39"/>
    <x v="3"/>
    <x v="2226"/>
    <n v="5.84"/>
    <n v="306512.40000000002"/>
  </r>
  <r>
    <s v="ORD02251"/>
    <x v="2"/>
    <s v="C409"/>
    <x v="466"/>
    <x v="3"/>
    <x v="1"/>
    <x v="1"/>
    <x v="1"/>
    <x v="2227"/>
    <n v="20.64"/>
    <n v="183386.4"/>
  </r>
  <r>
    <s v="ORD02252"/>
    <x v="267"/>
    <s v="C076"/>
    <x v="206"/>
    <x v="2"/>
    <x v="32"/>
    <x v="32"/>
    <x v="4"/>
    <x v="2228"/>
    <n v="45.83"/>
    <n v="1911798.45"/>
  </r>
  <r>
    <s v="ORD02253"/>
    <x v="402"/>
    <s v="C267"/>
    <x v="172"/>
    <x v="4"/>
    <x v="47"/>
    <x v="47"/>
    <x v="2"/>
    <x v="2229"/>
    <n v="48.63"/>
    <n v="3127103.52"/>
  </r>
  <r>
    <s v="ORD02254"/>
    <x v="47"/>
    <s v="C335"/>
    <x v="402"/>
    <x v="4"/>
    <x v="34"/>
    <x v="34"/>
    <x v="2"/>
    <x v="2230"/>
    <n v="42.5"/>
    <n v="3958280"/>
  </r>
  <r>
    <s v="ORD02255"/>
    <x v="502"/>
    <s v="C206"/>
    <x v="401"/>
    <x v="1"/>
    <x v="36"/>
    <x v="36"/>
    <x v="4"/>
    <x v="2231"/>
    <n v="44.66"/>
    <n v="4166108.1"/>
  </r>
  <r>
    <s v="ORD02256"/>
    <x v="297"/>
    <s v="C446"/>
    <x v="371"/>
    <x v="4"/>
    <x v="28"/>
    <x v="28"/>
    <x v="3"/>
    <x v="2232"/>
    <n v="19.79"/>
    <n v="1180889.0900000001"/>
  </r>
  <r>
    <s v="ORD02257"/>
    <x v="429"/>
    <s v="C089"/>
    <x v="79"/>
    <x v="4"/>
    <x v="35"/>
    <x v="35"/>
    <x v="1"/>
    <x v="2233"/>
    <n v="29.5"/>
    <n v="1200620.5"/>
  </r>
  <r>
    <s v="ORD02258"/>
    <x v="322"/>
    <s v="C492"/>
    <x v="299"/>
    <x v="3"/>
    <x v="8"/>
    <x v="8"/>
    <x v="3"/>
    <x v="2234"/>
    <n v="42.46"/>
    <n v="1172023.3799999999"/>
  </r>
  <r>
    <s v="ORD02259"/>
    <x v="110"/>
    <s v="C171"/>
    <x v="423"/>
    <x v="0"/>
    <x v="42"/>
    <x v="42"/>
    <x v="1"/>
    <x v="2235"/>
    <n v="2.21"/>
    <n v="98448.87"/>
  </r>
  <r>
    <s v="ORD02260"/>
    <x v="618"/>
    <s v="C366"/>
    <x v="447"/>
    <x v="3"/>
    <x v="30"/>
    <x v="30"/>
    <x v="4"/>
    <x v="2236"/>
    <n v="38.590000000000003"/>
    <n v="3687930.53"/>
  </r>
  <r>
    <s v="ORD02261"/>
    <x v="289"/>
    <s v="C033"/>
    <x v="150"/>
    <x v="4"/>
    <x v="2"/>
    <x v="2"/>
    <x v="1"/>
    <x v="2237"/>
    <n v="28.15"/>
    <n v="2054640.35"/>
  </r>
  <r>
    <s v="ORD02262"/>
    <x v="690"/>
    <s v="C326"/>
    <x v="209"/>
    <x v="0"/>
    <x v="2"/>
    <x v="2"/>
    <x v="1"/>
    <x v="2238"/>
    <n v="47.88"/>
    <n v="4075210.44"/>
  </r>
  <r>
    <s v="ORD02263"/>
    <x v="247"/>
    <s v="C319"/>
    <x v="210"/>
    <x v="2"/>
    <x v="37"/>
    <x v="37"/>
    <x v="1"/>
    <x v="2239"/>
    <n v="29.88"/>
    <n v="1028469.6"/>
  </r>
  <r>
    <s v="ORD02264"/>
    <x v="158"/>
    <s v="C052"/>
    <x v="212"/>
    <x v="4"/>
    <x v="31"/>
    <x v="31"/>
    <x v="0"/>
    <x v="2240"/>
    <n v="30.5"/>
    <n v="2828753"/>
  </r>
  <r>
    <s v="ORD02265"/>
    <x v="259"/>
    <s v="C096"/>
    <x v="454"/>
    <x v="1"/>
    <x v="2"/>
    <x v="2"/>
    <x v="1"/>
    <x v="2241"/>
    <n v="30.42"/>
    <n v="758735.64"/>
  </r>
  <r>
    <s v="ORD02266"/>
    <x v="23"/>
    <s v="C305"/>
    <x v="101"/>
    <x v="1"/>
    <x v="47"/>
    <x v="47"/>
    <x v="2"/>
    <x v="2242"/>
    <n v="38.630000000000003"/>
    <n v="713959.66"/>
  </r>
  <r>
    <s v="ORD02267"/>
    <x v="525"/>
    <s v="C329"/>
    <x v="388"/>
    <x v="2"/>
    <x v="1"/>
    <x v="1"/>
    <x v="1"/>
    <x v="2243"/>
    <n v="49.57"/>
    <n v="4849234.82"/>
  </r>
  <r>
    <s v="ORD02268"/>
    <x v="384"/>
    <s v="C202"/>
    <x v="400"/>
    <x v="1"/>
    <x v="28"/>
    <x v="28"/>
    <x v="3"/>
    <x v="2244"/>
    <n v="45.13"/>
    <n v="3425051.09"/>
  </r>
  <r>
    <s v="ORD02269"/>
    <x v="431"/>
    <s v="C279"/>
    <x v="270"/>
    <x v="1"/>
    <x v="32"/>
    <x v="32"/>
    <x v="4"/>
    <x v="2245"/>
    <n v="36.07"/>
    <n v="2505999.3199999998"/>
  </r>
  <r>
    <s v="ORD02270"/>
    <x v="470"/>
    <s v="C096"/>
    <x v="454"/>
    <x v="1"/>
    <x v="2"/>
    <x v="2"/>
    <x v="1"/>
    <x v="2246"/>
    <n v="46.53"/>
    <n v="2954794.59"/>
  </r>
  <r>
    <s v="ORD02271"/>
    <x v="386"/>
    <s v="C165"/>
    <x v="219"/>
    <x v="1"/>
    <x v="33"/>
    <x v="33"/>
    <x v="1"/>
    <x v="2247"/>
    <n v="23.56"/>
    <n v="2159910.12"/>
  </r>
  <r>
    <s v="ORD02272"/>
    <x v="553"/>
    <s v="C213"/>
    <x v="283"/>
    <x v="1"/>
    <x v="36"/>
    <x v="36"/>
    <x v="4"/>
    <x v="2248"/>
    <n v="40.369999999999997"/>
    <n v="3968653.59"/>
  </r>
  <r>
    <s v="ORD02273"/>
    <x v="673"/>
    <s v="C376"/>
    <x v="35"/>
    <x v="1"/>
    <x v="16"/>
    <x v="16"/>
    <x v="1"/>
    <x v="2249"/>
    <n v="26.68"/>
    <n v="1209297.68"/>
  </r>
  <r>
    <s v="ORD02274"/>
    <x v="4"/>
    <s v="C280"/>
    <x v="244"/>
    <x v="1"/>
    <x v="32"/>
    <x v="32"/>
    <x v="4"/>
    <x v="2250"/>
    <n v="3.42"/>
    <n v="292628.88"/>
  </r>
  <r>
    <s v="ORD02275"/>
    <x v="153"/>
    <s v="C358"/>
    <x v="311"/>
    <x v="3"/>
    <x v="49"/>
    <x v="49"/>
    <x v="3"/>
    <x v="2251"/>
    <n v="37.79"/>
    <n v="810519.92"/>
  </r>
  <r>
    <s v="ORD02276"/>
    <x v="411"/>
    <s v="C037"/>
    <x v="255"/>
    <x v="1"/>
    <x v="8"/>
    <x v="8"/>
    <x v="3"/>
    <x v="2252"/>
    <n v="36.69"/>
    <n v="1290974.3400000001"/>
  </r>
  <r>
    <s v="ORD02277"/>
    <x v="94"/>
    <s v="C368"/>
    <x v="7"/>
    <x v="1"/>
    <x v="47"/>
    <x v="47"/>
    <x v="2"/>
    <x v="2253"/>
    <n v="12.18"/>
    <n v="255097.92"/>
  </r>
  <r>
    <s v="ORD02278"/>
    <x v="450"/>
    <s v="C179"/>
    <x v="377"/>
    <x v="3"/>
    <x v="41"/>
    <x v="41"/>
    <x v="4"/>
    <x v="2254"/>
    <n v="16.77"/>
    <n v="483479.1"/>
  </r>
  <r>
    <s v="ORD02279"/>
    <x v="691"/>
    <s v="C359"/>
    <x v="31"/>
    <x v="0"/>
    <x v="33"/>
    <x v="33"/>
    <x v="1"/>
    <x v="2255"/>
    <n v="9.4600000000000009"/>
    <n v="827078.34"/>
  </r>
  <r>
    <s v="ORD02280"/>
    <x v="406"/>
    <s v="C071"/>
    <x v="279"/>
    <x v="0"/>
    <x v="40"/>
    <x v="40"/>
    <x v="0"/>
    <x v="2256"/>
    <n v="39.76"/>
    <n v="2733062.64"/>
  </r>
  <r>
    <s v="ORD02281"/>
    <x v="356"/>
    <s v="C349"/>
    <x v="316"/>
    <x v="2"/>
    <x v="19"/>
    <x v="19"/>
    <x v="3"/>
    <x v="2257"/>
    <n v="27.88"/>
    <n v="2609289.2000000002"/>
  </r>
  <r>
    <s v="ORD02282"/>
    <x v="128"/>
    <s v="C074"/>
    <x v="329"/>
    <x v="2"/>
    <x v="19"/>
    <x v="19"/>
    <x v="3"/>
    <x v="2258"/>
    <n v="11.84"/>
    <n v="545752.96"/>
  </r>
  <r>
    <s v="ORD02283"/>
    <x v="186"/>
    <s v="C056"/>
    <x v="273"/>
    <x v="0"/>
    <x v="29"/>
    <x v="29"/>
    <x v="0"/>
    <x v="2259"/>
    <n v="46.96"/>
    <n v="572818.07999999996"/>
  </r>
  <r>
    <s v="ORD02284"/>
    <x v="171"/>
    <s v="C037"/>
    <x v="255"/>
    <x v="1"/>
    <x v="24"/>
    <x v="24"/>
    <x v="3"/>
    <x v="2260"/>
    <n v="43.02"/>
    <n v="3132759.42"/>
  </r>
  <r>
    <s v="ORD02285"/>
    <x v="639"/>
    <s v="C062"/>
    <x v="38"/>
    <x v="4"/>
    <x v="3"/>
    <x v="3"/>
    <x v="2"/>
    <x v="2261"/>
    <n v="26.35"/>
    <n v="1315049.45"/>
  </r>
  <r>
    <s v="ORD02286"/>
    <x v="215"/>
    <s v="C384"/>
    <x v="187"/>
    <x v="4"/>
    <x v="40"/>
    <x v="40"/>
    <x v="0"/>
    <x v="2262"/>
    <n v="33.28"/>
    <n v="40834.559999999998"/>
  </r>
  <r>
    <s v="ORD02287"/>
    <x v="536"/>
    <s v="C448"/>
    <x v="434"/>
    <x v="0"/>
    <x v="3"/>
    <x v="3"/>
    <x v="2"/>
    <x v="2263"/>
    <n v="16.079999999999998"/>
    <n v="1526217.12"/>
  </r>
  <r>
    <s v="ORD02288"/>
    <x v="590"/>
    <s v="C102"/>
    <x v="20"/>
    <x v="0"/>
    <x v="13"/>
    <x v="13"/>
    <x v="2"/>
    <x v="2264"/>
    <n v="6.16"/>
    <n v="108243.52"/>
  </r>
  <r>
    <s v="ORD02289"/>
    <x v="355"/>
    <s v="C386"/>
    <x v="272"/>
    <x v="0"/>
    <x v="28"/>
    <x v="28"/>
    <x v="3"/>
    <x v="2265"/>
    <n v="38.11"/>
    <n v="1156409.8400000001"/>
  </r>
  <r>
    <s v="ORD02290"/>
    <x v="142"/>
    <s v="C393"/>
    <x v="5"/>
    <x v="3"/>
    <x v="1"/>
    <x v="1"/>
    <x v="1"/>
    <x v="2266"/>
    <n v="16.13"/>
    <n v="224287.65"/>
  </r>
  <r>
    <s v="ORD02291"/>
    <x v="454"/>
    <s v="C175"/>
    <x v="29"/>
    <x v="4"/>
    <x v="17"/>
    <x v="17"/>
    <x v="1"/>
    <x v="2267"/>
    <n v="2.64"/>
    <n v="246605.04"/>
  </r>
  <r>
    <s v="ORD02292"/>
    <x v="446"/>
    <s v="C416"/>
    <x v="451"/>
    <x v="3"/>
    <x v="22"/>
    <x v="22"/>
    <x v="0"/>
    <x v="2268"/>
    <n v="32.54"/>
    <n v="1860507.04"/>
  </r>
  <r>
    <s v="ORD02293"/>
    <x v="646"/>
    <s v="C377"/>
    <x v="165"/>
    <x v="4"/>
    <x v="12"/>
    <x v="12"/>
    <x v="4"/>
    <x v="2269"/>
    <n v="24.87"/>
    <n v="1191123.78"/>
  </r>
  <r>
    <s v="ORD02294"/>
    <x v="446"/>
    <s v="C498"/>
    <x v="68"/>
    <x v="0"/>
    <x v="28"/>
    <x v="28"/>
    <x v="3"/>
    <x v="2270"/>
    <n v="13.64"/>
    <n v="769732.48"/>
  </r>
  <r>
    <s v="ORD02295"/>
    <x v="550"/>
    <s v="C363"/>
    <x v="72"/>
    <x v="4"/>
    <x v="29"/>
    <x v="29"/>
    <x v="0"/>
    <x v="2271"/>
    <n v="5.83"/>
    <n v="47899.28"/>
  </r>
  <r>
    <s v="ORD02296"/>
    <x v="136"/>
    <s v="C387"/>
    <x v="52"/>
    <x v="2"/>
    <x v="4"/>
    <x v="4"/>
    <x v="1"/>
    <x v="2272"/>
    <n v="16.87"/>
    <n v="390995.99"/>
  </r>
  <r>
    <s v="ORD02297"/>
    <x v="199"/>
    <s v="C015"/>
    <x v="18"/>
    <x v="4"/>
    <x v="37"/>
    <x v="37"/>
    <x v="1"/>
    <x v="2273"/>
    <n v="43.62"/>
    <n v="3509839.68"/>
  </r>
  <r>
    <s v="ORD02298"/>
    <x v="54"/>
    <s v="C220"/>
    <x v="157"/>
    <x v="0"/>
    <x v="5"/>
    <x v="5"/>
    <x v="3"/>
    <x v="2274"/>
    <n v="8.01"/>
    <n v="356180.67"/>
  </r>
  <r>
    <s v="ORD02299"/>
    <x v="529"/>
    <s v="C187"/>
    <x v="108"/>
    <x v="3"/>
    <x v="22"/>
    <x v="22"/>
    <x v="0"/>
    <x v="2275"/>
    <n v="17.12"/>
    <n v="377307.68"/>
  </r>
  <r>
    <s v="ORD02300"/>
    <x v="508"/>
    <s v="C310"/>
    <x v="467"/>
    <x v="3"/>
    <x v="24"/>
    <x v="24"/>
    <x v="3"/>
    <x v="2276"/>
    <n v="28.69"/>
    <n v="2472475.5099999998"/>
  </r>
  <r>
    <s v="ORD02301"/>
    <x v="494"/>
    <s v="C093"/>
    <x v="292"/>
    <x v="1"/>
    <x v="23"/>
    <x v="23"/>
    <x v="0"/>
    <x v="2277"/>
    <n v="27.77"/>
    <n v="133601.47"/>
  </r>
  <r>
    <s v="ORD02302"/>
    <x v="363"/>
    <s v="C427"/>
    <x v="293"/>
    <x v="0"/>
    <x v="30"/>
    <x v="30"/>
    <x v="4"/>
    <x v="2278"/>
    <n v="47.69"/>
    <n v="1595802.78"/>
  </r>
  <r>
    <s v="ORD02303"/>
    <x v="692"/>
    <s v="C410"/>
    <x v="326"/>
    <x v="4"/>
    <x v="27"/>
    <x v="27"/>
    <x v="4"/>
    <x v="2279"/>
    <n v="46.65"/>
    <n v="1000642.5"/>
  </r>
  <r>
    <s v="ORD02304"/>
    <x v="693"/>
    <s v="C492"/>
    <x v="299"/>
    <x v="3"/>
    <x v="48"/>
    <x v="48"/>
    <x v="2"/>
    <x v="2280"/>
    <n v="4.3"/>
    <n v="192519.6"/>
  </r>
  <r>
    <s v="ORD02305"/>
    <x v="141"/>
    <s v="C012"/>
    <x v="412"/>
    <x v="1"/>
    <x v="35"/>
    <x v="35"/>
    <x v="1"/>
    <x v="1342"/>
    <n v="16.97"/>
    <n v="1107852.51"/>
  </r>
  <r>
    <s v="ORD02306"/>
    <x v="251"/>
    <s v="C134"/>
    <x v="107"/>
    <x v="3"/>
    <x v="24"/>
    <x v="24"/>
    <x v="3"/>
    <x v="2281"/>
    <n v="48.49"/>
    <n v="668725.59"/>
  </r>
  <r>
    <s v="ORD02307"/>
    <x v="694"/>
    <s v="C219"/>
    <x v="43"/>
    <x v="0"/>
    <x v="13"/>
    <x v="13"/>
    <x v="2"/>
    <x v="2282"/>
    <n v="3.54"/>
    <n v="47584.68"/>
  </r>
  <r>
    <s v="ORD02308"/>
    <x v="162"/>
    <s v="C215"/>
    <x v="459"/>
    <x v="1"/>
    <x v="18"/>
    <x v="18"/>
    <x v="0"/>
    <x v="2283"/>
    <n v="23.41"/>
    <n v="1373769.03"/>
  </r>
  <r>
    <s v="ORD02309"/>
    <x v="633"/>
    <s v="C161"/>
    <x v="169"/>
    <x v="1"/>
    <x v="49"/>
    <x v="49"/>
    <x v="3"/>
    <x v="2284"/>
    <n v="11.35"/>
    <n v="923572.2"/>
  </r>
  <r>
    <s v="ORD02310"/>
    <x v="96"/>
    <s v="C006"/>
    <x v="319"/>
    <x v="2"/>
    <x v="47"/>
    <x v="47"/>
    <x v="2"/>
    <x v="2285"/>
    <n v="8.02"/>
    <n v="443682.44"/>
  </r>
  <r>
    <s v="ORD02311"/>
    <x v="327"/>
    <s v="C396"/>
    <x v="427"/>
    <x v="3"/>
    <x v="1"/>
    <x v="1"/>
    <x v="1"/>
    <x v="2286"/>
    <n v="35.68"/>
    <n v="687910.40000000002"/>
  </r>
  <r>
    <s v="ORD02312"/>
    <x v="265"/>
    <s v="C473"/>
    <x v="102"/>
    <x v="2"/>
    <x v="10"/>
    <x v="10"/>
    <x v="3"/>
    <x v="2287"/>
    <n v="45.15"/>
    <n v="812203.35"/>
  </r>
  <r>
    <s v="ORD02313"/>
    <x v="150"/>
    <s v="C474"/>
    <x v="203"/>
    <x v="3"/>
    <x v="28"/>
    <x v="28"/>
    <x v="3"/>
    <x v="2288"/>
    <n v="8.6999999999999993"/>
    <n v="830528.1"/>
  </r>
  <r>
    <s v="ORD02314"/>
    <x v="97"/>
    <s v="C454"/>
    <x v="345"/>
    <x v="3"/>
    <x v="35"/>
    <x v="35"/>
    <x v="1"/>
    <x v="2289"/>
    <n v="15.77"/>
    <n v="459600.88"/>
  </r>
  <r>
    <s v="ORD02315"/>
    <x v="296"/>
    <s v="C066"/>
    <x v="237"/>
    <x v="4"/>
    <x v="27"/>
    <x v="27"/>
    <x v="4"/>
    <x v="2290"/>
    <n v="43.09"/>
    <n v="1289080.44"/>
  </r>
  <r>
    <s v="ORD02316"/>
    <x v="669"/>
    <s v="C412"/>
    <x v="22"/>
    <x v="2"/>
    <x v="43"/>
    <x v="43"/>
    <x v="4"/>
    <x v="2291"/>
    <n v="8.1300000000000008"/>
    <n v="23137.98"/>
  </r>
  <r>
    <s v="ORD02317"/>
    <x v="695"/>
    <s v="C136"/>
    <x v="428"/>
    <x v="1"/>
    <x v="29"/>
    <x v="29"/>
    <x v="0"/>
    <x v="2292"/>
    <n v="9.01"/>
    <n v="443156.85"/>
  </r>
  <r>
    <s v="ORD02318"/>
    <x v="7"/>
    <s v="C179"/>
    <x v="377"/>
    <x v="3"/>
    <x v="26"/>
    <x v="26"/>
    <x v="0"/>
    <x v="2293"/>
    <n v="20.72"/>
    <n v="1168856.6399999999"/>
  </r>
  <r>
    <s v="ORD02319"/>
    <x v="682"/>
    <s v="C341"/>
    <x v="104"/>
    <x v="0"/>
    <x v="28"/>
    <x v="28"/>
    <x v="3"/>
    <x v="2294"/>
    <n v="47.44"/>
    <n v="4464198.88"/>
  </r>
  <r>
    <s v="ORD02320"/>
    <x v="164"/>
    <s v="C126"/>
    <x v="424"/>
    <x v="4"/>
    <x v="30"/>
    <x v="30"/>
    <x v="4"/>
    <x v="2295"/>
    <n v="47.61"/>
    <n v="2386546.4700000002"/>
  </r>
  <r>
    <s v="ORD02321"/>
    <x v="3"/>
    <s v="C429"/>
    <x v="474"/>
    <x v="3"/>
    <x v="21"/>
    <x v="21"/>
    <x v="2"/>
    <x v="2296"/>
    <n v="7.15"/>
    <n v="209559.35"/>
  </r>
  <r>
    <s v="ORD02322"/>
    <x v="684"/>
    <s v="C143"/>
    <x v="448"/>
    <x v="4"/>
    <x v="23"/>
    <x v="23"/>
    <x v="0"/>
    <x v="2297"/>
    <n v="41.52"/>
    <n v="1299659.04"/>
  </r>
  <r>
    <s v="ORD02323"/>
    <x v="695"/>
    <s v="C169"/>
    <x v="375"/>
    <x v="0"/>
    <x v="29"/>
    <x v="29"/>
    <x v="0"/>
    <x v="2298"/>
    <n v="23.38"/>
    <n v="1005573.8"/>
  </r>
  <r>
    <s v="ORD02324"/>
    <x v="529"/>
    <s v="C442"/>
    <x v="205"/>
    <x v="3"/>
    <x v="7"/>
    <x v="7"/>
    <x v="3"/>
    <x v="2299"/>
    <n v="46.15"/>
    <n v="3122278.25"/>
  </r>
  <r>
    <s v="ORD02325"/>
    <x v="159"/>
    <s v="C479"/>
    <x v="58"/>
    <x v="3"/>
    <x v="21"/>
    <x v="21"/>
    <x v="2"/>
    <x v="2300"/>
    <n v="45.81"/>
    <n v="910565.37"/>
  </r>
  <r>
    <s v="ORD02326"/>
    <x v="696"/>
    <s v="C487"/>
    <x v="436"/>
    <x v="0"/>
    <x v="22"/>
    <x v="22"/>
    <x v="0"/>
    <x v="2301"/>
    <n v="18.239999999999998"/>
    <n v="210270.72"/>
  </r>
  <r>
    <s v="ORD02327"/>
    <x v="278"/>
    <s v="C497"/>
    <x v="215"/>
    <x v="1"/>
    <x v="42"/>
    <x v="42"/>
    <x v="1"/>
    <x v="2302"/>
    <n v="3.77"/>
    <n v="49647.13"/>
  </r>
  <r>
    <s v="ORD02328"/>
    <x v="643"/>
    <s v="C156"/>
    <x v="27"/>
    <x v="0"/>
    <x v="14"/>
    <x v="14"/>
    <x v="2"/>
    <x v="2303"/>
    <n v="32.229999999999997"/>
    <n v="2707771.22"/>
  </r>
  <r>
    <s v="ORD02329"/>
    <x v="246"/>
    <s v="C335"/>
    <x v="402"/>
    <x v="4"/>
    <x v="19"/>
    <x v="19"/>
    <x v="3"/>
    <x v="2304"/>
    <n v="22.91"/>
    <n v="577217.44999999995"/>
  </r>
  <r>
    <s v="ORD02330"/>
    <x v="590"/>
    <s v="C475"/>
    <x v="33"/>
    <x v="1"/>
    <x v="49"/>
    <x v="49"/>
    <x v="3"/>
    <x v="2305"/>
    <n v="15.23"/>
    <n v="319982.3"/>
  </r>
  <r>
    <s v="ORD02331"/>
    <x v="51"/>
    <s v="C115"/>
    <x v="224"/>
    <x v="0"/>
    <x v="39"/>
    <x v="39"/>
    <x v="3"/>
    <x v="2306"/>
    <n v="49.18"/>
    <n v="600733.69999999995"/>
  </r>
  <r>
    <s v="ORD02332"/>
    <x v="263"/>
    <s v="C488"/>
    <x v="312"/>
    <x v="1"/>
    <x v="42"/>
    <x v="42"/>
    <x v="1"/>
    <x v="2307"/>
    <n v="24.26"/>
    <n v="1230321.6399999999"/>
  </r>
  <r>
    <s v="ORD02333"/>
    <x v="269"/>
    <s v="C060"/>
    <x v="420"/>
    <x v="2"/>
    <x v="7"/>
    <x v="7"/>
    <x v="3"/>
    <x v="2308"/>
    <n v="6.21"/>
    <n v="193217.94"/>
  </r>
  <r>
    <s v="ORD02334"/>
    <x v="569"/>
    <s v="C460"/>
    <x v="17"/>
    <x v="1"/>
    <x v="42"/>
    <x v="42"/>
    <x v="1"/>
    <x v="2309"/>
    <n v="17.13"/>
    <n v="1305443.04"/>
  </r>
  <r>
    <s v="ORD02335"/>
    <x v="366"/>
    <s v="C322"/>
    <x v="238"/>
    <x v="2"/>
    <x v="41"/>
    <x v="41"/>
    <x v="4"/>
    <x v="2310"/>
    <n v="17.16"/>
    <n v="629497.43999999994"/>
  </r>
  <r>
    <s v="ORD02336"/>
    <x v="577"/>
    <s v="C188"/>
    <x v="138"/>
    <x v="0"/>
    <x v="38"/>
    <x v="38"/>
    <x v="2"/>
    <x v="2311"/>
    <n v="16.41"/>
    <n v="343231.56"/>
  </r>
  <r>
    <s v="ORD02337"/>
    <x v="482"/>
    <s v="C252"/>
    <x v="111"/>
    <x v="4"/>
    <x v="49"/>
    <x v="49"/>
    <x v="3"/>
    <x v="1513"/>
    <n v="15.14"/>
    <n v="773941.66"/>
  </r>
  <r>
    <s v="ORD02338"/>
    <x v="429"/>
    <s v="C150"/>
    <x v="356"/>
    <x v="4"/>
    <x v="36"/>
    <x v="36"/>
    <x v="4"/>
    <x v="2312"/>
    <n v="13.63"/>
    <n v="537594.46"/>
  </r>
  <r>
    <s v="ORD02339"/>
    <x v="697"/>
    <s v="C393"/>
    <x v="5"/>
    <x v="3"/>
    <x v="37"/>
    <x v="37"/>
    <x v="1"/>
    <x v="2313"/>
    <n v="17.57"/>
    <n v="1292414.06"/>
  </r>
  <r>
    <s v="ORD02340"/>
    <x v="410"/>
    <s v="C452"/>
    <x v="148"/>
    <x v="4"/>
    <x v="12"/>
    <x v="12"/>
    <x v="4"/>
    <x v="2314"/>
    <n v="16.059999999999999"/>
    <n v="1423381.74"/>
  </r>
  <r>
    <s v="ORD02341"/>
    <x v="100"/>
    <s v="C221"/>
    <x v="176"/>
    <x v="2"/>
    <x v="34"/>
    <x v="34"/>
    <x v="2"/>
    <x v="2315"/>
    <n v="5.59"/>
    <n v="341247.14"/>
  </r>
  <r>
    <s v="ORD02342"/>
    <x v="500"/>
    <s v="C319"/>
    <x v="210"/>
    <x v="2"/>
    <x v="17"/>
    <x v="17"/>
    <x v="1"/>
    <x v="2316"/>
    <n v="25.79"/>
    <n v="164359.67000000001"/>
  </r>
  <r>
    <s v="ORD02343"/>
    <x v="291"/>
    <s v="C111"/>
    <x v="286"/>
    <x v="0"/>
    <x v="7"/>
    <x v="7"/>
    <x v="3"/>
    <x v="2317"/>
    <n v="47.4"/>
    <n v="1193674.2"/>
  </r>
  <r>
    <s v="ORD02344"/>
    <x v="340"/>
    <s v="C471"/>
    <x v="160"/>
    <x v="2"/>
    <x v="20"/>
    <x v="20"/>
    <x v="1"/>
    <x v="2318"/>
    <n v="14.68"/>
    <n v="736657.08"/>
  </r>
  <r>
    <s v="ORD02345"/>
    <x v="569"/>
    <s v="C336"/>
    <x v="239"/>
    <x v="2"/>
    <x v="26"/>
    <x v="26"/>
    <x v="0"/>
    <x v="2319"/>
    <n v="36.229999999999997"/>
    <n v="2758226.13"/>
  </r>
  <r>
    <s v="ORD02346"/>
    <x v="260"/>
    <s v="C245"/>
    <x v="137"/>
    <x v="1"/>
    <x v="47"/>
    <x v="47"/>
    <x v="2"/>
    <x v="2320"/>
    <n v="40.93"/>
    <n v="3820365.27"/>
  </r>
  <r>
    <s v="ORD02347"/>
    <x v="282"/>
    <s v="C332"/>
    <x v="242"/>
    <x v="2"/>
    <x v="12"/>
    <x v="12"/>
    <x v="4"/>
    <x v="2321"/>
    <n v="43.21"/>
    <n v="3309194.64"/>
  </r>
  <r>
    <s v="ORD02348"/>
    <x v="290"/>
    <s v="C425"/>
    <x v="144"/>
    <x v="1"/>
    <x v="22"/>
    <x v="22"/>
    <x v="0"/>
    <x v="2322"/>
    <n v="45.99"/>
    <n v="1077039.81"/>
  </r>
  <r>
    <s v="ORD02349"/>
    <x v="692"/>
    <s v="C362"/>
    <x v="9"/>
    <x v="4"/>
    <x v="45"/>
    <x v="45"/>
    <x v="3"/>
    <x v="2323"/>
    <n v="13.11"/>
    <n v="492398.49"/>
  </r>
  <r>
    <s v="ORD02350"/>
    <x v="427"/>
    <s v="C153"/>
    <x v="271"/>
    <x v="0"/>
    <x v="28"/>
    <x v="28"/>
    <x v="3"/>
    <x v="2324"/>
    <n v="10.44"/>
    <n v="750562.92"/>
  </r>
  <r>
    <s v="ORD02351"/>
    <x v="426"/>
    <s v="C269"/>
    <x v="320"/>
    <x v="3"/>
    <x v="49"/>
    <x v="49"/>
    <x v="3"/>
    <x v="2325"/>
    <n v="27.19"/>
    <n v="1637762.46"/>
  </r>
  <r>
    <s v="ORD02352"/>
    <x v="74"/>
    <s v="C489"/>
    <x v="184"/>
    <x v="4"/>
    <x v="15"/>
    <x v="15"/>
    <x v="2"/>
    <x v="388"/>
    <n v="39.42"/>
    <n v="1852937.1"/>
  </r>
  <r>
    <s v="ORD02353"/>
    <x v="88"/>
    <s v="C249"/>
    <x v="347"/>
    <x v="4"/>
    <x v="10"/>
    <x v="10"/>
    <x v="3"/>
    <x v="2326"/>
    <n v="32.39"/>
    <n v="57330.3"/>
  </r>
  <r>
    <s v="ORD02354"/>
    <x v="542"/>
    <s v="C389"/>
    <x v="394"/>
    <x v="0"/>
    <x v="9"/>
    <x v="9"/>
    <x v="4"/>
    <x v="2327"/>
    <n v="42.76"/>
    <n v="2781580.76"/>
  </r>
  <r>
    <s v="ORD02355"/>
    <x v="559"/>
    <s v="C271"/>
    <x v="4"/>
    <x v="1"/>
    <x v="23"/>
    <x v="23"/>
    <x v="0"/>
    <x v="2328"/>
    <n v="37.9"/>
    <n v="2855234.4"/>
  </r>
  <r>
    <s v="ORD02356"/>
    <x v="580"/>
    <s v="C435"/>
    <x v="60"/>
    <x v="4"/>
    <x v="22"/>
    <x v="22"/>
    <x v="0"/>
    <x v="2329"/>
    <n v="41.28"/>
    <n v="1030101.12"/>
  </r>
  <r>
    <s v="ORD02357"/>
    <x v="202"/>
    <s v="C304"/>
    <x v="381"/>
    <x v="3"/>
    <x v="48"/>
    <x v="48"/>
    <x v="2"/>
    <x v="2330"/>
    <n v="27.57"/>
    <n v="1400638.71"/>
  </r>
  <r>
    <s v="ORD02358"/>
    <x v="170"/>
    <s v="C055"/>
    <x v="301"/>
    <x v="1"/>
    <x v="4"/>
    <x v="4"/>
    <x v="1"/>
    <x v="2331"/>
    <n v="44.97"/>
    <n v="1847592.45"/>
  </r>
  <r>
    <s v="ORD02359"/>
    <x v="512"/>
    <s v="C028"/>
    <x v="151"/>
    <x v="2"/>
    <x v="24"/>
    <x v="24"/>
    <x v="3"/>
    <x v="2332"/>
    <n v="38.770000000000003"/>
    <n v="3770421.27"/>
  </r>
  <r>
    <s v="ORD02360"/>
    <x v="139"/>
    <s v="C158"/>
    <x v="117"/>
    <x v="3"/>
    <x v="23"/>
    <x v="23"/>
    <x v="0"/>
    <x v="2333"/>
    <n v="45.07"/>
    <n v="2849370.47"/>
  </r>
  <r>
    <s v="ORD02361"/>
    <x v="501"/>
    <s v="C234"/>
    <x v="406"/>
    <x v="4"/>
    <x v="6"/>
    <x v="6"/>
    <x v="0"/>
    <x v="2334"/>
    <n v="26.92"/>
    <n v="2441644"/>
  </r>
  <r>
    <s v="ORD02362"/>
    <x v="579"/>
    <s v="C230"/>
    <x v="465"/>
    <x v="4"/>
    <x v="35"/>
    <x v="35"/>
    <x v="1"/>
    <x v="2335"/>
    <n v="23.5"/>
    <n v="1103701"/>
  </r>
  <r>
    <s v="ORD02363"/>
    <x v="387"/>
    <s v="C004"/>
    <x v="181"/>
    <x v="3"/>
    <x v="3"/>
    <x v="3"/>
    <x v="2"/>
    <x v="2336"/>
    <n v="32.43"/>
    <n v="2255052.48"/>
  </r>
  <r>
    <s v="ORD02364"/>
    <x v="549"/>
    <s v="C377"/>
    <x v="165"/>
    <x v="4"/>
    <x v="9"/>
    <x v="9"/>
    <x v="4"/>
    <x v="2337"/>
    <n v="44.04"/>
    <n v="3105436.56"/>
  </r>
  <r>
    <s v="ORD02365"/>
    <x v="242"/>
    <s v="C186"/>
    <x v="306"/>
    <x v="4"/>
    <x v="39"/>
    <x v="39"/>
    <x v="3"/>
    <x v="2338"/>
    <n v="40.07"/>
    <n v="170497.85"/>
  </r>
  <r>
    <s v="ORD02366"/>
    <x v="305"/>
    <s v="C029"/>
    <x v="30"/>
    <x v="4"/>
    <x v="13"/>
    <x v="13"/>
    <x v="2"/>
    <x v="2339"/>
    <n v="39.19"/>
    <n v="3808954.48"/>
  </r>
  <r>
    <s v="ORD02367"/>
    <x v="249"/>
    <s v="C470"/>
    <x v="190"/>
    <x v="4"/>
    <x v="49"/>
    <x v="49"/>
    <x v="3"/>
    <x v="2340"/>
    <n v="31.94"/>
    <n v="2084532.16"/>
  </r>
  <r>
    <s v="ORD02368"/>
    <x v="698"/>
    <s v="C112"/>
    <x v="77"/>
    <x v="1"/>
    <x v="15"/>
    <x v="15"/>
    <x v="2"/>
    <x v="2341"/>
    <n v="27.96"/>
    <n v="2243929.7999999998"/>
  </r>
  <r>
    <s v="ORD02369"/>
    <x v="59"/>
    <s v="C386"/>
    <x v="272"/>
    <x v="0"/>
    <x v="30"/>
    <x v="30"/>
    <x v="4"/>
    <x v="2342"/>
    <n v="15.21"/>
    <n v="220681.89"/>
  </r>
  <r>
    <s v="ORD02370"/>
    <x v="320"/>
    <s v="C289"/>
    <x v="408"/>
    <x v="1"/>
    <x v="30"/>
    <x v="30"/>
    <x v="4"/>
    <x v="2343"/>
    <n v="22.21"/>
    <n v="2197946.02"/>
  </r>
  <r>
    <s v="ORD02371"/>
    <x v="6"/>
    <s v="C390"/>
    <x v="233"/>
    <x v="2"/>
    <x v="40"/>
    <x v="40"/>
    <x v="0"/>
    <x v="2344"/>
    <n v="34.22"/>
    <n v="1144385.24"/>
  </r>
  <r>
    <s v="ORD02372"/>
    <x v="589"/>
    <s v="C247"/>
    <x v="433"/>
    <x v="4"/>
    <x v="35"/>
    <x v="35"/>
    <x v="1"/>
    <x v="2345"/>
    <n v="5.46"/>
    <n v="387927.54"/>
  </r>
  <r>
    <s v="ORD02373"/>
    <x v="268"/>
    <s v="C321"/>
    <x v="455"/>
    <x v="2"/>
    <x v="39"/>
    <x v="39"/>
    <x v="3"/>
    <x v="2346"/>
    <n v="44.7"/>
    <n v="1059971.1000000001"/>
  </r>
  <r>
    <s v="ORD02374"/>
    <x v="225"/>
    <s v="C059"/>
    <x v="256"/>
    <x v="4"/>
    <x v="34"/>
    <x v="34"/>
    <x v="2"/>
    <x v="2347"/>
    <n v="33.96"/>
    <n v="2827271.88"/>
  </r>
  <r>
    <s v="ORD02375"/>
    <x v="433"/>
    <s v="C150"/>
    <x v="356"/>
    <x v="4"/>
    <x v="29"/>
    <x v="29"/>
    <x v="0"/>
    <x v="2348"/>
    <n v="47.29"/>
    <n v="744013.57"/>
  </r>
  <r>
    <s v="ORD02376"/>
    <x v="699"/>
    <s v="C021"/>
    <x v="333"/>
    <x v="2"/>
    <x v="5"/>
    <x v="5"/>
    <x v="3"/>
    <x v="2349"/>
    <n v="23.66"/>
    <n v="1056821.22"/>
  </r>
  <r>
    <s v="ORD02377"/>
    <x v="400"/>
    <s v="C329"/>
    <x v="388"/>
    <x v="2"/>
    <x v="28"/>
    <x v="28"/>
    <x v="3"/>
    <x v="2350"/>
    <n v="43.55"/>
    <n v="3707106.65"/>
  </r>
  <r>
    <s v="ORD02378"/>
    <x v="622"/>
    <s v="C441"/>
    <x v="115"/>
    <x v="0"/>
    <x v="1"/>
    <x v="1"/>
    <x v="1"/>
    <x v="2351"/>
    <n v="11.92"/>
    <n v="456094.96"/>
  </r>
  <r>
    <s v="ORD02379"/>
    <x v="287"/>
    <s v="C459"/>
    <x v="295"/>
    <x v="2"/>
    <x v="45"/>
    <x v="45"/>
    <x v="3"/>
    <x v="2352"/>
    <n v="3.87"/>
    <n v="279232.11"/>
  </r>
  <r>
    <s v="ORD02380"/>
    <x v="439"/>
    <s v="C167"/>
    <x v="404"/>
    <x v="4"/>
    <x v="13"/>
    <x v="13"/>
    <x v="2"/>
    <x v="2353"/>
    <n v="17.47"/>
    <n v="1310739.1599999999"/>
  </r>
  <r>
    <s v="ORD02381"/>
    <x v="215"/>
    <s v="C175"/>
    <x v="29"/>
    <x v="4"/>
    <x v="26"/>
    <x v="26"/>
    <x v="0"/>
    <x v="2354"/>
    <n v="26.04"/>
    <n v="317297.40000000002"/>
  </r>
  <r>
    <s v="ORD02382"/>
    <x v="112"/>
    <s v="C324"/>
    <x v="208"/>
    <x v="0"/>
    <x v="21"/>
    <x v="21"/>
    <x v="2"/>
    <x v="2355"/>
    <n v="21.44"/>
    <n v="1101823.04"/>
  </r>
  <r>
    <s v="ORD02383"/>
    <x v="328"/>
    <s v="C425"/>
    <x v="144"/>
    <x v="1"/>
    <x v="19"/>
    <x v="19"/>
    <x v="3"/>
    <x v="2356"/>
    <n v="37.67"/>
    <n v="519619.98"/>
  </r>
  <r>
    <s v="ORD02384"/>
    <x v="464"/>
    <s v="C295"/>
    <x v="485"/>
    <x v="4"/>
    <x v="44"/>
    <x v="44"/>
    <x v="2"/>
    <x v="2357"/>
    <n v="34.46"/>
    <n v="991069.6"/>
  </r>
  <r>
    <s v="ORD02385"/>
    <x v="200"/>
    <s v="C276"/>
    <x v="360"/>
    <x v="1"/>
    <x v="40"/>
    <x v="40"/>
    <x v="0"/>
    <x v="2358"/>
    <n v="34.35"/>
    <n v="694076.1"/>
  </r>
  <r>
    <s v="ORD02386"/>
    <x v="687"/>
    <s v="C319"/>
    <x v="210"/>
    <x v="2"/>
    <x v="21"/>
    <x v="21"/>
    <x v="2"/>
    <x v="2359"/>
    <n v="15.12"/>
    <n v="1058112.72"/>
  </r>
  <r>
    <s v="ORD02387"/>
    <x v="411"/>
    <s v="C063"/>
    <x v="282"/>
    <x v="3"/>
    <x v="29"/>
    <x v="29"/>
    <x v="0"/>
    <x v="2360"/>
    <n v="34.94"/>
    <n v="2970703.62"/>
  </r>
  <r>
    <s v="ORD02388"/>
    <x v="302"/>
    <s v="C197"/>
    <x v="437"/>
    <x v="1"/>
    <x v="43"/>
    <x v="43"/>
    <x v="4"/>
    <x v="2361"/>
    <n v="19.010000000000002"/>
    <n v="337788.69"/>
  </r>
  <r>
    <s v="ORD02389"/>
    <x v="700"/>
    <s v="C161"/>
    <x v="169"/>
    <x v="1"/>
    <x v="21"/>
    <x v="21"/>
    <x v="2"/>
    <x v="2362"/>
    <n v="22.46"/>
    <n v="1349778.62"/>
  </r>
  <r>
    <s v="ORD02390"/>
    <x v="224"/>
    <s v="C272"/>
    <x v="98"/>
    <x v="0"/>
    <x v="17"/>
    <x v="17"/>
    <x v="1"/>
    <x v="2363"/>
    <n v="6.35"/>
    <n v="67411.600000000006"/>
  </r>
  <r>
    <s v="ORD02391"/>
    <x v="427"/>
    <s v="C046"/>
    <x v="446"/>
    <x v="0"/>
    <x v="49"/>
    <x v="49"/>
    <x v="3"/>
    <x v="2364"/>
    <n v="27.69"/>
    <n v="99711.69"/>
  </r>
  <r>
    <s v="ORD02392"/>
    <x v="462"/>
    <s v="C068"/>
    <x v="112"/>
    <x v="2"/>
    <x v="27"/>
    <x v="27"/>
    <x v="4"/>
    <x v="2365"/>
    <n v="7.3"/>
    <n v="234074.5"/>
  </r>
  <r>
    <s v="ORD02393"/>
    <x v="636"/>
    <s v="C421"/>
    <x v="110"/>
    <x v="2"/>
    <x v="17"/>
    <x v="17"/>
    <x v="1"/>
    <x v="2366"/>
    <n v="49.28"/>
    <n v="1284976"/>
  </r>
  <r>
    <s v="ORD02394"/>
    <x v="409"/>
    <s v="C293"/>
    <x v="372"/>
    <x v="0"/>
    <x v="19"/>
    <x v="19"/>
    <x v="3"/>
    <x v="2367"/>
    <n v="27.6"/>
    <n v="1690996.8"/>
  </r>
  <r>
    <s v="ORD02395"/>
    <x v="56"/>
    <s v="C224"/>
    <x v="147"/>
    <x v="4"/>
    <x v="30"/>
    <x v="30"/>
    <x v="4"/>
    <x v="2368"/>
    <n v="24.38"/>
    <n v="343977.42"/>
  </r>
  <r>
    <s v="ORD02396"/>
    <x v="430"/>
    <s v="C017"/>
    <x v="139"/>
    <x v="4"/>
    <x v="33"/>
    <x v="33"/>
    <x v="1"/>
    <x v="906"/>
    <n v="42.76"/>
    <n v="1604397.96"/>
  </r>
  <r>
    <s v="ORD02397"/>
    <x v="245"/>
    <s v="C294"/>
    <x v="484"/>
    <x v="4"/>
    <x v="34"/>
    <x v="34"/>
    <x v="2"/>
    <x v="2369"/>
    <n v="44"/>
    <n v="3667840"/>
  </r>
  <r>
    <s v="ORD02398"/>
    <x v="518"/>
    <s v="C071"/>
    <x v="279"/>
    <x v="0"/>
    <x v="2"/>
    <x v="2"/>
    <x v="1"/>
    <x v="2370"/>
    <n v="10.48"/>
    <n v="309547.76"/>
  </r>
  <r>
    <s v="ORD02399"/>
    <x v="541"/>
    <s v="C291"/>
    <x v="198"/>
    <x v="1"/>
    <x v="16"/>
    <x v="16"/>
    <x v="1"/>
    <x v="2371"/>
    <n v="11.29"/>
    <n v="896482.45"/>
  </r>
  <r>
    <s v="ORD02400"/>
    <x v="697"/>
    <s v="C330"/>
    <x v="48"/>
    <x v="2"/>
    <x v="25"/>
    <x v="25"/>
    <x v="4"/>
    <x v="2372"/>
    <n v="40.880000000000003"/>
    <n v="3383760.24"/>
  </r>
  <r>
    <s v="ORD02401"/>
    <x v="570"/>
    <s v="C315"/>
    <x v="132"/>
    <x v="2"/>
    <x v="24"/>
    <x v="24"/>
    <x v="3"/>
    <x v="2373"/>
    <n v="15.85"/>
    <n v="886205.2"/>
  </r>
  <r>
    <s v="ORD02402"/>
    <x v="119"/>
    <s v="C340"/>
    <x v="444"/>
    <x v="4"/>
    <x v="40"/>
    <x v="40"/>
    <x v="0"/>
    <x v="2374"/>
    <n v="46.86"/>
    <n v="4591014.78"/>
  </r>
  <r>
    <s v="ORD02403"/>
    <x v="445"/>
    <s v="C285"/>
    <x v="421"/>
    <x v="0"/>
    <x v="48"/>
    <x v="48"/>
    <x v="2"/>
    <x v="2375"/>
    <n v="2.92"/>
    <n v="84916.52"/>
  </r>
  <r>
    <s v="ORD02404"/>
    <x v="125"/>
    <s v="C436"/>
    <x v="443"/>
    <x v="4"/>
    <x v="1"/>
    <x v="1"/>
    <x v="1"/>
    <x v="2376"/>
    <n v="22.8"/>
    <n v="950623.2"/>
  </r>
  <r>
    <s v="ORD02405"/>
    <x v="384"/>
    <s v="C468"/>
    <x v="76"/>
    <x v="1"/>
    <x v="14"/>
    <x v="14"/>
    <x v="2"/>
    <x v="2377"/>
    <n v="22.08"/>
    <n v="1870595.52"/>
  </r>
  <r>
    <s v="ORD02406"/>
    <x v="606"/>
    <s v="C008"/>
    <x v="96"/>
    <x v="1"/>
    <x v="21"/>
    <x v="21"/>
    <x v="2"/>
    <x v="2378"/>
    <n v="26.65"/>
    <n v="2524367.9500000002"/>
  </r>
  <r>
    <s v="ORD02407"/>
    <x v="277"/>
    <s v="C298"/>
    <x v="349"/>
    <x v="1"/>
    <x v="21"/>
    <x v="21"/>
    <x v="2"/>
    <x v="2379"/>
    <n v="24.37"/>
    <n v="1858578.05"/>
  </r>
  <r>
    <s v="ORD02408"/>
    <x v="152"/>
    <s v="C166"/>
    <x v="491"/>
    <x v="2"/>
    <x v="19"/>
    <x v="19"/>
    <x v="3"/>
    <x v="2380"/>
    <n v="45.91"/>
    <n v="2233383.77"/>
  </r>
  <r>
    <s v="ORD02409"/>
    <x v="701"/>
    <s v="C267"/>
    <x v="172"/>
    <x v="4"/>
    <x v="37"/>
    <x v="37"/>
    <x v="1"/>
    <x v="2381"/>
    <n v="26.1"/>
    <n v="198438.3"/>
  </r>
  <r>
    <s v="ORD02410"/>
    <x v="375"/>
    <s v="C477"/>
    <x v="87"/>
    <x v="4"/>
    <x v="6"/>
    <x v="6"/>
    <x v="0"/>
    <x v="2382"/>
    <n v="31.54"/>
    <n v="2855379.28"/>
  </r>
  <r>
    <s v="ORD02411"/>
    <x v="454"/>
    <s v="C389"/>
    <x v="394"/>
    <x v="0"/>
    <x v="27"/>
    <x v="27"/>
    <x v="4"/>
    <x v="2383"/>
    <n v="17.920000000000002"/>
    <n v="613831.68000000005"/>
  </r>
  <r>
    <s v="ORD02412"/>
    <x v="124"/>
    <s v="C356"/>
    <x v="416"/>
    <x v="1"/>
    <x v="41"/>
    <x v="41"/>
    <x v="4"/>
    <x v="2384"/>
    <n v="7.98"/>
    <n v="340339.02"/>
  </r>
  <r>
    <s v="ORD02413"/>
    <x v="702"/>
    <s v="C407"/>
    <x v="70"/>
    <x v="0"/>
    <x v="25"/>
    <x v="25"/>
    <x v="4"/>
    <x v="2385"/>
    <n v="37.090000000000003"/>
    <n v="1883652.74"/>
  </r>
  <r>
    <s v="ORD02414"/>
    <x v="469"/>
    <s v="C372"/>
    <x v="217"/>
    <x v="4"/>
    <x v="28"/>
    <x v="28"/>
    <x v="3"/>
    <x v="2386"/>
    <n v="27.43"/>
    <n v="1229138.3"/>
  </r>
  <r>
    <s v="ORD02415"/>
    <x v="164"/>
    <s v="C380"/>
    <x v="193"/>
    <x v="3"/>
    <x v="0"/>
    <x v="0"/>
    <x v="0"/>
    <x v="2387"/>
    <n v="4.62"/>
    <n v="353513.16"/>
  </r>
  <r>
    <s v="ORD02416"/>
    <x v="266"/>
    <s v="C348"/>
    <x v="413"/>
    <x v="0"/>
    <x v="49"/>
    <x v="49"/>
    <x v="3"/>
    <x v="2388"/>
    <n v="23.43"/>
    <n v="1805422.08"/>
  </r>
  <r>
    <s v="ORD02417"/>
    <x v="556"/>
    <s v="C357"/>
    <x v="357"/>
    <x v="4"/>
    <x v="40"/>
    <x v="40"/>
    <x v="0"/>
    <x v="2389"/>
    <n v="4.87"/>
    <n v="178792.31"/>
  </r>
  <r>
    <s v="ORD02418"/>
    <x v="51"/>
    <s v="C081"/>
    <x v="456"/>
    <x v="3"/>
    <x v="18"/>
    <x v="18"/>
    <x v="0"/>
    <x v="2390"/>
    <n v="17.579999999999998"/>
    <n v="174745.2"/>
  </r>
  <r>
    <s v="ORD02419"/>
    <x v="258"/>
    <s v="C312"/>
    <x v="231"/>
    <x v="1"/>
    <x v="15"/>
    <x v="15"/>
    <x v="2"/>
    <x v="2391"/>
    <n v="19.47"/>
    <n v="533750.57999999996"/>
  </r>
  <r>
    <s v="ORD02420"/>
    <x v="238"/>
    <s v="C003"/>
    <x v="133"/>
    <x v="1"/>
    <x v="0"/>
    <x v="0"/>
    <x v="0"/>
    <x v="2392"/>
    <n v="34.020000000000003"/>
    <n v="959091.84"/>
  </r>
  <r>
    <s v="ORD02421"/>
    <x v="238"/>
    <s v="C287"/>
    <x v="228"/>
    <x v="4"/>
    <x v="13"/>
    <x v="13"/>
    <x v="2"/>
    <x v="2393"/>
    <n v="27.2"/>
    <n v="234518.39999999999"/>
  </r>
  <r>
    <s v="ORD02422"/>
    <x v="314"/>
    <s v="C138"/>
    <x v="251"/>
    <x v="2"/>
    <x v="46"/>
    <x v="46"/>
    <x v="0"/>
    <x v="2394"/>
    <n v="38.83"/>
    <n v="1222717.8700000001"/>
  </r>
  <r>
    <s v="ORD02423"/>
    <x v="703"/>
    <s v="C456"/>
    <x v="338"/>
    <x v="2"/>
    <x v="4"/>
    <x v="4"/>
    <x v="1"/>
    <x v="2395"/>
    <n v="36.56"/>
    <n v="1890590.72"/>
  </r>
  <r>
    <s v="ORD02424"/>
    <x v="502"/>
    <s v="C079"/>
    <x v="439"/>
    <x v="4"/>
    <x v="21"/>
    <x v="21"/>
    <x v="2"/>
    <x v="2396"/>
    <n v="21.34"/>
    <n v="1249990.5"/>
  </r>
  <r>
    <s v="ORD02425"/>
    <x v="525"/>
    <s v="C161"/>
    <x v="169"/>
    <x v="1"/>
    <x v="44"/>
    <x v="44"/>
    <x v="2"/>
    <x v="2397"/>
    <n v="13.5"/>
    <n v="1289155.5"/>
  </r>
  <r>
    <s v="ORD02426"/>
    <x v="153"/>
    <s v="C055"/>
    <x v="301"/>
    <x v="1"/>
    <x v="33"/>
    <x v="33"/>
    <x v="1"/>
    <x v="2398"/>
    <n v="12.13"/>
    <n v="882263.42"/>
  </r>
  <r>
    <s v="ORD02427"/>
    <x v="704"/>
    <s v="C295"/>
    <x v="485"/>
    <x v="4"/>
    <x v="5"/>
    <x v="5"/>
    <x v="3"/>
    <x v="2399"/>
    <n v="43.16"/>
    <n v="265520.32"/>
  </r>
  <r>
    <s v="ORD02428"/>
    <x v="395"/>
    <s v="C422"/>
    <x v="415"/>
    <x v="4"/>
    <x v="10"/>
    <x v="10"/>
    <x v="3"/>
    <x v="2400"/>
    <n v="27.27"/>
    <n v="1211551.56"/>
  </r>
  <r>
    <s v="ORD02429"/>
    <x v="406"/>
    <s v="C392"/>
    <x v="383"/>
    <x v="3"/>
    <x v="35"/>
    <x v="35"/>
    <x v="1"/>
    <x v="2401"/>
    <n v="30.18"/>
    <n v="2857502.76"/>
  </r>
  <r>
    <s v="ORD02430"/>
    <x v="456"/>
    <s v="C039"/>
    <x v="188"/>
    <x v="0"/>
    <x v="25"/>
    <x v="25"/>
    <x v="4"/>
    <x v="2402"/>
    <n v="35.53"/>
    <n v="485162.15"/>
  </r>
  <r>
    <s v="ORD02431"/>
    <x v="244"/>
    <s v="C313"/>
    <x v="350"/>
    <x v="2"/>
    <x v="24"/>
    <x v="24"/>
    <x v="3"/>
    <x v="2403"/>
    <n v="12.98"/>
    <n v="838027.74"/>
  </r>
  <r>
    <s v="ORD02432"/>
    <x v="394"/>
    <s v="C459"/>
    <x v="295"/>
    <x v="2"/>
    <x v="2"/>
    <x v="2"/>
    <x v="1"/>
    <x v="2404"/>
    <n v="41.35"/>
    <n v="1816670.9"/>
  </r>
  <r>
    <s v="ORD02433"/>
    <x v="608"/>
    <s v="C372"/>
    <x v="217"/>
    <x v="4"/>
    <x v="45"/>
    <x v="45"/>
    <x v="3"/>
    <x v="2405"/>
    <n v="11"/>
    <n v="175769"/>
  </r>
  <r>
    <s v="ORD02434"/>
    <x v="433"/>
    <s v="C416"/>
    <x v="451"/>
    <x v="3"/>
    <x v="5"/>
    <x v="5"/>
    <x v="3"/>
    <x v="996"/>
    <n v="35.159999999999997"/>
    <n v="140042.28"/>
  </r>
  <r>
    <s v="ORD02435"/>
    <x v="382"/>
    <s v="C297"/>
    <x v="49"/>
    <x v="3"/>
    <x v="15"/>
    <x v="15"/>
    <x v="2"/>
    <x v="2406"/>
    <n v="37.08"/>
    <n v="2684072.88"/>
  </r>
  <r>
    <s v="ORD02436"/>
    <x v="404"/>
    <s v="C473"/>
    <x v="102"/>
    <x v="2"/>
    <x v="26"/>
    <x v="26"/>
    <x v="0"/>
    <x v="2407"/>
    <n v="6.45"/>
    <n v="176742.9"/>
  </r>
  <r>
    <s v="ORD02437"/>
    <x v="287"/>
    <s v="C396"/>
    <x v="427"/>
    <x v="3"/>
    <x v="11"/>
    <x v="11"/>
    <x v="4"/>
    <x v="2408"/>
    <n v="17.850000000000001"/>
    <n v="417440.1"/>
  </r>
  <r>
    <s v="ORD02438"/>
    <x v="7"/>
    <s v="C277"/>
    <x v="158"/>
    <x v="3"/>
    <x v="49"/>
    <x v="49"/>
    <x v="3"/>
    <x v="2409"/>
    <n v="32.4"/>
    <n v="2916874.8"/>
  </r>
  <r>
    <s v="ORD02439"/>
    <x v="151"/>
    <s v="C213"/>
    <x v="283"/>
    <x v="1"/>
    <x v="27"/>
    <x v="27"/>
    <x v="4"/>
    <x v="2410"/>
    <n v="40.82"/>
    <n v="1087567.26"/>
  </r>
  <r>
    <s v="ORD02440"/>
    <x v="72"/>
    <s v="C081"/>
    <x v="456"/>
    <x v="3"/>
    <x v="7"/>
    <x v="7"/>
    <x v="3"/>
    <x v="2411"/>
    <n v="20.91"/>
    <n v="2052044.67"/>
  </r>
  <r>
    <s v="ORD02441"/>
    <x v="6"/>
    <s v="C178"/>
    <x v="245"/>
    <x v="0"/>
    <x v="17"/>
    <x v="17"/>
    <x v="1"/>
    <x v="2412"/>
    <n v="34.11"/>
    <n v="261350.82"/>
  </r>
  <r>
    <s v="ORD02442"/>
    <x v="307"/>
    <s v="C095"/>
    <x v="236"/>
    <x v="0"/>
    <x v="24"/>
    <x v="24"/>
    <x v="3"/>
    <x v="913"/>
    <n v="19.95"/>
    <n v="1196660.8500000001"/>
  </r>
  <r>
    <s v="ORD02443"/>
    <x v="660"/>
    <s v="C120"/>
    <x v="445"/>
    <x v="2"/>
    <x v="35"/>
    <x v="35"/>
    <x v="1"/>
    <x v="2413"/>
    <n v="14.39"/>
    <n v="1013142.34"/>
  </r>
  <r>
    <s v="ORD02444"/>
    <x v="367"/>
    <s v="C182"/>
    <x v="159"/>
    <x v="1"/>
    <x v="49"/>
    <x v="49"/>
    <x v="3"/>
    <x v="2414"/>
    <n v="30.89"/>
    <n v="2813739.21"/>
  </r>
  <r>
    <s v="ORD02445"/>
    <x v="23"/>
    <s v="C440"/>
    <x v="73"/>
    <x v="0"/>
    <x v="14"/>
    <x v="14"/>
    <x v="2"/>
    <x v="2415"/>
    <n v="21.76"/>
    <n v="1068046.08"/>
  </r>
  <r>
    <s v="ORD02446"/>
    <x v="242"/>
    <s v="C099"/>
    <x v="302"/>
    <x v="2"/>
    <x v="30"/>
    <x v="30"/>
    <x v="4"/>
    <x v="2416"/>
    <n v="18.41"/>
    <n v="875653.24"/>
  </r>
  <r>
    <s v="ORD02447"/>
    <x v="288"/>
    <s v="C193"/>
    <x v="127"/>
    <x v="4"/>
    <x v="29"/>
    <x v="29"/>
    <x v="0"/>
    <x v="2417"/>
    <n v="46.16"/>
    <n v="3924984.8"/>
  </r>
  <r>
    <s v="ORD02448"/>
    <x v="574"/>
    <s v="C496"/>
    <x v="82"/>
    <x v="0"/>
    <x v="42"/>
    <x v="42"/>
    <x v="1"/>
    <x v="2418"/>
    <n v="19.809999999999999"/>
    <n v="1237471.27"/>
  </r>
  <r>
    <s v="ORD02449"/>
    <x v="683"/>
    <s v="C065"/>
    <x v="13"/>
    <x v="2"/>
    <x v="11"/>
    <x v="11"/>
    <x v="4"/>
    <x v="2419"/>
    <n v="27.82"/>
    <n v="2121441.92"/>
  </r>
  <r>
    <s v="ORD02450"/>
    <x v="669"/>
    <s v="C036"/>
    <x v="40"/>
    <x v="3"/>
    <x v="43"/>
    <x v="43"/>
    <x v="4"/>
    <x v="2420"/>
    <n v="32.58"/>
    <n v="640001.52"/>
  </r>
  <r>
    <s v="ORD02451"/>
    <x v="103"/>
    <s v="C005"/>
    <x v="373"/>
    <x v="3"/>
    <x v="10"/>
    <x v="10"/>
    <x v="3"/>
    <x v="2421"/>
    <n v="49.13"/>
    <n v="1177940.8799999999"/>
  </r>
  <r>
    <s v="ORD02452"/>
    <x v="505"/>
    <s v="C352"/>
    <x v="162"/>
    <x v="2"/>
    <x v="11"/>
    <x v="11"/>
    <x v="4"/>
    <x v="2422"/>
    <n v="35.950000000000003"/>
    <n v="2262081.85"/>
  </r>
  <r>
    <s v="ORD02453"/>
    <x v="224"/>
    <s v="C250"/>
    <x v="64"/>
    <x v="1"/>
    <x v="24"/>
    <x v="24"/>
    <x v="3"/>
    <x v="2423"/>
    <n v="8.42"/>
    <n v="465196.58"/>
  </r>
  <r>
    <s v="ORD02454"/>
    <x v="78"/>
    <s v="C006"/>
    <x v="319"/>
    <x v="2"/>
    <x v="18"/>
    <x v="18"/>
    <x v="0"/>
    <x v="2424"/>
    <n v="28.67"/>
    <n v="2420722.7799999998"/>
  </r>
  <r>
    <s v="ORD02455"/>
    <x v="518"/>
    <s v="C468"/>
    <x v="76"/>
    <x v="1"/>
    <x v="34"/>
    <x v="34"/>
    <x v="2"/>
    <x v="2425"/>
    <n v="13.91"/>
    <n v="179981.49"/>
  </r>
  <r>
    <s v="ORD02456"/>
    <x v="7"/>
    <s v="C456"/>
    <x v="338"/>
    <x v="2"/>
    <x v="43"/>
    <x v="43"/>
    <x v="4"/>
    <x v="2426"/>
    <n v="42.45"/>
    <n v="1638739.8"/>
  </r>
  <r>
    <s v="ORD02457"/>
    <x v="235"/>
    <s v="C472"/>
    <x v="3"/>
    <x v="3"/>
    <x v="35"/>
    <x v="35"/>
    <x v="1"/>
    <x v="2427"/>
    <n v="21.27"/>
    <n v="1386867.81"/>
  </r>
  <r>
    <s v="ORD02458"/>
    <x v="50"/>
    <s v="C238"/>
    <x v="450"/>
    <x v="4"/>
    <x v="25"/>
    <x v="25"/>
    <x v="4"/>
    <x v="2428"/>
    <n v="8.18"/>
    <n v="754236.9"/>
  </r>
  <r>
    <s v="ORD02459"/>
    <x v="130"/>
    <s v="C236"/>
    <x v="25"/>
    <x v="2"/>
    <x v="37"/>
    <x v="37"/>
    <x v="1"/>
    <x v="2429"/>
    <n v="41.89"/>
    <n v="3912819.23"/>
  </r>
  <r>
    <s v="ORD02460"/>
    <x v="515"/>
    <s v="C338"/>
    <x v="197"/>
    <x v="4"/>
    <x v="35"/>
    <x v="35"/>
    <x v="1"/>
    <x v="2430"/>
    <n v="24.19"/>
    <n v="1156088.48"/>
  </r>
  <r>
    <s v="ORD02461"/>
    <x v="623"/>
    <s v="C481"/>
    <x v="56"/>
    <x v="0"/>
    <x v="21"/>
    <x v="21"/>
    <x v="2"/>
    <x v="2431"/>
    <n v="14.82"/>
    <n v="605960.16"/>
  </r>
  <r>
    <s v="ORD02462"/>
    <x v="10"/>
    <s v="C227"/>
    <x v="278"/>
    <x v="2"/>
    <x v="27"/>
    <x v="27"/>
    <x v="4"/>
    <x v="2432"/>
    <n v="17.190000000000001"/>
    <n v="832803.93"/>
  </r>
  <r>
    <s v="ORD02463"/>
    <x v="117"/>
    <s v="C030"/>
    <x v="468"/>
    <x v="4"/>
    <x v="47"/>
    <x v="47"/>
    <x v="2"/>
    <x v="2433"/>
    <n v="38.21"/>
    <n v="87309.85"/>
  </r>
  <r>
    <s v="ORD02464"/>
    <x v="164"/>
    <s v="C060"/>
    <x v="420"/>
    <x v="2"/>
    <x v="27"/>
    <x v="27"/>
    <x v="4"/>
    <x v="2434"/>
    <n v="11.65"/>
    <n v="89308.9"/>
  </r>
  <r>
    <s v="ORD02465"/>
    <x v="139"/>
    <s v="C010"/>
    <x v="220"/>
    <x v="3"/>
    <x v="21"/>
    <x v="21"/>
    <x v="2"/>
    <x v="2435"/>
    <n v="19.649999999999999"/>
    <n v="1562823.45"/>
  </r>
  <r>
    <s v="ORD02466"/>
    <x v="665"/>
    <s v="C145"/>
    <x v="94"/>
    <x v="4"/>
    <x v="6"/>
    <x v="6"/>
    <x v="0"/>
    <x v="2436"/>
    <n v="33.770000000000003"/>
    <n v="3108359.65"/>
  </r>
  <r>
    <s v="ORD02467"/>
    <x v="154"/>
    <s v="C299"/>
    <x v="252"/>
    <x v="4"/>
    <x v="49"/>
    <x v="49"/>
    <x v="3"/>
    <x v="2437"/>
    <n v="13.01"/>
    <n v="846573.71"/>
  </r>
  <r>
    <s v="ORD02468"/>
    <x v="213"/>
    <s v="C495"/>
    <x v="348"/>
    <x v="3"/>
    <x v="1"/>
    <x v="1"/>
    <x v="1"/>
    <x v="2438"/>
    <n v="20.98"/>
    <n v="1126898.74"/>
  </r>
  <r>
    <s v="ORD02469"/>
    <x v="97"/>
    <s v="C365"/>
    <x v="155"/>
    <x v="4"/>
    <x v="13"/>
    <x v="13"/>
    <x v="2"/>
    <x v="2439"/>
    <n v="4.58"/>
    <n v="442711.96"/>
  </r>
  <r>
    <s v="ORD02470"/>
    <x v="632"/>
    <s v="C490"/>
    <x v="141"/>
    <x v="2"/>
    <x v="0"/>
    <x v="0"/>
    <x v="0"/>
    <x v="2440"/>
    <n v="33.729999999999997"/>
    <n v="1786846.75"/>
  </r>
  <r>
    <s v="ORD02471"/>
    <x v="681"/>
    <s v="C065"/>
    <x v="13"/>
    <x v="2"/>
    <x v="33"/>
    <x v="33"/>
    <x v="1"/>
    <x v="2441"/>
    <n v="15.86"/>
    <n v="411662.16"/>
  </r>
  <r>
    <s v="ORD02472"/>
    <x v="113"/>
    <s v="C132"/>
    <x v="250"/>
    <x v="3"/>
    <x v="49"/>
    <x v="49"/>
    <x v="3"/>
    <x v="2442"/>
    <n v="46.92"/>
    <n v="640411.07999999996"/>
  </r>
  <r>
    <s v="ORD02473"/>
    <x v="511"/>
    <s v="C065"/>
    <x v="13"/>
    <x v="2"/>
    <x v="4"/>
    <x v="4"/>
    <x v="1"/>
    <x v="2443"/>
    <n v="11.34"/>
    <n v="1076506.2"/>
  </r>
  <r>
    <s v="ORD02474"/>
    <x v="369"/>
    <s v="C345"/>
    <x v="15"/>
    <x v="2"/>
    <x v="14"/>
    <x v="14"/>
    <x v="2"/>
    <x v="2444"/>
    <n v="13.79"/>
    <n v="1010517.41"/>
  </r>
  <r>
    <s v="ORD02475"/>
    <x v="592"/>
    <s v="C313"/>
    <x v="350"/>
    <x v="2"/>
    <x v="24"/>
    <x v="24"/>
    <x v="3"/>
    <x v="2445"/>
    <n v="5.0199999999999996"/>
    <n v="331741.68"/>
  </r>
  <r>
    <s v="ORD02476"/>
    <x v="59"/>
    <s v="C056"/>
    <x v="273"/>
    <x v="0"/>
    <x v="49"/>
    <x v="49"/>
    <x v="3"/>
    <x v="2446"/>
    <n v="48.8"/>
    <n v="492050.4"/>
  </r>
  <r>
    <s v="ORD02477"/>
    <x v="318"/>
    <s v="C079"/>
    <x v="439"/>
    <x v="4"/>
    <x v="22"/>
    <x v="22"/>
    <x v="0"/>
    <x v="2447"/>
    <n v="46.53"/>
    <n v="180908.64"/>
  </r>
  <r>
    <s v="ORD02478"/>
    <x v="416"/>
    <s v="C453"/>
    <x v="168"/>
    <x v="3"/>
    <x v="45"/>
    <x v="45"/>
    <x v="3"/>
    <x v="2448"/>
    <n v="6.76"/>
    <n v="251958.72"/>
  </r>
  <r>
    <s v="ORD02479"/>
    <x v="26"/>
    <s v="C413"/>
    <x v="298"/>
    <x v="3"/>
    <x v="0"/>
    <x v="0"/>
    <x v="0"/>
    <x v="2449"/>
    <n v="24.74"/>
    <n v="1862798.3"/>
  </r>
  <r>
    <s v="ORD02480"/>
    <x v="705"/>
    <s v="C215"/>
    <x v="459"/>
    <x v="1"/>
    <x v="38"/>
    <x v="38"/>
    <x v="2"/>
    <x v="2450"/>
    <n v="13.78"/>
    <n v="1209070.98"/>
  </r>
  <r>
    <s v="ORD02481"/>
    <x v="121"/>
    <s v="C199"/>
    <x v="419"/>
    <x v="3"/>
    <x v="49"/>
    <x v="49"/>
    <x v="3"/>
    <x v="2451"/>
    <n v="44.17"/>
    <n v="3722956.79"/>
  </r>
  <r>
    <s v="ORD02482"/>
    <x v="502"/>
    <s v="C483"/>
    <x v="214"/>
    <x v="2"/>
    <x v="11"/>
    <x v="11"/>
    <x v="4"/>
    <x v="2452"/>
    <n v="44.9"/>
    <n v="4140498.4"/>
  </r>
  <r>
    <s v="ORD02483"/>
    <x v="528"/>
    <s v="C454"/>
    <x v="345"/>
    <x v="3"/>
    <x v="23"/>
    <x v="23"/>
    <x v="0"/>
    <x v="2453"/>
    <n v="36"/>
    <n v="3386268"/>
  </r>
  <r>
    <s v="ORD02484"/>
    <x v="5"/>
    <s v="C439"/>
    <x v="489"/>
    <x v="4"/>
    <x v="40"/>
    <x v="40"/>
    <x v="0"/>
    <x v="2454"/>
    <n v="16.489999999999998"/>
    <n v="1269845.43"/>
  </r>
  <r>
    <s v="ORD02485"/>
    <x v="507"/>
    <s v="C368"/>
    <x v="7"/>
    <x v="1"/>
    <x v="45"/>
    <x v="45"/>
    <x v="3"/>
    <x v="2455"/>
    <n v="5.29"/>
    <n v="14595.11"/>
  </r>
  <r>
    <s v="ORD02486"/>
    <x v="307"/>
    <s v="C398"/>
    <x v="63"/>
    <x v="1"/>
    <x v="25"/>
    <x v="25"/>
    <x v="4"/>
    <x v="2456"/>
    <n v="48.05"/>
    <n v="1926949.15"/>
  </r>
  <r>
    <s v="ORD02487"/>
    <x v="190"/>
    <s v="C097"/>
    <x v="91"/>
    <x v="3"/>
    <x v="27"/>
    <x v="27"/>
    <x v="4"/>
    <x v="2457"/>
    <n v="4.91"/>
    <n v="160738.67000000001"/>
  </r>
  <r>
    <s v="ORD02488"/>
    <x v="374"/>
    <s v="C344"/>
    <x v="307"/>
    <x v="4"/>
    <x v="37"/>
    <x v="37"/>
    <x v="1"/>
    <x v="2458"/>
    <n v="20.29"/>
    <n v="653033.65"/>
  </r>
  <r>
    <s v="ORD02489"/>
    <x v="539"/>
    <s v="C473"/>
    <x v="102"/>
    <x v="2"/>
    <x v="9"/>
    <x v="9"/>
    <x v="4"/>
    <x v="2459"/>
    <n v="28.25"/>
    <n v="503386.75"/>
  </r>
  <r>
    <s v="ORD02490"/>
    <x v="373"/>
    <s v="C439"/>
    <x v="489"/>
    <x v="4"/>
    <x v="7"/>
    <x v="7"/>
    <x v="3"/>
    <x v="2460"/>
    <n v="21.52"/>
    <n v="1402910.32"/>
  </r>
  <r>
    <s v="ORD02491"/>
    <x v="525"/>
    <s v="C028"/>
    <x v="151"/>
    <x v="2"/>
    <x v="36"/>
    <x v="36"/>
    <x v="4"/>
    <x v="2461"/>
    <n v="40.17"/>
    <n v="267050.15999999997"/>
  </r>
  <r>
    <s v="ORD02492"/>
    <x v="316"/>
    <s v="C032"/>
    <x v="234"/>
    <x v="4"/>
    <x v="37"/>
    <x v="37"/>
    <x v="1"/>
    <x v="2462"/>
    <n v="14.5"/>
    <n v="1085890.5"/>
  </r>
  <r>
    <s v="ORD02493"/>
    <x v="346"/>
    <s v="C410"/>
    <x v="326"/>
    <x v="4"/>
    <x v="12"/>
    <x v="12"/>
    <x v="4"/>
    <x v="2463"/>
    <n v="31.71"/>
    <n v="3033727.41"/>
  </r>
  <r>
    <s v="ORD02494"/>
    <x v="683"/>
    <s v="C141"/>
    <x v="438"/>
    <x v="0"/>
    <x v="3"/>
    <x v="3"/>
    <x v="2"/>
    <x v="2464"/>
    <n v="8.18"/>
    <n v="34445.980000000003"/>
  </r>
  <r>
    <s v="ORD02495"/>
    <x v="312"/>
    <s v="C233"/>
    <x v="173"/>
    <x v="4"/>
    <x v="28"/>
    <x v="28"/>
    <x v="3"/>
    <x v="2465"/>
    <n v="43.76"/>
    <n v="2612515.7599999998"/>
  </r>
  <r>
    <s v="ORD02496"/>
    <x v="343"/>
    <s v="C458"/>
    <x v="103"/>
    <x v="1"/>
    <x v="18"/>
    <x v="18"/>
    <x v="0"/>
    <x v="2466"/>
    <n v="18.23"/>
    <n v="1455975.41"/>
  </r>
  <r>
    <s v="ORD02497"/>
    <x v="97"/>
    <s v="C044"/>
    <x v="202"/>
    <x v="2"/>
    <x v="10"/>
    <x v="10"/>
    <x v="3"/>
    <x v="2467"/>
    <n v="7.84"/>
    <n v="185463.04000000001"/>
  </r>
  <r>
    <s v="ORD02498"/>
    <x v="588"/>
    <s v="C188"/>
    <x v="138"/>
    <x v="0"/>
    <x v="49"/>
    <x v="49"/>
    <x v="3"/>
    <x v="2468"/>
    <n v="42.22"/>
    <n v="1330816.6200000001"/>
  </r>
  <r>
    <s v="ORD02499"/>
    <x v="334"/>
    <s v="C418"/>
    <x v="246"/>
    <x v="2"/>
    <x v="10"/>
    <x v="10"/>
    <x v="3"/>
    <x v="2469"/>
    <n v="5.01"/>
    <n v="164818.98000000001"/>
  </r>
  <r>
    <s v="ORD02500"/>
    <x v="696"/>
    <s v="C205"/>
    <x v="490"/>
    <x v="4"/>
    <x v="1"/>
    <x v="1"/>
    <x v="1"/>
    <x v="2470"/>
    <n v="9.36"/>
    <n v="445732.56"/>
  </r>
  <r>
    <s v="ORD02501"/>
    <x v="142"/>
    <s v="C321"/>
    <x v="455"/>
    <x v="2"/>
    <x v="33"/>
    <x v="33"/>
    <x v="1"/>
    <x v="2471"/>
    <n v="29.98"/>
    <n v="2292810.44"/>
  </r>
  <r>
    <s v="ORD02502"/>
    <x v="353"/>
    <s v="C426"/>
    <x v="163"/>
    <x v="2"/>
    <x v="17"/>
    <x v="17"/>
    <x v="1"/>
    <x v="2472"/>
    <n v="9.19"/>
    <n v="841712.1"/>
  </r>
  <r>
    <s v="ORD02503"/>
    <x v="196"/>
    <s v="C148"/>
    <x v="365"/>
    <x v="1"/>
    <x v="47"/>
    <x v="47"/>
    <x v="2"/>
    <x v="2473"/>
    <n v="39.53"/>
    <n v="1125340.04"/>
  </r>
  <r>
    <s v="ORD02504"/>
    <x v="46"/>
    <s v="C433"/>
    <x v="322"/>
    <x v="4"/>
    <x v="43"/>
    <x v="43"/>
    <x v="4"/>
    <x v="2474"/>
    <n v="44.58"/>
    <n v="2444544.2999999998"/>
  </r>
  <r>
    <s v="ORD02505"/>
    <x v="386"/>
    <s v="C492"/>
    <x v="299"/>
    <x v="3"/>
    <x v="21"/>
    <x v="21"/>
    <x v="2"/>
    <x v="2475"/>
    <n v="21.12"/>
    <n v="2002366.08"/>
  </r>
  <r>
    <s v="ORD02506"/>
    <x v="636"/>
    <s v="C023"/>
    <x v="304"/>
    <x v="4"/>
    <x v="25"/>
    <x v="25"/>
    <x v="4"/>
    <x v="1443"/>
    <n v="9.41"/>
    <n v="152940.73000000001"/>
  </r>
  <r>
    <s v="ORD02507"/>
    <x v="588"/>
    <s v="C178"/>
    <x v="245"/>
    <x v="0"/>
    <x v="21"/>
    <x v="21"/>
    <x v="2"/>
    <x v="2476"/>
    <n v="9.84"/>
    <n v="609627.36"/>
  </r>
  <r>
    <s v="ORD02508"/>
    <x v="597"/>
    <s v="C378"/>
    <x v="216"/>
    <x v="2"/>
    <x v="18"/>
    <x v="18"/>
    <x v="0"/>
    <x v="2477"/>
    <n v="16.309999999999999"/>
    <n v="1182540.24"/>
  </r>
  <r>
    <s v="ORD02509"/>
    <x v="0"/>
    <s v="C264"/>
    <x v="65"/>
    <x v="0"/>
    <x v="40"/>
    <x v="40"/>
    <x v="0"/>
    <x v="2478"/>
    <n v="41.38"/>
    <n v="91987.74"/>
  </r>
  <r>
    <s v="ORD02510"/>
    <x v="395"/>
    <s v="C268"/>
    <x v="313"/>
    <x v="0"/>
    <x v="17"/>
    <x v="17"/>
    <x v="1"/>
    <x v="2479"/>
    <n v="45.17"/>
    <n v="4308946.9800000004"/>
  </r>
  <r>
    <s v="ORD02511"/>
    <x v="212"/>
    <s v="C252"/>
    <x v="111"/>
    <x v="4"/>
    <x v="6"/>
    <x v="6"/>
    <x v="0"/>
    <x v="2480"/>
    <n v="35.729999999999997"/>
    <n v="2106747.9900000002"/>
  </r>
  <r>
    <s v="ORD02512"/>
    <x v="342"/>
    <s v="C189"/>
    <x v="253"/>
    <x v="0"/>
    <x v="45"/>
    <x v="45"/>
    <x v="3"/>
    <x v="2481"/>
    <n v="36.14"/>
    <n v="2728064.04"/>
  </r>
  <r>
    <s v="ORD02513"/>
    <x v="47"/>
    <s v="C232"/>
    <x v="75"/>
    <x v="0"/>
    <x v="26"/>
    <x v="26"/>
    <x v="0"/>
    <x v="2482"/>
    <n v="27.71"/>
    <n v="2574203.58"/>
  </r>
  <r>
    <s v="ORD02514"/>
    <x v="353"/>
    <s v="C200"/>
    <x v="119"/>
    <x v="4"/>
    <x v="31"/>
    <x v="31"/>
    <x v="0"/>
    <x v="2483"/>
    <n v="41.77"/>
    <n v="415945.66"/>
  </r>
  <r>
    <s v="ORD02515"/>
    <x v="237"/>
    <s v="C379"/>
    <x v="494"/>
    <x v="2"/>
    <x v="40"/>
    <x v="40"/>
    <x v="0"/>
    <x v="2484"/>
    <n v="31.13"/>
    <n v="715149.49"/>
  </r>
  <r>
    <s v="ORD02516"/>
    <x v="575"/>
    <s v="C236"/>
    <x v="25"/>
    <x v="2"/>
    <x v="34"/>
    <x v="34"/>
    <x v="2"/>
    <x v="2485"/>
    <n v="34.96"/>
    <n v="489160.32"/>
  </r>
  <r>
    <s v="ORD02517"/>
    <x v="175"/>
    <s v="C116"/>
    <x v="323"/>
    <x v="3"/>
    <x v="23"/>
    <x v="23"/>
    <x v="0"/>
    <x v="2486"/>
    <n v="17.93"/>
    <n v="561334.51"/>
  </r>
  <r>
    <s v="ORD02518"/>
    <x v="706"/>
    <s v="C371"/>
    <x v="355"/>
    <x v="2"/>
    <x v="19"/>
    <x v="19"/>
    <x v="3"/>
    <x v="2487"/>
    <n v="33.450000000000003"/>
    <n v="1006376.7"/>
  </r>
  <r>
    <s v="ORD02519"/>
    <x v="422"/>
    <s v="C437"/>
    <x v="195"/>
    <x v="2"/>
    <x v="21"/>
    <x v="21"/>
    <x v="2"/>
    <x v="2488"/>
    <n v="14.26"/>
    <n v="1364097.34"/>
  </r>
  <r>
    <s v="ORD02520"/>
    <x v="262"/>
    <s v="C468"/>
    <x v="76"/>
    <x v="1"/>
    <x v="36"/>
    <x v="36"/>
    <x v="4"/>
    <x v="2489"/>
    <n v="28.95"/>
    <n v="49041.3"/>
  </r>
  <r>
    <s v="ORD02521"/>
    <x v="277"/>
    <s v="C209"/>
    <x v="409"/>
    <x v="4"/>
    <x v="3"/>
    <x v="3"/>
    <x v="2"/>
    <x v="2490"/>
    <n v="34.630000000000003"/>
    <n v="2336105.17"/>
  </r>
  <r>
    <s v="ORD02522"/>
    <x v="115"/>
    <s v="C222"/>
    <x v="453"/>
    <x v="0"/>
    <x v="4"/>
    <x v="4"/>
    <x v="1"/>
    <x v="2491"/>
    <n v="14.12"/>
    <n v="74511.240000000005"/>
  </r>
  <r>
    <s v="ORD02523"/>
    <x v="77"/>
    <s v="C053"/>
    <x v="294"/>
    <x v="4"/>
    <x v="21"/>
    <x v="21"/>
    <x v="2"/>
    <x v="2492"/>
    <n v="26.43"/>
    <n v="813568.26"/>
  </r>
  <r>
    <s v="ORD02524"/>
    <x v="707"/>
    <s v="C079"/>
    <x v="439"/>
    <x v="4"/>
    <x v="22"/>
    <x v="22"/>
    <x v="0"/>
    <x v="2493"/>
    <n v="11.07"/>
    <n v="30021.84"/>
  </r>
  <r>
    <s v="ORD02525"/>
    <x v="435"/>
    <s v="C174"/>
    <x v="26"/>
    <x v="4"/>
    <x v="34"/>
    <x v="34"/>
    <x v="2"/>
    <x v="2494"/>
    <n v="40.53"/>
    <n v="108134.04"/>
  </r>
  <r>
    <s v="ORD02526"/>
    <x v="75"/>
    <s v="C302"/>
    <x v="166"/>
    <x v="3"/>
    <x v="23"/>
    <x v="23"/>
    <x v="0"/>
    <x v="2495"/>
    <n v="13.06"/>
    <n v="1052518.46"/>
  </r>
  <r>
    <s v="ORD02527"/>
    <x v="441"/>
    <s v="C360"/>
    <x v="92"/>
    <x v="3"/>
    <x v="12"/>
    <x v="12"/>
    <x v="4"/>
    <x v="2496"/>
    <n v="29.02"/>
    <n v="270930.71999999997"/>
  </r>
  <r>
    <s v="ORD02528"/>
    <x v="224"/>
    <s v="C074"/>
    <x v="329"/>
    <x v="2"/>
    <x v="39"/>
    <x v="39"/>
    <x v="3"/>
    <x v="2497"/>
    <n v="9.01"/>
    <n v="858436.76"/>
  </r>
  <r>
    <s v="ORD02529"/>
    <x v="70"/>
    <s v="C262"/>
    <x v="123"/>
    <x v="1"/>
    <x v="21"/>
    <x v="21"/>
    <x v="2"/>
    <x v="2498"/>
    <n v="47.75"/>
    <n v="4434399.25"/>
  </r>
  <r>
    <s v="ORD02530"/>
    <x v="117"/>
    <s v="C404"/>
    <x v="378"/>
    <x v="3"/>
    <x v="31"/>
    <x v="31"/>
    <x v="0"/>
    <x v="2499"/>
    <n v="37.56"/>
    <n v="50029.919999999998"/>
  </r>
  <r>
    <s v="ORD02531"/>
    <x v="448"/>
    <s v="C271"/>
    <x v="4"/>
    <x v="1"/>
    <x v="4"/>
    <x v="4"/>
    <x v="1"/>
    <x v="2500"/>
    <n v="44.58"/>
    <n v="2898413.28"/>
  </r>
  <r>
    <s v="ORD02532"/>
    <x v="494"/>
    <s v="C244"/>
    <x v="259"/>
    <x v="1"/>
    <x v="44"/>
    <x v="44"/>
    <x v="2"/>
    <x v="2501"/>
    <n v="19.18"/>
    <n v="1894485.32"/>
  </r>
  <r>
    <s v="ORD02533"/>
    <x v="540"/>
    <s v="C113"/>
    <x v="442"/>
    <x v="3"/>
    <x v="41"/>
    <x v="41"/>
    <x v="4"/>
    <x v="2502"/>
    <n v="22.65"/>
    <n v="859273.05"/>
  </r>
  <r>
    <s v="ORD02534"/>
    <x v="629"/>
    <s v="C041"/>
    <x v="389"/>
    <x v="4"/>
    <x v="26"/>
    <x v="26"/>
    <x v="0"/>
    <x v="2503"/>
    <n v="39.880000000000003"/>
    <n v="176030.32"/>
  </r>
  <r>
    <s v="ORD02535"/>
    <x v="237"/>
    <s v="C403"/>
    <x v="59"/>
    <x v="0"/>
    <x v="3"/>
    <x v="3"/>
    <x v="2"/>
    <x v="2504"/>
    <n v="23.74"/>
    <n v="1127768.7"/>
  </r>
  <r>
    <s v="ORD02536"/>
    <x v="612"/>
    <s v="C109"/>
    <x v="78"/>
    <x v="1"/>
    <x v="2"/>
    <x v="2"/>
    <x v="1"/>
    <x v="2505"/>
    <n v="4.5199999999999996"/>
    <n v="68893.84"/>
  </r>
  <r>
    <s v="ORD02537"/>
    <x v="466"/>
    <s v="C177"/>
    <x v="183"/>
    <x v="1"/>
    <x v="49"/>
    <x v="49"/>
    <x v="3"/>
    <x v="2506"/>
    <n v="16.93"/>
    <n v="977758.29"/>
  </r>
  <r>
    <s v="ORD02538"/>
    <x v="231"/>
    <s v="C163"/>
    <x v="275"/>
    <x v="3"/>
    <x v="32"/>
    <x v="32"/>
    <x v="4"/>
    <x v="2507"/>
    <n v="49.22"/>
    <n v="3499049.8"/>
  </r>
  <r>
    <s v="ORD02539"/>
    <x v="431"/>
    <s v="C428"/>
    <x v="260"/>
    <x v="3"/>
    <x v="19"/>
    <x v="19"/>
    <x v="3"/>
    <x v="2508"/>
    <n v="23.64"/>
    <n v="36949.32"/>
  </r>
  <r>
    <s v="ORD02540"/>
    <x v="287"/>
    <s v="C147"/>
    <x v="308"/>
    <x v="4"/>
    <x v="17"/>
    <x v="17"/>
    <x v="1"/>
    <x v="721"/>
    <n v="30.94"/>
    <n v="2486338.4"/>
  </r>
  <r>
    <s v="ORD02541"/>
    <x v="660"/>
    <s v="C028"/>
    <x v="151"/>
    <x v="2"/>
    <x v="19"/>
    <x v="19"/>
    <x v="3"/>
    <x v="2509"/>
    <n v="28.94"/>
    <n v="2210668.7200000002"/>
  </r>
  <r>
    <s v="ORD02542"/>
    <x v="656"/>
    <s v="C253"/>
    <x v="379"/>
    <x v="4"/>
    <x v="41"/>
    <x v="41"/>
    <x v="4"/>
    <x v="2510"/>
    <n v="47.26"/>
    <n v="4302219.58"/>
  </r>
  <r>
    <s v="ORD02543"/>
    <x v="467"/>
    <s v="C321"/>
    <x v="455"/>
    <x v="2"/>
    <x v="21"/>
    <x v="21"/>
    <x v="2"/>
    <x v="2511"/>
    <n v="16.12"/>
    <n v="252132.92"/>
  </r>
  <r>
    <s v="ORD02544"/>
    <x v="650"/>
    <s v="C064"/>
    <x v="387"/>
    <x v="2"/>
    <x v="18"/>
    <x v="18"/>
    <x v="0"/>
    <x v="2512"/>
    <n v="34.06"/>
    <n v="2706918.5"/>
  </r>
  <r>
    <s v="ORD02545"/>
    <x v="134"/>
    <s v="C249"/>
    <x v="347"/>
    <x v="4"/>
    <x v="9"/>
    <x v="9"/>
    <x v="4"/>
    <x v="2513"/>
    <n v="11.83"/>
    <n v="585395.72"/>
  </r>
  <r>
    <s v="ORD02546"/>
    <x v="647"/>
    <s v="C435"/>
    <x v="60"/>
    <x v="4"/>
    <x v="16"/>
    <x v="16"/>
    <x v="1"/>
    <x v="2514"/>
    <n v="21.59"/>
    <n v="969477.36"/>
  </r>
  <r>
    <s v="ORD02547"/>
    <x v="421"/>
    <s v="C353"/>
    <x v="472"/>
    <x v="0"/>
    <x v="20"/>
    <x v="20"/>
    <x v="1"/>
    <x v="2515"/>
    <n v="13.37"/>
    <n v="588239.89"/>
  </r>
  <r>
    <s v="ORD02548"/>
    <x v="168"/>
    <s v="C220"/>
    <x v="157"/>
    <x v="0"/>
    <x v="34"/>
    <x v="34"/>
    <x v="2"/>
    <x v="2516"/>
    <n v="33.19"/>
    <n v="621947.41"/>
  </r>
  <r>
    <s v="ORD02549"/>
    <x v="708"/>
    <s v="C099"/>
    <x v="302"/>
    <x v="2"/>
    <x v="12"/>
    <x v="12"/>
    <x v="4"/>
    <x v="2517"/>
    <n v="25.75"/>
    <n v="1551720.75"/>
  </r>
  <r>
    <s v="ORD02550"/>
    <x v="518"/>
    <s v="C339"/>
    <x v="330"/>
    <x v="3"/>
    <x v="21"/>
    <x v="21"/>
    <x v="2"/>
    <x v="2518"/>
    <n v="23.56"/>
    <n v="790273.08"/>
  </r>
  <r>
    <s v="ORD02551"/>
    <x v="629"/>
    <s v="C473"/>
    <x v="102"/>
    <x v="2"/>
    <x v="43"/>
    <x v="43"/>
    <x v="4"/>
    <x v="2519"/>
    <n v="7"/>
    <n v="522025"/>
  </r>
  <r>
    <s v="ORD02552"/>
    <x v="512"/>
    <s v="C345"/>
    <x v="15"/>
    <x v="2"/>
    <x v="40"/>
    <x v="40"/>
    <x v="0"/>
    <x v="2520"/>
    <n v="4.71"/>
    <n v="152467.41"/>
  </r>
  <r>
    <s v="ORD02553"/>
    <x v="398"/>
    <s v="C165"/>
    <x v="219"/>
    <x v="1"/>
    <x v="41"/>
    <x v="41"/>
    <x v="4"/>
    <x v="2521"/>
    <n v="29.64"/>
    <n v="1569349.08"/>
  </r>
  <r>
    <s v="ORD02554"/>
    <x v="578"/>
    <s v="C450"/>
    <x v="429"/>
    <x v="2"/>
    <x v="6"/>
    <x v="6"/>
    <x v="0"/>
    <x v="2522"/>
    <n v="29.18"/>
    <n v="891157.2"/>
  </r>
  <r>
    <s v="ORD02555"/>
    <x v="217"/>
    <s v="C487"/>
    <x v="436"/>
    <x v="0"/>
    <x v="3"/>
    <x v="3"/>
    <x v="2"/>
    <x v="2523"/>
    <n v="29.13"/>
    <n v="2724121.08"/>
  </r>
  <r>
    <s v="ORD02556"/>
    <x v="513"/>
    <s v="C205"/>
    <x v="490"/>
    <x v="4"/>
    <x v="39"/>
    <x v="39"/>
    <x v="3"/>
    <x v="2524"/>
    <n v="46.55"/>
    <n v="3860065.65"/>
  </r>
  <r>
    <s v="ORD02557"/>
    <x v="67"/>
    <s v="C455"/>
    <x v="366"/>
    <x v="4"/>
    <x v="18"/>
    <x v="18"/>
    <x v="0"/>
    <x v="2525"/>
    <n v="12.8"/>
    <n v="719974.40000000002"/>
  </r>
  <r>
    <s v="ORD02558"/>
    <x v="685"/>
    <s v="C244"/>
    <x v="259"/>
    <x v="1"/>
    <x v="30"/>
    <x v="30"/>
    <x v="4"/>
    <x v="2526"/>
    <n v="28.33"/>
    <n v="1797906.79"/>
  </r>
  <r>
    <s v="ORD02559"/>
    <x v="560"/>
    <s v="C323"/>
    <x v="343"/>
    <x v="2"/>
    <x v="40"/>
    <x v="40"/>
    <x v="0"/>
    <x v="2527"/>
    <n v="49.5"/>
    <n v="2390404.5"/>
  </r>
  <r>
    <s v="ORD02560"/>
    <x v="324"/>
    <s v="C063"/>
    <x v="282"/>
    <x v="3"/>
    <x v="7"/>
    <x v="7"/>
    <x v="3"/>
    <x v="2528"/>
    <n v="41.07"/>
    <n v="209908.77"/>
  </r>
  <r>
    <s v="ORD02561"/>
    <x v="691"/>
    <s v="C178"/>
    <x v="245"/>
    <x v="0"/>
    <x v="47"/>
    <x v="47"/>
    <x v="2"/>
    <x v="2529"/>
    <n v="4.74"/>
    <n v="107740.2"/>
  </r>
  <r>
    <s v="ORD02562"/>
    <x v="667"/>
    <s v="C291"/>
    <x v="198"/>
    <x v="1"/>
    <x v="45"/>
    <x v="45"/>
    <x v="3"/>
    <x v="2530"/>
    <n v="42.39"/>
    <n v="3618537.57"/>
  </r>
  <r>
    <s v="ORD02563"/>
    <x v="570"/>
    <s v="C042"/>
    <x v="175"/>
    <x v="0"/>
    <x v="28"/>
    <x v="28"/>
    <x v="3"/>
    <x v="2531"/>
    <n v="46.72"/>
    <n v="4407658.24"/>
  </r>
  <r>
    <s v="ORD02564"/>
    <x v="226"/>
    <s v="C072"/>
    <x v="265"/>
    <x v="3"/>
    <x v="49"/>
    <x v="49"/>
    <x v="3"/>
    <x v="2532"/>
    <n v="17.170000000000002"/>
    <n v="998830.41"/>
  </r>
  <r>
    <s v="ORD02565"/>
    <x v="54"/>
    <s v="C421"/>
    <x v="110"/>
    <x v="2"/>
    <x v="35"/>
    <x v="35"/>
    <x v="1"/>
    <x v="2533"/>
    <n v="20.149999999999999"/>
    <n v="1552114.2"/>
  </r>
  <r>
    <s v="ORD02566"/>
    <x v="463"/>
    <s v="C208"/>
    <x v="53"/>
    <x v="1"/>
    <x v="46"/>
    <x v="46"/>
    <x v="0"/>
    <x v="2534"/>
    <n v="15.36"/>
    <n v="774958.07999999996"/>
  </r>
  <r>
    <s v="ORD02567"/>
    <x v="378"/>
    <s v="C206"/>
    <x v="401"/>
    <x v="1"/>
    <x v="5"/>
    <x v="5"/>
    <x v="3"/>
    <x v="2535"/>
    <n v="9.6999999999999993"/>
    <n v="348113.6"/>
  </r>
  <r>
    <s v="ORD02568"/>
    <x v="26"/>
    <s v="C143"/>
    <x v="448"/>
    <x v="4"/>
    <x v="20"/>
    <x v="20"/>
    <x v="1"/>
    <x v="2536"/>
    <n v="48.06"/>
    <n v="4729296.24"/>
  </r>
  <r>
    <s v="ORD02569"/>
    <x v="184"/>
    <s v="C256"/>
    <x v="397"/>
    <x v="1"/>
    <x v="6"/>
    <x v="6"/>
    <x v="0"/>
    <x v="2537"/>
    <n v="23.18"/>
    <n v="226909.02"/>
  </r>
  <r>
    <s v="ORD02570"/>
    <x v="498"/>
    <s v="C387"/>
    <x v="52"/>
    <x v="2"/>
    <x v="31"/>
    <x v="31"/>
    <x v="0"/>
    <x v="2538"/>
    <n v="49.44"/>
    <n v="857240.16"/>
  </r>
  <r>
    <s v="ORD02571"/>
    <x v="322"/>
    <s v="C350"/>
    <x v="280"/>
    <x v="3"/>
    <x v="49"/>
    <x v="49"/>
    <x v="3"/>
    <x v="2539"/>
    <n v="14.9"/>
    <n v="551970.5"/>
  </r>
  <r>
    <s v="ORD02572"/>
    <x v="660"/>
    <s v="C179"/>
    <x v="377"/>
    <x v="3"/>
    <x v="31"/>
    <x v="31"/>
    <x v="0"/>
    <x v="2540"/>
    <n v="29.36"/>
    <n v="613447.84"/>
  </r>
  <r>
    <s v="ORD02573"/>
    <x v="627"/>
    <s v="C290"/>
    <x v="336"/>
    <x v="4"/>
    <x v="1"/>
    <x v="1"/>
    <x v="1"/>
    <x v="2085"/>
    <n v="31.66"/>
    <n v="669260.74"/>
  </r>
  <r>
    <s v="ORD02574"/>
    <x v="10"/>
    <s v="C068"/>
    <x v="112"/>
    <x v="2"/>
    <x v="41"/>
    <x v="41"/>
    <x v="4"/>
    <x v="2541"/>
    <n v="22.69"/>
    <n v="97884.66"/>
  </r>
  <r>
    <s v="ORD02575"/>
    <x v="141"/>
    <s v="C440"/>
    <x v="73"/>
    <x v="0"/>
    <x v="5"/>
    <x v="5"/>
    <x v="3"/>
    <x v="2542"/>
    <n v="26.54"/>
    <n v="2334909.58"/>
  </r>
  <r>
    <s v="ORD02576"/>
    <x v="89"/>
    <s v="C095"/>
    <x v="236"/>
    <x v="0"/>
    <x v="31"/>
    <x v="31"/>
    <x v="0"/>
    <x v="2543"/>
    <n v="9.16"/>
    <n v="53998.2"/>
  </r>
  <r>
    <s v="ORD02577"/>
    <x v="611"/>
    <s v="C363"/>
    <x v="72"/>
    <x v="4"/>
    <x v="35"/>
    <x v="35"/>
    <x v="1"/>
    <x v="2544"/>
    <n v="22.44"/>
    <n v="109596.96"/>
  </r>
  <r>
    <s v="ORD02578"/>
    <x v="75"/>
    <s v="C258"/>
    <x v="276"/>
    <x v="3"/>
    <x v="47"/>
    <x v="47"/>
    <x v="2"/>
    <x v="2545"/>
    <n v="36.659999999999997"/>
    <n v="853701.42"/>
  </r>
  <r>
    <s v="ORD02579"/>
    <x v="640"/>
    <s v="C191"/>
    <x v="186"/>
    <x v="2"/>
    <x v="48"/>
    <x v="48"/>
    <x v="2"/>
    <x v="2546"/>
    <n v="21.97"/>
    <n v="1050803.1299999999"/>
  </r>
  <r>
    <s v="ORD02580"/>
    <x v="531"/>
    <s v="C342"/>
    <x v="258"/>
    <x v="4"/>
    <x v="39"/>
    <x v="39"/>
    <x v="3"/>
    <x v="1704"/>
    <n v="24.11"/>
    <n v="2286495.96"/>
  </r>
  <r>
    <s v="ORD02581"/>
    <x v="261"/>
    <s v="C009"/>
    <x v="42"/>
    <x v="1"/>
    <x v="46"/>
    <x v="46"/>
    <x v="0"/>
    <x v="2547"/>
    <n v="2.2400000000000002"/>
    <n v="167039.04000000001"/>
  </r>
  <r>
    <s v="ORD02582"/>
    <x v="115"/>
    <s v="C111"/>
    <x v="286"/>
    <x v="0"/>
    <x v="23"/>
    <x v="23"/>
    <x v="0"/>
    <x v="2548"/>
    <n v="39.93"/>
    <n v="349906.59"/>
  </r>
  <r>
    <s v="ORD02583"/>
    <x v="406"/>
    <s v="C351"/>
    <x v="422"/>
    <x v="2"/>
    <x v="48"/>
    <x v="48"/>
    <x v="2"/>
    <x v="2549"/>
    <n v="8.7799999999999994"/>
    <n v="777714.84"/>
  </r>
  <r>
    <s v="ORD02584"/>
    <x v="260"/>
    <s v="C343"/>
    <x v="229"/>
    <x v="1"/>
    <x v="25"/>
    <x v="25"/>
    <x v="4"/>
    <x v="2550"/>
    <n v="34.049999999999997"/>
    <n v="531009.75"/>
  </r>
  <r>
    <s v="ORD02585"/>
    <x v="448"/>
    <s v="C279"/>
    <x v="270"/>
    <x v="1"/>
    <x v="23"/>
    <x v="23"/>
    <x v="0"/>
    <x v="2551"/>
    <n v="9.7200000000000006"/>
    <n v="211030.92"/>
  </r>
  <r>
    <s v="ORD02586"/>
    <x v="480"/>
    <s v="C146"/>
    <x v="37"/>
    <x v="4"/>
    <x v="9"/>
    <x v="9"/>
    <x v="4"/>
    <x v="2552"/>
    <n v="16.98"/>
    <n v="173263.92"/>
  </r>
  <r>
    <s v="ORD02587"/>
    <x v="230"/>
    <s v="C481"/>
    <x v="56"/>
    <x v="0"/>
    <x v="1"/>
    <x v="1"/>
    <x v="1"/>
    <x v="2553"/>
    <n v="15.49"/>
    <n v="1443187.81"/>
  </r>
  <r>
    <s v="ORD02588"/>
    <x v="217"/>
    <s v="C024"/>
    <x v="487"/>
    <x v="0"/>
    <x v="44"/>
    <x v="44"/>
    <x v="2"/>
    <x v="2554"/>
    <n v="39.979999999999997"/>
    <n v="3826885.6"/>
  </r>
  <r>
    <s v="ORD02589"/>
    <x v="290"/>
    <s v="C390"/>
    <x v="233"/>
    <x v="2"/>
    <x v="18"/>
    <x v="18"/>
    <x v="0"/>
    <x v="2555"/>
    <n v="25.05"/>
    <n v="1728825.75"/>
  </r>
  <r>
    <s v="ORD02590"/>
    <x v="342"/>
    <s v="C073"/>
    <x v="395"/>
    <x v="3"/>
    <x v="2"/>
    <x v="2"/>
    <x v="1"/>
    <x v="2556"/>
    <n v="19.5"/>
    <n v="1486836"/>
  </r>
  <r>
    <s v="ORD02591"/>
    <x v="424"/>
    <s v="C080"/>
    <x v="222"/>
    <x v="4"/>
    <x v="2"/>
    <x v="2"/>
    <x v="1"/>
    <x v="2557"/>
    <n v="23.18"/>
    <n v="2032932.36"/>
  </r>
  <r>
    <s v="ORD02592"/>
    <x v="191"/>
    <s v="C312"/>
    <x v="231"/>
    <x v="1"/>
    <x v="8"/>
    <x v="8"/>
    <x v="3"/>
    <x v="2558"/>
    <n v="4.1399999999999997"/>
    <n v="141132.6"/>
  </r>
  <r>
    <s v="ORD02593"/>
    <x v="190"/>
    <s v="C188"/>
    <x v="138"/>
    <x v="0"/>
    <x v="21"/>
    <x v="21"/>
    <x v="2"/>
    <x v="2559"/>
    <n v="45.57"/>
    <n v="2617039.5299999998"/>
  </r>
  <r>
    <s v="ORD02594"/>
    <x v="74"/>
    <s v="C133"/>
    <x v="71"/>
    <x v="4"/>
    <x v="28"/>
    <x v="28"/>
    <x v="3"/>
    <x v="2560"/>
    <n v="15.29"/>
    <n v="1390549.05"/>
  </r>
  <r>
    <s v="ORD02595"/>
    <x v="567"/>
    <s v="C008"/>
    <x v="96"/>
    <x v="1"/>
    <x v="32"/>
    <x v="32"/>
    <x v="4"/>
    <x v="2561"/>
    <n v="27.28"/>
    <n v="126088.16"/>
  </r>
  <r>
    <s v="ORD02596"/>
    <x v="697"/>
    <s v="C220"/>
    <x v="157"/>
    <x v="0"/>
    <x v="39"/>
    <x v="39"/>
    <x v="3"/>
    <x v="2562"/>
    <n v="21.22"/>
    <n v="1956293.02"/>
  </r>
  <r>
    <s v="ORD02597"/>
    <x v="587"/>
    <s v="C297"/>
    <x v="49"/>
    <x v="3"/>
    <x v="36"/>
    <x v="36"/>
    <x v="4"/>
    <x v="2563"/>
    <n v="10.029999999999999"/>
    <n v="527056.43999999994"/>
  </r>
  <r>
    <s v="ORD02598"/>
    <x v="670"/>
    <s v="C175"/>
    <x v="29"/>
    <x v="4"/>
    <x v="19"/>
    <x v="19"/>
    <x v="3"/>
    <x v="2564"/>
    <n v="37.25"/>
    <n v="661634.5"/>
  </r>
  <r>
    <s v="ORD02599"/>
    <x v="151"/>
    <s v="C150"/>
    <x v="356"/>
    <x v="4"/>
    <x v="46"/>
    <x v="46"/>
    <x v="0"/>
    <x v="2565"/>
    <n v="16.89"/>
    <n v="920910.36"/>
  </r>
  <r>
    <s v="ORD02600"/>
    <x v="258"/>
    <s v="C473"/>
    <x v="102"/>
    <x v="2"/>
    <x v="41"/>
    <x v="41"/>
    <x v="4"/>
    <x v="2566"/>
    <n v="37.94"/>
    <n v="2618770.56"/>
  </r>
  <r>
    <s v="ORD02601"/>
    <x v="146"/>
    <s v="C379"/>
    <x v="494"/>
    <x v="2"/>
    <x v="22"/>
    <x v="22"/>
    <x v="0"/>
    <x v="2567"/>
    <n v="22"/>
    <n v="1694308"/>
  </r>
  <r>
    <s v="ORD02602"/>
    <x v="439"/>
    <s v="C308"/>
    <x v="149"/>
    <x v="4"/>
    <x v="30"/>
    <x v="30"/>
    <x v="4"/>
    <x v="2568"/>
    <n v="14.73"/>
    <n v="1286665.5"/>
  </r>
  <r>
    <s v="ORD02603"/>
    <x v="630"/>
    <s v="C158"/>
    <x v="117"/>
    <x v="3"/>
    <x v="18"/>
    <x v="18"/>
    <x v="0"/>
    <x v="2569"/>
    <n v="35.700000000000003"/>
    <n v="1883175"/>
  </r>
  <r>
    <s v="ORD02604"/>
    <x v="687"/>
    <s v="C430"/>
    <x v="363"/>
    <x v="4"/>
    <x v="26"/>
    <x v="26"/>
    <x v="0"/>
    <x v="2570"/>
    <n v="5.45"/>
    <n v="536825"/>
  </r>
  <r>
    <s v="ORD02605"/>
    <x v="295"/>
    <s v="C188"/>
    <x v="138"/>
    <x v="0"/>
    <x v="16"/>
    <x v="16"/>
    <x v="1"/>
    <x v="2571"/>
    <n v="25.06"/>
    <n v="1610606.2"/>
  </r>
  <r>
    <s v="ORD02606"/>
    <x v="709"/>
    <s v="C258"/>
    <x v="276"/>
    <x v="3"/>
    <x v="15"/>
    <x v="15"/>
    <x v="2"/>
    <x v="2572"/>
    <n v="5.26"/>
    <n v="235432.34"/>
  </r>
  <r>
    <s v="ORD02607"/>
    <x v="431"/>
    <s v="C461"/>
    <x v="164"/>
    <x v="0"/>
    <x v="29"/>
    <x v="29"/>
    <x v="0"/>
    <x v="2573"/>
    <n v="21.9"/>
    <n v="260982.3"/>
  </r>
  <r>
    <s v="ORD02608"/>
    <x v="218"/>
    <s v="C030"/>
    <x v="468"/>
    <x v="4"/>
    <x v="19"/>
    <x v="19"/>
    <x v="3"/>
    <x v="2574"/>
    <n v="34.409999999999997"/>
    <n v="2454362.0699999998"/>
  </r>
  <r>
    <s v="ORD02609"/>
    <x v="468"/>
    <s v="C145"/>
    <x v="94"/>
    <x v="4"/>
    <x v="22"/>
    <x v="22"/>
    <x v="0"/>
    <x v="2575"/>
    <n v="48.2"/>
    <n v="3538217.4"/>
  </r>
  <r>
    <s v="ORD02610"/>
    <x v="710"/>
    <s v="C389"/>
    <x v="394"/>
    <x v="0"/>
    <x v="13"/>
    <x v="13"/>
    <x v="2"/>
    <x v="2576"/>
    <n v="38.130000000000003"/>
    <n v="876494.31"/>
  </r>
  <r>
    <s v="ORD02611"/>
    <x v="664"/>
    <s v="C280"/>
    <x v="244"/>
    <x v="1"/>
    <x v="30"/>
    <x v="30"/>
    <x v="4"/>
    <x v="2577"/>
    <n v="10.07"/>
    <n v="121132.03"/>
  </r>
  <r>
    <s v="ORD02612"/>
    <x v="135"/>
    <s v="C167"/>
    <x v="404"/>
    <x v="4"/>
    <x v="38"/>
    <x v="38"/>
    <x v="2"/>
    <x v="2578"/>
    <n v="11.78"/>
    <n v="730395.34"/>
  </r>
  <r>
    <s v="ORD02613"/>
    <x v="540"/>
    <s v="C010"/>
    <x v="220"/>
    <x v="3"/>
    <x v="8"/>
    <x v="8"/>
    <x v="3"/>
    <x v="2579"/>
    <n v="41.58"/>
    <n v="706527.36"/>
  </r>
  <r>
    <s v="ORD02614"/>
    <x v="250"/>
    <s v="C409"/>
    <x v="466"/>
    <x v="3"/>
    <x v="7"/>
    <x v="7"/>
    <x v="3"/>
    <x v="2580"/>
    <n v="28.19"/>
    <n v="1732585.59"/>
  </r>
  <r>
    <s v="ORD02615"/>
    <x v="494"/>
    <s v="C478"/>
    <x v="269"/>
    <x v="0"/>
    <x v="4"/>
    <x v="4"/>
    <x v="1"/>
    <x v="2581"/>
    <n v="42.69"/>
    <n v="318979.68"/>
  </r>
  <r>
    <s v="ORD02616"/>
    <x v="543"/>
    <s v="C464"/>
    <x v="118"/>
    <x v="2"/>
    <x v="30"/>
    <x v="30"/>
    <x v="4"/>
    <x v="2582"/>
    <n v="6.67"/>
    <n v="223298.26"/>
  </r>
  <r>
    <s v="ORD02617"/>
    <x v="701"/>
    <s v="C217"/>
    <x v="145"/>
    <x v="4"/>
    <x v="28"/>
    <x v="28"/>
    <x v="3"/>
    <x v="2583"/>
    <n v="2.9"/>
    <n v="70017.600000000006"/>
  </r>
  <r>
    <s v="ORD02618"/>
    <x v="465"/>
    <s v="C389"/>
    <x v="394"/>
    <x v="0"/>
    <x v="43"/>
    <x v="43"/>
    <x v="4"/>
    <x v="2584"/>
    <n v="14.2"/>
    <n v="485313.4"/>
  </r>
  <r>
    <s v="ORD02619"/>
    <x v="180"/>
    <s v="C263"/>
    <x v="432"/>
    <x v="3"/>
    <x v="39"/>
    <x v="39"/>
    <x v="3"/>
    <x v="2585"/>
    <n v="29.63"/>
    <n v="554792.12"/>
  </r>
  <r>
    <s v="ORD02620"/>
    <x v="184"/>
    <s v="C097"/>
    <x v="91"/>
    <x v="3"/>
    <x v="29"/>
    <x v="29"/>
    <x v="0"/>
    <x v="2586"/>
    <n v="20.85"/>
    <n v="952678.2"/>
  </r>
  <r>
    <s v="ORD02621"/>
    <x v="302"/>
    <s v="C154"/>
    <x v="496"/>
    <x v="0"/>
    <x v="45"/>
    <x v="45"/>
    <x v="3"/>
    <x v="2587"/>
    <n v="38.380000000000003"/>
    <n v="1766669.78"/>
  </r>
  <r>
    <s v="ORD02622"/>
    <x v="598"/>
    <s v="C131"/>
    <x v="449"/>
    <x v="1"/>
    <x v="18"/>
    <x v="18"/>
    <x v="0"/>
    <x v="2588"/>
    <n v="11.06"/>
    <n v="619548.02"/>
  </r>
  <r>
    <s v="ORD02623"/>
    <x v="282"/>
    <s v="C081"/>
    <x v="456"/>
    <x v="3"/>
    <x v="18"/>
    <x v="18"/>
    <x v="0"/>
    <x v="2589"/>
    <n v="7.08"/>
    <n v="252203.76"/>
  </r>
  <r>
    <s v="ORD02624"/>
    <x v="599"/>
    <s v="C091"/>
    <x v="458"/>
    <x v="1"/>
    <x v="21"/>
    <x v="21"/>
    <x v="2"/>
    <x v="2590"/>
    <n v="19.88"/>
    <n v="744227.68"/>
  </r>
  <r>
    <s v="ORD02625"/>
    <x v="344"/>
    <s v="C452"/>
    <x v="148"/>
    <x v="4"/>
    <x v="3"/>
    <x v="3"/>
    <x v="2"/>
    <x v="2591"/>
    <n v="17.809999999999999"/>
    <n v="399994.79"/>
  </r>
  <r>
    <s v="ORD02626"/>
    <x v="47"/>
    <s v="C326"/>
    <x v="209"/>
    <x v="0"/>
    <x v="0"/>
    <x v="0"/>
    <x v="0"/>
    <x v="2592"/>
    <n v="5.58"/>
    <n v="416613.96"/>
  </r>
  <r>
    <s v="ORD02627"/>
    <x v="576"/>
    <s v="C020"/>
    <x v="80"/>
    <x v="4"/>
    <x v="27"/>
    <x v="27"/>
    <x v="4"/>
    <x v="2593"/>
    <n v="21.97"/>
    <n v="934955.32"/>
  </r>
  <r>
    <s v="ORD02628"/>
    <x v="232"/>
    <s v="C241"/>
    <x v="457"/>
    <x v="1"/>
    <x v="7"/>
    <x v="7"/>
    <x v="3"/>
    <x v="2594"/>
    <n v="47.6"/>
    <n v="2886416.4"/>
  </r>
  <r>
    <s v="ORD02629"/>
    <x v="505"/>
    <s v="C467"/>
    <x v="131"/>
    <x v="2"/>
    <x v="6"/>
    <x v="6"/>
    <x v="0"/>
    <x v="2595"/>
    <n v="47.19"/>
    <n v="1783876.38"/>
  </r>
  <r>
    <s v="ORD02630"/>
    <x v="459"/>
    <s v="C402"/>
    <x v="16"/>
    <x v="3"/>
    <x v="17"/>
    <x v="17"/>
    <x v="1"/>
    <x v="2596"/>
    <n v="20.99"/>
    <n v="451977.67"/>
  </r>
  <r>
    <s v="ORD02631"/>
    <x v="351"/>
    <s v="C222"/>
    <x v="453"/>
    <x v="0"/>
    <x v="3"/>
    <x v="3"/>
    <x v="2"/>
    <x v="2597"/>
    <n v="5.82"/>
    <n v="495648.66"/>
  </r>
  <r>
    <s v="ORD02632"/>
    <x v="473"/>
    <s v="C206"/>
    <x v="401"/>
    <x v="1"/>
    <x v="9"/>
    <x v="9"/>
    <x v="4"/>
    <x v="2598"/>
    <n v="48.74"/>
    <n v="3430418.68"/>
  </r>
  <r>
    <s v="ORD02633"/>
    <x v="553"/>
    <s v="C356"/>
    <x v="416"/>
    <x v="1"/>
    <x v="40"/>
    <x v="40"/>
    <x v="0"/>
    <x v="2599"/>
    <n v="11.83"/>
    <n v="672618.31"/>
  </r>
  <r>
    <s v="ORD02634"/>
    <x v="88"/>
    <s v="C044"/>
    <x v="202"/>
    <x v="2"/>
    <x v="25"/>
    <x v="25"/>
    <x v="4"/>
    <x v="2600"/>
    <n v="25.02"/>
    <n v="717448.5"/>
  </r>
  <r>
    <s v="ORD02635"/>
    <x v="233"/>
    <s v="C370"/>
    <x v="486"/>
    <x v="3"/>
    <x v="38"/>
    <x v="38"/>
    <x v="2"/>
    <x v="2601"/>
    <n v="20.85"/>
    <n v="653084.55000000005"/>
  </r>
  <r>
    <s v="ORD02636"/>
    <x v="635"/>
    <s v="C082"/>
    <x v="462"/>
    <x v="0"/>
    <x v="17"/>
    <x v="17"/>
    <x v="1"/>
    <x v="2602"/>
    <n v="17.09"/>
    <n v="1311777.1299999999"/>
  </r>
  <r>
    <s v="ORD02637"/>
    <x v="397"/>
    <s v="C094"/>
    <x v="55"/>
    <x v="1"/>
    <x v="3"/>
    <x v="3"/>
    <x v="2"/>
    <x v="2603"/>
    <n v="38.840000000000003"/>
    <n v="1868553.56"/>
  </r>
  <r>
    <s v="ORD02638"/>
    <x v="660"/>
    <s v="C217"/>
    <x v="145"/>
    <x v="4"/>
    <x v="41"/>
    <x v="41"/>
    <x v="4"/>
    <x v="2604"/>
    <n v="7.24"/>
    <n v="177742"/>
  </r>
  <r>
    <s v="ORD02639"/>
    <x v="440"/>
    <s v="C473"/>
    <x v="102"/>
    <x v="2"/>
    <x v="46"/>
    <x v="46"/>
    <x v="0"/>
    <x v="2605"/>
    <n v="34.01"/>
    <n v="924153.73"/>
  </r>
  <r>
    <s v="ORD02640"/>
    <x v="669"/>
    <s v="C176"/>
    <x v="469"/>
    <x v="2"/>
    <x v="4"/>
    <x v="4"/>
    <x v="1"/>
    <x v="2606"/>
    <n v="21.07"/>
    <n v="1176991.27"/>
  </r>
  <r>
    <s v="ORD02641"/>
    <x v="0"/>
    <s v="C124"/>
    <x v="54"/>
    <x v="1"/>
    <x v="8"/>
    <x v="8"/>
    <x v="3"/>
    <x v="2607"/>
    <n v="19.399999999999999"/>
    <n v="1436453.6"/>
  </r>
  <r>
    <s v="ORD02642"/>
    <x v="475"/>
    <s v="C185"/>
    <x v="241"/>
    <x v="2"/>
    <x v="36"/>
    <x v="36"/>
    <x v="4"/>
    <x v="2608"/>
    <n v="48.28"/>
    <n v="1636112.64"/>
  </r>
  <r>
    <s v="ORD02643"/>
    <x v="264"/>
    <s v="C046"/>
    <x v="446"/>
    <x v="0"/>
    <x v="9"/>
    <x v="9"/>
    <x v="4"/>
    <x v="2609"/>
    <n v="16.25"/>
    <n v="1479205"/>
  </r>
  <r>
    <s v="ORD02644"/>
    <x v="12"/>
    <s v="C426"/>
    <x v="163"/>
    <x v="2"/>
    <x v="2"/>
    <x v="2"/>
    <x v="1"/>
    <x v="2610"/>
    <n v="7.79"/>
    <n v="94539.44"/>
  </r>
  <r>
    <s v="ORD02645"/>
    <x v="10"/>
    <s v="C023"/>
    <x v="304"/>
    <x v="4"/>
    <x v="28"/>
    <x v="28"/>
    <x v="3"/>
    <x v="2611"/>
    <n v="2.09"/>
    <n v="10518.97"/>
  </r>
  <r>
    <s v="ORD02646"/>
    <x v="345"/>
    <s v="C094"/>
    <x v="55"/>
    <x v="1"/>
    <x v="27"/>
    <x v="27"/>
    <x v="4"/>
    <x v="2612"/>
    <n v="38.43"/>
    <n v="70442.19"/>
  </r>
  <r>
    <s v="ORD02647"/>
    <x v="636"/>
    <s v="C093"/>
    <x v="292"/>
    <x v="1"/>
    <x v="39"/>
    <x v="39"/>
    <x v="3"/>
    <x v="2613"/>
    <n v="13.56"/>
    <n v="1026695.4"/>
  </r>
  <r>
    <s v="ORD02648"/>
    <x v="151"/>
    <s v="C379"/>
    <x v="494"/>
    <x v="2"/>
    <x v="11"/>
    <x v="11"/>
    <x v="4"/>
    <x v="2614"/>
    <n v="36.950000000000003"/>
    <n v="1959310.7"/>
  </r>
  <r>
    <s v="ORD02649"/>
    <x v="528"/>
    <s v="C166"/>
    <x v="491"/>
    <x v="2"/>
    <x v="1"/>
    <x v="1"/>
    <x v="1"/>
    <x v="2615"/>
    <n v="11.55"/>
    <n v="73157.7"/>
  </r>
  <r>
    <s v="ORD02650"/>
    <x v="340"/>
    <s v="C001"/>
    <x v="488"/>
    <x v="4"/>
    <x v="38"/>
    <x v="38"/>
    <x v="2"/>
    <x v="2616"/>
    <n v="2.5499999999999998"/>
    <n v="48404.1"/>
  </r>
  <r>
    <s v="ORD02651"/>
    <x v="421"/>
    <s v="C183"/>
    <x v="89"/>
    <x v="0"/>
    <x v="6"/>
    <x v="6"/>
    <x v="0"/>
    <x v="2617"/>
    <n v="15.32"/>
    <n v="186383.12"/>
  </r>
  <r>
    <s v="ORD02652"/>
    <x v="439"/>
    <s v="C225"/>
    <x v="34"/>
    <x v="0"/>
    <x v="4"/>
    <x v="4"/>
    <x v="1"/>
    <x v="2618"/>
    <n v="36.340000000000003"/>
    <n v="3565063.02"/>
  </r>
  <r>
    <s v="ORD02653"/>
    <x v="68"/>
    <s v="C436"/>
    <x v="443"/>
    <x v="4"/>
    <x v="48"/>
    <x v="48"/>
    <x v="2"/>
    <x v="2619"/>
    <n v="21.31"/>
    <n v="1427066.77"/>
  </r>
  <r>
    <s v="ORD02654"/>
    <x v="605"/>
    <s v="C295"/>
    <x v="485"/>
    <x v="4"/>
    <x v="9"/>
    <x v="9"/>
    <x v="4"/>
    <x v="2620"/>
    <n v="43.77"/>
    <n v="472365.84"/>
  </r>
  <r>
    <s v="ORD02655"/>
    <x v="701"/>
    <s v="C260"/>
    <x v="153"/>
    <x v="2"/>
    <x v="32"/>
    <x v="32"/>
    <x v="4"/>
    <x v="1096"/>
    <n v="20.22"/>
    <n v="855386.88"/>
  </r>
  <r>
    <s v="ORD02656"/>
    <x v="137"/>
    <s v="C303"/>
    <x v="262"/>
    <x v="0"/>
    <x v="48"/>
    <x v="48"/>
    <x v="2"/>
    <x v="2621"/>
    <n v="7.02"/>
    <n v="125966.88"/>
  </r>
  <r>
    <s v="ORD02657"/>
    <x v="145"/>
    <s v="C305"/>
    <x v="101"/>
    <x v="1"/>
    <x v="21"/>
    <x v="21"/>
    <x v="2"/>
    <x v="2622"/>
    <n v="42.19"/>
    <n v="1007750.34"/>
  </r>
  <r>
    <s v="ORD02658"/>
    <x v="562"/>
    <s v="C213"/>
    <x v="283"/>
    <x v="1"/>
    <x v="43"/>
    <x v="43"/>
    <x v="4"/>
    <x v="2623"/>
    <n v="29.69"/>
    <n v="2456966.2599999998"/>
  </r>
  <r>
    <s v="ORD02659"/>
    <x v="552"/>
    <s v="C304"/>
    <x v="381"/>
    <x v="3"/>
    <x v="45"/>
    <x v="45"/>
    <x v="3"/>
    <x v="2624"/>
    <n v="16.63"/>
    <n v="680898.72"/>
  </r>
  <r>
    <s v="ORD02660"/>
    <x v="546"/>
    <s v="C225"/>
    <x v="34"/>
    <x v="0"/>
    <x v="25"/>
    <x v="25"/>
    <x v="4"/>
    <x v="2625"/>
    <n v="43.36"/>
    <n v="108269.92"/>
  </r>
  <r>
    <s v="ORD02661"/>
    <x v="680"/>
    <s v="C393"/>
    <x v="5"/>
    <x v="3"/>
    <x v="48"/>
    <x v="48"/>
    <x v="2"/>
    <x v="2626"/>
    <n v="32.479999999999997"/>
    <n v="2443145.6"/>
  </r>
  <r>
    <s v="ORD02662"/>
    <x v="578"/>
    <s v="C189"/>
    <x v="253"/>
    <x v="0"/>
    <x v="7"/>
    <x v="7"/>
    <x v="3"/>
    <x v="2627"/>
    <n v="36.65"/>
    <n v="1626673.6"/>
  </r>
  <r>
    <s v="ORD02663"/>
    <x v="453"/>
    <s v="C002"/>
    <x v="314"/>
    <x v="3"/>
    <x v="11"/>
    <x v="11"/>
    <x v="4"/>
    <x v="2628"/>
    <n v="4.67"/>
    <n v="430172.38"/>
  </r>
  <r>
    <s v="ORD02664"/>
    <x v="324"/>
    <s v="C289"/>
    <x v="408"/>
    <x v="1"/>
    <x v="10"/>
    <x v="10"/>
    <x v="3"/>
    <x v="2629"/>
    <n v="39.590000000000003"/>
    <n v="3339456.09"/>
  </r>
  <r>
    <s v="ORD02665"/>
    <x v="345"/>
    <s v="C207"/>
    <x v="352"/>
    <x v="3"/>
    <x v="26"/>
    <x v="26"/>
    <x v="0"/>
    <x v="2630"/>
    <n v="41.75"/>
    <n v="1827481"/>
  </r>
  <r>
    <s v="ORD02666"/>
    <x v="499"/>
    <s v="C125"/>
    <x v="473"/>
    <x v="0"/>
    <x v="30"/>
    <x v="30"/>
    <x v="4"/>
    <x v="2631"/>
    <n v="19.649999999999999"/>
    <n v="1656711.15"/>
  </r>
  <r>
    <s v="ORD02667"/>
    <x v="165"/>
    <s v="C051"/>
    <x v="66"/>
    <x v="4"/>
    <x v="30"/>
    <x v="30"/>
    <x v="4"/>
    <x v="2632"/>
    <n v="43.2"/>
    <n v="4167028.8"/>
  </r>
  <r>
    <s v="ORD02668"/>
    <x v="313"/>
    <s v="C480"/>
    <x v="331"/>
    <x v="3"/>
    <x v="35"/>
    <x v="35"/>
    <x v="1"/>
    <x v="2633"/>
    <n v="39.03"/>
    <n v="3801951.33"/>
  </r>
  <r>
    <s v="ORD02669"/>
    <x v="216"/>
    <s v="C239"/>
    <x v="12"/>
    <x v="3"/>
    <x v="21"/>
    <x v="21"/>
    <x v="2"/>
    <x v="2634"/>
    <n v="48.56"/>
    <n v="4340244.24"/>
  </r>
  <r>
    <s v="ORD02670"/>
    <x v="137"/>
    <s v="C214"/>
    <x v="463"/>
    <x v="2"/>
    <x v="11"/>
    <x v="11"/>
    <x v="4"/>
    <x v="2635"/>
    <n v="19.89"/>
    <n v="386482.59"/>
  </r>
  <r>
    <s v="ORD02671"/>
    <x v="562"/>
    <s v="C330"/>
    <x v="48"/>
    <x v="2"/>
    <x v="48"/>
    <x v="48"/>
    <x v="2"/>
    <x v="2636"/>
    <n v="47.83"/>
    <n v="1213016.6299999999"/>
  </r>
  <r>
    <s v="ORD02672"/>
    <x v="206"/>
    <s v="C176"/>
    <x v="469"/>
    <x v="2"/>
    <x v="47"/>
    <x v="47"/>
    <x v="2"/>
    <x v="2637"/>
    <n v="32.53"/>
    <n v="2713067.06"/>
  </r>
  <r>
    <s v="ORD02673"/>
    <x v="294"/>
    <s v="C372"/>
    <x v="217"/>
    <x v="4"/>
    <x v="33"/>
    <x v="33"/>
    <x v="1"/>
    <x v="2638"/>
    <n v="22.72"/>
    <n v="1513038.4"/>
  </r>
  <r>
    <s v="ORD02674"/>
    <x v="159"/>
    <s v="C390"/>
    <x v="233"/>
    <x v="2"/>
    <x v="43"/>
    <x v="43"/>
    <x v="4"/>
    <x v="2639"/>
    <n v="33.049999999999997"/>
    <n v="1314001.8999999999"/>
  </r>
  <r>
    <s v="ORD02675"/>
    <x v="196"/>
    <s v="C154"/>
    <x v="496"/>
    <x v="0"/>
    <x v="9"/>
    <x v="9"/>
    <x v="4"/>
    <x v="2640"/>
    <n v="40.630000000000003"/>
    <n v="1438220.74"/>
  </r>
  <r>
    <s v="ORD02676"/>
    <x v="632"/>
    <s v="C174"/>
    <x v="26"/>
    <x v="4"/>
    <x v="6"/>
    <x v="6"/>
    <x v="0"/>
    <x v="2641"/>
    <n v="26.77"/>
    <n v="1134405.52"/>
  </r>
  <r>
    <s v="ORD02677"/>
    <x v="129"/>
    <s v="C298"/>
    <x v="349"/>
    <x v="1"/>
    <x v="0"/>
    <x v="0"/>
    <x v="0"/>
    <x v="2642"/>
    <n v="28.89"/>
    <n v="865573.29"/>
  </r>
  <r>
    <s v="ORD02678"/>
    <x v="346"/>
    <s v="C159"/>
    <x v="243"/>
    <x v="0"/>
    <x v="22"/>
    <x v="22"/>
    <x v="0"/>
    <x v="2643"/>
    <n v="19.98"/>
    <n v="653925.42000000004"/>
  </r>
  <r>
    <s v="ORD02679"/>
    <x v="80"/>
    <s v="C167"/>
    <x v="404"/>
    <x v="4"/>
    <x v="28"/>
    <x v="28"/>
    <x v="3"/>
    <x v="2644"/>
    <n v="11.59"/>
    <n v="1043065.23"/>
  </r>
  <r>
    <s v="ORD02680"/>
    <x v="683"/>
    <s v="C187"/>
    <x v="108"/>
    <x v="3"/>
    <x v="44"/>
    <x v="44"/>
    <x v="2"/>
    <x v="2645"/>
    <n v="8.19"/>
    <n v="549647.28"/>
  </r>
  <r>
    <s v="ORD02681"/>
    <x v="410"/>
    <s v="C247"/>
    <x v="433"/>
    <x v="4"/>
    <x v="25"/>
    <x v="25"/>
    <x v="4"/>
    <x v="2646"/>
    <n v="12.91"/>
    <n v="722766.35"/>
  </r>
  <r>
    <s v="ORD02682"/>
    <x v="187"/>
    <s v="C355"/>
    <x v="81"/>
    <x v="2"/>
    <x v="25"/>
    <x v="25"/>
    <x v="4"/>
    <x v="2647"/>
    <n v="48.7"/>
    <n v="631785.1"/>
  </r>
  <r>
    <s v="ORD02683"/>
    <x v="526"/>
    <s v="C393"/>
    <x v="5"/>
    <x v="3"/>
    <x v="39"/>
    <x v="39"/>
    <x v="3"/>
    <x v="2648"/>
    <n v="5.7"/>
    <n v="99180"/>
  </r>
  <r>
    <s v="ORD02684"/>
    <x v="131"/>
    <s v="C413"/>
    <x v="298"/>
    <x v="3"/>
    <x v="40"/>
    <x v="40"/>
    <x v="0"/>
    <x v="2649"/>
    <n v="4.47"/>
    <n v="444215.19"/>
  </r>
  <r>
    <s v="ORD02685"/>
    <x v="145"/>
    <s v="C018"/>
    <x v="332"/>
    <x v="3"/>
    <x v="41"/>
    <x v="41"/>
    <x v="4"/>
    <x v="1941"/>
    <n v="37.39"/>
    <n v="2954894.31"/>
  </r>
  <r>
    <s v="ORD02686"/>
    <x v="282"/>
    <s v="C477"/>
    <x v="87"/>
    <x v="4"/>
    <x v="47"/>
    <x v="47"/>
    <x v="2"/>
    <x v="2650"/>
    <n v="15.74"/>
    <n v="1319515.68"/>
  </r>
  <r>
    <s v="ORD02687"/>
    <x v="571"/>
    <s v="C098"/>
    <x v="364"/>
    <x v="2"/>
    <x v="15"/>
    <x v="15"/>
    <x v="2"/>
    <x v="2651"/>
    <n v="48.73"/>
    <n v="1789121.95"/>
  </r>
  <r>
    <s v="ORD02688"/>
    <x v="534"/>
    <s v="C482"/>
    <x v="369"/>
    <x v="4"/>
    <x v="19"/>
    <x v="19"/>
    <x v="3"/>
    <x v="2652"/>
    <n v="44.65"/>
    <n v="3543781.2"/>
  </r>
  <r>
    <s v="ORD02689"/>
    <x v="271"/>
    <s v="C198"/>
    <x v="0"/>
    <x v="0"/>
    <x v="9"/>
    <x v="9"/>
    <x v="4"/>
    <x v="2653"/>
    <n v="15.82"/>
    <n v="459855.76"/>
  </r>
  <r>
    <s v="ORD02690"/>
    <x v="177"/>
    <s v="C374"/>
    <x v="399"/>
    <x v="1"/>
    <x v="22"/>
    <x v="22"/>
    <x v="0"/>
    <x v="2654"/>
    <n v="2.63"/>
    <n v="262589.71999999997"/>
  </r>
  <r>
    <s v="ORD02691"/>
    <x v="695"/>
    <s v="C242"/>
    <x v="264"/>
    <x v="0"/>
    <x v="1"/>
    <x v="1"/>
    <x v="1"/>
    <x v="2655"/>
    <n v="26.14"/>
    <n v="379160.7"/>
  </r>
  <r>
    <s v="ORD02692"/>
    <x v="556"/>
    <s v="C391"/>
    <x v="425"/>
    <x v="0"/>
    <x v="39"/>
    <x v="39"/>
    <x v="3"/>
    <x v="2656"/>
    <n v="7.29"/>
    <n v="133662.15"/>
  </r>
  <r>
    <s v="ORD02693"/>
    <x v="592"/>
    <s v="C243"/>
    <x v="353"/>
    <x v="0"/>
    <x v="19"/>
    <x v="19"/>
    <x v="3"/>
    <x v="2657"/>
    <n v="19.239999999999998"/>
    <n v="449869.68"/>
  </r>
  <r>
    <s v="ORD02694"/>
    <x v="160"/>
    <s v="C067"/>
    <x v="109"/>
    <x v="2"/>
    <x v="28"/>
    <x v="28"/>
    <x v="3"/>
    <x v="2658"/>
    <n v="26.32"/>
    <n v="2567121.2000000002"/>
  </r>
  <r>
    <s v="ORD02695"/>
    <x v="251"/>
    <s v="C425"/>
    <x v="144"/>
    <x v="1"/>
    <x v="26"/>
    <x v="26"/>
    <x v="0"/>
    <x v="2659"/>
    <n v="18.329999999999998"/>
    <n v="1092468"/>
  </r>
  <r>
    <s v="ORD02696"/>
    <x v="612"/>
    <s v="C262"/>
    <x v="123"/>
    <x v="1"/>
    <x v="40"/>
    <x v="40"/>
    <x v="0"/>
    <x v="2660"/>
    <n v="30.23"/>
    <n v="2217340.27"/>
  </r>
  <r>
    <s v="ORD02697"/>
    <x v="675"/>
    <s v="C252"/>
    <x v="111"/>
    <x v="4"/>
    <x v="44"/>
    <x v="44"/>
    <x v="2"/>
    <x v="2661"/>
    <n v="10.37"/>
    <n v="984185.59"/>
  </r>
  <r>
    <s v="ORD02698"/>
    <x v="140"/>
    <s v="C101"/>
    <x v="120"/>
    <x v="4"/>
    <x v="18"/>
    <x v="18"/>
    <x v="0"/>
    <x v="2662"/>
    <n v="3.4"/>
    <n v="231346.2"/>
  </r>
  <r>
    <s v="ORD02699"/>
    <x v="711"/>
    <s v="C058"/>
    <x v="479"/>
    <x v="2"/>
    <x v="31"/>
    <x v="31"/>
    <x v="0"/>
    <x v="2663"/>
    <n v="13.07"/>
    <n v="865926.71"/>
  </r>
  <r>
    <s v="ORD02700"/>
    <x v="71"/>
    <s v="C277"/>
    <x v="158"/>
    <x v="3"/>
    <x v="44"/>
    <x v="44"/>
    <x v="2"/>
    <x v="2664"/>
    <n v="16.95"/>
    <n v="604114.94999999995"/>
  </r>
  <r>
    <s v="ORD02701"/>
    <x v="21"/>
    <s v="C228"/>
    <x v="69"/>
    <x v="2"/>
    <x v="2"/>
    <x v="2"/>
    <x v="1"/>
    <x v="2665"/>
    <n v="12.13"/>
    <n v="187626.84"/>
  </r>
  <r>
    <s v="ORD02702"/>
    <x v="642"/>
    <s v="C061"/>
    <x v="178"/>
    <x v="2"/>
    <x v="0"/>
    <x v="0"/>
    <x v="0"/>
    <x v="2666"/>
    <n v="5.88"/>
    <n v="278617.92"/>
  </r>
  <r>
    <s v="ORD02703"/>
    <x v="613"/>
    <s v="C431"/>
    <x v="367"/>
    <x v="2"/>
    <x v="27"/>
    <x v="27"/>
    <x v="4"/>
    <x v="2667"/>
    <n v="46.97"/>
    <n v="915257.42"/>
  </r>
  <r>
    <s v="ORD02704"/>
    <x v="514"/>
    <s v="C079"/>
    <x v="439"/>
    <x v="4"/>
    <x v="3"/>
    <x v="3"/>
    <x v="2"/>
    <x v="2668"/>
    <n v="44.33"/>
    <n v="2135597.75"/>
  </r>
  <r>
    <s v="ORD02705"/>
    <x v="530"/>
    <s v="C126"/>
    <x v="424"/>
    <x v="4"/>
    <x v="46"/>
    <x v="46"/>
    <x v="0"/>
    <x v="2669"/>
    <n v="34.4"/>
    <n v="2002836.8"/>
  </r>
  <r>
    <s v="ORD02706"/>
    <x v="435"/>
    <s v="C479"/>
    <x v="58"/>
    <x v="3"/>
    <x v="48"/>
    <x v="48"/>
    <x v="2"/>
    <x v="2670"/>
    <n v="3.68"/>
    <n v="253364.32"/>
  </r>
  <r>
    <s v="ORD02707"/>
    <x v="339"/>
    <s v="C346"/>
    <x v="171"/>
    <x v="2"/>
    <x v="21"/>
    <x v="21"/>
    <x v="2"/>
    <x v="2671"/>
    <n v="8.31"/>
    <n v="556254.78"/>
  </r>
  <r>
    <s v="ORD02708"/>
    <x v="310"/>
    <s v="C292"/>
    <x v="268"/>
    <x v="0"/>
    <x v="41"/>
    <x v="41"/>
    <x v="4"/>
    <x v="2672"/>
    <n v="3.41"/>
    <n v="33571.449999999997"/>
  </r>
  <r>
    <s v="ORD02709"/>
    <x v="348"/>
    <s v="C482"/>
    <x v="369"/>
    <x v="4"/>
    <x v="41"/>
    <x v="41"/>
    <x v="4"/>
    <x v="2673"/>
    <n v="31.63"/>
    <n v="2558202.77"/>
  </r>
  <r>
    <s v="ORD02710"/>
    <x v="541"/>
    <s v="C298"/>
    <x v="349"/>
    <x v="1"/>
    <x v="49"/>
    <x v="49"/>
    <x v="3"/>
    <x v="2674"/>
    <n v="29.91"/>
    <n v="2918587.89"/>
  </r>
  <r>
    <s v="ORD02711"/>
    <x v="477"/>
    <s v="C302"/>
    <x v="166"/>
    <x v="3"/>
    <x v="16"/>
    <x v="16"/>
    <x v="1"/>
    <x v="2675"/>
    <n v="13.9"/>
    <n v="1314689.8"/>
  </r>
  <r>
    <s v="ORD02712"/>
    <x v="656"/>
    <s v="C438"/>
    <x v="475"/>
    <x v="1"/>
    <x v="45"/>
    <x v="45"/>
    <x v="3"/>
    <x v="2676"/>
    <n v="32.24"/>
    <n v="2074740.72"/>
  </r>
  <r>
    <s v="ORD02713"/>
    <x v="406"/>
    <s v="C191"/>
    <x v="186"/>
    <x v="2"/>
    <x v="4"/>
    <x v="4"/>
    <x v="1"/>
    <x v="2677"/>
    <n v="25.85"/>
    <n v="1188427.8999999999"/>
  </r>
  <r>
    <s v="ORD02714"/>
    <x v="479"/>
    <s v="C372"/>
    <x v="217"/>
    <x v="4"/>
    <x v="40"/>
    <x v="40"/>
    <x v="0"/>
    <x v="2678"/>
    <n v="9.5"/>
    <n v="395751"/>
  </r>
  <r>
    <s v="ORD02715"/>
    <x v="621"/>
    <s v="C179"/>
    <x v="377"/>
    <x v="3"/>
    <x v="29"/>
    <x v="29"/>
    <x v="0"/>
    <x v="2679"/>
    <n v="37.81"/>
    <n v="763762"/>
  </r>
  <r>
    <s v="ORD02716"/>
    <x v="96"/>
    <s v="C219"/>
    <x v="43"/>
    <x v="0"/>
    <x v="34"/>
    <x v="34"/>
    <x v="2"/>
    <x v="2680"/>
    <n v="46.21"/>
    <n v="4372066.7300000004"/>
  </r>
  <r>
    <s v="ORD02717"/>
    <x v="24"/>
    <s v="C206"/>
    <x v="401"/>
    <x v="1"/>
    <x v="1"/>
    <x v="1"/>
    <x v="1"/>
    <x v="2681"/>
    <n v="49.19"/>
    <n v="1262756.49"/>
  </r>
  <r>
    <s v="ORD02718"/>
    <x v="1"/>
    <s v="C380"/>
    <x v="193"/>
    <x v="3"/>
    <x v="35"/>
    <x v="35"/>
    <x v="1"/>
    <x v="2682"/>
    <n v="28.63"/>
    <n v="2343050.5699999998"/>
  </r>
  <r>
    <s v="ORD02719"/>
    <x v="579"/>
    <s v="C488"/>
    <x v="312"/>
    <x v="1"/>
    <x v="41"/>
    <x v="41"/>
    <x v="4"/>
    <x v="2683"/>
    <n v="36.06"/>
    <n v="3484838.4"/>
  </r>
  <r>
    <s v="ORD02720"/>
    <x v="31"/>
    <s v="C208"/>
    <x v="53"/>
    <x v="1"/>
    <x v="42"/>
    <x v="42"/>
    <x v="1"/>
    <x v="2684"/>
    <n v="32.840000000000003"/>
    <n v="3110046.52"/>
  </r>
  <r>
    <s v="ORD02721"/>
    <x v="628"/>
    <s v="C423"/>
    <x v="288"/>
    <x v="2"/>
    <x v="27"/>
    <x v="27"/>
    <x v="4"/>
    <x v="2685"/>
    <n v="24.36"/>
    <n v="2260875.96"/>
  </r>
  <r>
    <s v="ORD02722"/>
    <x v="107"/>
    <s v="C213"/>
    <x v="283"/>
    <x v="1"/>
    <x v="38"/>
    <x v="38"/>
    <x v="2"/>
    <x v="2686"/>
    <n v="32.68"/>
    <n v="1948675.72"/>
  </r>
  <r>
    <s v="ORD02723"/>
    <x v="52"/>
    <s v="C403"/>
    <x v="59"/>
    <x v="0"/>
    <x v="12"/>
    <x v="12"/>
    <x v="4"/>
    <x v="2687"/>
    <n v="46.24"/>
    <n v="3277999.84"/>
  </r>
  <r>
    <s v="ORD02724"/>
    <x v="712"/>
    <s v="C001"/>
    <x v="488"/>
    <x v="4"/>
    <x v="20"/>
    <x v="20"/>
    <x v="1"/>
    <x v="2688"/>
    <n v="47.07"/>
    <n v="3620812.68"/>
  </r>
  <r>
    <s v="ORD02725"/>
    <x v="55"/>
    <s v="C082"/>
    <x v="462"/>
    <x v="0"/>
    <x v="17"/>
    <x v="17"/>
    <x v="1"/>
    <x v="2689"/>
    <n v="20.99"/>
    <n v="616350.36"/>
  </r>
  <r>
    <s v="ORD02726"/>
    <x v="517"/>
    <s v="C303"/>
    <x v="262"/>
    <x v="0"/>
    <x v="3"/>
    <x v="3"/>
    <x v="2"/>
    <x v="2690"/>
    <n v="49.49"/>
    <n v="1775008.34"/>
  </r>
  <r>
    <s v="ORD02727"/>
    <x v="212"/>
    <s v="C193"/>
    <x v="127"/>
    <x v="4"/>
    <x v="36"/>
    <x v="36"/>
    <x v="4"/>
    <x v="2691"/>
    <n v="27.28"/>
    <n v="2150264.16"/>
  </r>
  <r>
    <s v="ORD02728"/>
    <x v="666"/>
    <s v="C245"/>
    <x v="137"/>
    <x v="1"/>
    <x v="25"/>
    <x v="25"/>
    <x v="4"/>
    <x v="2692"/>
    <n v="49.12"/>
    <n v="1249563.68"/>
  </r>
  <r>
    <s v="ORD02729"/>
    <x v="660"/>
    <s v="C167"/>
    <x v="404"/>
    <x v="4"/>
    <x v="26"/>
    <x v="26"/>
    <x v="0"/>
    <x v="2693"/>
    <n v="45.11"/>
    <n v="4224190.62"/>
  </r>
  <r>
    <s v="ORD02730"/>
    <x v="1"/>
    <s v="C382"/>
    <x v="136"/>
    <x v="3"/>
    <x v="46"/>
    <x v="46"/>
    <x v="0"/>
    <x v="2694"/>
    <n v="9.64"/>
    <n v="333341.56"/>
  </r>
  <r>
    <s v="ORD02731"/>
    <x v="134"/>
    <s v="C413"/>
    <x v="298"/>
    <x v="3"/>
    <x v="1"/>
    <x v="1"/>
    <x v="1"/>
    <x v="2695"/>
    <n v="6.59"/>
    <n v="643493.73"/>
  </r>
  <r>
    <s v="ORD02732"/>
    <x v="683"/>
    <s v="C352"/>
    <x v="162"/>
    <x v="2"/>
    <x v="25"/>
    <x v="25"/>
    <x v="4"/>
    <x v="2696"/>
    <n v="14.61"/>
    <n v="1398323.1"/>
  </r>
  <r>
    <s v="ORD02733"/>
    <x v="359"/>
    <s v="C181"/>
    <x v="93"/>
    <x v="0"/>
    <x v="3"/>
    <x v="3"/>
    <x v="2"/>
    <x v="2697"/>
    <n v="17.510000000000002"/>
    <n v="1252122.5900000001"/>
  </r>
  <r>
    <s v="ORD02734"/>
    <x v="224"/>
    <s v="C407"/>
    <x v="70"/>
    <x v="0"/>
    <x v="42"/>
    <x v="42"/>
    <x v="1"/>
    <x v="2698"/>
    <n v="11.62"/>
    <n v="147713.44"/>
  </r>
  <r>
    <s v="ORD02735"/>
    <x v="495"/>
    <s v="C202"/>
    <x v="400"/>
    <x v="1"/>
    <x v="23"/>
    <x v="23"/>
    <x v="0"/>
    <x v="2699"/>
    <n v="15.81"/>
    <n v="1481744.82"/>
  </r>
  <r>
    <s v="ORD02736"/>
    <x v="350"/>
    <s v="C463"/>
    <x v="61"/>
    <x v="3"/>
    <x v="16"/>
    <x v="16"/>
    <x v="1"/>
    <x v="2700"/>
    <n v="41.02"/>
    <n v="1652203.56"/>
  </r>
  <r>
    <s v="ORD02737"/>
    <x v="127"/>
    <s v="C427"/>
    <x v="293"/>
    <x v="0"/>
    <x v="38"/>
    <x v="38"/>
    <x v="2"/>
    <x v="2701"/>
    <n v="39.26"/>
    <n v="220444.9"/>
  </r>
  <r>
    <s v="ORD02738"/>
    <x v="0"/>
    <s v="C484"/>
    <x v="124"/>
    <x v="3"/>
    <x v="41"/>
    <x v="41"/>
    <x v="4"/>
    <x v="2702"/>
    <n v="6.43"/>
    <n v="372354.87"/>
  </r>
  <r>
    <s v="ORD02739"/>
    <x v="713"/>
    <s v="C344"/>
    <x v="307"/>
    <x v="4"/>
    <x v="47"/>
    <x v="47"/>
    <x v="2"/>
    <x v="2703"/>
    <n v="35.46"/>
    <n v="1434357"/>
  </r>
  <r>
    <s v="ORD02740"/>
    <x v="531"/>
    <s v="C186"/>
    <x v="306"/>
    <x v="4"/>
    <x v="13"/>
    <x v="13"/>
    <x v="2"/>
    <x v="2704"/>
    <n v="36.75"/>
    <n v="2114080.5"/>
  </r>
  <r>
    <s v="ORD02741"/>
    <x v="346"/>
    <s v="C368"/>
    <x v="7"/>
    <x v="1"/>
    <x v="7"/>
    <x v="7"/>
    <x v="3"/>
    <x v="2705"/>
    <n v="36.520000000000003"/>
    <n v="1738425.04"/>
  </r>
  <r>
    <s v="ORD02742"/>
    <x v="240"/>
    <s v="C078"/>
    <x v="41"/>
    <x v="4"/>
    <x v="22"/>
    <x v="22"/>
    <x v="0"/>
    <x v="2706"/>
    <n v="6.78"/>
    <n v="444652.74"/>
  </r>
  <r>
    <s v="ORD02743"/>
    <x v="472"/>
    <s v="C136"/>
    <x v="428"/>
    <x v="1"/>
    <x v="6"/>
    <x v="6"/>
    <x v="0"/>
    <x v="2707"/>
    <n v="12.9"/>
    <n v="666349.5"/>
  </r>
  <r>
    <s v="ORD02744"/>
    <x v="2"/>
    <s v="C371"/>
    <x v="355"/>
    <x v="2"/>
    <x v="38"/>
    <x v="38"/>
    <x v="2"/>
    <x v="2708"/>
    <n v="48.28"/>
    <n v="819215.04"/>
  </r>
  <r>
    <s v="ORD02745"/>
    <x v="173"/>
    <s v="C110"/>
    <x v="114"/>
    <x v="1"/>
    <x v="21"/>
    <x v="21"/>
    <x v="2"/>
    <x v="2709"/>
    <n v="25.21"/>
    <n v="2366286.23"/>
  </r>
  <r>
    <s v="ORD02746"/>
    <x v="215"/>
    <s v="C403"/>
    <x v="59"/>
    <x v="0"/>
    <x v="31"/>
    <x v="31"/>
    <x v="0"/>
    <x v="2710"/>
    <n v="16.04"/>
    <n v="1372077.64"/>
  </r>
  <r>
    <s v="ORD02747"/>
    <x v="194"/>
    <s v="C034"/>
    <x v="19"/>
    <x v="0"/>
    <x v="4"/>
    <x v="4"/>
    <x v="1"/>
    <x v="2711"/>
    <n v="5.71"/>
    <n v="256196.28"/>
  </r>
  <r>
    <s v="ORD02748"/>
    <x v="252"/>
    <s v="C339"/>
    <x v="330"/>
    <x v="3"/>
    <x v="4"/>
    <x v="4"/>
    <x v="1"/>
    <x v="2712"/>
    <n v="22.59"/>
    <n v="1711102.14"/>
  </r>
  <r>
    <s v="ORD02749"/>
    <x v="681"/>
    <s v="C206"/>
    <x v="401"/>
    <x v="1"/>
    <x v="9"/>
    <x v="9"/>
    <x v="4"/>
    <x v="2713"/>
    <n v="21.53"/>
    <n v="762614.13"/>
  </r>
  <r>
    <s v="ORD02750"/>
    <x v="214"/>
    <s v="C411"/>
    <x v="2"/>
    <x v="2"/>
    <x v="25"/>
    <x v="25"/>
    <x v="4"/>
    <x v="2714"/>
    <n v="20.12"/>
    <n v="805323.12"/>
  </r>
  <r>
    <s v="ORD02751"/>
    <x v="588"/>
    <s v="C006"/>
    <x v="319"/>
    <x v="2"/>
    <x v="2"/>
    <x v="2"/>
    <x v="1"/>
    <x v="2715"/>
    <n v="22.7"/>
    <n v="2138703.2000000002"/>
  </r>
  <r>
    <s v="ORD02752"/>
    <x v="333"/>
    <s v="C029"/>
    <x v="30"/>
    <x v="4"/>
    <x v="49"/>
    <x v="49"/>
    <x v="3"/>
    <x v="2716"/>
    <n v="4.13"/>
    <n v="317931.53000000003"/>
  </r>
  <r>
    <s v="ORD02753"/>
    <x v="125"/>
    <s v="C108"/>
    <x v="310"/>
    <x v="4"/>
    <x v="32"/>
    <x v="32"/>
    <x v="4"/>
    <x v="2717"/>
    <n v="6.91"/>
    <n v="658516.09"/>
  </r>
  <r>
    <s v="ORD02754"/>
    <x v="534"/>
    <s v="C214"/>
    <x v="463"/>
    <x v="2"/>
    <x v="22"/>
    <x v="22"/>
    <x v="0"/>
    <x v="2718"/>
    <n v="16.95"/>
    <n v="45951.45"/>
  </r>
  <r>
    <s v="ORD02755"/>
    <x v="467"/>
    <s v="C253"/>
    <x v="379"/>
    <x v="4"/>
    <x v="27"/>
    <x v="27"/>
    <x v="4"/>
    <x v="2719"/>
    <n v="42.45"/>
    <n v="620406.75"/>
  </r>
  <r>
    <s v="ORD02756"/>
    <x v="293"/>
    <s v="C498"/>
    <x v="68"/>
    <x v="0"/>
    <x v="32"/>
    <x v="32"/>
    <x v="4"/>
    <x v="2720"/>
    <n v="42.29"/>
    <n v="2748427.1"/>
  </r>
  <r>
    <s v="ORD02757"/>
    <x v="359"/>
    <s v="C427"/>
    <x v="293"/>
    <x v="0"/>
    <x v="42"/>
    <x v="42"/>
    <x v="1"/>
    <x v="2721"/>
    <n v="2.69"/>
    <n v="234853.14"/>
  </r>
  <r>
    <s v="ORD02758"/>
    <x v="260"/>
    <s v="C294"/>
    <x v="484"/>
    <x v="4"/>
    <x v="3"/>
    <x v="3"/>
    <x v="2"/>
    <x v="2722"/>
    <n v="28.47"/>
    <n v="1967362.41"/>
  </r>
  <r>
    <s v="ORD02759"/>
    <x v="714"/>
    <s v="C288"/>
    <x v="177"/>
    <x v="3"/>
    <x v="2"/>
    <x v="2"/>
    <x v="1"/>
    <x v="2723"/>
    <n v="31.41"/>
    <n v="1556805.24"/>
  </r>
  <r>
    <s v="ORD02760"/>
    <x v="319"/>
    <s v="C325"/>
    <x v="414"/>
    <x v="0"/>
    <x v="41"/>
    <x v="41"/>
    <x v="4"/>
    <x v="2724"/>
    <n v="14.49"/>
    <n v="1388257.92"/>
  </r>
  <r>
    <s v="ORD02761"/>
    <x v="214"/>
    <s v="C300"/>
    <x v="204"/>
    <x v="0"/>
    <x v="27"/>
    <x v="27"/>
    <x v="4"/>
    <x v="2725"/>
    <n v="38.590000000000003"/>
    <n v="1829899.21"/>
  </r>
  <r>
    <s v="ORD02762"/>
    <x v="125"/>
    <s v="C264"/>
    <x v="65"/>
    <x v="0"/>
    <x v="11"/>
    <x v="11"/>
    <x v="4"/>
    <x v="9"/>
    <n v="32.25"/>
    <n v="1740693.75"/>
  </r>
  <r>
    <s v="ORD02763"/>
    <x v="332"/>
    <s v="C227"/>
    <x v="278"/>
    <x v="2"/>
    <x v="26"/>
    <x v="26"/>
    <x v="0"/>
    <x v="2726"/>
    <n v="24.55"/>
    <n v="1465340.4"/>
  </r>
  <r>
    <s v="ORD02764"/>
    <x v="313"/>
    <s v="C121"/>
    <x v="8"/>
    <x v="2"/>
    <x v="36"/>
    <x v="36"/>
    <x v="4"/>
    <x v="2727"/>
    <n v="49.31"/>
    <n v="3697214.49"/>
  </r>
  <r>
    <s v="ORD02765"/>
    <x v="172"/>
    <s v="C046"/>
    <x v="446"/>
    <x v="0"/>
    <x v="48"/>
    <x v="48"/>
    <x v="2"/>
    <x v="2728"/>
    <n v="10.62"/>
    <n v="490081.14"/>
  </r>
  <r>
    <s v="ORD02766"/>
    <x v="166"/>
    <s v="C257"/>
    <x v="281"/>
    <x v="0"/>
    <x v="42"/>
    <x v="42"/>
    <x v="1"/>
    <x v="2729"/>
    <n v="8.9700000000000006"/>
    <n v="292063.2"/>
  </r>
  <r>
    <s v="ORD02767"/>
    <x v="24"/>
    <s v="C184"/>
    <x v="125"/>
    <x v="2"/>
    <x v="30"/>
    <x v="30"/>
    <x v="4"/>
    <x v="2730"/>
    <n v="37.83"/>
    <n v="3595211.88"/>
  </r>
  <r>
    <s v="ORD02768"/>
    <x v="193"/>
    <s v="C173"/>
    <x v="342"/>
    <x v="2"/>
    <x v="14"/>
    <x v="14"/>
    <x v="2"/>
    <x v="2731"/>
    <n v="13.26"/>
    <n v="1023632.22"/>
  </r>
  <r>
    <s v="ORD02769"/>
    <x v="698"/>
    <s v="C185"/>
    <x v="241"/>
    <x v="2"/>
    <x v="10"/>
    <x v="10"/>
    <x v="3"/>
    <x v="2732"/>
    <n v="13.33"/>
    <n v="1259685"/>
  </r>
  <r>
    <s v="ORD02770"/>
    <x v="290"/>
    <s v="C197"/>
    <x v="437"/>
    <x v="1"/>
    <x v="38"/>
    <x v="38"/>
    <x v="2"/>
    <x v="2733"/>
    <n v="40.96"/>
    <n v="2756812.7999999998"/>
  </r>
  <r>
    <s v="ORD02771"/>
    <x v="715"/>
    <s v="C226"/>
    <x v="51"/>
    <x v="0"/>
    <x v="18"/>
    <x v="18"/>
    <x v="0"/>
    <x v="2734"/>
    <n v="45.48"/>
    <n v="1840939.44"/>
  </r>
  <r>
    <s v="ORD02772"/>
    <x v="112"/>
    <s v="C311"/>
    <x v="128"/>
    <x v="0"/>
    <x v="49"/>
    <x v="49"/>
    <x v="3"/>
    <x v="2735"/>
    <n v="44.2"/>
    <n v="136136"/>
  </r>
  <r>
    <s v="ORD02773"/>
    <x v="660"/>
    <s v="C090"/>
    <x v="380"/>
    <x v="1"/>
    <x v="42"/>
    <x v="42"/>
    <x v="1"/>
    <x v="2736"/>
    <n v="34.72"/>
    <n v="2593722.88"/>
  </r>
  <r>
    <s v="ORD02774"/>
    <x v="22"/>
    <s v="C297"/>
    <x v="49"/>
    <x v="3"/>
    <x v="44"/>
    <x v="44"/>
    <x v="2"/>
    <x v="2737"/>
    <n v="33.03"/>
    <n v="2559164.4"/>
  </r>
  <r>
    <s v="ORD02775"/>
    <x v="488"/>
    <s v="C318"/>
    <x v="235"/>
    <x v="2"/>
    <x v="40"/>
    <x v="40"/>
    <x v="0"/>
    <x v="2738"/>
    <n v="34.409999999999997"/>
    <n v="1416453.24"/>
  </r>
  <r>
    <s v="ORD02776"/>
    <x v="591"/>
    <s v="C222"/>
    <x v="453"/>
    <x v="0"/>
    <x v="30"/>
    <x v="30"/>
    <x v="4"/>
    <x v="2739"/>
    <n v="8.58"/>
    <n v="789857.64"/>
  </r>
  <r>
    <s v="ORD02777"/>
    <x v="506"/>
    <s v="C333"/>
    <x v="189"/>
    <x v="0"/>
    <x v="30"/>
    <x v="30"/>
    <x v="4"/>
    <x v="2740"/>
    <n v="33.47"/>
    <n v="2432934.2999999998"/>
  </r>
  <r>
    <s v="ORD02778"/>
    <x v="118"/>
    <s v="C077"/>
    <x v="426"/>
    <x v="0"/>
    <x v="37"/>
    <x v="37"/>
    <x v="1"/>
    <x v="2741"/>
    <n v="39.950000000000003"/>
    <n v="2404750.2999999998"/>
  </r>
  <r>
    <s v="ORD02779"/>
    <x v="411"/>
    <s v="C339"/>
    <x v="330"/>
    <x v="3"/>
    <x v="29"/>
    <x v="29"/>
    <x v="0"/>
    <x v="2742"/>
    <n v="39.08"/>
    <n v="1818665.96"/>
  </r>
  <r>
    <s v="ORD02780"/>
    <x v="593"/>
    <s v="C107"/>
    <x v="324"/>
    <x v="1"/>
    <x v="46"/>
    <x v="46"/>
    <x v="0"/>
    <x v="2743"/>
    <n v="24.54"/>
    <n v="141963.9"/>
  </r>
  <r>
    <s v="ORD02781"/>
    <x v="341"/>
    <s v="C500"/>
    <x v="86"/>
    <x v="0"/>
    <x v="48"/>
    <x v="48"/>
    <x v="2"/>
    <x v="2744"/>
    <n v="41.58"/>
    <n v="3876628.14"/>
  </r>
  <r>
    <s v="ORD02782"/>
    <x v="567"/>
    <s v="C311"/>
    <x v="128"/>
    <x v="0"/>
    <x v="22"/>
    <x v="22"/>
    <x v="0"/>
    <x v="2745"/>
    <n v="36.090000000000003"/>
    <n v="974177.37"/>
  </r>
  <r>
    <s v="ORD02783"/>
    <x v="205"/>
    <s v="C467"/>
    <x v="131"/>
    <x v="2"/>
    <x v="44"/>
    <x v="44"/>
    <x v="2"/>
    <x v="2746"/>
    <n v="21.43"/>
    <n v="530092.48"/>
  </r>
  <r>
    <s v="ORD02784"/>
    <x v="315"/>
    <s v="C120"/>
    <x v="445"/>
    <x v="2"/>
    <x v="2"/>
    <x v="2"/>
    <x v="1"/>
    <x v="2747"/>
    <n v="48.48"/>
    <n v="3005566.08"/>
  </r>
  <r>
    <s v="ORD02785"/>
    <x v="562"/>
    <s v="C479"/>
    <x v="58"/>
    <x v="3"/>
    <x v="1"/>
    <x v="1"/>
    <x v="1"/>
    <x v="2748"/>
    <n v="47.19"/>
    <n v="3759863.25"/>
  </r>
  <r>
    <s v="ORD02786"/>
    <x v="593"/>
    <s v="C199"/>
    <x v="419"/>
    <x v="3"/>
    <x v="0"/>
    <x v="0"/>
    <x v="0"/>
    <x v="2749"/>
    <n v="35.53"/>
    <n v="2404563.81"/>
  </r>
  <r>
    <s v="ORD02787"/>
    <x v="408"/>
    <s v="C180"/>
    <x v="200"/>
    <x v="0"/>
    <x v="0"/>
    <x v="0"/>
    <x v="0"/>
    <x v="2750"/>
    <n v="47.26"/>
    <n v="3546059.58"/>
  </r>
  <r>
    <s v="ORD02788"/>
    <x v="133"/>
    <s v="C109"/>
    <x v="78"/>
    <x v="1"/>
    <x v="24"/>
    <x v="24"/>
    <x v="3"/>
    <x v="2751"/>
    <n v="29.93"/>
    <n v="2305058.9500000002"/>
  </r>
  <r>
    <s v="ORD02789"/>
    <x v="191"/>
    <s v="C356"/>
    <x v="416"/>
    <x v="1"/>
    <x v="48"/>
    <x v="48"/>
    <x v="2"/>
    <x v="2752"/>
    <n v="24.02"/>
    <n v="553877.18000000005"/>
  </r>
  <r>
    <s v="ORD02790"/>
    <x v="716"/>
    <s v="C248"/>
    <x v="392"/>
    <x v="0"/>
    <x v="8"/>
    <x v="8"/>
    <x v="3"/>
    <x v="2753"/>
    <n v="46.71"/>
    <n v="3813170.85"/>
  </r>
  <r>
    <s v="ORD02791"/>
    <x v="590"/>
    <s v="C224"/>
    <x v="147"/>
    <x v="4"/>
    <x v="49"/>
    <x v="49"/>
    <x v="3"/>
    <x v="2754"/>
    <n v="34.5"/>
    <n v="1205533.5"/>
  </r>
  <r>
    <s v="ORD02792"/>
    <x v="232"/>
    <s v="C206"/>
    <x v="401"/>
    <x v="1"/>
    <x v="11"/>
    <x v="11"/>
    <x v="4"/>
    <x v="2755"/>
    <n v="38.299999999999997"/>
    <n v="2252001.7000000002"/>
  </r>
  <r>
    <s v="ORD02793"/>
    <x v="422"/>
    <s v="C252"/>
    <x v="111"/>
    <x v="4"/>
    <x v="16"/>
    <x v="16"/>
    <x v="1"/>
    <x v="2756"/>
    <n v="33.28"/>
    <n v="1989345.28"/>
  </r>
  <r>
    <s v="ORD02794"/>
    <x v="439"/>
    <s v="C478"/>
    <x v="269"/>
    <x v="0"/>
    <x v="18"/>
    <x v="18"/>
    <x v="0"/>
    <x v="2757"/>
    <n v="12.21"/>
    <n v="355701.72"/>
  </r>
  <r>
    <s v="ORD02795"/>
    <x v="207"/>
    <s v="C052"/>
    <x v="212"/>
    <x v="4"/>
    <x v="38"/>
    <x v="38"/>
    <x v="2"/>
    <x v="2758"/>
    <n v="49.19"/>
    <n v="1341017.78"/>
  </r>
  <r>
    <s v="ORD02796"/>
    <x v="500"/>
    <s v="C305"/>
    <x v="101"/>
    <x v="1"/>
    <x v="20"/>
    <x v="20"/>
    <x v="1"/>
    <x v="2759"/>
    <n v="5.2"/>
    <n v="458010.8"/>
  </r>
  <r>
    <s v="ORD02797"/>
    <x v="222"/>
    <s v="C125"/>
    <x v="473"/>
    <x v="0"/>
    <x v="3"/>
    <x v="3"/>
    <x v="2"/>
    <x v="2760"/>
    <n v="24.51"/>
    <n v="2361759.09"/>
  </r>
  <r>
    <s v="ORD02798"/>
    <x v="566"/>
    <s v="C235"/>
    <x v="199"/>
    <x v="0"/>
    <x v="41"/>
    <x v="41"/>
    <x v="4"/>
    <x v="2761"/>
    <n v="3.18"/>
    <n v="227268.24"/>
  </r>
  <r>
    <s v="ORD02799"/>
    <x v="576"/>
    <s v="C166"/>
    <x v="491"/>
    <x v="2"/>
    <x v="45"/>
    <x v="45"/>
    <x v="3"/>
    <x v="2762"/>
    <n v="12.66"/>
    <n v="709276.5"/>
  </r>
  <r>
    <s v="ORD02800"/>
    <x v="189"/>
    <s v="C180"/>
    <x v="200"/>
    <x v="0"/>
    <x v="1"/>
    <x v="1"/>
    <x v="1"/>
    <x v="2763"/>
    <n v="24.58"/>
    <n v="1453243.34"/>
  </r>
  <r>
    <s v="ORD02801"/>
    <x v="19"/>
    <s v="C104"/>
    <x v="21"/>
    <x v="2"/>
    <x v="29"/>
    <x v="29"/>
    <x v="0"/>
    <x v="2764"/>
    <n v="5.57"/>
    <n v="487219.04"/>
  </r>
  <r>
    <s v="ORD02802"/>
    <x v="140"/>
    <s v="C368"/>
    <x v="7"/>
    <x v="1"/>
    <x v="49"/>
    <x v="49"/>
    <x v="3"/>
    <x v="2765"/>
    <n v="11.93"/>
    <n v="25756.87"/>
  </r>
  <r>
    <s v="ORD02803"/>
    <x v="619"/>
    <s v="C217"/>
    <x v="145"/>
    <x v="4"/>
    <x v="23"/>
    <x v="23"/>
    <x v="0"/>
    <x v="2766"/>
    <n v="12.36"/>
    <n v="238189.56"/>
  </r>
  <r>
    <s v="ORD02804"/>
    <x v="680"/>
    <s v="C242"/>
    <x v="264"/>
    <x v="0"/>
    <x v="30"/>
    <x v="30"/>
    <x v="4"/>
    <x v="2767"/>
    <n v="27.51"/>
    <n v="1086755.04"/>
  </r>
  <r>
    <s v="ORD02805"/>
    <x v="157"/>
    <s v="C055"/>
    <x v="301"/>
    <x v="1"/>
    <x v="45"/>
    <x v="45"/>
    <x v="3"/>
    <x v="2768"/>
    <n v="40.22"/>
    <n v="3793590.62"/>
  </r>
  <r>
    <s v="ORD02806"/>
    <x v="160"/>
    <s v="C390"/>
    <x v="233"/>
    <x v="2"/>
    <x v="26"/>
    <x v="26"/>
    <x v="0"/>
    <x v="2769"/>
    <n v="24.07"/>
    <n v="999097.56"/>
  </r>
  <r>
    <s v="ORD02807"/>
    <x v="107"/>
    <s v="C058"/>
    <x v="479"/>
    <x v="2"/>
    <x v="39"/>
    <x v="39"/>
    <x v="3"/>
    <x v="2770"/>
    <n v="32.19"/>
    <n v="718030.14"/>
  </r>
  <r>
    <s v="ORD02808"/>
    <x v="556"/>
    <s v="C144"/>
    <x v="470"/>
    <x v="4"/>
    <x v="0"/>
    <x v="0"/>
    <x v="0"/>
    <x v="2771"/>
    <n v="20.260000000000002"/>
    <n v="1500455.6"/>
  </r>
  <r>
    <s v="ORD02809"/>
    <x v="421"/>
    <s v="C417"/>
    <x v="417"/>
    <x v="2"/>
    <x v="44"/>
    <x v="44"/>
    <x v="2"/>
    <x v="2772"/>
    <n v="47.5"/>
    <n v="3706187.5"/>
  </r>
  <r>
    <s v="ORD02810"/>
    <x v="271"/>
    <s v="C496"/>
    <x v="82"/>
    <x v="0"/>
    <x v="25"/>
    <x v="25"/>
    <x v="4"/>
    <x v="2773"/>
    <n v="10.65"/>
    <n v="532074"/>
  </r>
  <r>
    <s v="ORD02811"/>
    <x v="550"/>
    <s v="C367"/>
    <x v="337"/>
    <x v="4"/>
    <x v="13"/>
    <x v="13"/>
    <x v="2"/>
    <x v="2774"/>
    <n v="42.26"/>
    <n v="2530909.14"/>
  </r>
  <r>
    <s v="ORD02812"/>
    <x v="143"/>
    <s v="C303"/>
    <x v="262"/>
    <x v="0"/>
    <x v="27"/>
    <x v="27"/>
    <x v="4"/>
    <x v="2775"/>
    <n v="37.479999999999997"/>
    <n v="3170957.92"/>
  </r>
  <r>
    <s v="ORD02813"/>
    <x v="450"/>
    <s v="C363"/>
    <x v="72"/>
    <x v="4"/>
    <x v="29"/>
    <x v="29"/>
    <x v="0"/>
    <x v="2776"/>
    <n v="45.36"/>
    <n v="464304.96"/>
  </r>
  <r>
    <s v="ORD02814"/>
    <x v="113"/>
    <s v="C374"/>
    <x v="399"/>
    <x v="1"/>
    <x v="16"/>
    <x v="16"/>
    <x v="1"/>
    <x v="2777"/>
    <n v="44.16"/>
    <n v="3070091.52"/>
  </r>
  <r>
    <s v="ORD02815"/>
    <x v="233"/>
    <s v="C236"/>
    <x v="25"/>
    <x v="2"/>
    <x v="34"/>
    <x v="34"/>
    <x v="2"/>
    <x v="2778"/>
    <n v="11.7"/>
    <n v="276424.2"/>
  </r>
  <r>
    <s v="ORD02816"/>
    <x v="466"/>
    <s v="C167"/>
    <x v="404"/>
    <x v="4"/>
    <x v="31"/>
    <x v="31"/>
    <x v="0"/>
    <x v="2779"/>
    <n v="14.49"/>
    <n v="1392344.1"/>
  </r>
  <r>
    <s v="ORD02817"/>
    <x v="702"/>
    <s v="C379"/>
    <x v="494"/>
    <x v="2"/>
    <x v="1"/>
    <x v="1"/>
    <x v="1"/>
    <x v="2780"/>
    <n v="18.579999999999998"/>
    <n v="704312.06"/>
  </r>
  <r>
    <s v="ORD02818"/>
    <x v="347"/>
    <s v="C475"/>
    <x v="33"/>
    <x v="1"/>
    <x v="13"/>
    <x v="13"/>
    <x v="2"/>
    <x v="2781"/>
    <n v="8.17"/>
    <n v="791525.94"/>
  </r>
  <r>
    <s v="ORD02819"/>
    <x v="582"/>
    <s v="C048"/>
    <x v="411"/>
    <x v="3"/>
    <x v="27"/>
    <x v="27"/>
    <x v="4"/>
    <x v="2782"/>
    <n v="27.94"/>
    <n v="1541617.44"/>
  </r>
  <r>
    <s v="ORD02820"/>
    <x v="46"/>
    <s v="C183"/>
    <x v="89"/>
    <x v="0"/>
    <x v="37"/>
    <x v="37"/>
    <x v="1"/>
    <x v="2783"/>
    <n v="46"/>
    <n v="3377918"/>
  </r>
  <r>
    <s v="ORD02821"/>
    <x v="8"/>
    <s v="C264"/>
    <x v="65"/>
    <x v="0"/>
    <x v="5"/>
    <x v="5"/>
    <x v="3"/>
    <x v="2784"/>
    <n v="4.04"/>
    <n v="334604.92"/>
  </r>
  <r>
    <s v="ORD02822"/>
    <x v="499"/>
    <s v="C472"/>
    <x v="3"/>
    <x v="3"/>
    <x v="11"/>
    <x v="11"/>
    <x v="4"/>
    <x v="2785"/>
    <n v="32.96"/>
    <n v="2381030.3999999999"/>
  </r>
  <r>
    <s v="ORD02823"/>
    <x v="93"/>
    <s v="C304"/>
    <x v="381"/>
    <x v="3"/>
    <x v="34"/>
    <x v="34"/>
    <x v="2"/>
    <x v="2786"/>
    <n v="28.03"/>
    <n v="2503387.33"/>
  </r>
  <r>
    <s v="ORD02824"/>
    <x v="125"/>
    <s v="C331"/>
    <x v="167"/>
    <x v="1"/>
    <x v="48"/>
    <x v="48"/>
    <x v="2"/>
    <x v="2787"/>
    <n v="39.729999999999997"/>
    <n v="342949.36"/>
  </r>
  <r>
    <s v="ORD02825"/>
    <x v="171"/>
    <s v="C478"/>
    <x v="269"/>
    <x v="0"/>
    <x v="7"/>
    <x v="7"/>
    <x v="3"/>
    <x v="2788"/>
    <n v="34.79"/>
    <n v="1433208.84"/>
  </r>
  <r>
    <s v="ORD02826"/>
    <x v="147"/>
    <s v="C189"/>
    <x v="253"/>
    <x v="0"/>
    <x v="37"/>
    <x v="37"/>
    <x v="1"/>
    <x v="658"/>
    <n v="13.17"/>
    <n v="619069.02"/>
  </r>
  <r>
    <s v="ORD02827"/>
    <x v="371"/>
    <s v="C169"/>
    <x v="375"/>
    <x v="0"/>
    <x v="44"/>
    <x v="44"/>
    <x v="2"/>
    <x v="2789"/>
    <n v="44.36"/>
    <n v="1140983.56"/>
  </r>
  <r>
    <s v="ORD02828"/>
    <x v="668"/>
    <s v="C495"/>
    <x v="348"/>
    <x v="3"/>
    <x v="39"/>
    <x v="39"/>
    <x v="3"/>
    <x v="2790"/>
    <n v="15.4"/>
    <n v="474150.6"/>
  </r>
  <r>
    <s v="ORD02829"/>
    <x v="170"/>
    <s v="C344"/>
    <x v="307"/>
    <x v="4"/>
    <x v="30"/>
    <x v="30"/>
    <x v="4"/>
    <x v="2791"/>
    <n v="8.16"/>
    <n v="467486.4"/>
  </r>
  <r>
    <s v="ORD02830"/>
    <x v="450"/>
    <s v="C145"/>
    <x v="94"/>
    <x v="4"/>
    <x v="42"/>
    <x v="42"/>
    <x v="1"/>
    <x v="2792"/>
    <n v="7.37"/>
    <n v="679329.75"/>
  </r>
  <r>
    <s v="ORD02831"/>
    <x v="594"/>
    <s v="C457"/>
    <x v="196"/>
    <x v="3"/>
    <x v="26"/>
    <x v="26"/>
    <x v="0"/>
    <x v="2793"/>
    <n v="24.51"/>
    <n v="1917025.14"/>
  </r>
  <r>
    <s v="ORD02832"/>
    <x v="559"/>
    <s v="C238"/>
    <x v="450"/>
    <x v="4"/>
    <x v="39"/>
    <x v="39"/>
    <x v="3"/>
    <x v="2794"/>
    <n v="39.090000000000003"/>
    <n v="378899.37"/>
  </r>
  <r>
    <s v="ORD02833"/>
    <x v="587"/>
    <s v="C027"/>
    <x v="289"/>
    <x v="1"/>
    <x v="3"/>
    <x v="3"/>
    <x v="2"/>
    <x v="2795"/>
    <n v="7.47"/>
    <n v="594148.86"/>
  </r>
  <r>
    <s v="ORD02834"/>
    <x v="584"/>
    <s v="C186"/>
    <x v="306"/>
    <x v="4"/>
    <x v="36"/>
    <x v="36"/>
    <x v="4"/>
    <x v="2796"/>
    <n v="31.48"/>
    <n v="1440965.52"/>
  </r>
  <r>
    <s v="ORD02835"/>
    <x v="649"/>
    <s v="C254"/>
    <x v="431"/>
    <x v="1"/>
    <x v="47"/>
    <x v="47"/>
    <x v="2"/>
    <x v="2797"/>
    <n v="20.27"/>
    <n v="1517513.55"/>
  </r>
  <r>
    <s v="ORD02836"/>
    <x v="222"/>
    <s v="C452"/>
    <x v="148"/>
    <x v="4"/>
    <x v="7"/>
    <x v="7"/>
    <x v="3"/>
    <x v="2798"/>
    <n v="47.89"/>
    <n v="1422045.66"/>
  </r>
  <r>
    <s v="ORD02837"/>
    <x v="625"/>
    <s v="C412"/>
    <x v="22"/>
    <x v="2"/>
    <x v="11"/>
    <x v="11"/>
    <x v="4"/>
    <x v="2799"/>
    <n v="31.65"/>
    <n v="2992412.55"/>
  </r>
  <r>
    <s v="ORD02838"/>
    <x v="706"/>
    <s v="C205"/>
    <x v="490"/>
    <x v="4"/>
    <x v="8"/>
    <x v="8"/>
    <x v="3"/>
    <x v="2800"/>
    <n v="37.36"/>
    <n v="2667130.4"/>
  </r>
  <r>
    <s v="ORD02839"/>
    <x v="316"/>
    <s v="C125"/>
    <x v="473"/>
    <x v="0"/>
    <x v="10"/>
    <x v="10"/>
    <x v="3"/>
    <x v="2801"/>
    <n v="25.82"/>
    <n v="1739235.2"/>
  </r>
  <r>
    <s v="ORD02840"/>
    <x v="490"/>
    <s v="C450"/>
    <x v="429"/>
    <x v="2"/>
    <x v="49"/>
    <x v="49"/>
    <x v="3"/>
    <x v="2802"/>
    <n v="41.67"/>
    <n v="2243054.4300000002"/>
  </r>
  <r>
    <s v="ORD02841"/>
    <x v="687"/>
    <s v="C405"/>
    <x v="230"/>
    <x v="4"/>
    <x v="19"/>
    <x v="19"/>
    <x v="3"/>
    <x v="2803"/>
    <n v="23.73"/>
    <n v="207779.88"/>
  </r>
  <r>
    <s v="ORD02842"/>
    <x v="356"/>
    <s v="C161"/>
    <x v="169"/>
    <x v="1"/>
    <x v="6"/>
    <x v="6"/>
    <x v="0"/>
    <x v="2804"/>
    <n v="12.31"/>
    <n v="105373.6"/>
  </r>
  <r>
    <s v="ORD02843"/>
    <x v="212"/>
    <s v="C154"/>
    <x v="496"/>
    <x v="0"/>
    <x v="45"/>
    <x v="45"/>
    <x v="3"/>
    <x v="2805"/>
    <n v="22.42"/>
    <n v="288388.46000000002"/>
  </r>
  <r>
    <s v="ORD02844"/>
    <x v="407"/>
    <s v="C200"/>
    <x v="119"/>
    <x v="4"/>
    <x v="34"/>
    <x v="34"/>
    <x v="2"/>
    <x v="2806"/>
    <n v="41.62"/>
    <n v="3358401.04"/>
  </r>
  <r>
    <s v="ORD02845"/>
    <x v="630"/>
    <s v="C301"/>
    <x v="418"/>
    <x v="3"/>
    <x v="15"/>
    <x v="15"/>
    <x v="2"/>
    <x v="2807"/>
    <n v="2.31"/>
    <n v="117747.63"/>
  </r>
  <r>
    <s v="ORD02846"/>
    <x v="335"/>
    <s v="C475"/>
    <x v="33"/>
    <x v="1"/>
    <x v="41"/>
    <x v="41"/>
    <x v="4"/>
    <x v="2808"/>
    <n v="47.91"/>
    <n v="2535397.2000000002"/>
  </r>
  <r>
    <s v="ORD02847"/>
    <x v="206"/>
    <s v="C479"/>
    <x v="58"/>
    <x v="3"/>
    <x v="40"/>
    <x v="40"/>
    <x v="0"/>
    <x v="2809"/>
    <n v="14.82"/>
    <n v="981424.86"/>
  </r>
  <r>
    <s v="ORD02848"/>
    <x v="455"/>
    <s v="C478"/>
    <x v="269"/>
    <x v="0"/>
    <x v="16"/>
    <x v="16"/>
    <x v="1"/>
    <x v="2810"/>
    <n v="38.94"/>
    <n v="3279565.74"/>
  </r>
  <r>
    <s v="ORD02849"/>
    <x v="98"/>
    <s v="C060"/>
    <x v="420"/>
    <x v="2"/>
    <x v="45"/>
    <x v="45"/>
    <x v="3"/>
    <x v="2811"/>
    <n v="9.61"/>
    <n v="515461.18"/>
  </r>
  <r>
    <s v="ORD02850"/>
    <x v="710"/>
    <s v="C437"/>
    <x v="195"/>
    <x v="2"/>
    <x v="12"/>
    <x v="12"/>
    <x v="4"/>
    <x v="2812"/>
    <n v="45.88"/>
    <n v="2330474.6"/>
  </r>
  <r>
    <s v="ORD02851"/>
    <x v="569"/>
    <s v="C350"/>
    <x v="280"/>
    <x v="3"/>
    <x v="21"/>
    <x v="21"/>
    <x v="2"/>
    <x v="2813"/>
    <n v="45.69"/>
    <n v="147989.91"/>
  </r>
  <r>
    <s v="ORD02852"/>
    <x v="106"/>
    <s v="C484"/>
    <x v="124"/>
    <x v="3"/>
    <x v="35"/>
    <x v="35"/>
    <x v="1"/>
    <x v="2814"/>
    <n v="40.07"/>
    <n v="898329.33"/>
  </r>
  <r>
    <s v="ORD02853"/>
    <x v="219"/>
    <s v="C348"/>
    <x v="413"/>
    <x v="0"/>
    <x v="8"/>
    <x v="8"/>
    <x v="3"/>
    <x v="2815"/>
    <n v="19.23"/>
    <n v="1546265.07"/>
  </r>
  <r>
    <s v="ORD02854"/>
    <x v="441"/>
    <s v="C395"/>
    <x v="261"/>
    <x v="3"/>
    <x v="36"/>
    <x v="36"/>
    <x v="4"/>
    <x v="2816"/>
    <n v="32.549999999999997"/>
    <n v="561520.05000000005"/>
  </r>
  <r>
    <s v="ORD02855"/>
    <x v="301"/>
    <s v="C244"/>
    <x v="259"/>
    <x v="1"/>
    <x v="30"/>
    <x v="30"/>
    <x v="4"/>
    <x v="2817"/>
    <n v="7.74"/>
    <n v="617946.12"/>
  </r>
  <r>
    <s v="ORD02856"/>
    <x v="167"/>
    <s v="C388"/>
    <x v="191"/>
    <x v="2"/>
    <x v="10"/>
    <x v="10"/>
    <x v="3"/>
    <x v="2818"/>
    <n v="33.11"/>
    <n v="1136434.53"/>
  </r>
  <r>
    <s v="ORD02857"/>
    <x v="159"/>
    <s v="C273"/>
    <x v="185"/>
    <x v="0"/>
    <x v="27"/>
    <x v="27"/>
    <x v="4"/>
    <x v="2819"/>
    <n v="20.350000000000001"/>
    <n v="1677369.1"/>
  </r>
  <r>
    <s v="ORD02858"/>
    <x v="335"/>
    <s v="C427"/>
    <x v="293"/>
    <x v="0"/>
    <x v="17"/>
    <x v="17"/>
    <x v="1"/>
    <x v="2820"/>
    <n v="17.97"/>
    <n v="1300273.26"/>
  </r>
  <r>
    <s v="ORD02859"/>
    <x v="608"/>
    <s v="C307"/>
    <x v="318"/>
    <x v="0"/>
    <x v="0"/>
    <x v="0"/>
    <x v="0"/>
    <x v="2821"/>
    <n v="12.48"/>
    <n v="1143767.04"/>
  </r>
  <r>
    <s v="ORD02860"/>
    <x v="27"/>
    <s v="C240"/>
    <x v="218"/>
    <x v="3"/>
    <x v="2"/>
    <x v="2"/>
    <x v="1"/>
    <x v="2822"/>
    <n v="15.25"/>
    <n v="1049245.75"/>
  </r>
  <r>
    <s v="ORD02861"/>
    <x v="717"/>
    <s v="C094"/>
    <x v="55"/>
    <x v="1"/>
    <x v="42"/>
    <x v="42"/>
    <x v="1"/>
    <x v="2823"/>
    <n v="25.7"/>
    <n v="1256113.2"/>
  </r>
  <r>
    <s v="ORD02862"/>
    <x v="629"/>
    <s v="C122"/>
    <x v="297"/>
    <x v="4"/>
    <x v="32"/>
    <x v="32"/>
    <x v="4"/>
    <x v="2824"/>
    <n v="7.94"/>
    <n v="148867.06"/>
  </r>
  <r>
    <s v="ORD02863"/>
    <x v="433"/>
    <s v="C276"/>
    <x v="360"/>
    <x v="1"/>
    <x v="16"/>
    <x v="16"/>
    <x v="1"/>
    <x v="2825"/>
    <n v="43.16"/>
    <n v="2846445.16"/>
  </r>
  <r>
    <s v="ORD02864"/>
    <x v="498"/>
    <s v="C173"/>
    <x v="342"/>
    <x v="2"/>
    <x v="11"/>
    <x v="11"/>
    <x v="4"/>
    <x v="2826"/>
    <n v="42.88"/>
    <n v="55272.32"/>
  </r>
  <r>
    <s v="ORD02865"/>
    <x v="413"/>
    <s v="C438"/>
    <x v="475"/>
    <x v="1"/>
    <x v="12"/>
    <x v="12"/>
    <x v="4"/>
    <x v="2827"/>
    <n v="37.76"/>
    <n v="834156.16"/>
  </r>
  <r>
    <s v="ORD02866"/>
    <x v="112"/>
    <s v="C034"/>
    <x v="19"/>
    <x v="0"/>
    <x v="36"/>
    <x v="36"/>
    <x v="4"/>
    <x v="2828"/>
    <n v="27.07"/>
    <n v="1906540.1"/>
  </r>
  <r>
    <s v="ORD02867"/>
    <x v="123"/>
    <s v="C412"/>
    <x v="22"/>
    <x v="2"/>
    <x v="2"/>
    <x v="2"/>
    <x v="1"/>
    <x v="2829"/>
    <n v="45.33"/>
    <n v="980170.59"/>
  </r>
  <r>
    <s v="ORD02868"/>
    <x v="452"/>
    <s v="C230"/>
    <x v="465"/>
    <x v="4"/>
    <x v="24"/>
    <x v="24"/>
    <x v="3"/>
    <x v="2830"/>
    <n v="2.0499999999999998"/>
    <n v="144026.85"/>
  </r>
  <r>
    <s v="ORD02869"/>
    <x v="426"/>
    <s v="C337"/>
    <x v="483"/>
    <x v="0"/>
    <x v="40"/>
    <x v="40"/>
    <x v="0"/>
    <x v="2831"/>
    <n v="40.72"/>
    <n v="977931.52"/>
  </r>
  <r>
    <s v="ORD02870"/>
    <x v="99"/>
    <s v="C461"/>
    <x v="164"/>
    <x v="0"/>
    <x v="39"/>
    <x v="39"/>
    <x v="3"/>
    <x v="2832"/>
    <n v="30.4"/>
    <n v="2602696"/>
  </r>
  <r>
    <s v="ORD02871"/>
    <x v="718"/>
    <s v="C027"/>
    <x v="289"/>
    <x v="1"/>
    <x v="22"/>
    <x v="22"/>
    <x v="0"/>
    <x v="1201"/>
    <n v="3.25"/>
    <n v="49962.25"/>
  </r>
  <r>
    <s v="ORD02872"/>
    <x v="150"/>
    <s v="C293"/>
    <x v="372"/>
    <x v="0"/>
    <x v="7"/>
    <x v="7"/>
    <x v="3"/>
    <x v="2833"/>
    <n v="6.86"/>
    <n v="146776.56"/>
  </r>
  <r>
    <s v="ORD02873"/>
    <x v="578"/>
    <s v="C476"/>
    <x v="201"/>
    <x v="3"/>
    <x v="27"/>
    <x v="27"/>
    <x v="4"/>
    <x v="2834"/>
    <n v="44.69"/>
    <n v="1612236.44"/>
  </r>
  <r>
    <s v="ORD02874"/>
    <x v="88"/>
    <s v="C086"/>
    <x v="362"/>
    <x v="0"/>
    <x v="11"/>
    <x v="11"/>
    <x v="4"/>
    <x v="2835"/>
    <n v="30.36"/>
    <n v="1157292.8400000001"/>
  </r>
  <r>
    <s v="ORD02875"/>
    <x v="130"/>
    <s v="C118"/>
    <x v="74"/>
    <x v="1"/>
    <x v="45"/>
    <x v="45"/>
    <x v="3"/>
    <x v="2836"/>
    <n v="43.37"/>
    <n v="1383242.78"/>
  </r>
  <r>
    <s v="ORD02876"/>
    <x v="401"/>
    <s v="C007"/>
    <x v="471"/>
    <x v="1"/>
    <x v="8"/>
    <x v="8"/>
    <x v="3"/>
    <x v="2837"/>
    <n v="49.82"/>
    <n v="4262649.0199999996"/>
  </r>
  <r>
    <s v="ORD02877"/>
    <x v="716"/>
    <s v="C059"/>
    <x v="256"/>
    <x v="4"/>
    <x v="10"/>
    <x v="10"/>
    <x v="3"/>
    <x v="2838"/>
    <n v="43.73"/>
    <n v="1268126.27"/>
  </r>
  <r>
    <s v="ORD02878"/>
    <x v="336"/>
    <s v="C277"/>
    <x v="158"/>
    <x v="3"/>
    <x v="8"/>
    <x v="8"/>
    <x v="3"/>
    <x v="2839"/>
    <n v="47.73"/>
    <n v="1088816.76"/>
  </r>
  <r>
    <s v="ORD02879"/>
    <x v="217"/>
    <s v="C374"/>
    <x v="399"/>
    <x v="1"/>
    <x v="45"/>
    <x v="45"/>
    <x v="3"/>
    <x v="2840"/>
    <n v="44.47"/>
    <n v="1165291.8799999999"/>
  </r>
  <r>
    <s v="ORD02880"/>
    <x v="337"/>
    <s v="C071"/>
    <x v="279"/>
    <x v="0"/>
    <x v="10"/>
    <x v="10"/>
    <x v="3"/>
    <x v="2841"/>
    <n v="20.260000000000002"/>
    <n v="1196150.3999999999"/>
  </r>
  <r>
    <s v="ORD02881"/>
    <x v="118"/>
    <s v="C075"/>
    <x v="460"/>
    <x v="3"/>
    <x v="2"/>
    <x v="2"/>
    <x v="1"/>
    <x v="2842"/>
    <n v="25.4"/>
    <n v="1926971"/>
  </r>
  <r>
    <s v="ORD02882"/>
    <x v="610"/>
    <s v="C432"/>
    <x v="14"/>
    <x v="0"/>
    <x v="18"/>
    <x v="18"/>
    <x v="0"/>
    <x v="2843"/>
    <n v="28.14"/>
    <n v="1489112.52"/>
  </r>
  <r>
    <s v="ORD02883"/>
    <x v="64"/>
    <s v="C074"/>
    <x v="329"/>
    <x v="2"/>
    <x v="39"/>
    <x v="39"/>
    <x v="3"/>
    <x v="2844"/>
    <n v="2.1"/>
    <n v="38579.1"/>
  </r>
  <r>
    <s v="ORD02884"/>
    <x v="192"/>
    <s v="C111"/>
    <x v="286"/>
    <x v="0"/>
    <x v="35"/>
    <x v="35"/>
    <x v="1"/>
    <x v="2845"/>
    <n v="48.78"/>
    <n v="2566510.92"/>
  </r>
  <r>
    <s v="ORD02885"/>
    <x v="716"/>
    <s v="C032"/>
    <x v="234"/>
    <x v="4"/>
    <x v="6"/>
    <x v="6"/>
    <x v="0"/>
    <x v="2846"/>
    <n v="2.11"/>
    <n v="144604.63"/>
  </r>
  <r>
    <s v="ORD02886"/>
    <x v="175"/>
    <s v="C065"/>
    <x v="13"/>
    <x v="2"/>
    <x v="19"/>
    <x v="19"/>
    <x v="3"/>
    <x v="2847"/>
    <n v="15.06"/>
    <n v="627745.98"/>
  </r>
  <r>
    <s v="ORD02887"/>
    <x v="480"/>
    <s v="C035"/>
    <x v="325"/>
    <x v="1"/>
    <x v="39"/>
    <x v="39"/>
    <x v="3"/>
    <x v="2848"/>
    <n v="9.4700000000000006"/>
    <n v="226910.67"/>
  </r>
  <r>
    <s v="ORD02888"/>
    <x v="506"/>
    <s v="C415"/>
    <x v="152"/>
    <x v="0"/>
    <x v="12"/>
    <x v="12"/>
    <x v="4"/>
    <x v="2849"/>
    <n v="13.48"/>
    <n v="399924.64"/>
  </r>
  <r>
    <s v="ORD02889"/>
    <x v="240"/>
    <s v="C405"/>
    <x v="230"/>
    <x v="4"/>
    <x v="25"/>
    <x v="25"/>
    <x v="4"/>
    <x v="2850"/>
    <n v="3.37"/>
    <n v="331122.71999999997"/>
  </r>
  <r>
    <s v="ORD02890"/>
    <x v="354"/>
    <s v="C330"/>
    <x v="48"/>
    <x v="2"/>
    <x v="0"/>
    <x v="0"/>
    <x v="0"/>
    <x v="2851"/>
    <n v="19.079999999999998"/>
    <n v="19938.599999999999"/>
  </r>
  <r>
    <s v="ORD02891"/>
    <x v="609"/>
    <s v="C107"/>
    <x v="324"/>
    <x v="1"/>
    <x v="39"/>
    <x v="39"/>
    <x v="3"/>
    <x v="2852"/>
    <n v="13.29"/>
    <n v="202473.15"/>
  </r>
  <r>
    <s v="ORD02892"/>
    <x v="325"/>
    <s v="C281"/>
    <x v="317"/>
    <x v="2"/>
    <x v="38"/>
    <x v="38"/>
    <x v="2"/>
    <x v="2853"/>
    <n v="12.88"/>
    <n v="127421.84"/>
  </r>
  <r>
    <s v="ORD02893"/>
    <x v="621"/>
    <s v="C199"/>
    <x v="419"/>
    <x v="3"/>
    <x v="17"/>
    <x v="17"/>
    <x v="1"/>
    <x v="2854"/>
    <n v="37.369999999999997"/>
    <n v="3113780.51"/>
  </r>
  <r>
    <s v="ORD02894"/>
    <x v="435"/>
    <s v="C077"/>
    <x v="426"/>
    <x v="0"/>
    <x v="39"/>
    <x v="39"/>
    <x v="3"/>
    <x v="2855"/>
    <n v="39.22"/>
    <n v="1443374.44"/>
  </r>
  <r>
    <s v="ORD02895"/>
    <x v="98"/>
    <s v="C330"/>
    <x v="48"/>
    <x v="2"/>
    <x v="31"/>
    <x v="31"/>
    <x v="0"/>
    <x v="2856"/>
    <n v="2.84"/>
    <n v="95225.2"/>
  </r>
  <r>
    <s v="ORD02896"/>
    <x v="614"/>
    <s v="C108"/>
    <x v="310"/>
    <x v="4"/>
    <x v="4"/>
    <x v="4"/>
    <x v="1"/>
    <x v="2857"/>
    <n v="22.84"/>
    <n v="1317456.8799999999"/>
  </r>
  <r>
    <s v="ORD02897"/>
    <x v="494"/>
    <s v="C143"/>
    <x v="448"/>
    <x v="4"/>
    <x v="38"/>
    <x v="38"/>
    <x v="2"/>
    <x v="2858"/>
    <n v="41.97"/>
    <n v="613475.49"/>
  </r>
  <r>
    <s v="ORD02898"/>
    <x v="425"/>
    <s v="C129"/>
    <x v="334"/>
    <x v="3"/>
    <x v="14"/>
    <x v="14"/>
    <x v="2"/>
    <x v="2859"/>
    <n v="9.7899999999999991"/>
    <n v="153977.12"/>
  </r>
  <r>
    <s v="ORD02899"/>
    <x v="220"/>
    <s v="C275"/>
    <x v="126"/>
    <x v="1"/>
    <x v="16"/>
    <x v="16"/>
    <x v="1"/>
    <x v="2860"/>
    <n v="15.76"/>
    <n v="900290"/>
  </r>
  <r>
    <s v="ORD02900"/>
    <x v="445"/>
    <s v="C084"/>
    <x v="291"/>
    <x v="3"/>
    <x v="9"/>
    <x v="9"/>
    <x v="4"/>
    <x v="2861"/>
    <n v="38.82"/>
    <n v="473448.72"/>
  </r>
  <r>
    <s v="ORD02901"/>
    <x v="542"/>
    <s v="C260"/>
    <x v="153"/>
    <x v="2"/>
    <x v="7"/>
    <x v="7"/>
    <x v="3"/>
    <x v="2862"/>
    <n v="18.98"/>
    <n v="389090"/>
  </r>
  <r>
    <s v="ORD02902"/>
    <x v="586"/>
    <s v="C126"/>
    <x v="424"/>
    <x v="4"/>
    <x v="0"/>
    <x v="0"/>
    <x v="0"/>
    <x v="2863"/>
    <n v="25.29"/>
    <n v="366022.17"/>
  </r>
  <r>
    <s v="ORD02903"/>
    <x v="327"/>
    <s v="C360"/>
    <x v="92"/>
    <x v="3"/>
    <x v="34"/>
    <x v="34"/>
    <x v="2"/>
    <x v="2864"/>
    <n v="40.49"/>
    <n v="2616018.41"/>
  </r>
  <r>
    <s v="ORD02904"/>
    <x v="409"/>
    <s v="C094"/>
    <x v="55"/>
    <x v="1"/>
    <x v="23"/>
    <x v="23"/>
    <x v="0"/>
    <x v="2865"/>
    <n v="48.56"/>
    <n v="2879656.56"/>
  </r>
  <r>
    <s v="ORD02905"/>
    <x v="231"/>
    <s v="C344"/>
    <x v="307"/>
    <x v="4"/>
    <x v="19"/>
    <x v="19"/>
    <x v="3"/>
    <x v="2866"/>
    <n v="24.52"/>
    <n v="1418531.04"/>
  </r>
  <r>
    <s v="ORD02906"/>
    <x v="162"/>
    <s v="C274"/>
    <x v="461"/>
    <x v="4"/>
    <x v="42"/>
    <x v="42"/>
    <x v="1"/>
    <x v="2867"/>
    <n v="7.39"/>
    <n v="268752.13"/>
  </r>
  <r>
    <s v="ORD02907"/>
    <x v="538"/>
    <s v="C373"/>
    <x v="435"/>
    <x v="2"/>
    <x v="48"/>
    <x v="48"/>
    <x v="2"/>
    <x v="2868"/>
    <n v="33.31"/>
    <n v="2135970.44"/>
  </r>
  <r>
    <s v="ORD02908"/>
    <x v="433"/>
    <s v="C345"/>
    <x v="15"/>
    <x v="2"/>
    <x v="38"/>
    <x v="38"/>
    <x v="2"/>
    <x v="2869"/>
    <n v="6.93"/>
    <n v="15495.48"/>
  </r>
  <r>
    <s v="ORD02909"/>
    <x v="497"/>
    <s v="C455"/>
    <x v="366"/>
    <x v="4"/>
    <x v="29"/>
    <x v="29"/>
    <x v="0"/>
    <x v="2870"/>
    <n v="30.79"/>
    <n v="1116199.08"/>
  </r>
  <r>
    <s v="ORD02910"/>
    <x v="407"/>
    <s v="C047"/>
    <x v="497"/>
    <x v="2"/>
    <x v="25"/>
    <x v="25"/>
    <x v="4"/>
    <x v="2871"/>
    <n v="38.64"/>
    <n v="1294285.44"/>
  </r>
  <r>
    <s v="ORD02911"/>
    <x v="201"/>
    <s v="C202"/>
    <x v="400"/>
    <x v="1"/>
    <x v="19"/>
    <x v="19"/>
    <x v="3"/>
    <x v="2872"/>
    <n v="7.55"/>
    <n v="282921.15000000002"/>
  </r>
  <r>
    <s v="ORD02912"/>
    <x v="225"/>
    <s v="C364"/>
    <x v="398"/>
    <x v="3"/>
    <x v="24"/>
    <x v="24"/>
    <x v="3"/>
    <x v="2873"/>
    <n v="31.02"/>
    <n v="2985612.96"/>
  </r>
  <r>
    <s v="ORD02913"/>
    <x v="308"/>
    <s v="C186"/>
    <x v="306"/>
    <x v="4"/>
    <x v="39"/>
    <x v="39"/>
    <x v="3"/>
    <x v="2874"/>
    <n v="24.52"/>
    <n v="448225.6"/>
  </r>
  <r>
    <s v="ORD02914"/>
    <x v="71"/>
    <s v="C343"/>
    <x v="229"/>
    <x v="1"/>
    <x v="46"/>
    <x v="46"/>
    <x v="0"/>
    <x v="2875"/>
    <n v="7.66"/>
    <n v="534553.1"/>
  </r>
  <r>
    <s v="ORD02915"/>
    <x v="81"/>
    <s v="C142"/>
    <x v="254"/>
    <x v="3"/>
    <x v="46"/>
    <x v="46"/>
    <x v="0"/>
    <x v="2876"/>
    <n v="46.37"/>
    <n v="3875187.27"/>
  </r>
  <r>
    <s v="ORD02916"/>
    <x v="619"/>
    <s v="C176"/>
    <x v="469"/>
    <x v="2"/>
    <x v="43"/>
    <x v="43"/>
    <x v="4"/>
    <x v="2877"/>
    <n v="42.47"/>
    <n v="3765729.96"/>
  </r>
  <r>
    <s v="ORD02917"/>
    <x v="456"/>
    <s v="C008"/>
    <x v="96"/>
    <x v="1"/>
    <x v="49"/>
    <x v="49"/>
    <x v="3"/>
    <x v="2878"/>
    <n v="15.49"/>
    <n v="1400574.82"/>
  </r>
  <r>
    <s v="ORD02918"/>
    <x v="102"/>
    <s v="C152"/>
    <x v="121"/>
    <x v="0"/>
    <x v="6"/>
    <x v="6"/>
    <x v="0"/>
    <x v="2879"/>
    <n v="21.12"/>
    <n v="2031575.04"/>
  </r>
  <r>
    <s v="ORD02919"/>
    <x v="515"/>
    <s v="C444"/>
    <x v="6"/>
    <x v="1"/>
    <x v="39"/>
    <x v="39"/>
    <x v="3"/>
    <x v="2880"/>
    <n v="44.27"/>
    <n v="2700027.3"/>
  </r>
  <r>
    <s v="ORD02920"/>
    <x v="58"/>
    <s v="C084"/>
    <x v="291"/>
    <x v="3"/>
    <x v="42"/>
    <x v="42"/>
    <x v="1"/>
    <x v="2881"/>
    <n v="49.51"/>
    <n v="4353315.28"/>
  </r>
  <r>
    <s v="ORD02921"/>
    <x v="541"/>
    <s v="C493"/>
    <x v="354"/>
    <x v="4"/>
    <x v="34"/>
    <x v="34"/>
    <x v="2"/>
    <x v="2882"/>
    <n v="41.26"/>
    <n v="1176900.24"/>
  </r>
  <r>
    <s v="ORD02922"/>
    <x v="113"/>
    <s v="C266"/>
    <x v="99"/>
    <x v="0"/>
    <x v="20"/>
    <x v="20"/>
    <x v="1"/>
    <x v="2883"/>
    <n v="34.96"/>
    <n v="3111509.92"/>
  </r>
  <r>
    <s v="ORD02923"/>
    <x v="482"/>
    <s v="C274"/>
    <x v="461"/>
    <x v="4"/>
    <x v="35"/>
    <x v="35"/>
    <x v="1"/>
    <x v="2884"/>
    <n v="21.97"/>
    <n v="888598.62"/>
  </r>
  <r>
    <s v="ORD02924"/>
    <x v="719"/>
    <s v="C381"/>
    <x v="113"/>
    <x v="2"/>
    <x v="36"/>
    <x v="36"/>
    <x v="4"/>
    <x v="2885"/>
    <n v="24.79"/>
    <n v="1493547.92"/>
  </r>
  <r>
    <s v="ORD02925"/>
    <x v="13"/>
    <s v="C307"/>
    <x v="318"/>
    <x v="0"/>
    <x v="49"/>
    <x v="49"/>
    <x v="3"/>
    <x v="2886"/>
    <n v="13.84"/>
    <n v="691598.64"/>
  </r>
  <r>
    <s v="ORD02926"/>
    <x v="513"/>
    <s v="C328"/>
    <x v="335"/>
    <x v="3"/>
    <x v="47"/>
    <x v="47"/>
    <x v="2"/>
    <x v="2887"/>
    <n v="2.94"/>
    <n v="42021.42"/>
  </r>
  <r>
    <s v="ORD02927"/>
    <x v="231"/>
    <s v="C447"/>
    <x v="146"/>
    <x v="1"/>
    <x v="33"/>
    <x v="33"/>
    <x v="1"/>
    <x v="2888"/>
    <n v="6.73"/>
    <n v="559162.05000000005"/>
  </r>
  <r>
    <s v="ORD02928"/>
    <x v="150"/>
    <s v="C093"/>
    <x v="292"/>
    <x v="1"/>
    <x v="20"/>
    <x v="20"/>
    <x v="1"/>
    <x v="2889"/>
    <n v="49.65"/>
    <n v="3304952.25"/>
  </r>
  <r>
    <s v="ORD02929"/>
    <x v="703"/>
    <s v="C434"/>
    <x v="266"/>
    <x v="1"/>
    <x v="15"/>
    <x v="15"/>
    <x v="2"/>
    <x v="2890"/>
    <n v="4.54"/>
    <n v="265376.62"/>
  </r>
  <r>
    <s v="ORD02930"/>
    <x v="50"/>
    <s v="C086"/>
    <x v="362"/>
    <x v="0"/>
    <x v="15"/>
    <x v="15"/>
    <x v="2"/>
    <x v="2891"/>
    <n v="22.79"/>
    <n v="523691.41"/>
  </r>
  <r>
    <s v="ORD02931"/>
    <x v="296"/>
    <s v="C188"/>
    <x v="138"/>
    <x v="0"/>
    <x v="27"/>
    <x v="27"/>
    <x v="4"/>
    <x v="2892"/>
    <n v="25.02"/>
    <n v="1000975.14"/>
  </r>
  <r>
    <s v="ORD02932"/>
    <x v="587"/>
    <s v="C067"/>
    <x v="109"/>
    <x v="2"/>
    <x v="8"/>
    <x v="8"/>
    <x v="3"/>
    <x v="2893"/>
    <n v="5.12"/>
    <n v="447892.47999999998"/>
  </r>
  <r>
    <s v="ORD02933"/>
    <x v="383"/>
    <s v="C303"/>
    <x v="262"/>
    <x v="0"/>
    <x v="49"/>
    <x v="49"/>
    <x v="3"/>
    <x v="2894"/>
    <n v="2.92"/>
    <n v="102792.76"/>
  </r>
  <r>
    <s v="ORD02934"/>
    <x v="374"/>
    <s v="C395"/>
    <x v="261"/>
    <x v="3"/>
    <x v="9"/>
    <x v="9"/>
    <x v="4"/>
    <x v="2895"/>
    <n v="20.04"/>
    <n v="695327.88"/>
  </r>
  <r>
    <s v="ORD02935"/>
    <x v="341"/>
    <s v="C169"/>
    <x v="375"/>
    <x v="0"/>
    <x v="4"/>
    <x v="4"/>
    <x v="1"/>
    <x v="2896"/>
    <n v="28.93"/>
    <n v="412483.94"/>
  </r>
  <r>
    <s v="ORD02936"/>
    <x v="664"/>
    <s v="C057"/>
    <x v="161"/>
    <x v="4"/>
    <x v="36"/>
    <x v="36"/>
    <x v="4"/>
    <x v="2897"/>
    <n v="49.24"/>
    <n v="171502.92"/>
  </r>
  <r>
    <s v="ORD02937"/>
    <x v="434"/>
    <s v="C299"/>
    <x v="252"/>
    <x v="4"/>
    <x v="27"/>
    <x v="27"/>
    <x v="4"/>
    <x v="2898"/>
    <n v="34.619999999999997"/>
    <n v="3108841.38"/>
  </r>
  <r>
    <s v="ORD02938"/>
    <x v="590"/>
    <s v="C324"/>
    <x v="208"/>
    <x v="0"/>
    <x v="39"/>
    <x v="39"/>
    <x v="3"/>
    <x v="2899"/>
    <n v="23.78"/>
    <n v="798936.66"/>
  </r>
  <r>
    <s v="ORD02939"/>
    <x v="320"/>
    <s v="C001"/>
    <x v="488"/>
    <x v="4"/>
    <x v="7"/>
    <x v="7"/>
    <x v="3"/>
    <x v="2900"/>
    <n v="49.31"/>
    <n v="2585175.37"/>
  </r>
  <r>
    <s v="ORD02940"/>
    <x v="720"/>
    <s v="C073"/>
    <x v="395"/>
    <x v="3"/>
    <x v="29"/>
    <x v="29"/>
    <x v="0"/>
    <x v="2901"/>
    <n v="28.62"/>
    <n v="791428.86"/>
  </r>
  <r>
    <s v="ORD02941"/>
    <x v="147"/>
    <s v="C305"/>
    <x v="101"/>
    <x v="1"/>
    <x v="33"/>
    <x v="33"/>
    <x v="1"/>
    <x v="2902"/>
    <n v="47.13"/>
    <n v="822465.63"/>
  </r>
  <r>
    <s v="ORD02942"/>
    <x v="493"/>
    <s v="C245"/>
    <x v="137"/>
    <x v="1"/>
    <x v="10"/>
    <x v="10"/>
    <x v="3"/>
    <x v="2903"/>
    <n v="10.98"/>
    <n v="756423.18"/>
  </r>
  <r>
    <s v="ORD02943"/>
    <x v="662"/>
    <s v="C117"/>
    <x v="441"/>
    <x v="2"/>
    <x v="13"/>
    <x v="13"/>
    <x v="2"/>
    <x v="2904"/>
    <n v="36.409999999999997"/>
    <n v="1559804.4"/>
  </r>
  <r>
    <s v="ORD02944"/>
    <x v="721"/>
    <s v="C256"/>
    <x v="397"/>
    <x v="1"/>
    <x v="15"/>
    <x v="15"/>
    <x v="2"/>
    <x v="2905"/>
    <n v="22.46"/>
    <n v="1837452.6"/>
  </r>
  <r>
    <s v="ORD02945"/>
    <x v="426"/>
    <s v="C387"/>
    <x v="52"/>
    <x v="2"/>
    <x v="28"/>
    <x v="28"/>
    <x v="3"/>
    <x v="2906"/>
    <n v="31.34"/>
    <n v="1617457.4"/>
  </r>
  <r>
    <s v="ORD02946"/>
    <x v="351"/>
    <s v="C215"/>
    <x v="459"/>
    <x v="1"/>
    <x v="12"/>
    <x v="12"/>
    <x v="4"/>
    <x v="2907"/>
    <n v="32.42"/>
    <n v="73171.94"/>
  </r>
  <r>
    <s v="ORD02947"/>
    <x v="335"/>
    <s v="C123"/>
    <x v="284"/>
    <x v="3"/>
    <x v="41"/>
    <x v="41"/>
    <x v="4"/>
    <x v="2908"/>
    <n v="21.68"/>
    <n v="440754.4"/>
  </r>
  <r>
    <s v="ORD02948"/>
    <x v="339"/>
    <s v="C390"/>
    <x v="233"/>
    <x v="2"/>
    <x v="7"/>
    <x v="7"/>
    <x v="3"/>
    <x v="2909"/>
    <n v="5.13"/>
    <n v="368108.28"/>
  </r>
  <r>
    <s v="ORD02949"/>
    <x v="278"/>
    <s v="C154"/>
    <x v="496"/>
    <x v="0"/>
    <x v="49"/>
    <x v="49"/>
    <x v="3"/>
    <x v="2910"/>
    <n v="49.88"/>
    <n v="3446059.56"/>
  </r>
  <r>
    <s v="ORD02950"/>
    <x v="216"/>
    <s v="C218"/>
    <x v="263"/>
    <x v="4"/>
    <x v="27"/>
    <x v="27"/>
    <x v="4"/>
    <x v="2911"/>
    <n v="22.95"/>
    <n v="1952517.15"/>
  </r>
  <r>
    <s v="ORD02951"/>
    <x v="482"/>
    <s v="C148"/>
    <x v="365"/>
    <x v="1"/>
    <x v="21"/>
    <x v="21"/>
    <x v="2"/>
    <x v="2912"/>
    <n v="34.96"/>
    <n v="912176.32"/>
  </r>
  <r>
    <s v="ORD02952"/>
    <x v="461"/>
    <s v="C315"/>
    <x v="132"/>
    <x v="2"/>
    <x v="6"/>
    <x v="6"/>
    <x v="0"/>
    <x v="2913"/>
    <n v="43.51"/>
    <n v="4060614.26"/>
  </r>
  <r>
    <s v="ORD02953"/>
    <x v="556"/>
    <s v="C277"/>
    <x v="158"/>
    <x v="3"/>
    <x v="13"/>
    <x v="13"/>
    <x v="2"/>
    <x v="2914"/>
    <n v="36.81"/>
    <n v="289621.08"/>
  </r>
  <r>
    <s v="ORD02954"/>
    <x v="692"/>
    <s v="C301"/>
    <x v="418"/>
    <x v="3"/>
    <x v="37"/>
    <x v="37"/>
    <x v="1"/>
    <x v="2915"/>
    <n v="6.25"/>
    <n v="67512.5"/>
  </r>
  <r>
    <s v="ORD02955"/>
    <x v="682"/>
    <s v="C215"/>
    <x v="459"/>
    <x v="1"/>
    <x v="16"/>
    <x v="16"/>
    <x v="1"/>
    <x v="2916"/>
    <n v="30.19"/>
    <n v="1702353.72"/>
  </r>
  <r>
    <s v="ORD02956"/>
    <x v="366"/>
    <s v="C217"/>
    <x v="145"/>
    <x v="4"/>
    <x v="35"/>
    <x v="35"/>
    <x v="1"/>
    <x v="2917"/>
    <n v="44.42"/>
    <n v="2416981.04"/>
  </r>
  <r>
    <s v="ORD02957"/>
    <x v="112"/>
    <s v="C188"/>
    <x v="138"/>
    <x v="0"/>
    <x v="37"/>
    <x v="37"/>
    <x v="1"/>
    <x v="2918"/>
    <n v="30.92"/>
    <n v="2455728.2400000002"/>
  </r>
  <r>
    <s v="ORD02958"/>
    <x v="291"/>
    <s v="C182"/>
    <x v="159"/>
    <x v="1"/>
    <x v="5"/>
    <x v="5"/>
    <x v="3"/>
    <x v="2919"/>
    <n v="23.61"/>
    <n v="924142.62"/>
  </r>
  <r>
    <s v="ORD02959"/>
    <x v="496"/>
    <s v="C217"/>
    <x v="145"/>
    <x v="4"/>
    <x v="41"/>
    <x v="41"/>
    <x v="4"/>
    <x v="2920"/>
    <n v="47.05"/>
    <n v="2096595.05"/>
  </r>
  <r>
    <s v="ORD02960"/>
    <x v="307"/>
    <s v="C234"/>
    <x v="406"/>
    <x v="4"/>
    <x v="21"/>
    <x v="21"/>
    <x v="2"/>
    <x v="2921"/>
    <n v="41.67"/>
    <n v="1442198.7"/>
  </r>
  <r>
    <s v="ORD02961"/>
    <x v="246"/>
    <s v="C149"/>
    <x v="430"/>
    <x v="2"/>
    <x v="21"/>
    <x v="21"/>
    <x v="2"/>
    <x v="2922"/>
    <n v="16.91"/>
    <n v="1344869.21"/>
  </r>
  <r>
    <s v="ORD02962"/>
    <x v="596"/>
    <s v="C027"/>
    <x v="289"/>
    <x v="1"/>
    <x v="38"/>
    <x v="38"/>
    <x v="2"/>
    <x v="2923"/>
    <n v="36.44"/>
    <n v="3619949.6"/>
  </r>
  <r>
    <s v="ORD02963"/>
    <x v="434"/>
    <s v="C409"/>
    <x v="466"/>
    <x v="3"/>
    <x v="25"/>
    <x v="25"/>
    <x v="4"/>
    <x v="2924"/>
    <n v="16.579999999999998"/>
    <n v="1273974.04"/>
  </r>
  <r>
    <s v="ORD02964"/>
    <x v="573"/>
    <s v="C341"/>
    <x v="104"/>
    <x v="0"/>
    <x v="18"/>
    <x v="18"/>
    <x v="0"/>
    <x v="2925"/>
    <n v="28"/>
    <n v="54096"/>
  </r>
  <r>
    <s v="ORD02965"/>
    <x v="648"/>
    <s v="C180"/>
    <x v="200"/>
    <x v="0"/>
    <x v="14"/>
    <x v="14"/>
    <x v="2"/>
    <x v="2926"/>
    <n v="15.53"/>
    <n v="272334.08000000002"/>
  </r>
  <r>
    <s v="ORD02966"/>
    <x v="129"/>
    <s v="C445"/>
    <x v="248"/>
    <x v="3"/>
    <x v="34"/>
    <x v="34"/>
    <x v="2"/>
    <x v="2927"/>
    <n v="46.72"/>
    <n v="765787.52"/>
  </r>
  <r>
    <s v="ORD02967"/>
    <x v="178"/>
    <s v="C197"/>
    <x v="437"/>
    <x v="1"/>
    <x v="19"/>
    <x v="19"/>
    <x v="3"/>
    <x v="2928"/>
    <n v="37.85"/>
    <n v="1739586"/>
  </r>
  <r>
    <s v="ORD02968"/>
    <x v="241"/>
    <s v="C011"/>
    <x v="28"/>
    <x v="4"/>
    <x v="45"/>
    <x v="45"/>
    <x v="3"/>
    <x v="2929"/>
    <n v="39.86"/>
    <n v="1491521.34"/>
  </r>
  <r>
    <s v="ORD02969"/>
    <x v="581"/>
    <s v="C149"/>
    <x v="430"/>
    <x v="2"/>
    <x v="26"/>
    <x v="26"/>
    <x v="0"/>
    <x v="2930"/>
    <n v="38.43"/>
    <n v="2737714.77"/>
  </r>
  <r>
    <s v="ORD02970"/>
    <x v="475"/>
    <s v="C384"/>
    <x v="187"/>
    <x v="4"/>
    <x v="17"/>
    <x v="17"/>
    <x v="1"/>
    <x v="2931"/>
    <n v="49.62"/>
    <n v="2164424.4"/>
  </r>
  <r>
    <s v="ORD02971"/>
    <x v="102"/>
    <s v="C099"/>
    <x v="302"/>
    <x v="2"/>
    <x v="5"/>
    <x v="5"/>
    <x v="3"/>
    <x v="2932"/>
    <n v="14.01"/>
    <n v="488794.89"/>
  </r>
  <r>
    <s v="ORD02972"/>
    <x v="646"/>
    <s v="C446"/>
    <x v="371"/>
    <x v="4"/>
    <x v="21"/>
    <x v="21"/>
    <x v="2"/>
    <x v="2933"/>
    <n v="4.3600000000000003"/>
    <n v="274087.03999999998"/>
  </r>
  <r>
    <s v="ORD02973"/>
    <x v="619"/>
    <s v="C386"/>
    <x v="272"/>
    <x v="0"/>
    <x v="16"/>
    <x v="16"/>
    <x v="1"/>
    <x v="2934"/>
    <n v="12.69"/>
    <n v="720779.31"/>
  </r>
  <r>
    <s v="ORD02974"/>
    <x v="517"/>
    <s v="C215"/>
    <x v="459"/>
    <x v="1"/>
    <x v="4"/>
    <x v="4"/>
    <x v="1"/>
    <x v="2935"/>
    <n v="17.82"/>
    <n v="741775.32"/>
  </r>
  <r>
    <s v="ORD02975"/>
    <x v="633"/>
    <s v="C002"/>
    <x v="314"/>
    <x v="3"/>
    <x v="15"/>
    <x v="15"/>
    <x v="2"/>
    <x v="2936"/>
    <n v="6.15"/>
    <n v="135410.70000000001"/>
  </r>
  <r>
    <s v="ORD02976"/>
    <x v="236"/>
    <s v="C471"/>
    <x v="160"/>
    <x v="2"/>
    <x v="24"/>
    <x v="24"/>
    <x v="3"/>
    <x v="2937"/>
    <n v="46.96"/>
    <n v="1628150.16"/>
  </r>
  <r>
    <s v="ORD02977"/>
    <x v="147"/>
    <s v="C210"/>
    <x v="247"/>
    <x v="4"/>
    <x v="4"/>
    <x v="4"/>
    <x v="1"/>
    <x v="711"/>
    <n v="47.06"/>
    <n v="3381025.7"/>
  </r>
  <r>
    <s v="ORD02978"/>
    <x v="274"/>
    <s v="C070"/>
    <x v="249"/>
    <x v="4"/>
    <x v="14"/>
    <x v="14"/>
    <x v="2"/>
    <x v="2938"/>
    <n v="4.91"/>
    <n v="161764.85999999999"/>
  </r>
  <r>
    <s v="ORD02979"/>
    <x v="23"/>
    <s v="C472"/>
    <x v="3"/>
    <x v="3"/>
    <x v="16"/>
    <x v="16"/>
    <x v="1"/>
    <x v="463"/>
    <n v="14.6"/>
    <n v="897739.4"/>
  </r>
  <r>
    <s v="ORD02980"/>
    <x v="455"/>
    <s v="C167"/>
    <x v="404"/>
    <x v="4"/>
    <x v="48"/>
    <x v="48"/>
    <x v="2"/>
    <x v="2939"/>
    <n v="5.85"/>
    <n v="103515.75"/>
  </r>
  <r>
    <s v="ORD02981"/>
    <x v="217"/>
    <s v="C315"/>
    <x v="132"/>
    <x v="2"/>
    <x v="33"/>
    <x v="33"/>
    <x v="1"/>
    <x v="2940"/>
    <n v="43.41"/>
    <n v="1006243.8"/>
  </r>
  <r>
    <s v="ORD02982"/>
    <x v="598"/>
    <s v="C448"/>
    <x v="434"/>
    <x v="0"/>
    <x v="19"/>
    <x v="19"/>
    <x v="3"/>
    <x v="2941"/>
    <n v="22.14"/>
    <n v="2056584.6"/>
  </r>
  <r>
    <s v="ORD02983"/>
    <x v="722"/>
    <s v="C493"/>
    <x v="354"/>
    <x v="4"/>
    <x v="28"/>
    <x v="28"/>
    <x v="3"/>
    <x v="2942"/>
    <n v="21.83"/>
    <n v="823776.88"/>
  </r>
  <r>
    <s v="ORD02984"/>
    <x v="87"/>
    <s v="C095"/>
    <x v="236"/>
    <x v="0"/>
    <x v="24"/>
    <x v="24"/>
    <x v="3"/>
    <x v="2943"/>
    <n v="42.77"/>
    <n v="2022764.38"/>
  </r>
  <r>
    <s v="ORD02985"/>
    <x v="543"/>
    <s v="C022"/>
    <x v="303"/>
    <x v="3"/>
    <x v="20"/>
    <x v="20"/>
    <x v="1"/>
    <x v="2944"/>
    <n v="6.84"/>
    <n v="667207.80000000005"/>
  </r>
  <r>
    <s v="ORD02986"/>
    <x v="515"/>
    <s v="C012"/>
    <x v="412"/>
    <x v="1"/>
    <x v="10"/>
    <x v="10"/>
    <x v="3"/>
    <x v="2945"/>
    <n v="7.3"/>
    <n v="583160.5"/>
  </r>
  <r>
    <s v="ORD02987"/>
    <x v="460"/>
    <s v="C030"/>
    <x v="468"/>
    <x v="4"/>
    <x v="12"/>
    <x v="12"/>
    <x v="4"/>
    <x v="2946"/>
    <n v="2.36"/>
    <n v="75293.440000000002"/>
  </r>
  <r>
    <s v="ORD02988"/>
    <x v="281"/>
    <s v="C500"/>
    <x v="86"/>
    <x v="0"/>
    <x v="27"/>
    <x v="27"/>
    <x v="4"/>
    <x v="2947"/>
    <n v="25.49"/>
    <n v="2328536.9900000002"/>
  </r>
  <r>
    <s v="ORD02989"/>
    <x v="556"/>
    <s v="C254"/>
    <x v="431"/>
    <x v="1"/>
    <x v="33"/>
    <x v="33"/>
    <x v="1"/>
    <x v="2948"/>
    <n v="41.24"/>
    <n v="1627206.68"/>
  </r>
  <r>
    <s v="ORD02990"/>
    <x v="94"/>
    <s v="C345"/>
    <x v="15"/>
    <x v="2"/>
    <x v="29"/>
    <x v="29"/>
    <x v="0"/>
    <x v="2949"/>
    <n v="22.64"/>
    <n v="1250792.08"/>
  </r>
  <r>
    <s v="ORD02991"/>
    <x v="635"/>
    <s v="C321"/>
    <x v="455"/>
    <x v="2"/>
    <x v="0"/>
    <x v="0"/>
    <x v="0"/>
    <x v="2950"/>
    <n v="36.659999999999997"/>
    <n v="2101497.84"/>
  </r>
  <r>
    <s v="ORD02992"/>
    <x v="670"/>
    <s v="C375"/>
    <x v="305"/>
    <x v="0"/>
    <x v="15"/>
    <x v="15"/>
    <x v="2"/>
    <x v="2951"/>
    <n v="34.119999999999997"/>
    <n v="833176.28"/>
  </r>
  <r>
    <s v="ORD02993"/>
    <x v="178"/>
    <s v="C044"/>
    <x v="202"/>
    <x v="2"/>
    <x v="25"/>
    <x v="25"/>
    <x v="4"/>
    <x v="2952"/>
    <n v="7.94"/>
    <n v="684999.68000000005"/>
  </r>
  <r>
    <s v="ORD02994"/>
    <x v="561"/>
    <s v="C162"/>
    <x v="344"/>
    <x v="0"/>
    <x v="19"/>
    <x v="19"/>
    <x v="3"/>
    <x v="2953"/>
    <n v="25.28"/>
    <n v="394873.59999999998"/>
  </r>
  <r>
    <s v="ORD02995"/>
    <x v="274"/>
    <s v="C462"/>
    <x v="477"/>
    <x v="2"/>
    <x v="12"/>
    <x v="12"/>
    <x v="4"/>
    <x v="2954"/>
    <n v="30.15"/>
    <n v="1824044.85"/>
  </r>
  <r>
    <s v="ORD02996"/>
    <x v="354"/>
    <s v="C456"/>
    <x v="338"/>
    <x v="2"/>
    <x v="40"/>
    <x v="40"/>
    <x v="0"/>
    <x v="2955"/>
    <n v="29.93"/>
    <n v="2730513.9"/>
  </r>
  <r>
    <s v="ORD02997"/>
    <x v="668"/>
    <s v="C032"/>
    <x v="234"/>
    <x v="4"/>
    <x v="26"/>
    <x v="26"/>
    <x v="0"/>
    <x v="2956"/>
    <n v="28.12"/>
    <n v="2785117.28"/>
  </r>
  <r>
    <s v="ORD02998"/>
    <x v="144"/>
    <s v="C372"/>
    <x v="217"/>
    <x v="4"/>
    <x v="4"/>
    <x v="4"/>
    <x v="1"/>
    <x v="2957"/>
    <n v="38.49"/>
    <n v="3790764.63"/>
  </r>
  <r>
    <s v="ORD02999"/>
    <x v="651"/>
    <s v="C432"/>
    <x v="14"/>
    <x v="0"/>
    <x v="0"/>
    <x v="0"/>
    <x v="0"/>
    <x v="2958"/>
    <n v="7.45"/>
    <n v="246557.75"/>
  </r>
  <r>
    <s v="ORD03000"/>
    <x v="171"/>
    <s v="C190"/>
    <x v="346"/>
    <x v="1"/>
    <x v="36"/>
    <x v="36"/>
    <x v="4"/>
    <x v="2959"/>
    <n v="8.19"/>
    <n v="169401.96"/>
  </r>
  <r>
    <s v="ORD03001"/>
    <x v="126"/>
    <s v="C396"/>
    <x v="427"/>
    <x v="3"/>
    <x v="17"/>
    <x v="17"/>
    <x v="1"/>
    <x v="2960"/>
    <n v="5.74"/>
    <n v="18534.46"/>
  </r>
  <r>
    <s v="ORD03002"/>
    <x v="300"/>
    <s v="C377"/>
    <x v="165"/>
    <x v="4"/>
    <x v="26"/>
    <x v="26"/>
    <x v="0"/>
    <x v="2961"/>
    <n v="30.23"/>
    <n v="2611720.85"/>
  </r>
  <r>
    <s v="ORD03003"/>
    <x v="520"/>
    <s v="C344"/>
    <x v="307"/>
    <x v="4"/>
    <x v="15"/>
    <x v="15"/>
    <x v="2"/>
    <x v="2962"/>
    <n v="23.99"/>
    <n v="460104.21"/>
  </r>
  <r>
    <s v="ORD03004"/>
    <x v="244"/>
    <s v="C119"/>
    <x v="122"/>
    <x v="0"/>
    <x v="25"/>
    <x v="25"/>
    <x v="4"/>
    <x v="2963"/>
    <n v="37.81"/>
    <n v="3433563.91"/>
  </r>
  <r>
    <s v="ORD03005"/>
    <x v="171"/>
    <s v="C398"/>
    <x v="63"/>
    <x v="1"/>
    <x v="40"/>
    <x v="40"/>
    <x v="0"/>
    <x v="2964"/>
    <n v="8.61"/>
    <n v="759711.96"/>
  </r>
  <r>
    <s v="ORD03006"/>
    <x v="185"/>
    <s v="C088"/>
    <x v="83"/>
    <x v="0"/>
    <x v="48"/>
    <x v="48"/>
    <x v="2"/>
    <x v="2965"/>
    <n v="39.86"/>
    <n v="386761.58"/>
  </r>
  <r>
    <s v="ORD03007"/>
    <x v="426"/>
    <s v="C360"/>
    <x v="92"/>
    <x v="3"/>
    <x v="26"/>
    <x v="26"/>
    <x v="0"/>
    <x v="2966"/>
    <n v="5.63"/>
    <n v="201565.26"/>
  </r>
  <r>
    <s v="ORD03008"/>
    <x v="246"/>
    <s v="C274"/>
    <x v="461"/>
    <x v="4"/>
    <x v="16"/>
    <x v="16"/>
    <x v="1"/>
    <x v="2967"/>
    <n v="37.93"/>
    <n v="3308368.39"/>
  </r>
  <r>
    <s v="ORD03009"/>
    <x v="621"/>
    <s v="C021"/>
    <x v="333"/>
    <x v="2"/>
    <x v="46"/>
    <x v="46"/>
    <x v="0"/>
    <x v="2968"/>
    <n v="28.24"/>
    <n v="801620.64"/>
  </r>
  <r>
    <s v="ORD03010"/>
    <x v="588"/>
    <s v="C273"/>
    <x v="185"/>
    <x v="0"/>
    <x v="13"/>
    <x v="13"/>
    <x v="2"/>
    <x v="2969"/>
    <n v="35.590000000000003"/>
    <n v="2687792.39"/>
  </r>
  <r>
    <s v="ORD03011"/>
    <x v="620"/>
    <s v="C296"/>
    <x v="321"/>
    <x v="3"/>
    <x v="10"/>
    <x v="10"/>
    <x v="3"/>
    <x v="2970"/>
    <n v="13.08"/>
    <n v="1137881.52"/>
  </r>
  <r>
    <s v="ORD03012"/>
    <x v="70"/>
    <s v="C235"/>
    <x v="199"/>
    <x v="0"/>
    <x v="35"/>
    <x v="35"/>
    <x v="1"/>
    <x v="2971"/>
    <n v="25.46"/>
    <n v="1715265.66"/>
  </r>
  <r>
    <s v="ORD03013"/>
    <x v="633"/>
    <s v="C136"/>
    <x v="428"/>
    <x v="1"/>
    <x v="18"/>
    <x v="18"/>
    <x v="0"/>
    <x v="2972"/>
    <n v="13.87"/>
    <n v="785208.44"/>
  </r>
  <r>
    <s v="ORD03014"/>
    <x v="591"/>
    <s v="C107"/>
    <x v="324"/>
    <x v="1"/>
    <x v="22"/>
    <x v="22"/>
    <x v="0"/>
    <x v="2973"/>
    <n v="9.66"/>
    <n v="543278.4"/>
  </r>
  <r>
    <s v="ORD03015"/>
    <x v="482"/>
    <s v="C472"/>
    <x v="3"/>
    <x v="3"/>
    <x v="4"/>
    <x v="4"/>
    <x v="1"/>
    <x v="2974"/>
    <n v="6.56"/>
    <n v="310307.68"/>
  </r>
  <r>
    <s v="ORD03016"/>
    <x v="308"/>
    <s v="C413"/>
    <x v="298"/>
    <x v="3"/>
    <x v="47"/>
    <x v="47"/>
    <x v="2"/>
    <x v="2975"/>
    <n v="31.31"/>
    <n v="2628130.09"/>
  </r>
  <r>
    <s v="ORD03017"/>
    <x v="549"/>
    <s v="C473"/>
    <x v="102"/>
    <x v="2"/>
    <x v="3"/>
    <x v="3"/>
    <x v="2"/>
    <x v="2976"/>
    <n v="10.92"/>
    <n v="13933.92"/>
  </r>
  <r>
    <s v="ORD03018"/>
    <x v="130"/>
    <s v="C281"/>
    <x v="317"/>
    <x v="2"/>
    <x v="22"/>
    <x v="22"/>
    <x v="0"/>
    <x v="2977"/>
    <n v="36.4"/>
    <n v="1595666.8"/>
  </r>
  <r>
    <s v="ORD03019"/>
    <x v="209"/>
    <s v="C483"/>
    <x v="214"/>
    <x v="2"/>
    <x v="26"/>
    <x v="26"/>
    <x v="0"/>
    <x v="2978"/>
    <n v="11.78"/>
    <n v="620063.86"/>
  </r>
  <r>
    <s v="ORD03020"/>
    <x v="246"/>
    <s v="C005"/>
    <x v="373"/>
    <x v="3"/>
    <x v="8"/>
    <x v="8"/>
    <x v="3"/>
    <x v="2979"/>
    <n v="16.86"/>
    <n v="683302.08"/>
  </r>
  <r>
    <s v="ORD03021"/>
    <x v="523"/>
    <s v="C014"/>
    <x v="134"/>
    <x v="2"/>
    <x v="29"/>
    <x v="29"/>
    <x v="0"/>
    <x v="2980"/>
    <n v="10.58"/>
    <n v="373082.54"/>
  </r>
  <r>
    <s v="ORD03022"/>
    <x v="9"/>
    <s v="C028"/>
    <x v="151"/>
    <x v="2"/>
    <x v="47"/>
    <x v="47"/>
    <x v="2"/>
    <x v="2981"/>
    <n v="3.13"/>
    <n v="160975.9"/>
  </r>
  <r>
    <s v="ORD03023"/>
    <x v="243"/>
    <s v="C134"/>
    <x v="107"/>
    <x v="3"/>
    <x v="24"/>
    <x v="24"/>
    <x v="3"/>
    <x v="2982"/>
    <n v="49.71"/>
    <n v="916801.53"/>
  </r>
  <r>
    <s v="ORD03024"/>
    <x v="380"/>
    <s v="C259"/>
    <x v="36"/>
    <x v="2"/>
    <x v="9"/>
    <x v="9"/>
    <x v="4"/>
    <x v="2983"/>
    <n v="29.07"/>
    <n v="1215562.05"/>
  </r>
  <r>
    <s v="ORD03025"/>
    <x v="485"/>
    <s v="C078"/>
    <x v="41"/>
    <x v="4"/>
    <x v="25"/>
    <x v="25"/>
    <x v="4"/>
    <x v="2984"/>
    <n v="41.67"/>
    <n v="957659.94"/>
  </r>
  <r>
    <s v="ORD03026"/>
    <x v="198"/>
    <s v="C448"/>
    <x v="434"/>
    <x v="0"/>
    <x v="25"/>
    <x v="25"/>
    <x v="4"/>
    <x v="2985"/>
    <n v="20.98"/>
    <n v="1059909.6000000001"/>
  </r>
  <r>
    <s v="ORD03027"/>
    <x v="578"/>
    <s v="C107"/>
    <x v="324"/>
    <x v="1"/>
    <x v="41"/>
    <x v="41"/>
    <x v="4"/>
    <x v="2986"/>
    <n v="8.51"/>
    <n v="32235.88"/>
  </r>
  <r>
    <s v="ORD03028"/>
    <x v="480"/>
    <s v="C118"/>
    <x v="74"/>
    <x v="1"/>
    <x v="35"/>
    <x v="35"/>
    <x v="1"/>
    <x v="2987"/>
    <n v="42.33"/>
    <n v="1221940.1100000001"/>
  </r>
  <r>
    <s v="ORD03029"/>
    <x v="84"/>
    <s v="C233"/>
    <x v="173"/>
    <x v="4"/>
    <x v="39"/>
    <x v="39"/>
    <x v="3"/>
    <x v="2988"/>
    <n v="43.34"/>
    <n v="1099882.52"/>
  </r>
  <r>
    <s v="ORD03030"/>
    <x v="223"/>
    <s v="C475"/>
    <x v="33"/>
    <x v="1"/>
    <x v="9"/>
    <x v="9"/>
    <x v="4"/>
    <x v="2989"/>
    <n v="33.07"/>
    <n v="705019.33"/>
  </r>
  <r>
    <s v="ORD03031"/>
    <x v="594"/>
    <s v="C449"/>
    <x v="277"/>
    <x v="0"/>
    <x v="5"/>
    <x v="5"/>
    <x v="3"/>
    <x v="2990"/>
    <n v="49.23"/>
    <n v="1666435.5"/>
  </r>
  <r>
    <s v="ORD03032"/>
    <x v="461"/>
    <s v="C102"/>
    <x v="20"/>
    <x v="0"/>
    <x v="47"/>
    <x v="47"/>
    <x v="2"/>
    <x v="2991"/>
    <n v="22.42"/>
    <n v="643812.72"/>
  </r>
  <r>
    <s v="ORD03033"/>
    <x v="354"/>
    <s v="C469"/>
    <x v="498"/>
    <x v="0"/>
    <x v="6"/>
    <x v="6"/>
    <x v="0"/>
    <x v="2992"/>
    <n v="46.54"/>
    <n v="4298713.6399999997"/>
  </r>
  <r>
    <s v="ORD03034"/>
    <x v="658"/>
    <s v="C319"/>
    <x v="210"/>
    <x v="2"/>
    <x v="43"/>
    <x v="43"/>
    <x v="4"/>
    <x v="2993"/>
    <n v="39.35"/>
    <n v="3701182.3"/>
  </r>
  <r>
    <s v="ORD03035"/>
    <x v="183"/>
    <s v="C071"/>
    <x v="279"/>
    <x v="0"/>
    <x v="8"/>
    <x v="8"/>
    <x v="3"/>
    <x v="1943"/>
    <n v="30.64"/>
    <n v="63823.12"/>
  </r>
  <r>
    <s v="ORD03036"/>
    <x v="50"/>
    <s v="C197"/>
    <x v="437"/>
    <x v="1"/>
    <x v="39"/>
    <x v="39"/>
    <x v="3"/>
    <x v="2994"/>
    <n v="19.75"/>
    <n v="270831.75"/>
  </r>
  <r>
    <s v="ORD03037"/>
    <x v="97"/>
    <s v="C174"/>
    <x v="26"/>
    <x v="4"/>
    <x v="39"/>
    <x v="39"/>
    <x v="3"/>
    <x v="2995"/>
    <n v="35.92"/>
    <n v="1616328.16"/>
  </r>
  <r>
    <s v="ORD03038"/>
    <x v="571"/>
    <s v="C260"/>
    <x v="153"/>
    <x v="2"/>
    <x v="0"/>
    <x v="0"/>
    <x v="0"/>
    <x v="1255"/>
    <n v="7"/>
    <n v="601846"/>
  </r>
  <r>
    <s v="ORD03039"/>
    <x v="688"/>
    <s v="C340"/>
    <x v="444"/>
    <x v="4"/>
    <x v="23"/>
    <x v="23"/>
    <x v="0"/>
    <x v="2996"/>
    <n v="6.35"/>
    <n v="98171"/>
  </r>
  <r>
    <s v="ORD03040"/>
    <x v="613"/>
    <s v="C342"/>
    <x v="258"/>
    <x v="4"/>
    <x v="16"/>
    <x v="16"/>
    <x v="1"/>
    <x v="2997"/>
    <n v="35.590000000000003"/>
    <n v="2446171.88"/>
  </r>
  <r>
    <s v="ORD03041"/>
    <x v="244"/>
    <s v="C219"/>
    <x v="43"/>
    <x v="0"/>
    <x v="28"/>
    <x v="28"/>
    <x v="3"/>
    <x v="2998"/>
    <n v="15.3"/>
    <n v="32099.4"/>
  </r>
  <r>
    <s v="ORD03042"/>
    <x v="204"/>
    <s v="C430"/>
    <x v="363"/>
    <x v="4"/>
    <x v="49"/>
    <x v="49"/>
    <x v="3"/>
    <x v="2999"/>
    <n v="19.989999999999998"/>
    <n v="1561758.73"/>
  </r>
  <r>
    <s v="ORD03043"/>
    <x v="79"/>
    <s v="C350"/>
    <x v="280"/>
    <x v="3"/>
    <x v="27"/>
    <x v="27"/>
    <x v="4"/>
    <x v="3000"/>
    <n v="13.24"/>
    <n v="318130.71999999997"/>
  </r>
  <r>
    <s v="ORD03044"/>
    <x v="550"/>
    <s v="C441"/>
    <x v="115"/>
    <x v="0"/>
    <x v="19"/>
    <x v="19"/>
    <x v="3"/>
    <x v="3001"/>
    <n v="34.450000000000003"/>
    <n v="831933.05"/>
  </r>
  <r>
    <s v="ORD03045"/>
    <x v="199"/>
    <s v="C120"/>
    <x v="445"/>
    <x v="2"/>
    <x v="33"/>
    <x v="33"/>
    <x v="1"/>
    <x v="3002"/>
    <n v="47.61"/>
    <n v="2356742.61"/>
  </r>
  <r>
    <s v="ORD03046"/>
    <x v="288"/>
    <s v="C368"/>
    <x v="7"/>
    <x v="1"/>
    <x v="40"/>
    <x v="40"/>
    <x v="0"/>
    <x v="3003"/>
    <n v="37.58"/>
    <n v="2585691.9"/>
  </r>
  <r>
    <s v="ORD03047"/>
    <x v="338"/>
    <s v="C138"/>
    <x v="251"/>
    <x v="2"/>
    <x v="1"/>
    <x v="1"/>
    <x v="1"/>
    <x v="3004"/>
    <n v="3.75"/>
    <n v="358421.25"/>
  </r>
  <r>
    <s v="ORD03048"/>
    <x v="483"/>
    <s v="C376"/>
    <x v="35"/>
    <x v="1"/>
    <x v="36"/>
    <x v="36"/>
    <x v="4"/>
    <x v="3005"/>
    <n v="47.36"/>
    <n v="2484552.96"/>
  </r>
  <r>
    <s v="ORD03049"/>
    <x v="543"/>
    <s v="C481"/>
    <x v="56"/>
    <x v="0"/>
    <x v="15"/>
    <x v="15"/>
    <x v="2"/>
    <x v="3006"/>
    <n v="5.83"/>
    <n v="158033.81"/>
  </r>
  <r>
    <s v="ORD03050"/>
    <x v="627"/>
    <s v="C219"/>
    <x v="43"/>
    <x v="0"/>
    <x v="29"/>
    <x v="29"/>
    <x v="0"/>
    <x v="3007"/>
    <n v="32.869999999999997"/>
    <n v="805117.78"/>
  </r>
  <r>
    <s v="ORD03051"/>
    <x v="498"/>
    <s v="C140"/>
    <x v="393"/>
    <x v="3"/>
    <x v="31"/>
    <x v="31"/>
    <x v="0"/>
    <x v="3008"/>
    <n v="22.34"/>
    <n v="2014018.02"/>
  </r>
  <r>
    <s v="ORD03052"/>
    <x v="74"/>
    <s v="C287"/>
    <x v="228"/>
    <x v="4"/>
    <x v="34"/>
    <x v="34"/>
    <x v="2"/>
    <x v="3009"/>
    <n v="3.45"/>
    <n v="71094.149999999994"/>
  </r>
  <r>
    <s v="ORD03053"/>
    <x v="471"/>
    <s v="C138"/>
    <x v="251"/>
    <x v="2"/>
    <x v="34"/>
    <x v="34"/>
    <x v="2"/>
    <x v="3010"/>
    <n v="37.630000000000003"/>
    <n v="2954105.52"/>
  </r>
  <r>
    <s v="ORD03054"/>
    <x v="355"/>
    <s v="C393"/>
    <x v="5"/>
    <x v="3"/>
    <x v="31"/>
    <x v="31"/>
    <x v="0"/>
    <x v="3011"/>
    <n v="38.1"/>
    <n v="2143391.7000000002"/>
  </r>
  <r>
    <s v="ORD03055"/>
    <x v="239"/>
    <s v="C171"/>
    <x v="423"/>
    <x v="0"/>
    <x v="11"/>
    <x v="11"/>
    <x v="4"/>
    <x v="3012"/>
    <n v="32.08"/>
    <n v="320960.40000000002"/>
  </r>
  <r>
    <s v="ORD03056"/>
    <x v="117"/>
    <s v="C286"/>
    <x v="116"/>
    <x v="3"/>
    <x v="18"/>
    <x v="18"/>
    <x v="0"/>
    <x v="3013"/>
    <n v="10.68"/>
    <n v="879017.4"/>
  </r>
  <r>
    <s v="ORD03057"/>
    <x v="467"/>
    <s v="C480"/>
    <x v="331"/>
    <x v="3"/>
    <x v="11"/>
    <x v="11"/>
    <x v="4"/>
    <x v="3014"/>
    <n v="43.96"/>
    <n v="1725825.64"/>
  </r>
  <r>
    <s v="ORD03058"/>
    <x v="134"/>
    <s v="C441"/>
    <x v="115"/>
    <x v="0"/>
    <x v="19"/>
    <x v="19"/>
    <x v="3"/>
    <x v="3015"/>
    <n v="41.09"/>
    <n v="2114820.12"/>
  </r>
  <r>
    <s v="ORD03059"/>
    <x v="580"/>
    <s v="C249"/>
    <x v="347"/>
    <x v="4"/>
    <x v="12"/>
    <x v="12"/>
    <x v="4"/>
    <x v="3016"/>
    <n v="30.82"/>
    <n v="956159.68"/>
  </r>
  <r>
    <s v="ORD03060"/>
    <x v="105"/>
    <s v="C037"/>
    <x v="255"/>
    <x v="1"/>
    <x v="1"/>
    <x v="1"/>
    <x v="1"/>
    <x v="3017"/>
    <n v="37.92"/>
    <n v="485376"/>
  </r>
  <r>
    <s v="ORD03061"/>
    <x v="388"/>
    <s v="C072"/>
    <x v="265"/>
    <x v="3"/>
    <x v="0"/>
    <x v="0"/>
    <x v="0"/>
    <x v="3018"/>
    <n v="13.66"/>
    <n v="1025756.72"/>
  </r>
  <r>
    <s v="ORD03062"/>
    <x v="322"/>
    <s v="C324"/>
    <x v="208"/>
    <x v="0"/>
    <x v="16"/>
    <x v="16"/>
    <x v="1"/>
    <x v="3019"/>
    <n v="20.78"/>
    <n v="1571882.32"/>
  </r>
  <r>
    <s v="ORD03063"/>
    <x v="493"/>
    <s v="C489"/>
    <x v="184"/>
    <x v="4"/>
    <x v="16"/>
    <x v="16"/>
    <x v="1"/>
    <x v="1821"/>
    <n v="9.06"/>
    <n v="756636.84"/>
  </r>
  <r>
    <s v="ORD03064"/>
    <x v="639"/>
    <s v="C233"/>
    <x v="173"/>
    <x v="4"/>
    <x v="17"/>
    <x v="17"/>
    <x v="1"/>
    <x v="3020"/>
    <n v="21.3"/>
    <n v="34697.699999999997"/>
  </r>
  <r>
    <s v="ORD03065"/>
    <x v="640"/>
    <s v="C273"/>
    <x v="185"/>
    <x v="0"/>
    <x v="14"/>
    <x v="14"/>
    <x v="2"/>
    <x v="3021"/>
    <n v="22.94"/>
    <n v="1194784.02"/>
  </r>
  <r>
    <s v="ORD03066"/>
    <x v="599"/>
    <s v="C069"/>
    <x v="410"/>
    <x v="4"/>
    <x v="30"/>
    <x v="30"/>
    <x v="4"/>
    <x v="3022"/>
    <n v="23.94"/>
    <n v="727776"/>
  </r>
  <r>
    <s v="ORD03067"/>
    <x v="350"/>
    <s v="C313"/>
    <x v="350"/>
    <x v="2"/>
    <x v="31"/>
    <x v="31"/>
    <x v="0"/>
    <x v="3023"/>
    <n v="3.14"/>
    <n v="52692.34"/>
  </r>
  <r>
    <s v="ORD03068"/>
    <x v="603"/>
    <s v="C208"/>
    <x v="53"/>
    <x v="1"/>
    <x v="47"/>
    <x v="47"/>
    <x v="2"/>
    <x v="3024"/>
    <n v="48.63"/>
    <n v="2544759.27"/>
  </r>
  <r>
    <s v="ORD03069"/>
    <x v="537"/>
    <s v="C135"/>
    <x v="67"/>
    <x v="1"/>
    <x v="14"/>
    <x v="14"/>
    <x v="2"/>
    <x v="3025"/>
    <n v="28.95"/>
    <n v="278556.90000000002"/>
  </r>
  <r>
    <s v="ORD03070"/>
    <x v="651"/>
    <s v="C269"/>
    <x v="320"/>
    <x v="3"/>
    <x v="40"/>
    <x v="40"/>
    <x v="0"/>
    <x v="3026"/>
    <n v="30.47"/>
    <n v="2295426.98"/>
  </r>
  <r>
    <s v="ORD03071"/>
    <x v="516"/>
    <s v="C385"/>
    <x v="309"/>
    <x v="3"/>
    <x v="18"/>
    <x v="18"/>
    <x v="0"/>
    <x v="3027"/>
    <n v="30.28"/>
    <n v="2429182.7200000002"/>
  </r>
  <r>
    <s v="ORD03072"/>
    <x v="140"/>
    <s v="C370"/>
    <x v="486"/>
    <x v="3"/>
    <x v="47"/>
    <x v="47"/>
    <x v="2"/>
    <x v="3028"/>
    <n v="24.66"/>
    <n v="1968114.6"/>
  </r>
  <r>
    <s v="ORD03073"/>
    <x v="21"/>
    <s v="C351"/>
    <x v="422"/>
    <x v="2"/>
    <x v="1"/>
    <x v="1"/>
    <x v="1"/>
    <x v="3029"/>
    <n v="25.97"/>
    <n v="220900.82"/>
  </r>
  <r>
    <s v="ORD03074"/>
    <x v="94"/>
    <s v="C363"/>
    <x v="72"/>
    <x v="4"/>
    <x v="44"/>
    <x v="44"/>
    <x v="2"/>
    <x v="3030"/>
    <n v="2.88"/>
    <n v="103999.67999999999"/>
  </r>
  <r>
    <s v="ORD03075"/>
    <x v="520"/>
    <s v="C436"/>
    <x v="443"/>
    <x v="4"/>
    <x v="1"/>
    <x v="1"/>
    <x v="1"/>
    <x v="3031"/>
    <n v="16.190000000000001"/>
    <n v="905539.08"/>
  </r>
  <r>
    <s v="ORD03076"/>
    <x v="437"/>
    <s v="C422"/>
    <x v="415"/>
    <x v="4"/>
    <x v="43"/>
    <x v="43"/>
    <x v="4"/>
    <x v="3032"/>
    <n v="28.1"/>
    <n v="65585.399999999994"/>
  </r>
  <r>
    <s v="ORD03077"/>
    <x v="433"/>
    <s v="C218"/>
    <x v="263"/>
    <x v="4"/>
    <x v="9"/>
    <x v="9"/>
    <x v="4"/>
    <x v="3033"/>
    <n v="15.22"/>
    <n v="161453.76000000001"/>
  </r>
  <r>
    <s v="ORD03078"/>
    <x v="373"/>
    <s v="C338"/>
    <x v="197"/>
    <x v="4"/>
    <x v="44"/>
    <x v="44"/>
    <x v="2"/>
    <x v="520"/>
    <n v="8.35"/>
    <n v="384868.2"/>
  </r>
  <r>
    <s v="ORD03079"/>
    <x v="139"/>
    <s v="C079"/>
    <x v="439"/>
    <x v="4"/>
    <x v="35"/>
    <x v="35"/>
    <x v="1"/>
    <x v="1856"/>
    <n v="43.35"/>
    <n v="3112790.1"/>
  </r>
  <r>
    <s v="ORD03080"/>
    <x v="558"/>
    <s v="C009"/>
    <x v="42"/>
    <x v="1"/>
    <x v="9"/>
    <x v="9"/>
    <x v="4"/>
    <x v="3034"/>
    <n v="10.48"/>
    <n v="886555.6"/>
  </r>
  <r>
    <s v="ORD03081"/>
    <x v="284"/>
    <s v="C140"/>
    <x v="393"/>
    <x v="3"/>
    <x v="15"/>
    <x v="15"/>
    <x v="2"/>
    <x v="3035"/>
    <n v="35.979999999999997"/>
    <n v="782421.08"/>
  </r>
  <r>
    <s v="ORD03082"/>
    <x v="511"/>
    <s v="C095"/>
    <x v="236"/>
    <x v="0"/>
    <x v="8"/>
    <x v="8"/>
    <x v="3"/>
    <x v="3036"/>
    <n v="26.94"/>
    <n v="241328.52"/>
  </r>
  <r>
    <s v="ORD03083"/>
    <x v="4"/>
    <s v="C192"/>
    <x v="154"/>
    <x v="3"/>
    <x v="47"/>
    <x v="47"/>
    <x v="2"/>
    <x v="3037"/>
    <n v="31.43"/>
    <n v="533775.68999999994"/>
  </r>
  <r>
    <s v="ORD03084"/>
    <x v="55"/>
    <s v="C018"/>
    <x v="332"/>
    <x v="3"/>
    <x v="23"/>
    <x v="23"/>
    <x v="0"/>
    <x v="3038"/>
    <n v="9.06"/>
    <n v="335745.48"/>
  </r>
  <r>
    <s v="ORD03085"/>
    <x v="478"/>
    <s v="C128"/>
    <x v="361"/>
    <x v="4"/>
    <x v="2"/>
    <x v="2"/>
    <x v="1"/>
    <x v="3039"/>
    <n v="14.75"/>
    <n v="804125.75"/>
  </r>
  <r>
    <s v="ORD03086"/>
    <x v="210"/>
    <s v="C386"/>
    <x v="272"/>
    <x v="0"/>
    <x v="26"/>
    <x v="26"/>
    <x v="0"/>
    <x v="3040"/>
    <n v="20.13"/>
    <n v="958932.81"/>
  </r>
  <r>
    <s v="ORD03087"/>
    <x v="408"/>
    <s v="C089"/>
    <x v="79"/>
    <x v="4"/>
    <x v="31"/>
    <x v="31"/>
    <x v="0"/>
    <x v="3041"/>
    <n v="49.32"/>
    <n v="3318200.28"/>
  </r>
  <r>
    <s v="ORD03088"/>
    <x v="441"/>
    <s v="C355"/>
    <x v="81"/>
    <x v="2"/>
    <x v="30"/>
    <x v="30"/>
    <x v="4"/>
    <x v="3042"/>
    <n v="13.14"/>
    <n v="677314.44"/>
  </r>
  <r>
    <s v="ORD03089"/>
    <x v="667"/>
    <s v="C263"/>
    <x v="432"/>
    <x v="3"/>
    <x v="35"/>
    <x v="35"/>
    <x v="1"/>
    <x v="3043"/>
    <n v="19.96"/>
    <n v="1165763.8"/>
  </r>
  <r>
    <s v="ORD03090"/>
    <x v="74"/>
    <s v="C440"/>
    <x v="73"/>
    <x v="0"/>
    <x v="33"/>
    <x v="33"/>
    <x v="1"/>
    <x v="3044"/>
    <n v="46.71"/>
    <n v="4459497.12"/>
  </r>
  <r>
    <s v="ORD03091"/>
    <x v="118"/>
    <s v="C158"/>
    <x v="117"/>
    <x v="3"/>
    <x v="31"/>
    <x v="31"/>
    <x v="0"/>
    <x v="3045"/>
    <n v="35.69"/>
    <n v="1393373.29"/>
  </r>
  <r>
    <s v="ORD03092"/>
    <x v="23"/>
    <s v="C036"/>
    <x v="40"/>
    <x v="3"/>
    <x v="47"/>
    <x v="47"/>
    <x v="2"/>
    <x v="3046"/>
    <n v="15.26"/>
    <n v="1163834.42"/>
  </r>
  <r>
    <s v="ORD03093"/>
    <x v="305"/>
    <s v="C077"/>
    <x v="426"/>
    <x v="0"/>
    <x v="37"/>
    <x v="37"/>
    <x v="1"/>
    <x v="3047"/>
    <n v="41.41"/>
    <n v="1424876.69"/>
  </r>
  <r>
    <s v="ORD03094"/>
    <x v="445"/>
    <s v="C246"/>
    <x v="480"/>
    <x v="1"/>
    <x v="24"/>
    <x v="24"/>
    <x v="3"/>
    <x v="3048"/>
    <n v="33.729999999999997"/>
    <n v="769819.79"/>
  </r>
  <r>
    <s v="ORD03095"/>
    <x v="95"/>
    <s v="C049"/>
    <x v="384"/>
    <x v="2"/>
    <x v="38"/>
    <x v="38"/>
    <x v="2"/>
    <x v="3049"/>
    <n v="27.3"/>
    <n v="1641794.7"/>
  </r>
  <r>
    <s v="ORD03096"/>
    <x v="240"/>
    <s v="C206"/>
    <x v="401"/>
    <x v="1"/>
    <x v="5"/>
    <x v="5"/>
    <x v="3"/>
    <x v="3050"/>
    <n v="22.64"/>
    <n v="726449.68"/>
  </r>
  <r>
    <s v="ORD03097"/>
    <x v="493"/>
    <s v="C103"/>
    <x v="226"/>
    <x v="4"/>
    <x v="43"/>
    <x v="43"/>
    <x v="4"/>
    <x v="3051"/>
    <n v="31.5"/>
    <n v="2209032"/>
  </r>
  <r>
    <s v="ORD03098"/>
    <x v="260"/>
    <s v="C204"/>
    <x v="240"/>
    <x v="0"/>
    <x v="0"/>
    <x v="0"/>
    <x v="0"/>
    <x v="3052"/>
    <n v="24.62"/>
    <n v="1112380.8400000001"/>
  </r>
  <r>
    <s v="ORD03099"/>
    <x v="268"/>
    <s v="C313"/>
    <x v="350"/>
    <x v="2"/>
    <x v="7"/>
    <x v="7"/>
    <x v="3"/>
    <x v="3053"/>
    <n v="19.88"/>
    <n v="21967.4"/>
  </r>
  <r>
    <s v="ORD03100"/>
    <x v="351"/>
    <s v="C045"/>
    <x v="174"/>
    <x v="2"/>
    <x v="14"/>
    <x v="14"/>
    <x v="2"/>
    <x v="3054"/>
    <n v="49.18"/>
    <n v="2095510.62"/>
  </r>
  <r>
    <s v="ORD03101"/>
    <x v="270"/>
    <s v="C442"/>
    <x v="205"/>
    <x v="3"/>
    <x v="20"/>
    <x v="20"/>
    <x v="1"/>
    <x v="3055"/>
    <n v="29.93"/>
    <n v="649510.93000000005"/>
  </r>
  <r>
    <s v="ORD03102"/>
    <x v="219"/>
    <s v="C186"/>
    <x v="306"/>
    <x v="4"/>
    <x v="45"/>
    <x v="45"/>
    <x v="3"/>
    <x v="3056"/>
    <n v="22.9"/>
    <n v="98653.2"/>
  </r>
  <r>
    <s v="ORD03103"/>
    <x v="41"/>
    <s v="C183"/>
    <x v="89"/>
    <x v="0"/>
    <x v="30"/>
    <x v="30"/>
    <x v="4"/>
    <x v="3057"/>
    <n v="10.27"/>
    <n v="774419.62"/>
  </r>
  <r>
    <s v="ORD03104"/>
    <x v="335"/>
    <s v="C020"/>
    <x v="80"/>
    <x v="4"/>
    <x v="24"/>
    <x v="24"/>
    <x v="3"/>
    <x v="3058"/>
    <n v="25.54"/>
    <n v="920129.58"/>
  </r>
  <r>
    <s v="ORD03105"/>
    <x v="214"/>
    <s v="C236"/>
    <x v="25"/>
    <x v="2"/>
    <x v="18"/>
    <x v="18"/>
    <x v="0"/>
    <x v="3059"/>
    <n v="8.86"/>
    <n v="663179.86"/>
  </r>
  <r>
    <s v="ORD03106"/>
    <x v="590"/>
    <s v="C333"/>
    <x v="189"/>
    <x v="0"/>
    <x v="13"/>
    <x v="13"/>
    <x v="2"/>
    <x v="3060"/>
    <n v="19.36"/>
    <n v="610324"/>
  </r>
  <r>
    <s v="ORD03107"/>
    <x v="377"/>
    <s v="C009"/>
    <x v="42"/>
    <x v="1"/>
    <x v="10"/>
    <x v="10"/>
    <x v="3"/>
    <x v="3061"/>
    <n v="9.36"/>
    <n v="668463.12"/>
  </r>
  <r>
    <s v="ORD03108"/>
    <x v="91"/>
    <s v="C025"/>
    <x v="396"/>
    <x v="0"/>
    <x v="44"/>
    <x v="44"/>
    <x v="2"/>
    <x v="3062"/>
    <n v="9.44"/>
    <n v="735045.6"/>
  </r>
  <r>
    <s v="ORD03109"/>
    <x v="216"/>
    <s v="C198"/>
    <x v="0"/>
    <x v="0"/>
    <x v="11"/>
    <x v="11"/>
    <x v="4"/>
    <x v="3063"/>
    <n v="25.19"/>
    <n v="2287151.2400000002"/>
  </r>
  <r>
    <s v="ORD03110"/>
    <x v="48"/>
    <s v="C286"/>
    <x v="116"/>
    <x v="3"/>
    <x v="3"/>
    <x v="3"/>
    <x v="2"/>
    <x v="3064"/>
    <n v="10.98"/>
    <n v="647765.1"/>
  </r>
  <r>
    <s v="ORD03111"/>
    <x v="636"/>
    <s v="C316"/>
    <x v="495"/>
    <x v="2"/>
    <x v="49"/>
    <x v="49"/>
    <x v="3"/>
    <x v="3065"/>
    <n v="12.59"/>
    <n v="544958.15"/>
  </r>
  <r>
    <s v="ORD03112"/>
    <x v="672"/>
    <s v="C148"/>
    <x v="365"/>
    <x v="1"/>
    <x v="47"/>
    <x v="47"/>
    <x v="2"/>
    <x v="3066"/>
    <n v="18.989999999999998"/>
    <n v="1333686.69"/>
  </r>
  <r>
    <s v="ORD03113"/>
    <x v="55"/>
    <s v="C307"/>
    <x v="318"/>
    <x v="0"/>
    <x v="21"/>
    <x v="21"/>
    <x v="2"/>
    <x v="3067"/>
    <n v="35.19"/>
    <n v="1695911.67"/>
  </r>
  <r>
    <s v="ORD03114"/>
    <x v="703"/>
    <s v="C241"/>
    <x v="457"/>
    <x v="1"/>
    <x v="42"/>
    <x v="42"/>
    <x v="1"/>
    <x v="3068"/>
    <n v="44.12"/>
    <n v="2902831.28"/>
  </r>
  <r>
    <s v="ORD03115"/>
    <x v="329"/>
    <s v="C289"/>
    <x v="408"/>
    <x v="1"/>
    <x v="17"/>
    <x v="17"/>
    <x v="1"/>
    <x v="3069"/>
    <n v="38.61"/>
    <n v="2095441.9199999999"/>
  </r>
  <r>
    <s v="ORD03116"/>
    <x v="452"/>
    <s v="C271"/>
    <x v="4"/>
    <x v="1"/>
    <x v="47"/>
    <x v="47"/>
    <x v="2"/>
    <x v="3070"/>
    <n v="27.2"/>
    <n v="2534278.4"/>
  </r>
  <r>
    <s v="ORD03117"/>
    <x v="575"/>
    <s v="C126"/>
    <x v="424"/>
    <x v="4"/>
    <x v="27"/>
    <x v="27"/>
    <x v="4"/>
    <x v="3071"/>
    <n v="47.54"/>
    <n v="898553.54"/>
  </r>
  <r>
    <s v="ORD03118"/>
    <x v="35"/>
    <s v="C251"/>
    <x v="142"/>
    <x v="0"/>
    <x v="21"/>
    <x v="21"/>
    <x v="2"/>
    <x v="3072"/>
    <n v="6.29"/>
    <n v="138644.18"/>
  </r>
  <r>
    <s v="ORD03119"/>
    <x v="278"/>
    <s v="C403"/>
    <x v="59"/>
    <x v="0"/>
    <x v="1"/>
    <x v="1"/>
    <x v="1"/>
    <x v="3073"/>
    <n v="29.18"/>
    <n v="677851.4"/>
  </r>
  <r>
    <s v="ORD03120"/>
    <x v="297"/>
    <s v="C127"/>
    <x v="180"/>
    <x v="3"/>
    <x v="27"/>
    <x v="27"/>
    <x v="4"/>
    <x v="3074"/>
    <n v="4.16"/>
    <n v="388452.48"/>
  </r>
  <r>
    <s v="ORD03121"/>
    <x v="79"/>
    <s v="C300"/>
    <x v="204"/>
    <x v="0"/>
    <x v="9"/>
    <x v="9"/>
    <x v="4"/>
    <x v="3075"/>
    <n v="8.84"/>
    <n v="274172.59999999998"/>
  </r>
  <r>
    <s v="ORD03122"/>
    <x v="1"/>
    <s v="C448"/>
    <x v="434"/>
    <x v="0"/>
    <x v="11"/>
    <x v="11"/>
    <x v="4"/>
    <x v="3076"/>
    <n v="9.41"/>
    <n v="529942.97"/>
  </r>
  <r>
    <s v="ORD03123"/>
    <x v="722"/>
    <s v="C311"/>
    <x v="128"/>
    <x v="0"/>
    <x v="30"/>
    <x v="30"/>
    <x v="4"/>
    <x v="3077"/>
    <n v="19.2"/>
    <n v="20620.8"/>
  </r>
  <r>
    <s v="ORD03124"/>
    <x v="604"/>
    <s v="C101"/>
    <x v="120"/>
    <x v="4"/>
    <x v="14"/>
    <x v="14"/>
    <x v="2"/>
    <x v="3078"/>
    <n v="15.28"/>
    <n v="112384.4"/>
  </r>
  <r>
    <s v="ORD03125"/>
    <x v="466"/>
    <s v="C345"/>
    <x v="15"/>
    <x v="2"/>
    <x v="20"/>
    <x v="20"/>
    <x v="1"/>
    <x v="3079"/>
    <n v="32.619999999999997"/>
    <n v="1185704.3799999999"/>
  </r>
  <r>
    <s v="ORD03126"/>
    <x v="112"/>
    <s v="C063"/>
    <x v="282"/>
    <x v="3"/>
    <x v="20"/>
    <x v="20"/>
    <x v="1"/>
    <x v="3080"/>
    <n v="38.549999999999997"/>
    <n v="2415543"/>
  </r>
  <r>
    <s v="ORD03127"/>
    <x v="603"/>
    <s v="C070"/>
    <x v="249"/>
    <x v="4"/>
    <x v="34"/>
    <x v="34"/>
    <x v="2"/>
    <x v="3081"/>
    <n v="21.02"/>
    <n v="1362726.6"/>
  </r>
  <r>
    <s v="ORD03128"/>
    <x v="83"/>
    <s v="C029"/>
    <x v="30"/>
    <x v="4"/>
    <x v="17"/>
    <x v="17"/>
    <x v="1"/>
    <x v="3082"/>
    <n v="46.61"/>
    <n v="1714548.85"/>
  </r>
  <r>
    <s v="ORD03129"/>
    <x v="210"/>
    <s v="C329"/>
    <x v="388"/>
    <x v="2"/>
    <x v="23"/>
    <x v="23"/>
    <x v="0"/>
    <x v="3083"/>
    <n v="43.97"/>
    <n v="1194313.1399999999"/>
  </r>
  <r>
    <s v="ORD03130"/>
    <x v="643"/>
    <s v="C100"/>
    <x v="39"/>
    <x v="0"/>
    <x v="30"/>
    <x v="30"/>
    <x v="4"/>
    <x v="3084"/>
    <n v="24.77"/>
    <n v="915523.97"/>
  </r>
  <r>
    <s v="ORD03131"/>
    <x v="92"/>
    <s v="C475"/>
    <x v="33"/>
    <x v="1"/>
    <x v="27"/>
    <x v="27"/>
    <x v="4"/>
    <x v="3085"/>
    <n v="28.11"/>
    <n v="1884719.28"/>
  </r>
  <r>
    <s v="ORD03132"/>
    <x v="52"/>
    <s v="C418"/>
    <x v="246"/>
    <x v="2"/>
    <x v="48"/>
    <x v="48"/>
    <x v="2"/>
    <x v="3086"/>
    <n v="22.94"/>
    <n v="2166843.58"/>
  </r>
  <r>
    <s v="ORD03133"/>
    <x v="376"/>
    <s v="C441"/>
    <x v="115"/>
    <x v="0"/>
    <x v="14"/>
    <x v="14"/>
    <x v="2"/>
    <x v="3087"/>
    <n v="23.2"/>
    <n v="2319791.2000000002"/>
  </r>
  <r>
    <s v="ORD03134"/>
    <x v="307"/>
    <s v="C290"/>
    <x v="336"/>
    <x v="4"/>
    <x v="26"/>
    <x v="26"/>
    <x v="0"/>
    <x v="3088"/>
    <n v="5.19"/>
    <n v="48692.58"/>
  </r>
  <r>
    <s v="ORD03135"/>
    <x v="189"/>
    <s v="C302"/>
    <x v="166"/>
    <x v="3"/>
    <x v="19"/>
    <x v="19"/>
    <x v="3"/>
    <x v="3089"/>
    <n v="40.33"/>
    <n v="3443335.07"/>
  </r>
  <r>
    <s v="ORD03136"/>
    <x v="7"/>
    <s v="C398"/>
    <x v="63"/>
    <x v="1"/>
    <x v="8"/>
    <x v="8"/>
    <x v="3"/>
    <x v="3090"/>
    <n v="49.69"/>
    <n v="3908516.02"/>
  </r>
  <r>
    <s v="ORD03137"/>
    <x v="366"/>
    <s v="C132"/>
    <x v="250"/>
    <x v="3"/>
    <x v="28"/>
    <x v="28"/>
    <x v="3"/>
    <x v="3091"/>
    <n v="22.49"/>
    <n v="58653.919999999998"/>
  </r>
  <r>
    <s v="ORD03138"/>
    <x v="421"/>
    <s v="C150"/>
    <x v="356"/>
    <x v="4"/>
    <x v="33"/>
    <x v="33"/>
    <x v="1"/>
    <x v="675"/>
    <n v="47.59"/>
    <n v="2235635.4300000002"/>
  </r>
  <r>
    <s v="ORD03139"/>
    <x v="200"/>
    <s v="C359"/>
    <x v="31"/>
    <x v="0"/>
    <x v="39"/>
    <x v="39"/>
    <x v="3"/>
    <x v="3092"/>
    <n v="16.53"/>
    <n v="1569440.85"/>
  </r>
  <r>
    <s v="ORD03140"/>
    <x v="485"/>
    <s v="C409"/>
    <x v="466"/>
    <x v="3"/>
    <x v="4"/>
    <x v="4"/>
    <x v="1"/>
    <x v="3093"/>
    <n v="46.09"/>
    <n v="2983728.33"/>
  </r>
  <r>
    <s v="ORD03141"/>
    <x v="684"/>
    <s v="C490"/>
    <x v="141"/>
    <x v="2"/>
    <x v="8"/>
    <x v="8"/>
    <x v="3"/>
    <x v="3094"/>
    <n v="24.28"/>
    <n v="816075.08"/>
  </r>
  <r>
    <s v="ORD03142"/>
    <x v="473"/>
    <s v="C379"/>
    <x v="494"/>
    <x v="2"/>
    <x v="1"/>
    <x v="1"/>
    <x v="1"/>
    <x v="3095"/>
    <n v="11.43"/>
    <n v="609687.63"/>
  </r>
  <r>
    <s v="ORD03143"/>
    <x v="513"/>
    <s v="C396"/>
    <x v="427"/>
    <x v="3"/>
    <x v="47"/>
    <x v="47"/>
    <x v="2"/>
    <x v="501"/>
    <n v="38.39"/>
    <n v="2913724.22"/>
  </r>
  <r>
    <s v="ORD03144"/>
    <x v="502"/>
    <s v="C376"/>
    <x v="35"/>
    <x v="1"/>
    <x v="23"/>
    <x v="23"/>
    <x v="0"/>
    <x v="3096"/>
    <n v="14.74"/>
    <n v="214643.88"/>
  </r>
  <r>
    <s v="ORD03145"/>
    <x v="513"/>
    <s v="C386"/>
    <x v="272"/>
    <x v="0"/>
    <x v="3"/>
    <x v="3"/>
    <x v="2"/>
    <x v="3097"/>
    <n v="45.48"/>
    <n v="3994553.88"/>
  </r>
  <r>
    <s v="ORD03146"/>
    <x v="439"/>
    <s v="C056"/>
    <x v="273"/>
    <x v="0"/>
    <x v="35"/>
    <x v="35"/>
    <x v="1"/>
    <x v="3098"/>
    <n v="49.63"/>
    <n v="1609004.6"/>
  </r>
  <r>
    <s v="ORD03147"/>
    <x v="502"/>
    <s v="C232"/>
    <x v="75"/>
    <x v="0"/>
    <x v="33"/>
    <x v="33"/>
    <x v="1"/>
    <x v="3099"/>
    <n v="49.93"/>
    <n v="2698366.99"/>
  </r>
  <r>
    <s v="ORD03148"/>
    <x v="528"/>
    <s v="C316"/>
    <x v="495"/>
    <x v="2"/>
    <x v="33"/>
    <x v="33"/>
    <x v="1"/>
    <x v="3100"/>
    <n v="24.3"/>
    <n v="1622681.1"/>
  </r>
  <r>
    <s v="ORD03149"/>
    <x v="146"/>
    <s v="C377"/>
    <x v="165"/>
    <x v="4"/>
    <x v="17"/>
    <x v="17"/>
    <x v="1"/>
    <x v="3101"/>
    <n v="48.21"/>
    <n v="381823.2"/>
  </r>
  <r>
    <s v="ORD03150"/>
    <x v="220"/>
    <s v="C128"/>
    <x v="361"/>
    <x v="4"/>
    <x v="7"/>
    <x v="7"/>
    <x v="3"/>
    <x v="3102"/>
    <n v="12.81"/>
    <n v="959827.68"/>
  </r>
  <r>
    <s v="ORD03151"/>
    <x v="21"/>
    <s v="C154"/>
    <x v="496"/>
    <x v="0"/>
    <x v="4"/>
    <x v="4"/>
    <x v="1"/>
    <x v="3103"/>
    <n v="42.37"/>
    <n v="2153878.9500000002"/>
  </r>
  <r>
    <s v="ORD03152"/>
    <x v="415"/>
    <s v="C069"/>
    <x v="410"/>
    <x v="4"/>
    <x v="27"/>
    <x v="27"/>
    <x v="4"/>
    <x v="3104"/>
    <n v="38.630000000000003"/>
    <n v="1579851.11"/>
  </r>
  <r>
    <s v="ORD03153"/>
    <x v="152"/>
    <s v="C251"/>
    <x v="142"/>
    <x v="0"/>
    <x v="1"/>
    <x v="1"/>
    <x v="1"/>
    <x v="3105"/>
    <n v="16.68"/>
    <n v="1414147.08"/>
  </r>
  <r>
    <s v="ORD03154"/>
    <x v="628"/>
    <s v="C487"/>
    <x v="436"/>
    <x v="0"/>
    <x v="46"/>
    <x v="46"/>
    <x v="0"/>
    <x v="3106"/>
    <n v="9.49"/>
    <n v="639075.57999999996"/>
  </r>
  <r>
    <s v="ORD03155"/>
    <x v="28"/>
    <s v="C378"/>
    <x v="216"/>
    <x v="2"/>
    <x v="14"/>
    <x v="14"/>
    <x v="2"/>
    <x v="3107"/>
    <n v="48.76"/>
    <n v="101762.12"/>
  </r>
  <r>
    <s v="ORD03156"/>
    <x v="280"/>
    <s v="C222"/>
    <x v="453"/>
    <x v="0"/>
    <x v="22"/>
    <x v="22"/>
    <x v="0"/>
    <x v="3108"/>
    <n v="47.24"/>
    <n v="2987363.12"/>
  </r>
  <r>
    <s v="ORD03157"/>
    <x v="715"/>
    <s v="C463"/>
    <x v="61"/>
    <x v="3"/>
    <x v="39"/>
    <x v="39"/>
    <x v="3"/>
    <x v="3109"/>
    <n v="23.93"/>
    <n v="987758.61"/>
  </r>
  <r>
    <s v="ORD03158"/>
    <x v="6"/>
    <s v="C306"/>
    <x v="274"/>
    <x v="4"/>
    <x v="9"/>
    <x v="9"/>
    <x v="4"/>
    <x v="3110"/>
    <n v="8.49"/>
    <n v="473758.98"/>
  </r>
  <r>
    <s v="ORD03159"/>
    <x v="617"/>
    <s v="C462"/>
    <x v="477"/>
    <x v="2"/>
    <x v="34"/>
    <x v="34"/>
    <x v="2"/>
    <x v="3111"/>
    <n v="32.130000000000003"/>
    <n v="2208294.9"/>
  </r>
  <r>
    <s v="ORD03160"/>
    <x v="25"/>
    <s v="C125"/>
    <x v="473"/>
    <x v="0"/>
    <x v="48"/>
    <x v="48"/>
    <x v="2"/>
    <x v="3112"/>
    <n v="35.5"/>
    <n v="3405763.5"/>
  </r>
  <r>
    <s v="ORD03161"/>
    <x v="568"/>
    <s v="C280"/>
    <x v="244"/>
    <x v="1"/>
    <x v="14"/>
    <x v="14"/>
    <x v="2"/>
    <x v="3113"/>
    <n v="25.55"/>
    <n v="308592.90000000002"/>
  </r>
  <r>
    <s v="ORD03162"/>
    <x v="657"/>
    <s v="C173"/>
    <x v="342"/>
    <x v="2"/>
    <x v="18"/>
    <x v="18"/>
    <x v="0"/>
    <x v="3114"/>
    <n v="7.67"/>
    <n v="96519.28"/>
  </r>
  <r>
    <s v="ORD03163"/>
    <x v="596"/>
    <s v="C288"/>
    <x v="177"/>
    <x v="3"/>
    <x v="20"/>
    <x v="20"/>
    <x v="1"/>
    <x v="3115"/>
    <n v="14.24"/>
    <n v="1138701.6000000001"/>
  </r>
  <r>
    <s v="ORD03164"/>
    <x v="2"/>
    <s v="C412"/>
    <x v="22"/>
    <x v="2"/>
    <x v="23"/>
    <x v="23"/>
    <x v="0"/>
    <x v="3116"/>
    <n v="10.86"/>
    <n v="845765.94"/>
  </r>
  <r>
    <s v="ORD03165"/>
    <x v="478"/>
    <s v="C145"/>
    <x v="94"/>
    <x v="4"/>
    <x v="32"/>
    <x v="32"/>
    <x v="4"/>
    <x v="3117"/>
    <n v="46.05"/>
    <n v="2466852.4500000002"/>
  </r>
  <r>
    <s v="ORD03166"/>
    <x v="285"/>
    <s v="C283"/>
    <x v="478"/>
    <x v="0"/>
    <x v="19"/>
    <x v="19"/>
    <x v="3"/>
    <x v="3118"/>
    <n v="41.4"/>
    <n v="1628344.8"/>
  </r>
  <r>
    <s v="ORD03167"/>
    <x v="196"/>
    <s v="C437"/>
    <x v="195"/>
    <x v="2"/>
    <x v="22"/>
    <x v="22"/>
    <x v="0"/>
    <x v="3119"/>
    <n v="10.32"/>
    <n v="346328.88"/>
  </r>
  <r>
    <s v="ORD03168"/>
    <x v="646"/>
    <s v="C194"/>
    <x v="106"/>
    <x v="2"/>
    <x v="23"/>
    <x v="23"/>
    <x v="0"/>
    <x v="3120"/>
    <n v="15.59"/>
    <n v="1292364.23"/>
  </r>
  <r>
    <s v="ORD03169"/>
    <x v="195"/>
    <s v="C414"/>
    <x v="341"/>
    <x v="4"/>
    <x v="48"/>
    <x v="48"/>
    <x v="2"/>
    <x v="3121"/>
    <n v="11.95"/>
    <n v="447073.4"/>
  </r>
  <r>
    <s v="ORD03170"/>
    <x v="424"/>
    <s v="C393"/>
    <x v="5"/>
    <x v="3"/>
    <x v="41"/>
    <x v="41"/>
    <x v="4"/>
    <x v="3122"/>
    <n v="41.34"/>
    <n v="3028030.98"/>
  </r>
  <r>
    <s v="ORD03171"/>
    <x v="432"/>
    <s v="C388"/>
    <x v="191"/>
    <x v="2"/>
    <x v="8"/>
    <x v="8"/>
    <x v="3"/>
    <x v="3123"/>
    <n v="31.7"/>
    <n v="1385575.3"/>
  </r>
  <r>
    <s v="ORD03172"/>
    <x v="467"/>
    <s v="C246"/>
    <x v="480"/>
    <x v="1"/>
    <x v="15"/>
    <x v="15"/>
    <x v="2"/>
    <x v="3124"/>
    <n v="47.2"/>
    <n v="3393727.2"/>
  </r>
  <r>
    <s v="ORD03173"/>
    <x v="290"/>
    <s v="C110"/>
    <x v="114"/>
    <x v="1"/>
    <x v="31"/>
    <x v="31"/>
    <x v="0"/>
    <x v="3125"/>
    <n v="31.65"/>
    <n v="2332193.5499999998"/>
  </r>
  <r>
    <s v="ORD03174"/>
    <x v="353"/>
    <s v="C049"/>
    <x v="384"/>
    <x v="2"/>
    <x v="30"/>
    <x v="30"/>
    <x v="4"/>
    <x v="3126"/>
    <n v="43.53"/>
    <n v="462245.07"/>
  </r>
  <r>
    <s v="ORD03175"/>
    <x v="685"/>
    <s v="C258"/>
    <x v="276"/>
    <x v="3"/>
    <x v="14"/>
    <x v="14"/>
    <x v="2"/>
    <x v="3127"/>
    <n v="32.21"/>
    <n v="2291741.5"/>
  </r>
  <r>
    <s v="ORD03176"/>
    <x v="132"/>
    <s v="C135"/>
    <x v="67"/>
    <x v="1"/>
    <x v="16"/>
    <x v="16"/>
    <x v="1"/>
    <x v="3128"/>
    <n v="24.29"/>
    <n v="1033660.95"/>
  </r>
  <r>
    <s v="ORD03177"/>
    <x v="512"/>
    <s v="C024"/>
    <x v="487"/>
    <x v="0"/>
    <x v="23"/>
    <x v="23"/>
    <x v="0"/>
    <x v="3129"/>
    <n v="15.46"/>
    <n v="43318.92"/>
  </r>
  <r>
    <s v="ORD03178"/>
    <x v="591"/>
    <s v="C264"/>
    <x v="65"/>
    <x v="0"/>
    <x v="1"/>
    <x v="1"/>
    <x v="1"/>
    <x v="3130"/>
    <n v="13.52"/>
    <n v="943006.48"/>
  </r>
  <r>
    <s v="ORD03179"/>
    <x v="116"/>
    <s v="C007"/>
    <x v="471"/>
    <x v="1"/>
    <x v="30"/>
    <x v="30"/>
    <x v="4"/>
    <x v="3131"/>
    <n v="41.45"/>
    <n v="3093289.15"/>
  </r>
  <r>
    <s v="ORD03180"/>
    <x v="587"/>
    <s v="C298"/>
    <x v="349"/>
    <x v="1"/>
    <x v="16"/>
    <x v="16"/>
    <x v="1"/>
    <x v="3132"/>
    <n v="25.91"/>
    <n v="1350999.22"/>
  </r>
  <r>
    <s v="ORD03181"/>
    <x v="510"/>
    <s v="C444"/>
    <x v="6"/>
    <x v="1"/>
    <x v="35"/>
    <x v="35"/>
    <x v="1"/>
    <x v="3133"/>
    <n v="48.82"/>
    <n v="4333409.66"/>
  </r>
  <r>
    <s v="ORD03182"/>
    <x v="611"/>
    <s v="C031"/>
    <x v="296"/>
    <x v="1"/>
    <x v="44"/>
    <x v="44"/>
    <x v="2"/>
    <x v="3134"/>
    <n v="8.2100000000000009"/>
    <n v="535423.36"/>
  </r>
  <r>
    <s v="ORD03183"/>
    <x v="456"/>
    <s v="C165"/>
    <x v="219"/>
    <x v="1"/>
    <x v="47"/>
    <x v="47"/>
    <x v="2"/>
    <x v="3135"/>
    <n v="43.62"/>
    <n v="3911536.26"/>
  </r>
  <r>
    <s v="ORD03184"/>
    <x v="382"/>
    <s v="C454"/>
    <x v="345"/>
    <x v="3"/>
    <x v="2"/>
    <x v="2"/>
    <x v="1"/>
    <x v="3136"/>
    <n v="24.87"/>
    <n v="290954.13"/>
  </r>
  <r>
    <s v="ORD03185"/>
    <x v="496"/>
    <s v="C210"/>
    <x v="247"/>
    <x v="4"/>
    <x v="3"/>
    <x v="3"/>
    <x v="2"/>
    <x v="3137"/>
    <n v="5.4"/>
    <n v="12760.2"/>
  </r>
  <r>
    <s v="ORD03186"/>
    <x v="199"/>
    <s v="C045"/>
    <x v="174"/>
    <x v="2"/>
    <x v="0"/>
    <x v="0"/>
    <x v="0"/>
    <x v="3138"/>
    <n v="9.99"/>
    <n v="244585.17"/>
  </r>
  <r>
    <s v="ORD03187"/>
    <x v="126"/>
    <s v="C347"/>
    <x v="476"/>
    <x v="1"/>
    <x v="8"/>
    <x v="8"/>
    <x v="3"/>
    <x v="3139"/>
    <n v="47.42"/>
    <n v="3779231.74"/>
  </r>
  <r>
    <s v="ORD03188"/>
    <x v="647"/>
    <s v="C234"/>
    <x v="406"/>
    <x v="4"/>
    <x v="4"/>
    <x v="4"/>
    <x v="1"/>
    <x v="3140"/>
    <n v="17.41"/>
    <n v="1585476.47"/>
  </r>
  <r>
    <s v="ORD03189"/>
    <x v="177"/>
    <s v="C117"/>
    <x v="441"/>
    <x v="2"/>
    <x v="49"/>
    <x v="49"/>
    <x v="3"/>
    <x v="3141"/>
    <n v="3.68"/>
    <n v="45109.440000000002"/>
  </r>
  <r>
    <s v="ORD03190"/>
    <x v="339"/>
    <s v="C250"/>
    <x v="64"/>
    <x v="1"/>
    <x v="21"/>
    <x v="21"/>
    <x v="2"/>
    <x v="3142"/>
    <n v="4.6399999999999997"/>
    <n v="365942.88"/>
  </r>
  <r>
    <s v="ORD03191"/>
    <x v="490"/>
    <s v="C004"/>
    <x v="181"/>
    <x v="3"/>
    <x v="25"/>
    <x v="25"/>
    <x v="4"/>
    <x v="3143"/>
    <n v="19.350000000000001"/>
    <n v="588278.69999999995"/>
  </r>
  <r>
    <s v="ORD03192"/>
    <x v="278"/>
    <s v="C262"/>
    <x v="123"/>
    <x v="1"/>
    <x v="22"/>
    <x v="22"/>
    <x v="0"/>
    <x v="3144"/>
    <n v="7.28"/>
    <n v="414028.16"/>
  </r>
  <r>
    <s v="ORD03193"/>
    <x v="600"/>
    <s v="C377"/>
    <x v="165"/>
    <x v="4"/>
    <x v="38"/>
    <x v="38"/>
    <x v="2"/>
    <x v="3145"/>
    <n v="3.9"/>
    <n v="387211.5"/>
  </r>
  <r>
    <s v="ORD03194"/>
    <x v="698"/>
    <s v="C081"/>
    <x v="456"/>
    <x v="3"/>
    <x v="1"/>
    <x v="1"/>
    <x v="1"/>
    <x v="3146"/>
    <n v="14.29"/>
    <n v="431843.8"/>
  </r>
  <r>
    <s v="ORD03195"/>
    <x v="264"/>
    <s v="C187"/>
    <x v="108"/>
    <x v="3"/>
    <x v="37"/>
    <x v="37"/>
    <x v="1"/>
    <x v="3147"/>
    <n v="33.450000000000003"/>
    <n v="3199559.4"/>
  </r>
  <r>
    <s v="ORD03196"/>
    <x v="308"/>
    <s v="C439"/>
    <x v="489"/>
    <x v="4"/>
    <x v="7"/>
    <x v="7"/>
    <x v="3"/>
    <x v="3148"/>
    <n v="29.01"/>
    <n v="2752758.9"/>
  </r>
  <r>
    <s v="ORD03197"/>
    <x v="102"/>
    <s v="C108"/>
    <x v="310"/>
    <x v="4"/>
    <x v="30"/>
    <x v="30"/>
    <x v="4"/>
    <x v="3149"/>
    <n v="2.73"/>
    <n v="204064.77"/>
  </r>
  <r>
    <s v="ORD03198"/>
    <x v="570"/>
    <s v="C098"/>
    <x v="364"/>
    <x v="2"/>
    <x v="23"/>
    <x v="23"/>
    <x v="0"/>
    <x v="3150"/>
    <n v="37.31"/>
    <n v="788173.75"/>
  </r>
  <r>
    <s v="ORD03199"/>
    <x v="627"/>
    <s v="C467"/>
    <x v="131"/>
    <x v="2"/>
    <x v="29"/>
    <x v="29"/>
    <x v="0"/>
    <x v="3151"/>
    <n v="20.73"/>
    <n v="1722186.21"/>
  </r>
  <r>
    <s v="ORD03200"/>
    <x v="38"/>
    <s v="C168"/>
    <x v="285"/>
    <x v="1"/>
    <x v="24"/>
    <x v="24"/>
    <x v="3"/>
    <x v="3152"/>
    <n v="49.86"/>
    <n v="181639.98"/>
  </r>
  <r>
    <s v="ORD03201"/>
    <x v="448"/>
    <s v="C326"/>
    <x v="209"/>
    <x v="0"/>
    <x v="17"/>
    <x v="17"/>
    <x v="1"/>
    <x v="3153"/>
    <n v="39.82"/>
    <n v="251463.3"/>
  </r>
  <r>
    <s v="ORD03202"/>
    <x v="387"/>
    <s v="C296"/>
    <x v="321"/>
    <x v="3"/>
    <x v="27"/>
    <x v="27"/>
    <x v="4"/>
    <x v="3154"/>
    <n v="24.84"/>
    <n v="1479843"/>
  </r>
  <r>
    <s v="ORD03203"/>
    <x v="621"/>
    <s v="C032"/>
    <x v="234"/>
    <x v="4"/>
    <x v="0"/>
    <x v="0"/>
    <x v="0"/>
    <x v="3155"/>
    <n v="18.649999999999999"/>
    <n v="1216166.5"/>
  </r>
  <r>
    <s v="ORD03204"/>
    <x v="85"/>
    <s v="C414"/>
    <x v="341"/>
    <x v="4"/>
    <x v="28"/>
    <x v="28"/>
    <x v="3"/>
    <x v="3156"/>
    <n v="47.78"/>
    <n v="3767022.98"/>
  </r>
  <r>
    <s v="ORD03205"/>
    <x v="122"/>
    <s v="C362"/>
    <x v="9"/>
    <x v="4"/>
    <x v="15"/>
    <x v="15"/>
    <x v="2"/>
    <x v="3157"/>
    <n v="38.79"/>
    <n v="3086365.14"/>
  </r>
  <r>
    <s v="ORD03206"/>
    <x v="164"/>
    <s v="C276"/>
    <x v="360"/>
    <x v="1"/>
    <x v="38"/>
    <x v="38"/>
    <x v="2"/>
    <x v="3158"/>
    <n v="37.32"/>
    <n v="770695.32"/>
  </r>
  <r>
    <s v="ORD03207"/>
    <x v="106"/>
    <s v="C338"/>
    <x v="197"/>
    <x v="4"/>
    <x v="31"/>
    <x v="31"/>
    <x v="0"/>
    <x v="3159"/>
    <n v="49.86"/>
    <n v="724366.08"/>
  </r>
  <r>
    <s v="ORD03208"/>
    <x v="702"/>
    <s v="C046"/>
    <x v="446"/>
    <x v="0"/>
    <x v="29"/>
    <x v="29"/>
    <x v="0"/>
    <x v="828"/>
    <n v="5.78"/>
    <n v="379058.18"/>
  </r>
  <r>
    <s v="ORD03209"/>
    <x v="226"/>
    <s v="C433"/>
    <x v="322"/>
    <x v="4"/>
    <x v="1"/>
    <x v="1"/>
    <x v="1"/>
    <x v="3160"/>
    <n v="2.34"/>
    <n v="227827.08"/>
  </r>
  <r>
    <s v="ORD03210"/>
    <x v="646"/>
    <s v="C295"/>
    <x v="485"/>
    <x v="4"/>
    <x v="14"/>
    <x v="14"/>
    <x v="2"/>
    <x v="3161"/>
    <n v="43.77"/>
    <n v="2218526.2200000002"/>
  </r>
  <r>
    <s v="ORD03211"/>
    <x v="668"/>
    <s v="C307"/>
    <x v="318"/>
    <x v="0"/>
    <x v="16"/>
    <x v="16"/>
    <x v="1"/>
    <x v="2185"/>
    <n v="35.15"/>
    <n v="1133411.75"/>
  </r>
  <r>
    <s v="ORD03212"/>
    <x v="101"/>
    <s v="C478"/>
    <x v="269"/>
    <x v="0"/>
    <x v="16"/>
    <x v="16"/>
    <x v="1"/>
    <x v="3162"/>
    <n v="44.9"/>
    <n v="2789816.6"/>
  </r>
  <r>
    <s v="ORD03213"/>
    <x v="215"/>
    <s v="C430"/>
    <x v="363"/>
    <x v="4"/>
    <x v="15"/>
    <x v="15"/>
    <x v="2"/>
    <x v="3163"/>
    <n v="27.02"/>
    <n v="28506.1"/>
  </r>
  <r>
    <s v="ORD03214"/>
    <x v="43"/>
    <s v="C193"/>
    <x v="127"/>
    <x v="4"/>
    <x v="46"/>
    <x v="46"/>
    <x v="0"/>
    <x v="3164"/>
    <n v="11.25"/>
    <n v="750915"/>
  </r>
  <r>
    <s v="ORD03215"/>
    <x v="154"/>
    <s v="C077"/>
    <x v="426"/>
    <x v="0"/>
    <x v="28"/>
    <x v="28"/>
    <x v="3"/>
    <x v="3165"/>
    <n v="13.65"/>
    <n v="285080.25"/>
  </r>
  <r>
    <s v="ORD03216"/>
    <x v="24"/>
    <s v="C160"/>
    <x v="481"/>
    <x v="1"/>
    <x v="34"/>
    <x v="34"/>
    <x v="2"/>
    <x v="3166"/>
    <n v="15.44"/>
    <n v="1030017.84"/>
  </r>
  <r>
    <s v="ORD03217"/>
    <x v="247"/>
    <s v="C135"/>
    <x v="67"/>
    <x v="1"/>
    <x v="6"/>
    <x v="6"/>
    <x v="0"/>
    <x v="3167"/>
    <n v="12.29"/>
    <n v="1201347.5"/>
  </r>
  <r>
    <s v="ORD03218"/>
    <x v="553"/>
    <s v="C309"/>
    <x v="440"/>
    <x v="3"/>
    <x v="46"/>
    <x v="46"/>
    <x v="0"/>
    <x v="3168"/>
    <n v="33.93"/>
    <n v="761660.64"/>
  </r>
  <r>
    <s v="ORD03219"/>
    <x v="122"/>
    <s v="C085"/>
    <x v="223"/>
    <x v="0"/>
    <x v="3"/>
    <x v="3"/>
    <x v="2"/>
    <x v="3169"/>
    <n v="34.700000000000003"/>
    <n v="3221478.6"/>
  </r>
  <r>
    <s v="ORD03220"/>
    <x v="444"/>
    <s v="C242"/>
    <x v="264"/>
    <x v="0"/>
    <x v="29"/>
    <x v="29"/>
    <x v="0"/>
    <x v="3170"/>
    <n v="12.73"/>
    <n v="756492.98"/>
  </r>
  <r>
    <s v="ORD03221"/>
    <x v="260"/>
    <s v="C497"/>
    <x v="215"/>
    <x v="1"/>
    <x v="21"/>
    <x v="21"/>
    <x v="2"/>
    <x v="3171"/>
    <n v="44.34"/>
    <n v="4432891.5"/>
  </r>
  <r>
    <s v="ORD03222"/>
    <x v="240"/>
    <s v="C085"/>
    <x v="223"/>
    <x v="0"/>
    <x v="20"/>
    <x v="20"/>
    <x v="1"/>
    <x v="3172"/>
    <n v="18.89"/>
    <n v="365937.08"/>
  </r>
  <r>
    <s v="ORD03223"/>
    <x v="65"/>
    <s v="C336"/>
    <x v="239"/>
    <x v="2"/>
    <x v="3"/>
    <x v="3"/>
    <x v="2"/>
    <x v="3173"/>
    <n v="37.22"/>
    <n v="332337.38"/>
  </r>
  <r>
    <s v="ORD03224"/>
    <x v="238"/>
    <s v="C123"/>
    <x v="284"/>
    <x v="3"/>
    <x v="49"/>
    <x v="49"/>
    <x v="3"/>
    <x v="3174"/>
    <n v="7.49"/>
    <n v="189586.88"/>
  </r>
  <r>
    <s v="ORD03225"/>
    <x v="480"/>
    <s v="C067"/>
    <x v="109"/>
    <x v="2"/>
    <x v="10"/>
    <x v="10"/>
    <x v="3"/>
    <x v="3175"/>
    <n v="15.19"/>
    <n v="1499936.55"/>
  </r>
  <r>
    <s v="ORD03226"/>
    <x v="384"/>
    <s v="C454"/>
    <x v="345"/>
    <x v="3"/>
    <x v="41"/>
    <x v="41"/>
    <x v="4"/>
    <x v="3176"/>
    <n v="17.95"/>
    <n v="1478038.9"/>
  </r>
  <r>
    <s v="ORD03227"/>
    <x v="208"/>
    <s v="C274"/>
    <x v="461"/>
    <x v="4"/>
    <x v="23"/>
    <x v="23"/>
    <x v="0"/>
    <x v="3177"/>
    <n v="12.38"/>
    <n v="633125.57999999996"/>
  </r>
  <r>
    <s v="ORD03228"/>
    <x v="56"/>
    <s v="C323"/>
    <x v="343"/>
    <x v="2"/>
    <x v="44"/>
    <x v="44"/>
    <x v="2"/>
    <x v="3178"/>
    <n v="24.77"/>
    <n v="2079614.89"/>
  </r>
  <r>
    <s v="ORD03229"/>
    <x v="72"/>
    <s v="C049"/>
    <x v="384"/>
    <x v="2"/>
    <x v="8"/>
    <x v="8"/>
    <x v="3"/>
    <x v="3179"/>
    <n v="20.91"/>
    <n v="923824.71"/>
  </r>
  <r>
    <s v="ORD03230"/>
    <x v="483"/>
    <s v="C087"/>
    <x v="44"/>
    <x v="0"/>
    <x v="3"/>
    <x v="3"/>
    <x v="2"/>
    <x v="3180"/>
    <n v="24.32"/>
    <n v="1289665.28"/>
  </r>
  <r>
    <s v="ORD03231"/>
    <x v="151"/>
    <s v="C441"/>
    <x v="115"/>
    <x v="0"/>
    <x v="11"/>
    <x v="11"/>
    <x v="4"/>
    <x v="3181"/>
    <n v="18.2"/>
    <n v="766129"/>
  </r>
  <r>
    <s v="ORD03232"/>
    <x v="88"/>
    <s v="C060"/>
    <x v="420"/>
    <x v="2"/>
    <x v="3"/>
    <x v="3"/>
    <x v="2"/>
    <x v="3182"/>
    <n v="30.44"/>
    <n v="2383360.6800000002"/>
  </r>
  <r>
    <s v="ORD03233"/>
    <x v="286"/>
    <s v="C048"/>
    <x v="411"/>
    <x v="3"/>
    <x v="27"/>
    <x v="27"/>
    <x v="4"/>
    <x v="3183"/>
    <n v="31.9"/>
    <n v="865096.1"/>
  </r>
  <r>
    <s v="ORD03234"/>
    <x v="615"/>
    <s v="C194"/>
    <x v="106"/>
    <x v="2"/>
    <x v="43"/>
    <x v="43"/>
    <x v="4"/>
    <x v="3184"/>
    <n v="3.96"/>
    <n v="356047.56"/>
  </r>
  <r>
    <s v="ORD03235"/>
    <x v="537"/>
    <s v="C447"/>
    <x v="146"/>
    <x v="1"/>
    <x v="33"/>
    <x v="33"/>
    <x v="1"/>
    <x v="3185"/>
    <n v="27.57"/>
    <n v="1230256.1100000001"/>
  </r>
  <r>
    <s v="ORD03236"/>
    <x v="549"/>
    <s v="C345"/>
    <x v="15"/>
    <x v="2"/>
    <x v="45"/>
    <x v="45"/>
    <x v="3"/>
    <x v="3186"/>
    <n v="40.57"/>
    <n v="3833134.74"/>
  </r>
  <r>
    <s v="ORD03237"/>
    <x v="407"/>
    <s v="C198"/>
    <x v="0"/>
    <x v="0"/>
    <x v="40"/>
    <x v="40"/>
    <x v="0"/>
    <x v="3187"/>
    <n v="30.12"/>
    <n v="1790362.92"/>
  </r>
  <r>
    <s v="ORD03238"/>
    <x v="379"/>
    <s v="C221"/>
    <x v="176"/>
    <x v="2"/>
    <x v="21"/>
    <x v="21"/>
    <x v="2"/>
    <x v="3188"/>
    <n v="23.9"/>
    <n v="1986854.8"/>
  </r>
  <r>
    <s v="ORD03239"/>
    <x v="665"/>
    <s v="C296"/>
    <x v="321"/>
    <x v="3"/>
    <x v="28"/>
    <x v="28"/>
    <x v="3"/>
    <x v="3189"/>
    <n v="47.58"/>
    <n v="1506097.32"/>
  </r>
  <r>
    <s v="ORD03240"/>
    <x v="702"/>
    <s v="C470"/>
    <x v="190"/>
    <x v="4"/>
    <x v="39"/>
    <x v="39"/>
    <x v="3"/>
    <x v="3190"/>
    <n v="8.81"/>
    <n v="305539.61"/>
  </r>
  <r>
    <s v="ORD03241"/>
    <x v="353"/>
    <s v="C031"/>
    <x v="296"/>
    <x v="1"/>
    <x v="35"/>
    <x v="35"/>
    <x v="1"/>
    <x v="3191"/>
    <n v="37.799999999999997"/>
    <n v="534378.6"/>
  </r>
  <r>
    <s v="ORD03242"/>
    <x v="354"/>
    <s v="C203"/>
    <x v="403"/>
    <x v="0"/>
    <x v="43"/>
    <x v="43"/>
    <x v="4"/>
    <x v="3192"/>
    <n v="6.77"/>
    <n v="646122.03"/>
  </r>
  <r>
    <s v="ORD03243"/>
    <x v="161"/>
    <s v="C403"/>
    <x v="59"/>
    <x v="0"/>
    <x v="11"/>
    <x v="11"/>
    <x v="4"/>
    <x v="3193"/>
    <n v="19.28"/>
    <n v="457765.04"/>
  </r>
  <r>
    <s v="ORD03244"/>
    <x v="97"/>
    <s v="C019"/>
    <x v="88"/>
    <x v="0"/>
    <x v="47"/>
    <x v="47"/>
    <x v="2"/>
    <x v="3194"/>
    <n v="31.9"/>
    <n v="1611651.8"/>
  </r>
  <r>
    <s v="ORD03245"/>
    <x v="109"/>
    <s v="C346"/>
    <x v="171"/>
    <x v="2"/>
    <x v="3"/>
    <x v="3"/>
    <x v="2"/>
    <x v="3195"/>
    <n v="21.24"/>
    <n v="1907373.24"/>
  </r>
  <r>
    <s v="ORD03246"/>
    <x v="495"/>
    <s v="C167"/>
    <x v="404"/>
    <x v="4"/>
    <x v="12"/>
    <x v="12"/>
    <x v="4"/>
    <x v="3196"/>
    <n v="13.42"/>
    <n v="206949.82"/>
  </r>
  <r>
    <s v="ORD03247"/>
    <x v="79"/>
    <s v="C010"/>
    <x v="220"/>
    <x v="3"/>
    <x v="25"/>
    <x v="25"/>
    <x v="4"/>
    <x v="3197"/>
    <n v="24.13"/>
    <n v="1019709.67"/>
  </r>
  <r>
    <s v="ORD03248"/>
    <x v="717"/>
    <s v="C219"/>
    <x v="43"/>
    <x v="0"/>
    <x v="26"/>
    <x v="26"/>
    <x v="0"/>
    <x v="3198"/>
    <n v="47.59"/>
    <n v="2632583.62"/>
  </r>
  <r>
    <s v="ORD03249"/>
    <x v="174"/>
    <s v="C445"/>
    <x v="248"/>
    <x v="3"/>
    <x v="10"/>
    <x v="10"/>
    <x v="3"/>
    <x v="3199"/>
    <n v="49.1"/>
    <n v="195418"/>
  </r>
  <r>
    <s v="ORD03250"/>
    <x v="486"/>
    <s v="C024"/>
    <x v="487"/>
    <x v="0"/>
    <x v="37"/>
    <x v="37"/>
    <x v="1"/>
    <x v="3200"/>
    <n v="27.28"/>
    <n v="2259165.92"/>
  </r>
  <r>
    <s v="ORD03251"/>
    <x v="656"/>
    <s v="C060"/>
    <x v="420"/>
    <x v="2"/>
    <x v="3"/>
    <x v="3"/>
    <x v="2"/>
    <x v="263"/>
    <n v="49.64"/>
    <n v="1905580.32"/>
  </r>
  <r>
    <s v="ORD03252"/>
    <x v="456"/>
    <s v="C122"/>
    <x v="297"/>
    <x v="4"/>
    <x v="7"/>
    <x v="7"/>
    <x v="3"/>
    <x v="3201"/>
    <n v="19.47"/>
    <n v="442475.22"/>
  </r>
  <r>
    <s v="ORD03253"/>
    <x v="164"/>
    <s v="C212"/>
    <x v="90"/>
    <x v="4"/>
    <x v="34"/>
    <x v="34"/>
    <x v="2"/>
    <x v="3202"/>
    <n v="49.25"/>
    <n v="3183815.5"/>
  </r>
  <r>
    <s v="ORD03254"/>
    <x v="183"/>
    <s v="C133"/>
    <x v="71"/>
    <x v="4"/>
    <x v="36"/>
    <x v="36"/>
    <x v="4"/>
    <x v="3203"/>
    <n v="9.5"/>
    <n v="254286.5"/>
  </r>
  <r>
    <s v="ORD03255"/>
    <x v="191"/>
    <s v="C318"/>
    <x v="235"/>
    <x v="2"/>
    <x v="9"/>
    <x v="9"/>
    <x v="4"/>
    <x v="3204"/>
    <n v="24.57"/>
    <n v="1971889.92"/>
  </r>
  <r>
    <s v="ORD03256"/>
    <x v="126"/>
    <s v="C299"/>
    <x v="252"/>
    <x v="4"/>
    <x v="18"/>
    <x v="18"/>
    <x v="0"/>
    <x v="3205"/>
    <n v="49.98"/>
    <n v="4840263.12"/>
  </r>
  <r>
    <s v="ORD03257"/>
    <x v="567"/>
    <s v="C110"/>
    <x v="114"/>
    <x v="1"/>
    <x v="5"/>
    <x v="5"/>
    <x v="3"/>
    <x v="3206"/>
    <n v="11.83"/>
    <n v="618294.94999999995"/>
  </r>
  <r>
    <s v="ORD03258"/>
    <x v="623"/>
    <s v="C256"/>
    <x v="397"/>
    <x v="1"/>
    <x v="17"/>
    <x v="17"/>
    <x v="1"/>
    <x v="3207"/>
    <n v="5.91"/>
    <n v="127827.39"/>
  </r>
  <r>
    <s v="ORD03259"/>
    <x v="52"/>
    <s v="C060"/>
    <x v="420"/>
    <x v="2"/>
    <x v="9"/>
    <x v="9"/>
    <x v="4"/>
    <x v="3208"/>
    <n v="6.12"/>
    <n v="73366.559999999998"/>
  </r>
  <r>
    <s v="ORD03260"/>
    <x v="348"/>
    <s v="C487"/>
    <x v="436"/>
    <x v="0"/>
    <x v="37"/>
    <x v="37"/>
    <x v="1"/>
    <x v="3209"/>
    <n v="27.72"/>
    <n v="1607011.56"/>
  </r>
  <r>
    <s v="ORD03261"/>
    <x v="512"/>
    <s v="C381"/>
    <x v="113"/>
    <x v="2"/>
    <x v="41"/>
    <x v="41"/>
    <x v="4"/>
    <x v="3210"/>
    <n v="12.08"/>
    <n v="820304.48"/>
  </r>
  <r>
    <s v="ORD03262"/>
    <x v="642"/>
    <s v="C037"/>
    <x v="255"/>
    <x v="1"/>
    <x v="39"/>
    <x v="39"/>
    <x v="3"/>
    <x v="3211"/>
    <n v="11.2"/>
    <n v="233307.2"/>
  </r>
  <r>
    <s v="ORD03263"/>
    <x v="122"/>
    <s v="C430"/>
    <x v="363"/>
    <x v="4"/>
    <x v="23"/>
    <x v="23"/>
    <x v="0"/>
    <x v="3212"/>
    <n v="26.45"/>
    <n v="1090242.55"/>
  </r>
  <r>
    <s v="ORD03264"/>
    <x v="295"/>
    <s v="C298"/>
    <x v="349"/>
    <x v="1"/>
    <x v="8"/>
    <x v="8"/>
    <x v="3"/>
    <x v="3213"/>
    <n v="49.74"/>
    <n v="4908094.5"/>
  </r>
  <r>
    <s v="ORD03265"/>
    <x v="276"/>
    <s v="C435"/>
    <x v="60"/>
    <x v="4"/>
    <x v="7"/>
    <x v="7"/>
    <x v="3"/>
    <x v="3214"/>
    <n v="3.14"/>
    <n v="198780.84"/>
  </r>
  <r>
    <s v="ORD03266"/>
    <x v="48"/>
    <s v="C031"/>
    <x v="296"/>
    <x v="1"/>
    <x v="31"/>
    <x v="31"/>
    <x v="0"/>
    <x v="3215"/>
    <n v="43.96"/>
    <n v="590734.48"/>
  </r>
  <r>
    <s v="ORD03267"/>
    <x v="553"/>
    <s v="C218"/>
    <x v="263"/>
    <x v="4"/>
    <x v="46"/>
    <x v="46"/>
    <x v="0"/>
    <x v="3216"/>
    <n v="3.11"/>
    <n v="121448.61"/>
  </r>
  <r>
    <s v="ORD03268"/>
    <x v="605"/>
    <s v="C397"/>
    <x v="95"/>
    <x v="3"/>
    <x v="25"/>
    <x v="25"/>
    <x v="4"/>
    <x v="3217"/>
    <n v="26.67"/>
    <n v="2354614.29"/>
  </r>
  <r>
    <s v="ORD03269"/>
    <x v="30"/>
    <s v="C496"/>
    <x v="82"/>
    <x v="0"/>
    <x v="21"/>
    <x v="21"/>
    <x v="2"/>
    <x v="3218"/>
    <n v="33.4"/>
    <n v="1663954.6"/>
  </r>
  <r>
    <s v="ORD03270"/>
    <x v="344"/>
    <s v="C179"/>
    <x v="377"/>
    <x v="3"/>
    <x v="30"/>
    <x v="30"/>
    <x v="4"/>
    <x v="3219"/>
    <n v="17.79"/>
    <n v="1581548.79"/>
  </r>
  <r>
    <s v="ORD03271"/>
    <x v="570"/>
    <s v="C089"/>
    <x v="79"/>
    <x v="4"/>
    <x v="38"/>
    <x v="38"/>
    <x v="2"/>
    <x v="3220"/>
    <n v="9.0299999999999994"/>
    <n v="10086.51"/>
  </r>
  <r>
    <s v="ORD03272"/>
    <x v="622"/>
    <s v="C255"/>
    <x v="143"/>
    <x v="0"/>
    <x v="14"/>
    <x v="14"/>
    <x v="2"/>
    <x v="3221"/>
    <n v="31.2"/>
    <n v="2538900"/>
  </r>
  <r>
    <s v="ORD03273"/>
    <x v="87"/>
    <s v="C117"/>
    <x v="441"/>
    <x v="2"/>
    <x v="11"/>
    <x v="11"/>
    <x v="4"/>
    <x v="3222"/>
    <n v="47.7"/>
    <n v="1890207.9"/>
  </r>
  <r>
    <s v="ORD03274"/>
    <x v="217"/>
    <s v="C188"/>
    <x v="138"/>
    <x v="0"/>
    <x v="16"/>
    <x v="16"/>
    <x v="1"/>
    <x v="3223"/>
    <n v="37.549999999999997"/>
    <n v="2130624.5499999998"/>
  </r>
  <r>
    <s v="ORD03275"/>
    <x v="659"/>
    <s v="C123"/>
    <x v="284"/>
    <x v="3"/>
    <x v="6"/>
    <x v="6"/>
    <x v="0"/>
    <x v="3224"/>
    <n v="44.63"/>
    <n v="1921857.06"/>
  </r>
  <r>
    <s v="ORD03276"/>
    <x v="274"/>
    <s v="C393"/>
    <x v="5"/>
    <x v="3"/>
    <x v="9"/>
    <x v="9"/>
    <x v="4"/>
    <x v="3225"/>
    <n v="4.0599999999999996"/>
    <n v="283919.86"/>
  </r>
  <r>
    <s v="ORD03277"/>
    <x v="596"/>
    <s v="C407"/>
    <x v="70"/>
    <x v="0"/>
    <x v="20"/>
    <x v="20"/>
    <x v="1"/>
    <x v="3226"/>
    <n v="3.8"/>
    <n v="108626.8"/>
  </r>
  <r>
    <s v="ORD03278"/>
    <x v="380"/>
    <s v="C250"/>
    <x v="64"/>
    <x v="1"/>
    <x v="24"/>
    <x v="24"/>
    <x v="3"/>
    <x v="3227"/>
    <n v="25.26"/>
    <n v="1049856.1200000001"/>
  </r>
  <r>
    <s v="ORD03279"/>
    <x v="315"/>
    <s v="C330"/>
    <x v="48"/>
    <x v="2"/>
    <x v="35"/>
    <x v="35"/>
    <x v="1"/>
    <x v="3228"/>
    <n v="44.44"/>
    <n v="1638547.24"/>
  </r>
  <r>
    <s v="ORD03280"/>
    <x v="291"/>
    <s v="C154"/>
    <x v="496"/>
    <x v="0"/>
    <x v="39"/>
    <x v="39"/>
    <x v="3"/>
    <x v="594"/>
    <n v="49.85"/>
    <n v="437383.9"/>
  </r>
  <r>
    <s v="ORD03281"/>
    <x v="25"/>
    <s v="C099"/>
    <x v="302"/>
    <x v="2"/>
    <x v="7"/>
    <x v="7"/>
    <x v="3"/>
    <x v="3229"/>
    <n v="20.87"/>
    <n v="586029.6"/>
  </r>
  <r>
    <s v="ORD03282"/>
    <x v="580"/>
    <s v="C498"/>
    <x v="68"/>
    <x v="0"/>
    <x v="44"/>
    <x v="44"/>
    <x v="2"/>
    <x v="3230"/>
    <n v="44.12"/>
    <n v="757408.04"/>
  </r>
  <r>
    <s v="ORD03283"/>
    <x v="135"/>
    <s v="C468"/>
    <x v="76"/>
    <x v="1"/>
    <x v="32"/>
    <x v="32"/>
    <x v="4"/>
    <x v="3231"/>
    <n v="30.34"/>
    <n v="1038507.86"/>
  </r>
  <r>
    <s v="ORD03284"/>
    <x v="624"/>
    <s v="C090"/>
    <x v="380"/>
    <x v="1"/>
    <x v="28"/>
    <x v="28"/>
    <x v="3"/>
    <x v="3232"/>
    <n v="7.48"/>
    <n v="394435.36"/>
  </r>
  <r>
    <s v="ORD03285"/>
    <x v="584"/>
    <s v="C166"/>
    <x v="491"/>
    <x v="2"/>
    <x v="32"/>
    <x v="32"/>
    <x v="4"/>
    <x v="3233"/>
    <n v="34.85"/>
    <n v="1192323.05"/>
  </r>
  <r>
    <s v="ORD03286"/>
    <x v="723"/>
    <s v="C349"/>
    <x v="316"/>
    <x v="2"/>
    <x v="44"/>
    <x v="44"/>
    <x v="2"/>
    <x v="3234"/>
    <n v="46.54"/>
    <n v="2936301.68"/>
  </r>
  <r>
    <s v="ORD03287"/>
    <x v="565"/>
    <s v="C299"/>
    <x v="252"/>
    <x v="4"/>
    <x v="24"/>
    <x v="24"/>
    <x v="3"/>
    <x v="3235"/>
    <n v="37.43"/>
    <n v="643421.69999999995"/>
  </r>
  <r>
    <s v="ORD03288"/>
    <x v="312"/>
    <s v="C051"/>
    <x v="66"/>
    <x v="4"/>
    <x v="39"/>
    <x v="39"/>
    <x v="3"/>
    <x v="3236"/>
    <n v="26.91"/>
    <n v="701328.42"/>
  </r>
  <r>
    <s v="ORD03289"/>
    <x v="130"/>
    <s v="C063"/>
    <x v="282"/>
    <x v="3"/>
    <x v="27"/>
    <x v="27"/>
    <x v="4"/>
    <x v="3237"/>
    <n v="36.79"/>
    <n v="3109086.11"/>
  </r>
  <r>
    <s v="ORD03290"/>
    <x v="254"/>
    <s v="C362"/>
    <x v="9"/>
    <x v="4"/>
    <x v="29"/>
    <x v="29"/>
    <x v="0"/>
    <x v="3238"/>
    <n v="40.450000000000003"/>
    <n v="386499.75"/>
  </r>
  <r>
    <s v="ORD03291"/>
    <x v="223"/>
    <s v="C294"/>
    <x v="484"/>
    <x v="4"/>
    <x v="39"/>
    <x v="39"/>
    <x v="3"/>
    <x v="3239"/>
    <n v="24.99"/>
    <n v="240603.72"/>
  </r>
  <r>
    <s v="ORD03292"/>
    <x v="316"/>
    <s v="C277"/>
    <x v="158"/>
    <x v="3"/>
    <x v="7"/>
    <x v="7"/>
    <x v="3"/>
    <x v="3240"/>
    <n v="31.36"/>
    <n v="1524096"/>
  </r>
  <r>
    <s v="ORD03293"/>
    <x v="301"/>
    <s v="C449"/>
    <x v="277"/>
    <x v="0"/>
    <x v="18"/>
    <x v="18"/>
    <x v="0"/>
    <x v="3241"/>
    <n v="20.16"/>
    <n v="170150.39999999999"/>
  </r>
  <r>
    <s v="ORD03294"/>
    <x v="642"/>
    <s v="C080"/>
    <x v="222"/>
    <x v="4"/>
    <x v="11"/>
    <x v="11"/>
    <x v="4"/>
    <x v="3242"/>
    <n v="48.79"/>
    <n v="4329624.5999999996"/>
  </r>
  <r>
    <s v="ORD03295"/>
    <x v="273"/>
    <s v="C333"/>
    <x v="189"/>
    <x v="0"/>
    <x v="36"/>
    <x v="36"/>
    <x v="4"/>
    <x v="3243"/>
    <n v="48.51"/>
    <n v="2784425.49"/>
  </r>
  <r>
    <s v="ORD03296"/>
    <x v="474"/>
    <s v="C022"/>
    <x v="303"/>
    <x v="3"/>
    <x v="6"/>
    <x v="6"/>
    <x v="0"/>
    <x v="3244"/>
    <n v="26.13"/>
    <n v="1713762.18"/>
  </r>
  <r>
    <s v="ORD03297"/>
    <x v="634"/>
    <s v="C191"/>
    <x v="186"/>
    <x v="2"/>
    <x v="29"/>
    <x v="29"/>
    <x v="0"/>
    <x v="3245"/>
    <n v="20.16"/>
    <n v="35864.639999999999"/>
  </r>
  <r>
    <s v="ORD03298"/>
    <x v="259"/>
    <s v="C209"/>
    <x v="409"/>
    <x v="4"/>
    <x v="36"/>
    <x v="36"/>
    <x v="4"/>
    <x v="3246"/>
    <n v="42.83"/>
    <n v="2987007.03"/>
  </r>
  <r>
    <s v="ORD03299"/>
    <x v="494"/>
    <s v="C460"/>
    <x v="17"/>
    <x v="1"/>
    <x v="28"/>
    <x v="28"/>
    <x v="3"/>
    <x v="3247"/>
    <n v="17.2"/>
    <n v="908676"/>
  </r>
  <r>
    <s v="ORD03300"/>
    <x v="185"/>
    <s v="C410"/>
    <x v="326"/>
    <x v="4"/>
    <x v="29"/>
    <x v="29"/>
    <x v="0"/>
    <x v="3248"/>
    <n v="31.83"/>
    <n v="469524.33"/>
  </r>
  <r>
    <s v="ORD03301"/>
    <x v="434"/>
    <s v="C270"/>
    <x v="391"/>
    <x v="4"/>
    <x v="0"/>
    <x v="0"/>
    <x v="0"/>
    <x v="3249"/>
    <n v="12.78"/>
    <n v="147545.1"/>
  </r>
  <r>
    <s v="ORD03302"/>
    <x v="463"/>
    <s v="C403"/>
    <x v="59"/>
    <x v="0"/>
    <x v="4"/>
    <x v="4"/>
    <x v="1"/>
    <x v="3250"/>
    <n v="27.04"/>
    <n v="1334667.3600000001"/>
  </r>
  <r>
    <s v="ORD03303"/>
    <x v="719"/>
    <s v="C371"/>
    <x v="355"/>
    <x v="2"/>
    <x v="29"/>
    <x v="29"/>
    <x v="0"/>
    <x v="3251"/>
    <n v="8.7799999999999994"/>
    <n v="238605.28"/>
  </r>
  <r>
    <s v="ORD03304"/>
    <x v="301"/>
    <s v="C441"/>
    <x v="115"/>
    <x v="0"/>
    <x v="0"/>
    <x v="0"/>
    <x v="0"/>
    <x v="3252"/>
    <n v="41.23"/>
    <n v="1802658.06"/>
  </r>
  <r>
    <s v="ORD03305"/>
    <x v="224"/>
    <s v="C127"/>
    <x v="180"/>
    <x v="3"/>
    <x v="11"/>
    <x v="11"/>
    <x v="4"/>
    <x v="3253"/>
    <n v="20.87"/>
    <n v="1906996.25"/>
  </r>
  <r>
    <s v="ORD03306"/>
    <x v="57"/>
    <s v="C026"/>
    <x v="221"/>
    <x v="1"/>
    <x v="15"/>
    <x v="15"/>
    <x v="2"/>
    <x v="3254"/>
    <n v="27.61"/>
    <n v="1618249.71"/>
  </r>
  <r>
    <s v="ORD03307"/>
    <x v="367"/>
    <s v="C217"/>
    <x v="145"/>
    <x v="4"/>
    <x v="12"/>
    <x v="12"/>
    <x v="4"/>
    <x v="3255"/>
    <n v="5.31"/>
    <n v="235201.14"/>
  </r>
  <r>
    <s v="ORD03308"/>
    <x v="175"/>
    <s v="C255"/>
    <x v="143"/>
    <x v="0"/>
    <x v="38"/>
    <x v="38"/>
    <x v="2"/>
    <x v="3256"/>
    <n v="8.6"/>
    <n v="424358.40000000002"/>
  </r>
  <r>
    <s v="ORD03309"/>
    <x v="123"/>
    <s v="C171"/>
    <x v="423"/>
    <x v="0"/>
    <x v="23"/>
    <x v="23"/>
    <x v="0"/>
    <x v="3257"/>
    <n v="36.479999999999997"/>
    <n v="213043.20000000001"/>
  </r>
  <r>
    <s v="ORD03310"/>
    <x v="566"/>
    <s v="C189"/>
    <x v="253"/>
    <x v="0"/>
    <x v="28"/>
    <x v="28"/>
    <x v="3"/>
    <x v="3258"/>
    <n v="30.18"/>
    <n v="443464.92"/>
  </r>
  <r>
    <s v="ORD03311"/>
    <x v="456"/>
    <s v="C300"/>
    <x v="204"/>
    <x v="0"/>
    <x v="32"/>
    <x v="32"/>
    <x v="4"/>
    <x v="3259"/>
    <n v="28.93"/>
    <n v="1777372.41"/>
  </r>
  <r>
    <s v="ORD03312"/>
    <x v="74"/>
    <s v="C294"/>
    <x v="484"/>
    <x v="4"/>
    <x v="22"/>
    <x v="22"/>
    <x v="0"/>
    <x v="2013"/>
    <n v="22.31"/>
    <n v="487852.77"/>
  </r>
  <r>
    <s v="ORD03313"/>
    <x v="447"/>
    <s v="C170"/>
    <x v="493"/>
    <x v="4"/>
    <x v="29"/>
    <x v="29"/>
    <x v="0"/>
    <x v="3260"/>
    <n v="43.27"/>
    <n v="76198.47"/>
  </r>
  <r>
    <s v="ORD03314"/>
    <x v="469"/>
    <s v="C122"/>
    <x v="297"/>
    <x v="4"/>
    <x v="45"/>
    <x v="45"/>
    <x v="3"/>
    <x v="3261"/>
    <n v="34.46"/>
    <n v="493329.36"/>
  </r>
  <r>
    <s v="ORD03315"/>
    <x v="320"/>
    <s v="C459"/>
    <x v="295"/>
    <x v="2"/>
    <x v="48"/>
    <x v="48"/>
    <x v="2"/>
    <x v="3262"/>
    <n v="30.81"/>
    <n v="1010413.95"/>
  </r>
  <r>
    <s v="ORD03316"/>
    <x v="583"/>
    <s v="C318"/>
    <x v="235"/>
    <x v="2"/>
    <x v="22"/>
    <x v="22"/>
    <x v="0"/>
    <x v="3263"/>
    <n v="37.79"/>
    <n v="60010.52"/>
  </r>
  <r>
    <s v="ORD03317"/>
    <x v="127"/>
    <s v="C143"/>
    <x v="448"/>
    <x v="4"/>
    <x v="10"/>
    <x v="10"/>
    <x v="3"/>
    <x v="3264"/>
    <n v="11.07"/>
    <n v="446419.89"/>
  </r>
  <r>
    <s v="ORD03318"/>
    <x v="599"/>
    <s v="C193"/>
    <x v="127"/>
    <x v="4"/>
    <x v="37"/>
    <x v="37"/>
    <x v="1"/>
    <x v="3265"/>
    <n v="23.77"/>
    <n v="1331595.3999999999"/>
  </r>
  <r>
    <s v="ORD03319"/>
    <x v="436"/>
    <s v="C250"/>
    <x v="64"/>
    <x v="1"/>
    <x v="17"/>
    <x v="17"/>
    <x v="1"/>
    <x v="3266"/>
    <n v="10.35"/>
    <n v="92228.85"/>
  </r>
  <r>
    <s v="ORD03320"/>
    <x v="270"/>
    <s v="C057"/>
    <x v="161"/>
    <x v="4"/>
    <x v="4"/>
    <x v="4"/>
    <x v="1"/>
    <x v="3267"/>
    <n v="42.7"/>
    <n v="3439186.1"/>
  </r>
  <r>
    <s v="ORD03321"/>
    <x v="294"/>
    <s v="C215"/>
    <x v="459"/>
    <x v="1"/>
    <x v="23"/>
    <x v="23"/>
    <x v="0"/>
    <x v="3268"/>
    <n v="7.28"/>
    <n v="489936.72"/>
  </r>
  <r>
    <s v="ORD03322"/>
    <x v="251"/>
    <s v="C199"/>
    <x v="419"/>
    <x v="3"/>
    <x v="25"/>
    <x v="25"/>
    <x v="4"/>
    <x v="3269"/>
    <n v="11.47"/>
    <n v="197937.79"/>
  </r>
  <r>
    <s v="ORD03323"/>
    <x v="463"/>
    <s v="C450"/>
    <x v="429"/>
    <x v="2"/>
    <x v="15"/>
    <x v="15"/>
    <x v="2"/>
    <x v="3270"/>
    <n v="10.06"/>
    <n v="749007.24"/>
  </r>
  <r>
    <s v="ORD03324"/>
    <x v="100"/>
    <s v="C037"/>
    <x v="255"/>
    <x v="1"/>
    <x v="1"/>
    <x v="1"/>
    <x v="1"/>
    <x v="3271"/>
    <n v="20.8"/>
    <n v="225846.39999999999"/>
  </r>
  <r>
    <s v="ORD03325"/>
    <x v="382"/>
    <s v="C353"/>
    <x v="472"/>
    <x v="0"/>
    <x v="23"/>
    <x v="23"/>
    <x v="0"/>
    <x v="3272"/>
    <n v="42.82"/>
    <n v="2580889.86"/>
  </r>
  <r>
    <s v="ORD03326"/>
    <x v="356"/>
    <s v="C255"/>
    <x v="143"/>
    <x v="0"/>
    <x v="20"/>
    <x v="20"/>
    <x v="1"/>
    <x v="3273"/>
    <n v="19.25"/>
    <n v="208881.75"/>
  </r>
  <r>
    <s v="ORD03327"/>
    <x v="115"/>
    <s v="C398"/>
    <x v="63"/>
    <x v="1"/>
    <x v="20"/>
    <x v="20"/>
    <x v="1"/>
    <x v="3274"/>
    <n v="45.94"/>
    <n v="3884732.34"/>
  </r>
  <r>
    <s v="ORD03328"/>
    <x v="179"/>
    <s v="C207"/>
    <x v="352"/>
    <x v="3"/>
    <x v="22"/>
    <x v="22"/>
    <x v="0"/>
    <x v="3275"/>
    <n v="17.66"/>
    <n v="1510159.58"/>
  </r>
  <r>
    <s v="ORD03329"/>
    <x v="503"/>
    <s v="C086"/>
    <x v="362"/>
    <x v="0"/>
    <x v="47"/>
    <x v="47"/>
    <x v="2"/>
    <x v="3276"/>
    <n v="29.26"/>
    <n v="2357010.04"/>
  </r>
  <r>
    <s v="ORD03330"/>
    <x v="639"/>
    <s v="C416"/>
    <x v="451"/>
    <x v="3"/>
    <x v="45"/>
    <x v="45"/>
    <x v="3"/>
    <x v="3277"/>
    <n v="48.11"/>
    <n v="4037535.53"/>
  </r>
  <r>
    <s v="ORD03331"/>
    <x v="297"/>
    <s v="C332"/>
    <x v="242"/>
    <x v="2"/>
    <x v="16"/>
    <x v="16"/>
    <x v="1"/>
    <x v="3278"/>
    <n v="47.41"/>
    <n v="301100.90999999997"/>
  </r>
  <r>
    <s v="ORD03332"/>
    <x v="279"/>
    <s v="C172"/>
    <x v="207"/>
    <x v="0"/>
    <x v="45"/>
    <x v="45"/>
    <x v="3"/>
    <x v="3279"/>
    <n v="47.28"/>
    <n v="3605241.84"/>
  </r>
  <r>
    <s v="ORD03333"/>
    <x v="210"/>
    <s v="C023"/>
    <x v="304"/>
    <x v="4"/>
    <x v="15"/>
    <x v="15"/>
    <x v="2"/>
    <x v="3280"/>
    <n v="48.87"/>
    <n v="2132491.3199999998"/>
  </r>
  <r>
    <s v="ORD03334"/>
    <x v="570"/>
    <s v="C048"/>
    <x v="411"/>
    <x v="3"/>
    <x v="48"/>
    <x v="48"/>
    <x v="2"/>
    <x v="3281"/>
    <n v="33.03"/>
    <n v="2786278.68"/>
  </r>
  <r>
    <s v="ORD03335"/>
    <x v="41"/>
    <s v="C348"/>
    <x v="413"/>
    <x v="0"/>
    <x v="4"/>
    <x v="4"/>
    <x v="1"/>
    <x v="3282"/>
    <n v="4.2"/>
    <n v="368491.2"/>
  </r>
  <r>
    <s v="ORD03336"/>
    <x v="379"/>
    <s v="C004"/>
    <x v="181"/>
    <x v="3"/>
    <x v="2"/>
    <x v="2"/>
    <x v="1"/>
    <x v="3283"/>
    <n v="20"/>
    <n v="1633700"/>
  </r>
  <r>
    <s v="ORD03337"/>
    <x v="361"/>
    <s v="C087"/>
    <x v="44"/>
    <x v="0"/>
    <x v="2"/>
    <x v="2"/>
    <x v="1"/>
    <x v="3284"/>
    <n v="7.21"/>
    <n v="712982.48"/>
  </r>
  <r>
    <s v="ORD03338"/>
    <x v="472"/>
    <s v="C245"/>
    <x v="137"/>
    <x v="1"/>
    <x v="38"/>
    <x v="38"/>
    <x v="2"/>
    <x v="3285"/>
    <n v="14.31"/>
    <n v="850228.65"/>
  </r>
  <r>
    <s v="ORD03339"/>
    <x v="604"/>
    <s v="C314"/>
    <x v="10"/>
    <x v="0"/>
    <x v="2"/>
    <x v="2"/>
    <x v="1"/>
    <x v="1731"/>
    <n v="37.08"/>
    <n v="339170.76"/>
  </r>
  <r>
    <s v="ORD03340"/>
    <x v="494"/>
    <s v="C243"/>
    <x v="353"/>
    <x v="0"/>
    <x v="23"/>
    <x v="23"/>
    <x v="0"/>
    <x v="3286"/>
    <n v="13.4"/>
    <n v="708927"/>
  </r>
  <r>
    <s v="ORD03341"/>
    <x v="604"/>
    <s v="C054"/>
    <x v="129"/>
    <x v="3"/>
    <x v="43"/>
    <x v="43"/>
    <x v="4"/>
    <x v="3287"/>
    <n v="9.82"/>
    <n v="942435.22"/>
  </r>
  <r>
    <s v="ORD03342"/>
    <x v="586"/>
    <s v="C071"/>
    <x v="279"/>
    <x v="0"/>
    <x v="9"/>
    <x v="9"/>
    <x v="4"/>
    <x v="3288"/>
    <n v="25.77"/>
    <n v="1177225.1399999999"/>
  </r>
  <r>
    <s v="ORD03343"/>
    <x v="472"/>
    <s v="C091"/>
    <x v="458"/>
    <x v="1"/>
    <x v="36"/>
    <x v="36"/>
    <x v="4"/>
    <x v="3289"/>
    <n v="17.64"/>
    <n v="1621239.48"/>
  </r>
  <r>
    <s v="ORD03344"/>
    <x v="318"/>
    <s v="C177"/>
    <x v="183"/>
    <x v="1"/>
    <x v="40"/>
    <x v="40"/>
    <x v="0"/>
    <x v="3290"/>
    <n v="13.14"/>
    <n v="731622.06"/>
  </r>
  <r>
    <s v="ORD03345"/>
    <x v="519"/>
    <s v="C370"/>
    <x v="486"/>
    <x v="3"/>
    <x v="6"/>
    <x v="6"/>
    <x v="0"/>
    <x v="3291"/>
    <n v="17.45"/>
    <n v="344951.6"/>
  </r>
  <r>
    <s v="ORD03346"/>
    <x v="250"/>
    <s v="C478"/>
    <x v="269"/>
    <x v="0"/>
    <x v="10"/>
    <x v="10"/>
    <x v="3"/>
    <x v="3292"/>
    <n v="45.82"/>
    <n v="1663174.36"/>
  </r>
  <r>
    <s v="ORD03347"/>
    <x v="61"/>
    <s v="C420"/>
    <x v="11"/>
    <x v="4"/>
    <x v="15"/>
    <x v="15"/>
    <x v="2"/>
    <x v="3293"/>
    <n v="15.35"/>
    <n v="362781.9"/>
  </r>
  <r>
    <s v="ORD03348"/>
    <x v="45"/>
    <s v="C053"/>
    <x v="294"/>
    <x v="4"/>
    <x v="34"/>
    <x v="34"/>
    <x v="2"/>
    <x v="3294"/>
    <n v="5.64"/>
    <n v="538495.92000000004"/>
  </r>
  <r>
    <s v="ORD03349"/>
    <x v="333"/>
    <s v="C139"/>
    <x v="385"/>
    <x v="2"/>
    <x v="16"/>
    <x v="16"/>
    <x v="1"/>
    <x v="3295"/>
    <n v="23.95"/>
    <n v="931487.35"/>
  </r>
  <r>
    <s v="ORD03350"/>
    <x v="544"/>
    <s v="C256"/>
    <x v="397"/>
    <x v="1"/>
    <x v="45"/>
    <x v="45"/>
    <x v="3"/>
    <x v="3296"/>
    <n v="41.98"/>
    <n v="602119.14"/>
  </r>
  <r>
    <s v="ORD03351"/>
    <x v="634"/>
    <s v="C400"/>
    <x v="376"/>
    <x v="2"/>
    <x v="4"/>
    <x v="4"/>
    <x v="1"/>
    <x v="3297"/>
    <n v="46.22"/>
    <n v="1537646.96"/>
  </r>
  <r>
    <s v="ORD03352"/>
    <x v="173"/>
    <s v="C189"/>
    <x v="253"/>
    <x v="0"/>
    <x v="18"/>
    <x v="18"/>
    <x v="0"/>
    <x v="3298"/>
    <n v="46.1"/>
    <n v="3526327.3"/>
  </r>
  <r>
    <s v="ORD03353"/>
    <x v="318"/>
    <s v="C477"/>
    <x v="87"/>
    <x v="4"/>
    <x v="22"/>
    <x v="22"/>
    <x v="0"/>
    <x v="3299"/>
    <n v="34.69"/>
    <n v="266002.92"/>
  </r>
  <r>
    <s v="ORD03354"/>
    <x v="313"/>
    <s v="C422"/>
    <x v="415"/>
    <x v="4"/>
    <x v="28"/>
    <x v="28"/>
    <x v="3"/>
    <x v="3300"/>
    <n v="37.14"/>
    <n v="2482103.34"/>
  </r>
  <r>
    <s v="ORD03355"/>
    <x v="450"/>
    <s v="C177"/>
    <x v="183"/>
    <x v="1"/>
    <x v="15"/>
    <x v="15"/>
    <x v="2"/>
    <x v="3301"/>
    <n v="47.11"/>
    <n v="4099229.54"/>
  </r>
  <r>
    <s v="ORD03356"/>
    <x v="426"/>
    <s v="C397"/>
    <x v="95"/>
    <x v="3"/>
    <x v="2"/>
    <x v="2"/>
    <x v="1"/>
    <x v="3302"/>
    <n v="25.44"/>
    <n v="1751493.12"/>
  </r>
  <r>
    <s v="ORD03357"/>
    <x v="615"/>
    <s v="C205"/>
    <x v="490"/>
    <x v="4"/>
    <x v="45"/>
    <x v="45"/>
    <x v="3"/>
    <x v="3303"/>
    <n v="36.590000000000003"/>
    <n v="1682042.3"/>
  </r>
  <r>
    <s v="ORD03358"/>
    <x v="152"/>
    <s v="C110"/>
    <x v="114"/>
    <x v="1"/>
    <x v="47"/>
    <x v="47"/>
    <x v="2"/>
    <x v="2743"/>
    <n v="31.23"/>
    <n v="180665.55"/>
  </r>
  <r>
    <s v="ORD03359"/>
    <x v="502"/>
    <s v="C325"/>
    <x v="414"/>
    <x v="0"/>
    <x v="11"/>
    <x v="11"/>
    <x v="4"/>
    <x v="3304"/>
    <n v="7.25"/>
    <n v="362761"/>
  </r>
  <r>
    <s v="ORD03360"/>
    <x v="90"/>
    <s v="C457"/>
    <x v="196"/>
    <x v="3"/>
    <x v="42"/>
    <x v="42"/>
    <x v="1"/>
    <x v="3305"/>
    <n v="46.64"/>
    <n v="3873498.64"/>
  </r>
  <r>
    <s v="ORD03361"/>
    <x v="37"/>
    <s v="C185"/>
    <x v="241"/>
    <x v="2"/>
    <x v="34"/>
    <x v="34"/>
    <x v="2"/>
    <x v="3306"/>
    <n v="44.49"/>
    <n v="2978249.58"/>
  </r>
  <r>
    <s v="ORD03362"/>
    <x v="508"/>
    <s v="C379"/>
    <x v="494"/>
    <x v="2"/>
    <x v="44"/>
    <x v="44"/>
    <x v="2"/>
    <x v="3307"/>
    <n v="29.58"/>
    <n v="1238603.3400000001"/>
  </r>
  <r>
    <s v="ORD03363"/>
    <x v="293"/>
    <s v="C405"/>
    <x v="230"/>
    <x v="4"/>
    <x v="38"/>
    <x v="38"/>
    <x v="2"/>
    <x v="3308"/>
    <n v="38.520000000000003"/>
    <n v="3600772.56"/>
  </r>
  <r>
    <s v="ORD03364"/>
    <x v="294"/>
    <s v="C268"/>
    <x v="313"/>
    <x v="0"/>
    <x v="35"/>
    <x v="35"/>
    <x v="1"/>
    <x v="3309"/>
    <n v="11.13"/>
    <n v="1009602.3"/>
  </r>
  <r>
    <s v="ORD03365"/>
    <x v="4"/>
    <s v="C489"/>
    <x v="184"/>
    <x v="4"/>
    <x v="49"/>
    <x v="49"/>
    <x v="3"/>
    <x v="3310"/>
    <n v="28.25"/>
    <n v="1671439.5"/>
  </r>
  <r>
    <s v="ORD03366"/>
    <x v="538"/>
    <s v="C218"/>
    <x v="263"/>
    <x v="4"/>
    <x v="33"/>
    <x v="33"/>
    <x v="1"/>
    <x v="3311"/>
    <n v="18.77"/>
    <n v="1567426.39"/>
  </r>
  <r>
    <s v="ORD03367"/>
    <x v="406"/>
    <s v="C350"/>
    <x v="280"/>
    <x v="3"/>
    <x v="40"/>
    <x v="40"/>
    <x v="0"/>
    <x v="3312"/>
    <n v="32.1"/>
    <n v="2623340.4"/>
  </r>
  <r>
    <s v="ORD03368"/>
    <x v="554"/>
    <s v="C398"/>
    <x v="63"/>
    <x v="1"/>
    <x v="4"/>
    <x v="4"/>
    <x v="1"/>
    <x v="3313"/>
    <n v="12.58"/>
    <n v="1146780.22"/>
  </r>
  <r>
    <s v="ORD03369"/>
    <x v="35"/>
    <s v="C474"/>
    <x v="203"/>
    <x v="3"/>
    <x v="19"/>
    <x v="19"/>
    <x v="3"/>
    <x v="3314"/>
    <n v="32.340000000000003"/>
    <n v="1274519.3999999999"/>
  </r>
  <r>
    <s v="ORD03370"/>
    <x v="311"/>
    <s v="C183"/>
    <x v="89"/>
    <x v="0"/>
    <x v="40"/>
    <x v="40"/>
    <x v="0"/>
    <x v="3315"/>
    <n v="11.98"/>
    <n v="1000653.46"/>
  </r>
  <r>
    <s v="ORD03371"/>
    <x v="457"/>
    <s v="C381"/>
    <x v="113"/>
    <x v="2"/>
    <x v="38"/>
    <x v="38"/>
    <x v="2"/>
    <x v="3316"/>
    <n v="33.369999999999997"/>
    <n v="1836985.13"/>
  </r>
  <r>
    <s v="ORD03372"/>
    <x v="51"/>
    <s v="C137"/>
    <x v="182"/>
    <x v="4"/>
    <x v="8"/>
    <x v="8"/>
    <x v="3"/>
    <x v="3317"/>
    <n v="10.97"/>
    <n v="255469.36"/>
  </r>
  <r>
    <s v="ORD03373"/>
    <x v="452"/>
    <s v="C131"/>
    <x v="449"/>
    <x v="1"/>
    <x v="6"/>
    <x v="6"/>
    <x v="0"/>
    <x v="3318"/>
    <n v="10.71"/>
    <n v="654905.79"/>
  </r>
  <r>
    <s v="ORD03374"/>
    <x v="385"/>
    <s v="C010"/>
    <x v="220"/>
    <x v="3"/>
    <x v="18"/>
    <x v="18"/>
    <x v="0"/>
    <x v="3319"/>
    <n v="44.45"/>
    <n v="2934188.95"/>
  </r>
  <r>
    <s v="ORD03375"/>
    <x v="135"/>
    <s v="C437"/>
    <x v="195"/>
    <x v="2"/>
    <x v="34"/>
    <x v="34"/>
    <x v="2"/>
    <x v="3320"/>
    <n v="46.53"/>
    <n v="3594163.32"/>
  </r>
  <r>
    <s v="ORD03376"/>
    <x v="308"/>
    <s v="C296"/>
    <x v="321"/>
    <x v="3"/>
    <x v="7"/>
    <x v="7"/>
    <x v="3"/>
    <x v="3321"/>
    <n v="14.62"/>
    <n v="1134497.3799999999"/>
  </r>
  <r>
    <s v="ORD03377"/>
    <x v="345"/>
    <s v="C195"/>
    <x v="85"/>
    <x v="4"/>
    <x v="33"/>
    <x v="33"/>
    <x v="1"/>
    <x v="3322"/>
    <n v="18.34"/>
    <n v="810774.72"/>
  </r>
  <r>
    <s v="ORD03378"/>
    <x v="203"/>
    <s v="C108"/>
    <x v="310"/>
    <x v="4"/>
    <x v="34"/>
    <x v="34"/>
    <x v="2"/>
    <x v="3323"/>
    <n v="14.88"/>
    <n v="1233150.24"/>
  </r>
  <r>
    <s v="ORD03379"/>
    <x v="490"/>
    <s v="C423"/>
    <x v="288"/>
    <x v="2"/>
    <x v="23"/>
    <x v="23"/>
    <x v="0"/>
    <x v="3324"/>
    <n v="20.65"/>
    <n v="1862113.75"/>
  </r>
  <r>
    <s v="ORD03380"/>
    <x v="721"/>
    <s v="C126"/>
    <x v="424"/>
    <x v="4"/>
    <x v="30"/>
    <x v="30"/>
    <x v="4"/>
    <x v="3325"/>
    <n v="10.06"/>
    <n v="141473.78"/>
  </r>
  <r>
    <s v="ORD03381"/>
    <x v="199"/>
    <s v="C274"/>
    <x v="461"/>
    <x v="4"/>
    <x v="29"/>
    <x v="29"/>
    <x v="0"/>
    <x v="3326"/>
    <n v="17.02"/>
    <n v="1439483.52"/>
  </r>
  <r>
    <s v="ORD03382"/>
    <x v="661"/>
    <s v="C066"/>
    <x v="237"/>
    <x v="4"/>
    <x v="46"/>
    <x v="46"/>
    <x v="0"/>
    <x v="3327"/>
    <n v="20.6"/>
    <n v="51870.8"/>
  </r>
  <r>
    <s v="ORD03383"/>
    <x v="16"/>
    <s v="C182"/>
    <x v="159"/>
    <x v="1"/>
    <x v="20"/>
    <x v="20"/>
    <x v="1"/>
    <x v="3328"/>
    <n v="49.39"/>
    <n v="3997033.92"/>
  </r>
  <r>
    <s v="ORD03384"/>
    <x v="703"/>
    <s v="C152"/>
    <x v="121"/>
    <x v="0"/>
    <x v="21"/>
    <x v="21"/>
    <x v="2"/>
    <x v="3329"/>
    <n v="18.68"/>
    <n v="906316.24"/>
  </r>
  <r>
    <s v="ORD03385"/>
    <x v="461"/>
    <s v="C276"/>
    <x v="360"/>
    <x v="1"/>
    <x v="36"/>
    <x v="36"/>
    <x v="4"/>
    <x v="3330"/>
    <n v="16.239999999999998"/>
    <n v="311109.68"/>
  </r>
  <r>
    <s v="ORD03386"/>
    <x v="417"/>
    <s v="C398"/>
    <x v="63"/>
    <x v="1"/>
    <x v="49"/>
    <x v="49"/>
    <x v="3"/>
    <x v="3331"/>
    <n v="21.21"/>
    <n v="552159.93000000005"/>
  </r>
  <r>
    <s v="ORD03387"/>
    <x v="31"/>
    <s v="C287"/>
    <x v="228"/>
    <x v="4"/>
    <x v="30"/>
    <x v="30"/>
    <x v="4"/>
    <x v="3332"/>
    <n v="42.88"/>
    <n v="4196665.5999999996"/>
  </r>
  <r>
    <s v="ORD03388"/>
    <x v="608"/>
    <s v="C261"/>
    <x v="390"/>
    <x v="2"/>
    <x v="19"/>
    <x v="19"/>
    <x v="3"/>
    <x v="3333"/>
    <n v="13.58"/>
    <n v="854209.16"/>
  </r>
  <r>
    <s v="ORD03389"/>
    <x v="568"/>
    <s v="C422"/>
    <x v="415"/>
    <x v="4"/>
    <x v="14"/>
    <x v="14"/>
    <x v="2"/>
    <x v="3334"/>
    <n v="5.26"/>
    <n v="5444.1"/>
  </r>
  <r>
    <s v="ORD03390"/>
    <x v="568"/>
    <s v="C478"/>
    <x v="269"/>
    <x v="0"/>
    <x v="22"/>
    <x v="22"/>
    <x v="0"/>
    <x v="3335"/>
    <n v="4.01"/>
    <n v="263236.45"/>
  </r>
  <r>
    <s v="ORD03391"/>
    <x v="199"/>
    <s v="C341"/>
    <x v="104"/>
    <x v="0"/>
    <x v="25"/>
    <x v="25"/>
    <x v="4"/>
    <x v="3336"/>
    <n v="6.1"/>
    <n v="97154.7"/>
  </r>
  <r>
    <s v="ORD03392"/>
    <x v="37"/>
    <s v="C484"/>
    <x v="124"/>
    <x v="3"/>
    <x v="5"/>
    <x v="5"/>
    <x v="3"/>
    <x v="3337"/>
    <n v="15.63"/>
    <n v="721261.98"/>
  </r>
  <r>
    <s v="ORD03393"/>
    <x v="215"/>
    <s v="C073"/>
    <x v="395"/>
    <x v="3"/>
    <x v="21"/>
    <x v="21"/>
    <x v="2"/>
    <x v="3338"/>
    <n v="19.25"/>
    <n v="940516.5"/>
  </r>
  <r>
    <s v="ORD03394"/>
    <x v="267"/>
    <s v="C409"/>
    <x v="466"/>
    <x v="3"/>
    <x v="42"/>
    <x v="42"/>
    <x v="1"/>
    <x v="3339"/>
    <n v="20.350000000000001"/>
    <n v="323951.65000000002"/>
  </r>
  <r>
    <s v="ORD03395"/>
    <x v="701"/>
    <s v="C395"/>
    <x v="261"/>
    <x v="3"/>
    <x v="47"/>
    <x v="47"/>
    <x v="2"/>
    <x v="3340"/>
    <n v="29.32"/>
    <n v="1199070.72"/>
  </r>
  <r>
    <s v="ORD03396"/>
    <x v="244"/>
    <s v="C106"/>
    <x v="492"/>
    <x v="3"/>
    <x v="45"/>
    <x v="45"/>
    <x v="3"/>
    <x v="3341"/>
    <n v="6.34"/>
    <n v="429630.1"/>
  </r>
  <r>
    <s v="ORD03397"/>
    <x v="242"/>
    <s v="C229"/>
    <x v="46"/>
    <x v="1"/>
    <x v="39"/>
    <x v="39"/>
    <x v="3"/>
    <x v="3342"/>
    <n v="44.72"/>
    <n v="452879.44"/>
  </r>
  <r>
    <s v="ORD03398"/>
    <x v="529"/>
    <s v="C335"/>
    <x v="402"/>
    <x v="4"/>
    <x v="20"/>
    <x v="20"/>
    <x v="1"/>
    <x v="3343"/>
    <n v="2.52"/>
    <n v="23748.48"/>
  </r>
  <r>
    <s v="ORD03399"/>
    <x v="170"/>
    <s v="C062"/>
    <x v="38"/>
    <x v="4"/>
    <x v="32"/>
    <x v="32"/>
    <x v="4"/>
    <x v="3344"/>
    <n v="14.35"/>
    <n v="941546.55"/>
  </r>
  <r>
    <s v="ORD03400"/>
    <x v="670"/>
    <s v="C402"/>
    <x v="16"/>
    <x v="3"/>
    <x v="42"/>
    <x v="42"/>
    <x v="1"/>
    <x v="3345"/>
    <n v="35.700000000000003"/>
    <n v="114989.7"/>
  </r>
  <r>
    <s v="ORD03401"/>
    <x v="397"/>
    <s v="C346"/>
    <x v="171"/>
    <x v="2"/>
    <x v="12"/>
    <x v="12"/>
    <x v="4"/>
    <x v="3346"/>
    <n v="20.38"/>
    <n v="164222.04"/>
  </r>
  <r>
    <s v="ORD03402"/>
    <x v="442"/>
    <s v="C086"/>
    <x v="362"/>
    <x v="0"/>
    <x v="0"/>
    <x v="0"/>
    <x v="0"/>
    <x v="296"/>
    <n v="7.85"/>
    <n v="272826.75"/>
  </r>
  <r>
    <s v="ORD03403"/>
    <x v="171"/>
    <s v="C399"/>
    <x v="194"/>
    <x v="4"/>
    <x v="23"/>
    <x v="23"/>
    <x v="0"/>
    <x v="3347"/>
    <n v="9.75"/>
    <n v="205481.25"/>
  </r>
  <r>
    <s v="ORD03404"/>
    <x v="311"/>
    <s v="C051"/>
    <x v="66"/>
    <x v="4"/>
    <x v="39"/>
    <x v="39"/>
    <x v="3"/>
    <x v="3348"/>
    <n v="23.08"/>
    <n v="1286271.48"/>
  </r>
  <r>
    <s v="ORD03405"/>
    <x v="87"/>
    <s v="C271"/>
    <x v="4"/>
    <x v="1"/>
    <x v="16"/>
    <x v="16"/>
    <x v="1"/>
    <x v="3349"/>
    <n v="20.89"/>
    <n v="500566.18"/>
  </r>
  <r>
    <s v="ORD03406"/>
    <x v="50"/>
    <s v="C325"/>
    <x v="414"/>
    <x v="0"/>
    <x v="15"/>
    <x v="15"/>
    <x v="2"/>
    <x v="3350"/>
    <n v="39.369999999999997"/>
    <n v="688935.63"/>
  </r>
  <r>
    <s v="ORD03407"/>
    <x v="592"/>
    <s v="C488"/>
    <x v="312"/>
    <x v="1"/>
    <x v="17"/>
    <x v="17"/>
    <x v="1"/>
    <x v="3351"/>
    <n v="11.15"/>
    <n v="289955.75"/>
  </r>
  <r>
    <s v="ORD03408"/>
    <x v="290"/>
    <s v="C296"/>
    <x v="321"/>
    <x v="3"/>
    <x v="8"/>
    <x v="8"/>
    <x v="3"/>
    <x v="3352"/>
    <n v="9.91"/>
    <n v="586929.66"/>
  </r>
  <r>
    <s v="ORD03409"/>
    <x v="467"/>
    <s v="C148"/>
    <x v="365"/>
    <x v="1"/>
    <x v="1"/>
    <x v="1"/>
    <x v="1"/>
    <x v="3353"/>
    <n v="34.85"/>
    <n v="652949.6"/>
  </r>
  <r>
    <s v="ORD03410"/>
    <x v="188"/>
    <s v="C072"/>
    <x v="265"/>
    <x v="3"/>
    <x v="41"/>
    <x v="41"/>
    <x v="4"/>
    <x v="3354"/>
    <n v="30.98"/>
    <n v="1244435.6200000001"/>
  </r>
  <r>
    <s v="ORD03411"/>
    <x v="91"/>
    <s v="C297"/>
    <x v="49"/>
    <x v="3"/>
    <x v="18"/>
    <x v="18"/>
    <x v="0"/>
    <x v="3355"/>
    <n v="8.1999999999999993"/>
    <n v="218620.2"/>
  </r>
  <r>
    <s v="ORD03412"/>
    <x v="322"/>
    <s v="C239"/>
    <x v="12"/>
    <x v="3"/>
    <x v="38"/>
    <x v="38"/>
    <x v="2"/>
    <x v="3356"/>
    <n v="15.27"/>
    <n v="738732.06"/>
  </r>
  <r>
    <s v="ORD03413"/>
    <x v="259"/>
    <s v="C140"/>
    <x v="393"/>
    <x v="3"/>
    <x v="38"/>
    <x v="38"/>
    <x v="2"/>
    <x v="3357"/>
    <n v="23.83"/>
    <n v="1955156.18"/>
  </r>
  <r>
    <s v="ORD03414"/>
    <x v="143"/>
    <s v="C335"/>
    <x v="402"/>
    <x v="4"/>
    <x v="8"/>
    <x v="8"/>
    <x v="3"/>
    <x v="3358"/>
    <n v="29.42"/>
    <n v="2313677.06"/>
  </r>
  <r>
    <s v="ORD03415"/>
    <x v="541"/>
    <s v="C006"/>
    <x v="319"/>
    <x v="2"/>
    <x v="48"/>
    <x v="48"/>
    <x v="2"/>
    <x v="3359"/>
    <n v="2.84"/>
    <n v="171217.92000000001"/>
  </r>
  <r>
    <s v="ORD03416"/>
    <x v="536"/>
    <s v="C196"/>
    <x v="1"/>
    <x v="1"/>
    <x v="26"/>
    <x v="26"/>
    <x v="0"/>
    <x v="3360"/>
    <n v="27.52"/>
    <n v="33436.800000000003"/>
  </r>
  <r>
    <s v="ORD03417"/>
    <x v="303"/>
    <s v="C072"/>
    <x v="265"/>
    <x v="3"/>
    <x v="16"/>
    <x v="16"/>
    <x v="1"/>
    <x v="3361"/>
    <n v="12.87"/>
    <n v="196602.12"/>
  </r>
  <r>
    <s v="ORD03418"/>
    <x v="46"/>
    <s v="C385"/>
    <x v="309"/>
    <x v="3"/>
    <x v="21"/>
    <x v="21"/>
    <x v="2"/>
    <x v="3362"/>
    <n v="37.71"/>
    <n v="3760931.43"/>
  </r>
  <r>
    <s v="ORD03419"/>
    <x v="227"/>
    <s v="C395"/>
    <x v="261"/>
    <x v="3"/>
    <x v="10"/>
    <x v="10"/>
    <x v="3"/>
    <x v="3363"/>
    <n v="28.67"/>
    <n v="883007.33"/>
  </r>
  <r>
    <s v="ORD03420"/>
    <x v="25"/>
    <s v="C112"/>
    <x v="77"/>
    <x v="1"/>
    <x v="10"/>
    <x v="10"/>
    <x v="3"/>
    <x v="3364"/>
    <n v="30.26"/>
    <n v="2784041.04"/>
  </r>
  <r>
    <s v="ORD03421"/>
    <x v="195"/>
    <s v="C249"/>
    <x v="347"/>
    <x v="4"/>
    <x v="7"/>
    <x v="7"/>
    <x v="3"/>
    <x v="3365"/>
    <n v="23.44"/>
    <n v="753900.72"/>
  </r>
  <r>
    <s v="ORD03422"/>
    <x v="401"/>
    <s v="C018"/>
    <x v="332"/>
    <x v="3"/>
    <x v="48"/>
    <x v="48"/>
    <x v="2"/>
    <x v="3366"/>
    <n v="31.95"/>
    <n v="302981.84999999998"/>
  </r>
  <r>
    <s v="ORD03423"/>
    <x v="24"/>
    <s v="C178"/>
    <x v="245"/>
    <x v="0"/>
    <x v="40"/>
    <x v="40"/>
    <x v="0"/>
    <x v="3367"/>
    <n v="9.68"/>
    <n v="596413.84"/>
  </r>
  <r>
    <s v="ORD03424"/>
    <x v="175"/>
    <s v="C463"/>
    <x v="61"/>
    <x v="3"/>
    <x v="48"/>
    <x v="48"/>
    <x v="2"/>
    <x v="3368"/>
    <n v="17.21"/>
    <n v="233987.16"/>
  </r>
  <r>
    <s v="ORD03425"/>
    <x v="343"/>
    <s v="C488"/>
    <x v="312"/>
    <x v="1"/>
    <x v="22"/>
    <x v="22"/>
    <x v="0"/>
    <x v="3369"/>
    <n v="33.270000000000003"/>
    <n v="874801.38"/>
  </r>
  <r>
    <s v="ORD03426"/>
    <x v="614"/>
    <s v="C170"/>
    <x v="493"/>
    <x v="4"/>
    <x v="48"/>
    <x v="48"/>
    <x v="2"/>
    <x v="3370"/>
    <n v="13.79"/>
    <n v="240042.53"/>
  </r>
  <r>
    <s v="ORD03427"/>
    <x v="600"/>
    <s v="C128"/>
    <x v="361"/>
    <x v="4"/>
    <x v="12"/>
    <x v="12"/>
    <x v="4"/>
    <x v="3371"/>
    <n v="37.01"/>
    <n v="1301678.71"/>
  </r>
  <r>
    <s v="ORD03428"/>
    <x v="225"/>
    <s v="C229"/>
    <x v="46"/>
    <x v="1"/>
    <x v="3"/>
    <x v="3"/>
    <x v="2"/>
    <x v="3372"/>
    <n v="41.52"/>
    <n v="3110761.44"/>
  </r>
  <r>
    <s v="ORD03429"/>
    <x v="157"/>
    <s v="C125"/>
    <x v="473"/>
    <x v="0"/>
    <x v="17"/>
    <x v="17"/>
    <x v="1"/>
    <x v="3373"/>
    <n v="19.05"/>
    <n v="1519999.5"/>
  </r>
  <r>
    <s v="ORD03430"/>
    <x v="44"/>
    <s v="C452"/>
    <x v="148"/>
    <x v="4"/>
    <x v="26"/>
    <x v="26"/>
    <x v="0"/>
    <x v="3374"/>
    <n v="25.36"/>
    <n v="2155321.04"/>
  </r>
  <r>
    <s v="ORD03431"/>
    <x v="492"/>
    <s v="C192"/>
    <x v="154"/>
    <x v="3"/>
    <x v="43"/>
    <x v="43"/>
    <x v="4"/>
    <x v="3375"/>
    <n v="11.01"/>
    <n v="312331.68"/>
  </r>
  <r>
    <s v="ORD03432"/>
    <x v="420"/>
    <s v="C418"/>
    <x v="246"/>
    <x v="2"/>
    <x v="37"/>
    <x v="37"/>
    <x v="1"/>
    <x v="3376"/>
    <n v="39.799999999999997"/>
    <n v="1999074.4"/>
  </r>
  <r>
    <s v="ORD03433"/>
    <x v="571"/>
    <s v="C429"/>
    <x v="474"/>
    <x v="3"/>
    <x v="5"/>
    <x v="5"/>
    <x v="3"/>
    <x v="3377"/>
    <n v="19.399999999999999"/>
    <n v="1655731.8"/>
  </r>
  <r>
    <s v="ORD03434"/>
    <x v="631"/>
    <s v="C024"/>
    <x v="487"/>
    <x v="0"/>
    <x v="36"/>
    <x v="36"/>
    <x v="4"/>
    <x v="3378"/>
    <n v="19.239999999999998"/>
    <n v="481230.88"/>
  </r>
  <r>
    <s v="ORD03435"/>
    <x v="628"/>
    <s v="C293"/>
    <x v="372"/>
    <x v="0"/>
    <x v="12"/>
    <x v="12"/>
    <x v="4"/>
    <x v="3379"/>
    <n v="7.4"/>
    <n v="39871.199999999997"/>
  </r>
  <r>
    <s v="ORD03436"/>
    <x v="645"/>
    <s v="C036"/>
    <x v="40"/>
    <x v="3"/>
    <x v="23"/>
    <x v="23"/>
    <x v="0"/>
    <x v="3380"/>
    <n v="32.83"/>
    <n v="2894358.46"/>
  </r>
  <r>
    <s v="ORD03437"/>
    <x v="617"/>
    <s v="C005"/>
    <x v="373"/>
    <x v="3"/>
    <x v="31"/>
    <x v="31"/>
    <x v="0"/>
    <x v="3381"/>
    <n v="26.87"/>
    <n v="2140813.5099999998"/>
  </r>
  <r>
    <s v="ORD03438"/>
    <x v="515"/>
    <s v="C150"/>
    <x v="356"/>
    <x v="4"/>
    <x v="18"/>
    <x v="18"/>
    <x v="0"/>
    <x v="3382"/>
    <n v="11.46"/>
    <n v="676919.28"/>
  </r>
  <r>
    <s v="ORD03439"/>
    <x v="447"/>
    <s v="C385"/>
    <x v="309"/>
    <x v="3"/>
    <x v="43"/>
    <x v="43"/>
    <x v="4"/>
    <x v="3383"/>
    <n v="24.26"/>
    <n v="1706885.08"/>
  </r>
  <r>
    <s v="ORD03440"/>
    <x v="720"/>
    <s v="C026"/>
    <x v="221"/>
    <x v="1"/>
    <x v="11"/>
    <x v="11"/>
    <x v="4"/>
    <x v="3384"/>
    <n v="23.79"/>
    <n v="390608.01"/>
  </r>
  <r>
    <s v="ORD03441"/>
    <x v="574"/>
    <s v="C212"/>
    <x v="90"/>
    <x v="4"/>
    <x v="36"/>
    <x v="36"/>
    <x v="4"/>
    <x v="3385"/>
    <n v="35.119999999999997"/>
    <n v="2196439.92"/>
  </r>
  <r>
    <s v="ORD03442"/>
    <x v="147"/>
    <s v="C094"/>
    <x v="55"/>
    <x v="1"/>
    <x v="5"/>
    <x v="5"/>
    <x v="3"/>
    <x v="3386"/>
    <n v="31.31"/>
    <n v="209870.93"/>
  </r>
  <r>
    <s v="ORD03443"/>
    <x v="601"/>
    <s v="C016"/>
    <x v="170"/>
    <x v="2"/>
    <x v="49"/>
    <x v="49"/>
    <x v="3"/>
    <x v="3387"/>
    <n v="15.59"/>
    <n v="117844.81"/>
  </r>
  <r>
    <s v="ORD03444"/>
    <x v="323"/>
    <s v="C439"/>
    <x v="489"/>
    <x v="4"/>
    <x v="1"/>
    <x v="1"/>
    <x v="1"/>
    <x v="3388"/>
    <n v="43.54"/>
    <n v="136106.04"/>
  </r>
  <r>
    <s v="ORD03445"/>
    <x v="318"/>
    <s v="C209"/>
    <x v="409"/>
    <x v="4"/>
    <x v="27"/>
    <x v="27"/>
    <x v="4"/>
    <x v="800"/>
    <n v="42.72"/>
    <n v="3668238.24"/>
  </r>
  <r>
    <s v="ORD03446"/>
    <x v="532"/>
    <s v="C383"/>
    <x v="232"/>
    <x v="0"/>
    <x v="45"/>
    <x v="45"/>
    <x v="3"/>
    <x v="3389"/>
    <n v="23.36"/>
    <n v="1952358.72"/>
  </r>
  <r>
    <s v="ORD03447"/>
    <x v="450"/>
    <s v="C357"/>
    <x v="357"/>
    <x v="4"/>
    <x v="31"/>
    <x v="31"/>
    <x v="0"/>
    <x v="3390"/>
    <n v="21.97"/>
    <n v="1853828.6"/>
  </r>
  <r>
    <s v="ORD03448"/>
    <x v="388"/>
    <s v="C410"/>
    <x v="326"/>
    <x v="4"/>
    <x v="25"/>
    <x v="25"/>
    <x v="4"/>
    <x v="3391"/>
    <n v="28.51"/>
    <n v="1575804.72"/>
  </r>
  <r>
    <s v="ORD03449"/>
    <x v="94"/>
    <s v="C110"/>
    <x v="114"/>
    <x v="1"/>
    <x v="12"/>
    <x v="12"/>
    <x v="4"/>
    <x v="3392"/>
    <n v="8.64"/>
    <n v="686283.84"/>
  </r>
  <r>
    <s v="ORD03450"/>
    <x v="353"/>
    <s v="C275"/>
    <x v="126"/>
    <x v="1"/>
    <x v="33"/>
    <x v="33"/>
    <x v="1"/>
    <x v="3393"/>
    <n v="35.479999999999997"/>
    <n v="2536536.16"/>
  </r>
  <r>
    <s v="ORD03451"/>
    <x v="233"/>
    <s v="C047"/>
    <x v="497"/>
    <x v="2"/>
    <x v="20"/>
    <x v="20"/>
    <x v="1"/>
    <x v="3394"/>
    <n v="2.89"/>
    <n v="229364.85"/>
  </r>
  <r>
    <s v="ORD03452"/>
    <x v="679"/>
    <s v="C352"/>
    <x v="162"/>
    <x v="2"/>
    <x v="39"/>
    <x v="39"/>
    <x v="3"/>
    <x v="3395"/>
    <n v="43.45"/>
    <n v="3853015.65"/>
  </r>
  <r>
    <s v="ORD03453"/>
    <x v="271"/>
    <s v="C408"/>
    <x v="45"/>
    <x v="4"/>
    <x v="11"/>
    <x v="11"/>
    <x v="4"/>
    <x v="3396"/>
    <n v="4.82"/>
    <n v="59941.52"/>
  </r>
  <r>
    <s v="ORD03454"/>
    <x v="671"/>
    <s v="C423"/>
    <x v="288"/>
    <x v="2"/>
    <x v="7"/>
    <x v="7"/>
    <x v="3"/>
    <x v="3397"/>
    <n v="38.369999999999997"/>
    <n v="3528198.24"/>
  </r>
  <r>
    <s v="ORD03455"/>
    <x v="515"/>
    <s v="C403"/>
    <x v="59"/>
    <x v="0"/>
    <x v="23"/>
    <x v="23"/>
    <x v="0"/>
    <x v="3398"/>
    <n v="36.03"/>
    <n v="2516767.56"/>
  </r>
  <r>
    <s v="ORD03456"/>
    <x v="48"/>
    <s v="C135"/>
    <x v="67"/>
    <x v="1"/>
    <x v="37"/>
    <x v="37"/>
    <x v="1"/>
    <x v="3399"/>
    <n v="38.33"/>
    <n v="2364462.71"/>
  </r>
  <r>
    <s v="ORD03457"/>
    <x v="586"/>
    <s v="C160"/>
    <x v="481"/>
    <x v="1"/>
    <x v="49"/>
    <x v="49"/>
    <x v="3"/>
    <x v="3400"/>
    <n v="34.71"/>
    <n v="277263.48"/>
  </r>
  <r>
    <s v="ORD03458"/>
    <x v="258"/>
    <s v="C355"/>
    <x v="81"/>
    <x v="2"/>
    <x v="18"/>
    <x v="18"/>
    <x v="0"/>
    <x v="3401"/>
    <n v="48.37"/>
    <n v="3022302.71"/>
  </r>
  <r>
    <s v="ORD03459"/>
    <x v="518"/>
    <s v="C147"/>
    <x v="308"/>
    <x v="4"/>
    <x v="21"/>
    <x v="21"/>
    <x v="2"/>
    <x v="3402"/>
    <n v="40.74"/>
    <n v="2347561.02"/>
  </r>
  <r>
    <s v="ORD03460"/>
    <x v="543"/>
    <s v="C267"/>
    <x v="172"/>
    <x v="4"/>
    <x v="45"/>
    <x v="45"/>
    <x v="3"/>
    <x v="3403"/>
    <n v="4.5599999999999996"/>
    <n v="376838.40000000002"/>
  </r>
  <r>
    <s v="ORD03461"/>
    <x v="242"/>
    <s v="C147"/>
    <x v="308"/>
    <x v="4"/>
    <x v="40"/>
    <x v="40"/>
    <x v="0"/>
    <x v="3404"/>
    <n v="29.31"/>
    <n v="194735.64"/>
  </r>
  <r>
    <s v="ORD03462"/>
    <x v="456"/>
    <s v="C469"/>
    <x v="498"/>
    <x v="0"/>
    <x v="29"/>
    <x v="29"/>
    <x v="0"/>
    <x v="3405"/>
    <n v="46.62"/>
    <n v="4232350.08"/>
  </r>
  <r>
    <s v="ORD03463"/>
    <x v="564"/>
    <s v="C109"/>
    <x v="78"/>
    <x v="1"/>
    <x v="14"/>
    <x v="14"/>
    <x v="2"/>
    <x v="3406"/>
    <n v="31.99"/>
    <n v="1180494.98"/>
  </r>
  <r>
    <s v="ORD03464"/>
    <x v="103"/>
    <s v="C016"/>
    <x v="170"/>
    <x v="2"/>
    <x v="28"/>
    <x v="28"/>
    <x v="3"/>
    <x v="3407"/>
    <n v="6.63"/>
    <n v="636765.09"/>
  </r>
  <r>
    <s v="ORD03465"/>
    <x v="274"/>
    <s v="C405"/>
    <x v="230"/>
    <x v="4"/>
    <x v="4"/>
    <x v="4"/>
    <x v="1"/>
    <x v="3408"/>
    <n v="38.700000000000003"/>
    <n v="2142432"/>
  </r>
  <r>
    <s v="ORD03466"/>
    <x v="567"/>
    <s v="C235"/>
    <x v="199"/>
    <x v="0"/>
    <x v="42"/>
    <x v="42"/>
    <x v="1"/>
    <x v="3409"/>
    <n v="47.43"/>
    <n v="649221.84"/>
  </r>
  <r>
    <s v="ORD03467"/>
    <x v="254"/>
    <s v="C344"/>
    <x v="307"/>
    <x v="4"/>
    <x v="1"/>
    <x v="1"/>
    <x v="1"/>
    <x v="3410"/>
    <n v="27"/>
    <n v="1729377"/>
  </r>
  <r>
    <s v="ORD03468"/>
    <x v="376"/>
    <s v="C106"/>
    <x v="492"/>
    <x v="3"/>
    <x v="34"/>
    <x v="34"/>
    <x v="2"/>
    <x v="3411"/>
    <n v="44.9"/>
    <n v="1675443.5"/>
  </r>
  <r>
    <s v="ORD03469"/>
    <x v="469"/>
    <s v="C211"/>
    <x v="24"/>
    <x v="1"/>
    <x v="44"/>
    <x v="44"/>
    <x v="2"/>
    <x v="3412"/>
    <n v="8.1999999999999993"/>
    <n v="127288.6"/>
  </r>
  <r>
    <s v="ORD03470"/>
    <x v="430"/>
    <s v="C417"/>
    <x v="417"/>
    <x v="2"/>
    <x v="8"/>
    <x v="8"/>
    <x v="3"/>
    <x v="3413"/>
    <n v="11.65"/>
    <n v="458427.5"/>
  </r>
  <r>
    <s v="ORD03471"/>
    <x v="59"/>
    <s v="C114"/>
    <x v="370"/>
    <x v="1"/>
    <x v="11"/>
    <x v="11"/>
    <x v="4"/>
    <x v="3414"/>
    <n v="27.36"/>
    <n v="858064.32"/>
  </r>
  <r>
    <s v="ORD03472"/>
    <x v="724"/>
    <s v="C047"/>
    <x v="497"/>
    <x v="2"/>
    <x v="49"/>
    <x v="49"/>
    <x v="3"/>
    <x v="3415"/>
    <n v="33.020000000000003"/>
    <n v="2332004.48"/>
  </r>
  <r>
    <s v="ORD03473"/>
    <x v="670"/>
    <s v="C270"/>
    <x v="391"/>
    <x v="4"/>
    <x v="45"/>
    <x v="45"/>
    <x v="3"/>
    <x v="3416"/>
    <n v="31.19"/>
    <n v="401696.01"/>
  </r>
  <r>
    <s v="ORD03474"/>
    <x v="367"/>
    <s v="C428"/>
    <x v="260"/>
    <x v="3"/>
    <x v="15"/>
    <x v="15"/>
    <x v="2"/>
    <x v="3417"/>
    <n v="44.66"/>
    <n v="1702528.52"/>
  </r>
  <r>
    <s v="ORD03475"/>
    <x v="339"/>
    <s v="C095"/>
    <x v="236"/>
    <x v="0"/>
    <x v="34"/>
    <x v="34"/>
    <x v="2"/>
    <x v="3418"/>
    <n v="8.1"/>
    <n v="91489.5"/>
  </r>
  <r>
    <s v="ORD03476"/>
    <x v="133"/>
    <s v="C167"/>
    <x v="404"/>
    <x v="4"/>
    <x v="46"/>
    <x v="46"/>
    <x v="0"/>
    <x v="3419"/>
    <n v="7.52"/>
    <n v="129757.6"/>
  </r>
  <r>
    <s v="ORD03477"/>
    <x v="350"/>
    <s v="C281"/>
    <x v="317"/>
    <x v="2"/>
    <x v="13"/>
    <x v="13"/>
    <x v="2"/>
    <x v="3420"/>
    <n v="21.29"/>
    <n v="1593173.28"/>
  </r>
  <r>
    <s v="ORD03478"/>
    <x v="560"/>
    <s v="C252"/>
    <x v="111"/>
    <x v="4"/>
    <x v="42"/>
    <x v="42"/>
    <x v="1"/>
    <x v="3421"/>
    <n v="6"/>
    <n v="426732"/>
  </r>
  <r>
    <s v="ORD03479"/>
    <x v="695"/>
    <s v="C155"/>
    <x v="407"/>
    <x v="1"/>
    <x v="16"/>
    <x v="16"/>
    <x v="1"/>
    <x v="3422"/>
    <n v="42.62"/>
    <n v="1253496.82"/>
  </r>
  <r>
    <s v="ORD03480"/>
    <x v="170"/>
    <s v="C186"/>
    <x v="306"/>
    <x v="4"/>
    <x v="0"/>
    <x v="0"/>
    <x v="0"/>
    <x v="3423"/>
    <n v="28.46"/>
    <n v="1660071.8"/>
  </r>
  <r>
    <s v="ORD03481"/>
    <x v="116"/>
    <s v="C092"/>
    <x v="405"/>
    <x v="0"/>
    <x v="20"/>
    <x v="20"/>
    <x v="1"/>
    <x v="3424"/>
    <n v="15.05"/>
    <n v="567114.1"/>
  </r>
  <r>
    <s v="ORD03482"/>
    <x v="47"/>
    <s v="C447"/>
    <x v="146"/>
    <x v="1"/>
    <x v="1"/>
    <x v="1"/>
    <x v="1"/>
    <x v="3425"/>
    <n v="15.1"/>
    <n v="1103236.2"/>
  </r>
  <r>
    <s v="ORD03483"/>
    <x v="493"/>
    <s v="C156"/>
    <x v="27"/>
    <x v="0"/>
    <x v="36"/>
    <x v="36"/>
    <x v="4"/>
    <x v="3426"/>
    <n v="4.0599999999999996"/>
    <n v="184388.96"/>
  </r>
  <r>
    <s v="ORD03484"/>
    <x v="297"/>
    <s v="C091"/>
    <x v="458"/>
    <x v="1"/>
    <x v="29"/>
    <x v="29"/>
    <x v="0"/>
    <x v="3427"/>
    <n v="10.5"/>
    <n v="1037704.5"/>
  </r>
  <r>
    <s v="ORD03485"/>
    <x v="29"/>
    <s v="C414"/>
    <x v="341"/>
    <x v="4"/>
    <x v="1"/>
    <x v="1"/>
    <x v="1"/>
    <x v="3428"/>
    <n v="24.22"/>
    <n v="893960.2"/>
  </r>
  <r>
    <s v="ORD03486"/>
    <x v="351"/>
    <s v="C100"/>
    <x v="39"/>
    <x v="0"/>
    <x v="21"/>
    <x v="21"/>
    <x v="2"/>
    <x v="3429"/>
    <n v="12.02"/>
    <n v="907606.16"/>
  </r>
  <r>
    <s v="ORD03487"/>
    <x v="491"/>
    <s v="C248"/>
    <x v="392"/>
    <x v="0"/>
    <x v="33"/>
    <x v="33"/>
    <x v="1"/>
    <x v="3430"/>
    <n v="14.41"/>
    <n v="500473.71"/>
  </r>
  <r>
    <s v="ORD03488"/>
    <x v="0"/>
    <s v="C047"/>
    <x v="497"/>
    <x v="2"/>
    <x v="44"/>
    <x v="44"/>
    <x v="2"/>
    <x v="3431"/>
    <n v="47.31"/>
    <n v="2245853.0099999998"/>
  </r>
  <r>
    <s v="ORD03489"/>
    <x v="57"/>
    <s v="C037"/>
    <x v="255"/>
    <x v="1"/>
    <x v="3"/>
    <x v="3"/>
    <x v="2"/>
    <x v="3432"/>
    <n v="2.21"/>
    <n v="153736.44"/>
  </r>
  <r>
    <s v="ORD03490"/>
    <x v="476"/>
    <s v="C252"/>
    <x v="111"/>
    <x v="4"/>
    <x v="42"/>
    <x v="42"/>
    <x v="1"/>
    <x v="3433"/>
    <n v="5.59"/>
    <n v="57666.44"/>
  </r>
  <r>
    <s v="ORD03491"/>
    <x v="238"/>
    <s v="C069"/>
    <x v="410"/>
    <x v="4"/>
    <x v="10"/>
    <x v="10"/>
    <x v="3"/>
    <x v="3434"/>
    <n v="16.03"/>
    <n v="1160828.48"/>
  </r>
  <r>
    <s v="ORD03492"/>
    <x v="564"/>
    <s v="C214"/>
    <x v="463"/>
    <x v="2"/>
    <x v="0"/>
    <x v="0"/>
    <x v="0"/>
    <x v="3435"/>
    <n v="21.68"/>
    <n v="424255.92"/>
  </r>
  <r>
    <s v="ORD03493"/>
    <x v="709"/>
    <s v="C212"/>
    <x v="90"/>
    <x v="4"/>
    <x v="15"/>
    <x v="15"/>
    <x v="2"/>
    <x v="3436"/>
    <n v="30.66"/>
    <n v="1541032.92"/>
  </r>
  <r>
    <s v="ORD03494"/>
    <x v="611"/>
    <s v="C136"/>
    <x v="428"/>
    <x v="1"/>
    <x v="15"/>
    <x v="15"/>
    <x v="2"/>
    <x v="3437"/>
    <n v="8.15"/>
    <n v="761886.45"/>
  </r>
  <r>
    <s v="ORD03495"/>
    <x v="25"/>
    <s v="C316"/>
    <x v="495"/>
    <x v="2"/>
    <x v="11"/>
    <x v="11"/>
    <x v="4"/>
    <x v="3438"/>
    <n v="2.76"/>
    <n v="105186.36"/>
  </r>
  <r>
    <s v="ORD03496"/>
    <x v="495"/>
    <s v="C357"/>
    <x v="357"/>
    <x v="4"/>
    <x v="44"/>
    <x v="44"/>
    <x v="2"/>
    <x v="3439"/>
    <n v="12.78"/>
    <n v="762250.32"/>
  </r>
  <r>
    <s v="ORD03497"/>
    <x v="35"/>
    <s v="C490"/>
    <x v="141"/>
    <x v="2"/>
    <x v="26"/>
    <x v="26"/>
    <x v="0"/>
    <x v="3440"/>
    <n v="45.87"/>
    <n v="3015035.1"/>
  </r>
  <r>
    <s v="ORD03498"/>
    <x v="716"/>
    <s v="C023"/>
    <x v="304"/>
    <x v="4"/>
    <x v="1"/>
    <x v="1"/>
    <x v="1"/>
    <x v="3441"/>
    <n v="14.59"/>
    <n v="619797.79"/>
  </r>
  <r>
    <s v="ORD03499"/>
    <x v="704"/>
    <s v="C005"/>
    <x v="373"/>
    <x v="3"/>
    <x v="29"/>
    <x v="29"/>
    <x v="0"/>
    <x v="3442"/>
    <n v="29.04"/>
    <n v="1437654.24"/>
  </r>
  <r>
    <s v="ORD03500"/>
    <x v="521"/>
    <s v="C148"/>
    <x v="365"/>
    <x v="1"/>
    <x v="11"/>
    <x v="11"/>
    <x v="4"/>
    <x v="3443"/>
    <n v="3.24"/>
    <n v="75534.12"/>
  </r>
  <r>
    <s v="ORD03501"/>
    <x v="10"/>
    <s v="C351"/>
    <x v="422"/>
    <x v="2"/>
    <x v="35"/>
    <x v="35"/>
    <x v="1"/>
    <x v="3444"/>
    <n v="12.12"/>
    <n v="430575.12"/>
  </r>
  <r>
    <s v="ORD03502"/>
    <x v="417"/>
    <s v="C021"/>
    <x v="333"/>
    <x v="2"/>
    <x v="37"/>
    <x v="37"/>
    <x v="1"/>
    <x v="3445"/>
    <n v="14.42"/>
    <n v="110803.28"/>
  </r>
  <r>
    <s v="ORD03503"/>
    <x v="16"/>
    <s v="C337"/>
    <x v="483"/>
    <x v="0"/>
    <x v="24"/>
    <x v="24"/>
    <x v="3"/>
    <x v="3446"/>
    <n v="5.52"/>
    <n v="530494.07999999996"/>
  </r>
  <r>
    <s v="ORD03504"/>
    <x v="49"/>
    <s v="C391"/>
    <x v="425"/>
    <x v="0"/>
    <x v="41"/>
    <x v="41"/>
    <x v="4"/>
    <x v="3447"/>
    <n v="46.54"/>
    <n v="4119767.34"/>
  </r>
  <r>
    <s v="ORD03505"/>
    <x v="455"/>
    <s v="C320"/>
    <x v="257"/>
    <x v="1"/>
    <x v="31"/>
    <x v="31"/>
    <x v="0"/>
    <x v="3448"/>
    <n v="38.61"/>
    <n v="2266020.9"/>
  </r>
  <r>
    <s v="ORD03506"/>
    <x v="530"/>
    <s v="C251"/>
    <x v="142"/>
    <x v="0"/>
    <x v="21"/>
    <x v="21"/>
    <x v="2"/>
    <x v="3449"/>
    <n v="20.84"/>
    <n v="2036068"/>
  </r>
  <r>
    <s v="ORD03507"/>
    <x v="378"/>
    <s v="C070"/>
    <x v="249"/>
    <x v="4"/>
    <x v="39"/>
    <x v="39"/>
    <x v="3"/>
    <x v="3450"/>
    <n v="35.53"/>
    <n v="1191249.8400000001"/>
  </r>
  <r>
    <s v="ORD03508"/>
    <x v="725"/>
    <s v="C113"/>
    <x v="442"/>
    <x v="3"/>
    <x v="26"/>
    <x v="26"/>
    <x v="0"/>
    <x v="3451"/>
    <n v="16.75"/>
    <n v="975369.25"/>
  </r>
  <r>
    <s v="ORD03509"/>
    <x v="668"/>
    <s v="C481"/>
    <x v="56"/>
    <x v="0"/>
    <x v="32"/>
    <x v="32"/>
    <x v="4"/>
    <x v="3452"/>
    <n v="33.590000000000003"/>
    <n v="2243610.46"/>
  </r>
  <r>
    <s v="ORD03510"/>
    <x v="320"/>
    <s v="C307"/>
    <x v="318"/>
    <x v="0"/>
    <x v="43"/>
    <x v="43"/>
    <x v="4"/>
    <x v="3453"/>
    <n v="8.44"/>
    <n v="705997.56"/>
  </r>
  <r>
    <s v="ORD03511"/>
    <x v="556"/>
    <s v="C399"/>
    <x v="194"/>
    <x v="4"/>
    <x v="41"/>
    <x v="41"/>
    <x v="4"/>
    <x v="3454"/>
    <n v="7.02"/>
    <n v="674853.66"/>
  </r>
  <r>
    <s v="ORD03512"/>
    <x v="689"/>
    <s v="C073"/>
    <x v="395"/>
    <x v="3"/>
    <x v="9"/>
    <x v="9"/>
    <x v="4"/>
    <x v="3455"/>
    <n v="23.81"/>
    <n v="1346479.31"/>
  </r>
  <r>
    <s v="ORD03513"/>
    <x v="556"/>
    <s v="C331"/>
    <x v="167"/>
    <x v="1"/>
    <x v="41"/>
    <x v="41"/>
    <x v="4"/>
    <x v="3456"/>
    <n v="29.7"/>
    <n v="1314462.6000000001"/>
  </r>
  <r>
    <s v="ORD03514"/>
    <x v="206"/>
    <s v="C099"/>
    <x v="302"/>
    <x v="2"/>
    <x v="16"/>
    <x v="16"/>
    <x v="1"/>
    <x v="3457"/>
    <n v="32.659999999999997"/>
    <n v="837173.78"/>
  </r>
  <r>
    <s v="ORD03515"/>
    <x v="59"/>
    <s v="C471"/>
    <x v="160"/>
    <x v="2"/>
    <x v="44"/>
    <x v="44"/>
    <x v="2"/>
    <x v="3458"/>
    <n v="6.8"/>
    <n v="640410.4"/>
  </r>
  <r>
    <s v="ORD03516"/>
    <x v="635"/>
    <s v="C267"/>
    <x v="172"/>
    <x v="4"/>
    <x v="20"/>
    <x v="20"/>
    <x v="1"/>
    <x v="3459"/>
    <n v="44.37"/>
    <n v="3982695.57"/>
  </r>
  <r>
    <s v="ORD03517"/>
    <x v="687"/>
    <s v="C035"/>
    <x v="325"/>
    <x v="1"/>
    <x v="14"/>
    <x v="14"/>
    <x v="2"/>
    <x v="3460"/>
    <n v="4.67"/>
    <n v="392555.53"/>
  </r>
  <r>
    <s v="ORD03518"/>
    <x v="524"/>
    <s v="C359"/>
    <x v="31"/>
    <x v="0"/>
    <x v="12"/>
    <x v="12"/>
    <x v="4"/>
    <x v="3461"/>
    <n v="33"/>
    <n v="1299606"/>
  </r>
  <r>
    <s v="ORD03519"/>
    <x v="278"/>
    <s v="C366"/>
    <x v="447"/>
    <x v="3"/>
    <x v="6"/>
    <x v="6"/>
    <x v="0"/>
    <x v="3462"/>
    <n v="6.49"/>
    <n v="86102.83"/>
  </r>
  <r>
    <s v="ORD03520"/>
    <x v="306"/>
    <s v="C414"/>
    <x v="341"/>
    <x v="4"/>
    <x v="27"/>
    <x v="27"/>
    <x v="4"/>
    <x v="3463"/>
    <n v="28.44"/>
    <n v="262359"/>
  </r>
  <r>
    <s v="ORD03521"/>
    <x v="407"/>
    <s v="C140"/>
    <x v="393"/>
    <x v="3"/>
    <x v="17"/>
    <x v="17"/>
    <x v="1"/>
    <x v="3464"/>
    <n v="49.74"/>
    <n v="521722.86"/>
  </r>
  <r>
    <s v="ORD03522"/>
    <x v="318"/>
    <s v="C319"/>
    <x v="210"/>
    <x v="2"/>
    <x v="41"/>
    <x v="41"/>
    <x v="4"/>
    <x v="3465"/>
    <n v="29.3"/>
    <n v="336481.2"/>
  </r>
  <r>
    <s v="ORD03523"/>
    <x v="55"/>
    <s v="C499"/>
    <x v="100"/>
    <x v="0"/>
    <x v="20"/>
    <x v="20"/>
    <x v="1"/>
    <x v="3466"/>
    <n v="45.89"/>
    <n v="2685574.58"/>
  </r>
  <r>
    <s v="ORD03524"/>
    <x v="108"/>
    <s v="C159"/>
    <x v="243"/>
    <x v="0"/>
    <x v="13"/>
    <x v="13"/>
    <x v="2"/>
    <x v="3467"/>
    <n v="17.829999999999998"/>
    <n v="835656.44"/>
  </r>
  <r>
    <s v="ORD03525"/>
    <x v="399"/>
    <s v="C395"/>
    <x v="261"/>
    <x v="3"/>
    <x v="12"/>
    <x v="12"/>
    <x v="4"/>
    <x v="3468"/>
    <n v="41.49"/>
    <n v="3414004.65"/>
  </r>
  <r>
    <s v="ORD03526"/>
    <x v="681"/>
    <s v="C118"/>
    <x v="74"/>
    <x v="1"/>
    <x v="7"/>
    <x v="7"/>
    <x v="3"/>
    <x v="3469"/>
    <n v="4.7"/>
    <n v="34718.9"/>
  </r>
  <r>
    <s v="ORD03527"/>
    <x v="707"/>
    <s v="C444"/>
    <x v="6"/>
    <x v="1"/>
    <x v="23"/>
    <x v="23"/>
    <x v="0"/>
    <x v="3470"/>
    <n v="17.05"/>
    <n v="800548.65"/>
  </r>
  <r>
    <s v="ORD03528"/>
    <x v="281"/>
    <s v="C079"/>
    <x v="439"/>
    <x v="4"/>
    <x v="49"/>
    <x v="49"/>
    <x v="3"/>
    <x v="3471"/>
    <n v="14.06"/>
    <n v="995574.54"/>
  </r>
  <r>
    <s v="ORD03529"/>
    <x v="526"/>
    <s v="C249"/>
    <x v="347"/>
    <x v="4"/>
    <x v="5"/>
    <x v="5"/>
    <x v="3"/>
    <x v="3472"/>
    <n v="39.1"/>
    <n v="61504.3"/>
  </r>
  <r>
    <s v="ORD03530"/>
    <x v="402"/>
    <s v="C018"/>
    <x v="332"/>
    <x v="3"/>
    <x v="11"/>
    <x v="11"/>
    <x v="4"/>
    <x v="3473"/>
    <n v="46.38"/>
    <n v="2381937.66"/>
  </r>
  <r>
    <s v="ORD03531"/>
    <x v="517"/>
    <s v="C495"/>
    <x v="348"/>
    <x v="3"/>
    <x v="11"/>
    <x v="11"/>
    <x v="4"/>
    <x v="3474"/>
    <n v="10.58"/>
    <n v="938033.38"/>
  </r>
  <r>
    <s v="ORD03532"/>
    <x v="586"/>
    <s v="C104"/>
    <x v="21"/>
    <x v="2"/>
    <x v="13"/>
    <x v="13"/>
    <x v="2"/>
    <x v="3475"/>
    <n v="9.64"/>
    <n v="202189.36"/>
  </r>
  <r>
    <s v="ORD03533"/>
    <x v="488"/>
    <s v="C204"/>
    <x v="240"/>
    <x v="0"/>
    <x v="12"/>
    <x v="12"/>
    <x v="4"/>
    <x v="3476"/>
    <n v="30.68"/>
    <n v="815014.2"/>
  </r>
  <r>
    <s v="ORD03534"/>
    <x v="688"/>
    <s v="C320"/>
    <x v="257"/>
    <x v="1"/>
    <x v="43"/>
    <x v="43"/>
    <x v="4"/>
    <x v="3477"/>
    <n v="2.44"/>
    <n v="53033.4"/>
  </r>
  <r>
    <s v="ORD03535"/>
    <x v="36"/>
    <s v="C002"/>
    <x v="314"/>
    <x v="3"/>
    <x v="33"/>
    <x v="33"/>
    <x v="1"/>
    <x v="3478"/>
    <n v="11.32"/>
    <n v="874175.68"/>
  </r>
  <r>
    <s v="ORD03536"/>
    <x v="397"/>
    <s v="C220"/>
    <x v="157"/>
    <x v="0"/>
    <x v="39"/>
    <x v="39"/>
    <x v="3"/>
    <x v="3479"/>
    <n v="10.35"/>
    <n v="453961.35"/>
  </r>
  <r>
    <s v="ORD03537"/>
    <x v="77"/>
    <s v="C339"/>
    <x v="330"/>
    <x v="3"/>
    <x v="13"/>
    <x v="13"/>
    <x v="2"/>
    <x v="3480"/>
    <n v="29.71"/>
    <n v="834583.61"/>
  </r>
  <r>
    <s v="ORD03538"/>
    <x v="438"/>
    <s v="C056"/>
    <x v="273"/>
    <x v="0"/>
    <x v="38"/>
    <x v="38"/>
    <x v="2"/>
    <x v="3481"/>
    <n v="5.98"/>
    <n v="417912.3"/>
  </r>
  <r>
    <s v="ORD03539"/>
    <x v="23"/>
    <s v="C221"/>
    <x v="176"/>
    <x v="2"/>
    <x v="24"/>
    <x v="24"/>
    <x v="3"/>
    <x v="3482"/>
    <n v="39.9"/>
    <n v="561193.5"/>
  </r>
  <r>
    <s v="ORD03540"/>
    <x v="726"/>
    <s v="C322"/>
    <x v="238"/>
    <x v="2"/>
    <x v="44"/>
    <x v="44"/>
    <x v="2"/>
    <x v="3483"/>
    <n v="26.5"/>
    <n v="1681425"/>
  </r>
  <r>
    <s v="ORD03541"/>
    <x v="484"/>
    <s v="C068"/>
    <x v="112"/>
    <x v="2"/>
    <x v="10"/>
    <x v="10"/>
    <x v="3"/>
    <x v="3484"/>
    <n v="10.71"/>
    <n v="481939.29"/>
  </r>
  <r>
    <s v="ORD03542"/>
    <x v="442"/>
    <s v="C262"/>
    <x v="123"/>
    <x v="1"/>
    <x v="48"/>
    <x v="48"/>
    <x v="2"/>
    <x v="3485"/>
    <n v="8.8699999999999992"/>
    <n v="501926.69"/>
  </r>
  <r>
    <s v="ORD03543"/>
    <x v="189"/>
    <s v="C114"/>
    <x v="370"/>
    <x v="1"/>
    <x v="43"/>
    <x v="43"/>
    <x v="4"/>
    <x v="3486"/>
    <n v="36.47"/>
    <n v="649494.23"/>
  </r>
  <r>
    <s v="ORD03544"/>
    <x v="439"/>
    <s v="C371"/>
    <x v="355"/>
    <x v="2"/>
    <x v="12"/>
    <x v="12"/>
    <x v="4"/>
    <x v="3487"/>
    <n v="37.200000000000003"/>
    <n v="559674"/>
  </r>
  <r>
    <s v="ORD03545"/>
    <x v="373"/>
    <s v="C367"/>
    <x v="337"/>
    <x v="4"/>
    <x v="0"/>
    <x v="0"/>
    <x v="0"/>
    <x v="3488"/>
    <n v="14.95"/>
    <n v="1425482.5"/>
  </r>
  <r>
    <s v="ORD03546"/>
    <x v="458"/>
    <s v="C187"/>
    <x v="108"/>
    <x v="3"/>
    <x v="20"/>
    <x v="20"/>
    <x v="1"/>
    <x v="3489"/>
    <n v="44.21"/>
    <n v="2631821.2999999998"/>
  </r>
  <r>
    <s v="ORD03547"/>
    <x v="548"/>
    <s v="C338"/>
    <x v="197"/>
    <x v="4"/>
    <x v="11"/>
    <x v="11"/>
    <x v="4"/>
    <x v="3490"/>
    <n v="22.54"/>
    <n v="863845.5"/>
  </r>
  <r>
    <s v="ORD03548"/>
    <x v="680"/>
    <s v="C137"/>
    <x v="182"/>
    <x v="4"/>
    <x v="33"/>
    <x v="33"/>
    <x v="1"/>
    <x v="3491"/>
    <n v="12.06"/>
    <n v="1164790.98"/>
  </r>
  <r>
    <s v="ORD03549"/>
    <x v="427"/>
    <s v="C189"/>
    <x v="253"/>
    <x v="0"/>
    <x v="1"/>
    <x v="1"/>
    <x v="1"/>
    <x v="3492"/>
    <n v="40.74"/>
    <n v="2475443.88"/>
  </r>
  <r>
    <s v="ORD03550"/>
    <x v="669"/>
    <s v="C085"/>
    <x v="223"/>
    <x v="0"/>
    <x v="31"/>
    <x v="31"/>
    <x v="0"/>
    <x v="3493"/>
    <n v="46.14"/>
    <n v="2188512.48"/>
  </r>
  <r>
    <s v="ORD03551"/>
    <x v="687"/>
    <s v="C240"/>
    <x v="218"/>
    <x v="3"/>
    <x v="8"/>
    <x v="8"/>
    <x v="3"/>
    <x v="3494"/>
    <n v="26.03"/>
    <n v="1470825.15"/>
  </r>
  <r>
    <s v="ORD03552"/>
    <x v="697"/>
    <s v="C482"/>
    <x v="369"/>
    <x v="4"/>
    <x v="12"/>
    <x v="12"/>
    <x v="4"/>
    <x v="2290"/>
    <n v="46.12"/>
    <n v="1379725.92"/>
  </r>
  <r>
    <s v="ORD03553"/>
    <x v="276"/>
    <s v="C193"/>
    <x v="127"/>
    <x v="4"/>
    <x v="28"/>
    <x v="28"/>
    <x v="3"/>
    <x v="3495"/>
    <n v="43.09"/>
    <n v="2029754.45"/>
  </r>
  <r>
    <s v="ORD03554"/>
    <x v="580"/>
    <s v="C014"/>
    <x v="134"/>
    <x v="2"/>
    <x v="16"/>
    <x v="16"/>
    <x v="1"/>
    <x v="3496"/>
    <n v="34.36"/>
    <n v="1975528.2"/>
  </r>
  <r>
    <s v="ORD03555"/>
    <x v="501"/>
    <s v="C209"/>
    <x v="409"/>
    <x v="4"/>
    <x v="42"/>
    <x v="42"/>
    <x v="1"/>
    <x v="3497"/>
    <n v="37.86"/>
    <n v="1149013.1399999999"/>
  </r>
  <r>
    <s v="ORD03556"/>
    <x v="615"/>
    <s v="C284"/>
    <x v="287"/>
    <x v="4"/>
    <x v="9"/>
    <x v="9"/>
    <x v="4"/>
    <x v="3498"/>
    <n v="35.159999999999997"/>
    <n v="1776459"/>
  </r>
  <r>
    <s v="ORD03557"/>
    <x v="253"/>
    <s v="C389"/>
    <x v="394"/>
    <x v="0"/>
    <x v="49"/>
    <x v="49"/>
    <x v="3"/>
    <x v="3499"/>
    <n v="18.28"/>
    <n v="940615.68000000005"/>
  </r>
  <r>
    <s v="ORD03558"/>
    <x v="111"/>
    <s v="C241"/>
    <x v="457"/>
    <x v="1"/>
    <x v="23"/>
    <x v="23"/>
    <x v="0"/>
    <x v="3500"/>
    <n v="42.94"/>
    <n v="2121622.46"/>
  </r>
  <r>
    <s v="ORD03559"/>
    <x v="553"/>
    <s v="C483"/>
    <x v="214"/>
    <x v="2"/>
    <x v="6"/>
    <x v="6"/>
    <x v="0"/>
    <x v="3501"/>
    <n v="13.89"/>
    <n v="72839.16"/>
  </r>
  <r>
    <s v="ORD03560"/>
    <x v="660"/>
    <s v="C399"/>
    <x v="194"/>
    <x v="4"/>
    <x v="44"/>
    <x v="44"/>
    <x v="2"/>
    <x v="3502"/>
    <n v="24.38"/>
    <n v="621885.04"/>
  </r>
  <r>
    <s v="ORD03561"/>
    <x v="366"/>
    <s v="C207"/>
    <x v="352"/>
    <x v="3"/>
    <x v="30"/>
    <x v="30"/>
    <x v="4"/>
    <x v="3503"/>
    <n v="19.600000000000001"/>
    <n v="551916.4"/>
  </r>
  <r>
    <s v="ORD03562"/>
    <x v="414"/>
    <s v="C206"/>
    <x v="401"/>
    <x v="1"/>
    <x v="36"/>
    <x v="36"/>
    <x v="4"/>
    <x v="3504"/>
    <n v="24.47"/>
    <n v="1723862.56"/>
  </r>
  <r>
    <s v="ORD03563"/>
    <x v="223"/>
    <s v="C122"/>
    <x v="297"/>
    <x v="4"/>
    <x v="38"/>
    <x v="38"/>
    <x v="2"/>
    <x v="3505"/>
    <n v="45.7"/>
    <n v="2797616.9"/>
  </r>
  <r>
    <s v="ORD03564"/>
    <x v="493"/>
    <s v="C310"/>
    <x v="467"/>
    <x v="3"/>
    <x v="20"/>
    <x v="20"/>
    <x v="1"/>
    <x v="3506"/>
    <n v="12.73"/>
    <n v="186176.25"/>
  </r>
  <r>
    <s v="ORD03565"/>
    <x v="557"/>
    <s v="C004"/>
    <x v="181"/>
    <x v="3"/>
    <x v="48"/>
    <x v="48"/>
    <x v="2"/>
    <x v="3507"/>
    <n v="32.299999999999997"/>
    <n v="2859680.5"/>
  </r>
  <r>
    <s v="ORD03566"/>
    <x v="669"/>
    <s v="C381"/>
    <x v="113"/>
    <x v="2"/>
    <x v="31"/>
    <x v="31"/>
    <x v="0"/>
    <x v="1764"/>
    <n v="22.91"/>
    <n v="957615.09"/>
  </r>
  <r>
    <s v="ORD03567"/>
    <x v="665"/>
    <s v="C083"/>
    <x v="130"/>
    <x v="3"/>
    <x v="19"/>
    <x v="19"/>
    <x v="3"/>
    <x v="3508"/>
    <n v="19.41"/>
    <n v="138529.17000000001"/>
  </r>
  <r>
    <s v="ORD03568"/>
    <x v="226"/>
    <s v="C351"/>
    <x v="422"/>
    <x v="2"/>
    <x v="41"/>
    <x v="41"/>
    <x v="4"/>
    <x v="3509"/>
    <n v="46.62"/>
    <n v="3231698.4"/>
  </r>
  <r>
    <s v="ORD03569"/>
    <x v="386"/>
    <s v="C138"/>
    <x v="251"/>
    <x v="2"/>
    <x v="13"/>
    <x v="13"/>
    <x v="2"/>
    <x v="3510"/>
    <n v="12.92"/>
    <n v="378840.24"/>
  </r>
  <r>
    <s v="ORD03570"/>
    <x v="463"/>
    <s v="C370"/>
    <x v="486"/>
    <x v="3"/>
    <x v="19"/>
    <x v="19"/>
    <x v="3"/>
    <x v="3511"/>
    <n v="31.73"/>
    <n v="3066926.61"/>
  </r>
  <r>
    <s v="ORD03571"/>
    <x v="453"/>
    <s v="C158"/>
    <x v="117"/>
    <x v="3"/>
    <x v="19"/>
    <x v="19"/>
    <x v="3"/>
    <x v="3512"/>
    <n v="14.04"/>
    <n v="1208310.48"/>
  </r>
  <r>
    <s v="ORD03572"/>
    <x v="289"/>
    <s v="C022"/>
    <x v="303"/>
    <x v="3"/>
    <x v="39"/>
    <x v="39"/>
    <x v="3"/>
    <x v="3513"/>
    <n v="45.22"/>
    <n v="3698272.48"/>
  </r>
  <r>
    <s v="ORD03573"/>
    <x v="96"/>
    <s v="C247"/>
    <x v="433"/>
    <x v="4"/>
    <x v="16"/>
    <x v="16"/>
    <x v="1"/>
    <x v="3514"/>
    <n v="29.09"/>
    <n v="1368306.33"/>
  </r>
  <r>
    <s v="ORD03574"/>
    <x v="680"/>
    <s v="C380"/>
    <x v="193"/>
    <x v="3"/>
    <x v="9"/>
    <x v="9"/>
    <x v="4"/>
    <x v="3515"/>
    <n v="6.28"/>
    <n v="132577.07999999999"/>
  </r>
  <r>
    <s v="ORD03575"/>
    <x v="710"/>
    <s v="C160"/>
    <x v="481"/>
    <x v="1"/>
    <x v="38"/>
    <x v="38"/>
    <x v="2"/>
    <x v="3516"/>
    <n v="9.8000000000000007"/>
    <n v="953402.8"/>
  </r>
  <r>
    <s v="ORD03576"/>
    <x v="343"/>
    <s v="C115"/>
    <x v="224"/>
    <x v="0"/>
    <x v="6"/>
    <x v="6"/>
    <x v="0"/>
    <x v="3517"/>
    <n v="5.41"/>
    <n v="176490.43"/>
  </r>
  <r>
    <s v="ORD03577"/>
    <x v="79"/>
    <s v="C128"/>
    <x v="361"/>
    <x v="4"/>
    <x v="36"/>
    <x v="36"/>
    <x v="4"/>
    <x v="3518"/>
    <n v="22.67"/>
    <n v="2223450.9300000002"/>
  </r>
  <r>
    <s v="ORD03578"/>
    <x v="341"/>
    <s v="C159"/>
    <x v="243"/>
    <x v="0"/>
    <x v="9"/>
    <x v="9"/>
    <x v="4"/>
    <x v="3519"/>
    <n v="7.5"/>
    <n v="400552.5"/>
  </r>
  <r>
    <s v="ORD03579"/>
    <x v="322"/>
    <s v="C152"/>
    <x v="121"/>
    <x v="0"/>
    <x v="23"/>
    <x v="23"/>
    <x v="0"/>
    <x v="3520"/>
    <n v="11.54"/>
    <n v="66781.98"/>
  </r>
  <r>
    <s v="ORD03580"/>
    <x v="328"/>
    <s v="C499"/>
    <x v="100"/>
    <x v="0"/>
    <x v="7"/>
    <x v="7"/>
    <x v="3"/>
    <x v="3521"/>
    <n v="34.979999999999997"/>
    <n v="363057.42"/>
  </r>
  <r>
    <s v="ORD03581"/>
    <x v="452"/>
    <s v="C106"/>
    <x v="492"/>
    <x v="3"/>
    <x v="43"/>
    <x v="43"/>
    <x v="4"/>
    <x v="3522"/>
    <n v="44.42"/>
    <n v="2247652"/>
  </r>
  <r>
    <s v="ORD03582"/>
    <x v="567"/>
    <s v="C105"/>
    <x v="386"/>
    <x v="0"/>
    <x v="25"/>
    <x v="25"/>
    <x v="4"/>
    <x v="3523"/>
    <n v="32.19"/>
    <n v="2623839.09"/>
  </r>
  <r>
    <s v="ORD03583"/>
    <x v="514"/>
    <s v="C370"/>
    <x v="486"/>
    <x v="3"/>
    <x v="31"/>
    <x v="31"/>
    <x v="0"/>
    <x v="3524"/>
    <n v="43.05"/>
    <n v="937370.7"/>
  </r>
  <r>
    <s v="ORD03584"/>
    <x v="262"/>
    <s v="C410"/>
    <x v="326"/>
    <x v="4"/>
    <x v="17"/>
    <x v="17"/>
    <x v="1"/>
    <x v="3525"/>
    <n v="45.76"/>
    <n v="1829759.36"/>
  </r>
  <r>
    <s v="ORD03585"/>
    <x v="583"/>
    <s v="C232"/>
    <x v="75"/>
    <x v="0"/>
    <x v="14"/>
    <x v="14"/>
    <x v="2"/>
    <x v="3526"/>
    <n v="6.27"/>
    <n v="12953.82"/>
  </r>
  <r>
    <s v="ORD03586"/>
    <x v="569"/>
    <s v="C373"/>
    <x v="435"/>
    <x v="2"/>
    <x v="12"/>
    <x v="12"/>
    <x v="4"/>
    <x v="3527"/>
    <n v="27.76"/>
    <n v="2237011.84"/>
  </r>
  <r>
    <s v="ORD03587"/>
    <x v="339"/>
    <s v="C442"/>
    <x v="205"/>
    <x v="3"/>
    <x v="37"/>
    <x v="37"/>
    <x v="1"/>
    <x v="3528"/>
    <n v="42.96"/>
    <n v="3571823.28"/>
  </r>
  <r>
    <s v="ORD03588"/>
    <x v="207"/>
    <s v="C339"/>
    <x v="330"/>
    <x v="3"/>
    <x v="11"/>
    <x v="11"/>
    <x v="4"/>
    <x v="3529"/>
    <n v="43.59"/>
    <n v="2428573.2599999998"/>
  </r>
  <r>
    <s v="ORD03589"/>
    <x v="721"/>
    <s v="C013"/>
    <x v="84"/>
    <x v="3"/>
    <x v="39"/>
    <x v="39"/>
    <x v="3"/>
    <x v="3530"/>
    <n v="37.5"/>
    <n v="693937.5"/>
  </r>
  <r>
    <s v="ORD03590"/>
    <x v="172"/>
    <s v="C100"/>
    <x v="39"/>
    <x v="0"/>
    <x v="35"/>
    <x v="35"/>
    <x v="1"/>
    <x v="3531"/>
    <n v="20.45"/>
    <n v="1109617"/>
  </r>
  <r>
    <s v="ORD03591"/>
    <x v="572"/>
    <s v="C014"/>
    <x v="134"/>
    <x v="2"/>
    <x v="48"/>
    <x v="48"/>
    <x v="2"/>
    <x v="3532"/>
    <n v="30.32"/>
    <n v="692235.92"/>
  </r>
  <r>
    <s v="ORD03592"/>
    <x v="245"/>
    <s v="C044"/>
    <x v="202"/>
    <x v="2"/>
    <x v="40"/>
    <x v="40"/>
    <x v="0"/>
    <x v="3533"/>
    <n v="35.67"/>
    <n v="2504640.39"/>
  </r>
  <r>
    <s v="ORD03593"/>
    <x v="581"/>
    <s v="C231"/>
    <x v="315"/>
    <x v="2"/>
    <x v="31"/>
    <x v="31"/>
    <x v="0"/>
    <x v="3534"/>
    <n v="49.15"/>
    <n v="2766948.4"/>
  </r>
  <r>
    <s v="ORD03594"/>
    <x v="682"/>
    <s v="C455"/>
    <x v="366"/>
    <x v="4"/>
    <x v="34"/>
    <x v="34"/>
    <x v="2"/>
    <x v="2094"/>
    <n v="37.44"/>
    <n v="2822826.24"/>
  </r>
  <r>
    <s v="ORD03595"/>
    <x v="225"/>
    <s v="C349"/>
    <x v="316"/>
    <x v="2"/>
    <x v="26"/>
    <x v="26"/>
    <x v="0"/>
    <x v="3535"/>
    <n v="24.52"/>
    <n v="1311256.04"/>
  </r>
  <r>
    <s v="ORD03596"/>
    <x v="304"/>
    <s v="C149"/>
    <x v="430"/>
    <x v="2"/>
    <x v="0"/>
    <x v="0"/>
    <x v="0"/>
    <x v="3536"/>
    <n v="35.409999999999997"/>
    <n v="621799.6"/>
  </r>
  <r>
    <s v="ORD03597"/>
    <x v="77"/>
    <s v="C470"/>
    <x v="190"/>
    <x v="4"/>
    <x v="11"/>
    <x v="11"/>
    <x v="4"/>
    <x v="3537"/>
    <n v="12.1"/>
    <n v="228835.20000000001"/>
  </r>
  <r>
    <s v="ORD03598"/>
    <x v="380"/>
    <s v="C277"/>
    <x v="158"/>
    <x v="3"/>
    <x v="37"/>
    <x v="37"/>
    <x v="1"/>
    <x v="3538"/>
    <n v="25.8"/>
    <n v="1845448.2"/>
  </r>
  <r>
    <s v="ORD03599"/>
    <x v="633"/>
    <s v="C060"/>
    <x v="420"/>
    <x v="2"/>
    <x v="38"/>
    <x v="38"/>
    <x v="2"/>
    <x v="3539"/>
    <n v="14.87"/>
    <n v="221444.04"/>
  </r>
  <r>
    <s v="ORD03600"/>
    <x v="256"/>
    <s v="C311"/>
    <x v="128"/>
    <x v="0"/>
    <x v="9"/>
    <x v="9"/>
    <x v="4"/>
    <x v="3540"/>
    <n v="19.64"/>
    <n v="1378688.72"/>
  </r>
  <r>
    <s v="ORD03601"/>
    <x v="33"/>
    <s v="C143"/>
    <x v="448"/>
    <x v="4"/>
    <x v="25"/>
    <x v="25"/>
    <x v="4"/>
    <x v="3541"/>
    <n v="46.34"/>
    <n v="1235378.06"/>
  </r>
  <r>
    <s v="ORD03602"/>
    <x v="20"/>
    <s v="C043"/>
    <x v="499"/>
    <x v="4"/>
    <x v="2"/>
    <x v="2"/>
    <x v="1"/>
    <x v="3542"/>
    <n v="18.23"/>
    <n v="1506855.34"/>
  </r>
  <r>
    <s v="ORD03603"/>
    <x v="608"/>
    <s v="C316"/>
    <x v="495"/>
    <x v="2"/>
    <x v="30"/>
    <x v="30"/>
    <x v="4"/>
    <x v="3543"/>
    <n v="29.61"/>
    <n v="320498.64"/>
  </r>
  <r>
    <s v="ORD03604"/>
    <x v="340"/>
    <s v="C418"/>
    <x v="246"/>
    <x v="2"/>
    <x v="2"/>
    <x v="2"/>
    <x v="1"/>
    <x v="3544"/>
    <n v="28.1"/>
    <n v="2213942.7999999998"/>
  </r>
  <r>
    <s v="ORD03605"/>
    <x v="186"/>
    <s v="C435"/>
    <x v="60"/>
    <x v="4"/>
    <x v="14"/>
    <x v="14"/>
    <x v="2"/>
    <x v="3545"/>
    <n v="37"/>
    <n v="2214894"/>
  </r>
  <r>
    <s v="ORD03606"/>
    <x v="205"/>
    <s v="C172"/>
    <x v="207"/>
    <x v="0"/>
    <x v="29"/>
    <x v="29"/>
    <x v="0"/>
    <x v="3546"/>
    <n v="44.49"/>
    <n v="4159903.98"/>
  </r>
  <r>
    <s v="ORD03607"/>
    <x v="98"/>
    <s v="C403"/>
    <x v="59"/>
    <x v="0"/>
    <x v="27"/>
    <x v="27"/>
    <x v="4"/>
    <x v="3547"/>
    <n v="27.63"/>
    <n v="435061.98"/>
  </r>
  <r>
    <s v="ORD03608"/>
    <x v="131"/>
    <s v="C172"/>
    <x v="207"/>
    <x v="0"/>
    <x v="5"/>
    <x v="5"/>
    <x v="3"/>
    <x v="3548"/>
    <n v="45.23"/>
    <n v="3151535.94"/>
  </r>
  <r>
    <s v="ORD03609"/>
    <x v="230"/>
    <s v="C201"/>
    <x v="359"/>
    <x v="2"/>
    <x v="1"/>
    <x v="1"/>
    <x v="1"/>
    <x v="3549"/>
    <n v="46.95"/>
    <n v="2732630.85"/>
  </r>
  <r>
    <s v="ORD03610"/>
    <x v="93"/>
    <s v="C016"/>
    <x v="170"/>
    <x v="2"/>
    <x v="11"/>
    <x v="11"/>
    <x v="4"/>
    <x v="3550"/>
    <n v="46.99"/>
    <n v="2155995.1800000002"/>
  </r>
  <r>
    <s v="ORD03611"/>
    <x v="616"/>
    <s v="C469"/>
    <x v="498"/>
    <x v="0"/>
    <x v="19"/>
    <x v="19"/>
    <x v="3"/>
    <x v="3551"/>
    <n v="47.94"/>
    <n v="4691168.7"/>
  </r>
  <r>
    <s v="ORD03612"/>
    <x v="295"/>
    <s v="C436"/>
    <x v="443"/>
    <x v="4"/>
    <x v="26"/>
    <x v="26"/>
    <x v="0"/>
    <x v="3552"/>
    <n v="45.13"/>
    <n v="3638922.16"/>
  </r>
  <r>
    <s v="ORD03613"/>
    <x v="370"/>
    <s v="C489"/>
    <x v="184"/>
    <x v="4"/>
    <x v="12"/>
    <x v="12"/>
    <x v="4"/>
    <x v="3553"/>
    <n v="3.62"/>
    <n v="129320.88"/>
  </r>
  <r>
    <s v="ORD03614"/>
    <x v="18"/>
    <s v="C434"/>
    <x v="266"/>
    <x v="1"/>
    <x v="1"/>
    <x v="1"/>
    <x v="1"/>
    <x v="3554"/>
    <n v="42.65"/>
    <n v="4213052.3"/>
  </r>
  <r>
    <s v="ORD03615"/>
    <x v="510"/>
    <s v="C399"/>
    <x v="194"/>
    <x v="4"/>
    <x v="9"/>
    <x v="9"/>
    <x v="4"/>
    <x v="3555"/>
    <n v="47.81"/>
    <n v="781502.26"/>
  </r>
  <r>
    <s v="ORD03616"/>
    <x v="413"/>
    <s v="C489"/>
    <x v="184"/>
    <x v="4"/>
    <x v="33"/>
    <x v="33"/>
    <x v="1"/>
    <x v="3556"/>
    <n v="43.82"/>
    <n v="2453175.06"/>
  </r>
  <r>
    <s v="ORD03617"/>
    <x v="296"/>
    <s v="C446"/>
    <x v="371"/>
    <x v="4"/>
    <x v="38"/>
    <x v="38"/>
    <x v="2"/>
    <x v="3557"/>
    <n v="10.039999999999999"/>
    <n v="331872.2"/>
  </r>
  <r>
    <s v="ORD03618"/>
    <x v="20"/>
    <s v="C412"/>
    <x v="22"/>
    <x v="2"/>
    <x v="31"/>
    <x v="31"/>
    <x v="0"/>
    <x v="3558"/>
    <n v="13.6"/>
    <n v="335702.4"/>
  </r>
  <r>
    <s v="ORD03619"/>
    <x v="183"/>
    <s v="C188"/>
    <x v="138"/>
    <x v="0"/>
    <x v="36"/>
    <x v="36"/>
    <x v="4"/>
    <x v="3559"/>
    <n v="29.77"/>
    <n v="1086605"/>
  </r>
  <r>
    <s v="ORD03620"/>
    <x v="117"/>
    <s v="C370"/>
    <x v="486"/>
    <x v="3"/>
    <x v="12"/>
    <x v="12"/>
    <x v="4"/>
    <x v="3560"/>
    <n v="25.2"/>
    <n v="1571724"/>
  </r>
  <r>
    <s v="ORD03621"/>
    <x v="673"/>
    <s v="C285"/>
    <x v="421"/>
    <x v="0"/>
    <x v="32"/>
    <x v="32"/>
    <x v="4"/>
    <x v="3561"/>
    <n v="29.59"/>
    <n v="2358944.39"/>
  </r>
  <r>
    <s v="ORD03622"/>
    <x v="639"/>
    <s v="C043"/>
    <x v="499"/>
    <x v="4"/>
    <x v="25"/>
    <x v="25"/>
    <x v="4"/>
    <x v="3562"/>
    <n v="3.67"/>
    <n v="298719.65000000002"/>
  </r>
  <r>
    <s v="ORD03623"/>
    <x v="519"/>
    <s v="C310"/>
    <x v="467"/>
    <x v="3"/>
    <x v="3"/>
    <x v="3"/>
    <x v="2"/>
    <x v="3563"/>
    <n v="48.32"/>
    <n v="679089.28"/>
  </r>
  <r>
    <s v="ORD03624"/>
    <x v="720"/>
    <s v="C357"/>
    <x v="357"/>
    <x v="4"/>
    <x v="30"/>
    <x v="30"/>
    <x v="4"/>
    <x v="3564"/>
    <n v="3.21"/>
    <n v="10917.21"/>
  </r>
  <r>
    <s v="ORD03625"/>
    <x v="433"/>
    <s v="C120"/>
    <x v="445"/>
    <x v="2"/>
    <x v="28"/>
    <x v="28"/>
    <x v="3"/>
    <x v="3565"/>
    <n v="37.49"/>
    <n v="2078033.21"/>
  </r>
  <r>
    <s v="ORD03626"/>
    <x v="5"/>
    <s v="C434"/>
    <x v="266"/>
    <x v="1"/>
    <x v="46"/>
    <x v="46"/>
    <x v="0"/>
    <x v="3566"/>
    <n v="21.91"/>
    <n v="882775.81"/>
  </r>
  <r>
    <s v="ORD03627"/>
    <x v="187"/>
    <s v="C497"/>
    <x v="215"/>
    <x v="1"/>
    <x v="3"/>
    <x v="3"/>
    <x v="2"/>
    <x v="3567"/>
    <n v="30.14"/>
    <n v="2435131.16"/>
  </r>
  <r>
    <s v="ORD03628"/>
    <x v="714"/>
    <s v="C251"/>
    <x v="142"/>
    <x v="0"/>
    <x v="44"/>
    <x v="44"/>
    <x v="2"/>
    <x v="3568"/>
    <n v="44.99"/>
    <n v="1061584.04"/>
  </r>
  <r>
    <s v="ORD03629"/>
    <x v="420"/>
    <s v="C363"/>
    <x v="72"/>
    <x v="4"/>
    <x v="25"/>
    <x v="25"/>
    <x v="4"/>
    <x v="3569"/>
    <n v="36.76"/>
    <n v="3036008.4"/>
  </r>
  <r>
    <s v="ORD03630"/>
    <x v="391"/>
    <s v="C241"/>
    <x v="457"/>
    <x v="1"/>
    <x v="22"/>
    <x v="22"/>
    <x v="0"/>
    <x v="3570"/>
    <n v="4.63"/>
    <n v="320446.93"/>
  </r>
  <r>
    <s v="ORD03631"/>
    <x v="686"/>
    <s v="C178"/>
    <x v="245"/>
    <x v="0"/>
    <x v="18"/>
    <x v="18"/>
    <x v="0"/>
    <x v="3571"/>
    <n v="18.13"/>
    <n v="386277.78"/>
  </r>
  <r>
    <s v="ORD03632"/>
    <x v="24"/>
    <s v="C469"/>
    <x v="498"/>
    <x v="0"/>
    <x v="15"/>
    <x v="15"/>
    <x v="2"/>
    <x v="3572"/>
    <n v="37.549999999999997"/>
    <n v="2477023.2999999998"/>
  </r>
  <r>
    <s v="ORD03633"/>
    <x v="120"/>
    <s v="C341"/>
    <x v="104"/>
    <x v="0"/>
    <x v="49"/>
    <x v="49"/>
    <x v="3"/>
    <x v="3573"/>
    <n v="18.489999999999998"/>
    <n v="1633517.54"/>
  </r>
  <r>
    <s v="ORD03634"/>
    <x v="87"/>
    <s v="C490"/>
    <x v="141"/>
    <x v="2"/>
    <x v="30"/>
    <x v="30"/>
    <x v="4"/>
    <x v="3574"/>
    <n v="2.75"/>
    <n v="234319.25"/>
  </r>
  <r>
    <s v="ORD03635"/>
    <x v="575"/>
    <s v="C384"/>
    <x v="187"/>
    <x v="4"/>
    <x v="45"/>
    <x v="45"/>
    <x v="3"/>
    <x v="3575"/>
    <n v="39.42"/>
    <n v="1942026.3"/>
  </r>
  <r>
    <s v="ORD03636"/>
    <x v="80"/>
    <s v="C350"/>
    <x v="280"/>
    <x v="3"/>
    <x v="28"/>
    <x v="28"/>
    <x v="3"/>
    <x v="3576"/>
    <n v="42.97"/>
    <n v="1879593.74"/>
  </r>
  <r>
    <s v="ORD03637"/>
    <x v="79"/>
    <s v="C086"/>
    <x v="362"/>
    <x v="0"/>
    <x v="25"/>
    <x v="25"/>
    <x v="4"/>
    <x v="3577"/>
    <n v="10.45"/>
    <n v="406264.65"/>
  </r>
  <r>
    <s v="ORD03638"/>
    <x v="442"/>
    <s v="C384"/>
    <x v="187"/>
    <x v="4"/>
    <x v="15"/>
    <x v="15"/>
    <x v="2"/>
    <x v="3578"/>
    <n v="37.31"/>
    <n v="1118964.21"/>
  </r>
  <r>
    <s v="ORD03639"/>
    <x v="384"/>
    <s v="C429"/>
    <x v="474"/>
    <x v="3"/>
    <x v="21"/>
    <x v="21"/>
    <x v="2"/>
    <x v="3579"/>
    <n v="29.07"/>
    <n v="2425339.17"/>
  </r>
  <r>
    <s v="ORD03640"/>
    <x v="473"/>
    <s v="C091"/>
    <x v="458"/>
    <x v="1"/>
    <x v="29"/>
    <x v="29"/>
    <x v="0"/>
    <x v="3580"/>
    <n v="34.65"/>
    <n v="2246324.85"/>
  </r>
  <r>
    <s v="ORD03641"/>
    <x v="288"/>
    <s v="C102"/>
    <x v="20"/>
    <x v="0"/>
    <x v="18"/>
    <x v="18"/>
    <x v="0"/>
    <x v="3581"/>
    <n v="13"/>
    <n v="997880"/>
  </r>
  <r>
    <s v="ORD03642"/>
    <x v="593"/>
    <s v="C367"/>
    <x v="337"/>
    <x v="4"/>
    <x v="43"/>
    <x v="43"/>
    <x v="4"/>
    <x v="3582"/>
    <n v="18.66"/>
    <n v="1515677.16"/>
  </r>
  <r>
    <s v="ORD03643"/>
    <x v="167"/>
    <s v="C181"/>
    <x v="93"/>
    <x v="0"/>
    <x v="42"/>
    <x v="42"/>
    <x v="1"/>
    <x v="3583"/>
    <n v="17.93"/>
    <n v="124721.08"/>
  </r>
  <r>
    <s v="ORD03644"/>
    <x v="378"/>
    <s v="C005"/>
    <x v="373"/>
    <x v="3"/>
    <x v="34"/>
    <x v="34"/>
    <x v="2"/>
    <x v="3584"/>
    <n v="41.57"/>
    <n v="2802690.97"/>
  </r>
  <r>
    <s v="ORD03645"/>
    <x v="134"/>
    <s v="C268"/>
    <x v="313"/>
    <x v="0"/>
    <x v="26"/>
    <x v="26"/>
    <x v="0"/>
    <x v="3585"/>
    <n v="25.43"/>
    <n v="977452.91"/>
  </r>
  <r>
    <s v="ORD03646"/>
    <x v="485"/>
    <s v="C080"/>
    <x v="222"/>
    <x v="4"/>
    <x v="41"/>
    <x v="41"/>
    <x v="4"/>
    <x v="3586"/>
    <n v="44"/>
    <n v="203852"/>
  </r>
  <r>
    <s v="ORD03647"/>
    <x v="161"/>
    <s v="C379"/>
    <x v="494"/>
    <x v="2"/>
    <x v="8"/>
    <x v="8"/>
    <x v="3"/>
    <x v="3587"/>
    <n v="31.69"/>
    <n v="2728509"/>
  </r>
  <r>
    <s v="ORD03648"/>
    <x v="205"/>
    <s v="C350"/>
    <x v="280"/>
    <x v="3"/>
    <x v="3"/>
    <x v="3"/>
    <x v="2"/>
    <x v="3588"/>
    <n v="2.08"/>
    <n v="104911.03999999999"/>
  </r>
  <r>
    <s v="ORD03649"/>
    <x v="527"/>
    <s v="C455"/>
    <x v="366"/>
    <x v="4"/>
    <x v="13"/>
    <x v="13"/>
    <x v="2"/>
    <x v="3589"/>
    <n v="14.89"/>
    <n v="1315114.58"/>
  </r>
  <r>
    <s v="ORD03650"/>
    <x v="682"/>
    <s v="C091"/>
    <x v="458"/>
    <x v="1"/>
    <x v="34"/>
    <x v="34"/>
    <x v="2"/>
    <x v="3590"/>
    <n v="22.71"/>
    <n v="1009800.15"/>
  </r>
  <r>
    <s v="ORD03651"/>
    <x v="77"/>
    <s v="C162"/>
    <x v="344"/>
    <x v="0"/>
    <x v="1"/>
    <x v="1"/>
    <x v="1"/>
    <x v="3591"/>
    <n v="43.15"/>
    <n v="3477242.75"/>
  </r>
  <r>
    <s v="ORD03652"/>
    <x v="3"/>
    <s v="C064"/>
    <x v="387"/>
    <x v="2"/>
    <x v="4"/>
    <x v="4"/>
    <x v="1"/>
    <x v="3592"/>
    <n v="15.63"/>
    <n v="421228.5"/>
  </r>
  <r>
    <s v="ORD03653"/>
    <x v="510"/>
    <s v="C094"/>
    <x v="55"/>
    <x v="1"/>
    <x v="26"/>
    <x v="26"/>
    <x v="0"/>
    <x v="3593"/>
    <n v="32.29"/>
    <n v="1650309.61"/>
  </r>
  <r>
    <s v="ORD03654"/>
    <x v="503"/>
    <s v="C489"/>
    <x v="184"/>
    <x v="4"/>
    <x v="11"/>
    <x v="11"/>
    <x v="4"/>
    <x v="3594"/>
    <n v="43.46"/>
    <n v="3639514.24"/>
  </r>
  <r>
    <s v="ORD03655"/>
    <x v="300"/>
    <s v="C143"/>
    <x v="448"/>
    <x v="4"/>
    <x v="35"/>
    <x v="35"/>
    <x v="1"/>
    <x v="3595"/>
    <n v="12"/>
    <n v="960960"/>
  </r>
  <r>
    <s v="ORD03656"/>
    <x v="129"/>
    <s v="C436"/>
    <x v="443"/>
    <x v="4"/>
    <x v="46"/>
    <x v="46"/>
    <x v="0"/>
    <x v="3596"/>
    <n v="46.89"/>
    <n v="3977116.02"/>
  </r>
  <r>
    <s v="ORD03657"/>
    <x v="522"/>
    <s v="C128"/>
    <x v="361"/>
    <x v="4"/>
    <x v="6"/>
    <x v="6"/>
    <x v="0"/>
    <x v="3597"/>
    <n v="32.119999999999997"/>
    <n v="998450.2"/>
  </r>
  <r>
    <s v="ORD03658"/>
    <x v="59"/>
    <s v="C156"/>
    <x v="27"/>
    <x v="0"/>
    <x v="25"/>
    <x v="25"/>
    <x v="4"/>
    <x v="3598"/>
    <n v="6.77"/>
    <n v="465335.95"/>
  </r>
  <r>
    <s v="ORD03659"/>
    <x v="513"/>
    <s v="C160"/>
    <x v="481"/>
    <x v="1"/>
    <x v="5"/>
    <x v="5"/>
    <x v="3"/>
    <x v="3599"/>
    <n v="40.11"/>
    <n v="2153746.56"/>
  </r>
  <r>
    <s v="ORD03660"/>
    <x v="13"/>
    <s v="C240"/>
    <x v="218"/>
    <x v="3"/>
    <x v="15"/>
    <x v="15"/>
    <x v="2"/>
    <x v="3600"/>
    <n v="43.9"/>
    <n v="2340133.4"/>
  </r>
  <r>
    <s v="ORD03661"/>
    <x v="512"/>
    <s v="C343"/>
    <x v="229"/>
    <x v="1"/>
    <x v="3"/>
    <x v="3"/>
    <x v="2"/>
    <x v="3601"/>
    <n v="21.01"/>
    <n v="1988407.41"/>
  </r>
  <r>
    <s v="ORD03662"/>
    <x v="681"/>
    <s v="C225"/>
    <x v="34"/>
    <x v="0"/>
    <x v="5"/>
    <x v="5"/>
    <x v="3"/>
    <x v="3602"/>
    <n v="25.57"/>
    <n v="197144.7"/>
  </r>
  <r>
    <s v="ORD03663"/>
    <x v="353"/>
    <s v="C149"/>
    <x v="430"/>
    <x v="2"/>
    <x v="26"/>
    <x v="26"/>
    <x v="0"/>
    <x v="3603"/>
    <n v="33.93"/>
    <n v="2498503.41"/>
  </r>
  <r>
    <s v="ORD03664"/>
    <x v="445"/>
    <s v="C339"/>
    <x v="330"/>
    <x v="3"/>
    <x v="14"/>
    <x v="14"/>
    <x v="2"/>
    <x v="3604"/>
    <n v="48.77"/>
    <n v="4060931.59"/>
  </r>
  <r>
    <s v="ORD03665"/>
    <x v="511"/>
    <s v="C036"/>
    <x v="40"/>
    <x v="3"/>
    <x v="28"/>
    <x v="28"/>
    <x v="3"/>
    <x v="3605"/>
    <n v="38.75"/>
    <n v="2117416.25"/>
  </r>
  <r>
    <s v="ORD03666"/>
    <x v="172"/>
    <s v="C133"/>
    <x v="71"/>
    <x v="4"/>
    <x v="29"/>
    <x v="29"/>
    <x v="0"/>
    <x v="3606"/>
    <n v="17.61"/>
    <n v="1737156.06"/>
  </r>
  <r>
    <s v="ORD03667"/>
    <x v="546"/>
    <s v="C357"/>
    <x v="357"/>
    <x v="4"/>
    <x v="27"/>
    <x v="27"/>
    <x v="4"/>
    <x v="3607"/>
    <n v="41.4"/>
    <n v="3063393"/>
  </r>
  <r>
    <s v="ORD03668"/>
    <x v="477"/>
    <s v="C412"/>
    <x v="22"/>
    <x v="2"/>
    <x v="0"/>
    <x v="0"/>
    <x v="0"/>
    <x v="3608"/>
    <n v="29.52"/>
    <n v="2129838.48"/>
  </r>
  <r>
    <s v="ORD03669"/>
    <x v="390"/>
    <s v="C106"/>
    <x v="492"/>
    <x v="3"/>
    <x v="0"/>
    <x v="0"/>
    <x v="0"/>
    <x v="3609"/>
    <n v="20.149999999999999"/>
    <n v="507759.85"/>
  </r>
  <r>
    <s v="ORD03670"/>
    <x v="304"/>
    <s v="C126"/>
    <x v="424"/>
    <x v="4"/>
    <x v="30"/>
    <x v="30"/>
    <x v="4"/>
    <x v="3610"/>
    <n v="35.020000000000003"/>
    <n v="137033.26"/>
  </r>
  <r>
    <s v="ORD03671"/>
    <x v="609"/>
    <s v="C364"/>
    <x v="398"/>
    <x v="3"/>
    <x v="27"/>
    <x v="27"/>
    <x v="4"/>
    <x v="3611"/>
    <n v="31.7"/>
    <n v="895144.6"/>
  </r>
  <r>
    <s v="ORD03672"/>
    <x v="103"/>
    <s v="C240"/>
    <x v="218"/>
    <x v="3"/>
    <x v="23"/>
    <x v="23"/>
    <x v="0"/>
    <x v="3612"/>
    <n v="21.16"/>
    <n v="1009522.44"/>
  </r>
  <r>
    <s v="ORD03673"/>
    <x v="195"/>
    <s v="C241"/>
    <x v="457"/>
    <x v="1"/>
    <x v="28"/>
    <x v="28"/>
    <x v="3"/>
    <x v="3613"/>
    <n v="42.83"/>
    <n v="1939685.04"/>
  </r>
  <r>
    <s v="ORD03674"/>
    <x v="394"/>
    <s v="C194"/>
    <x v="106"/>
    <x v="2"/>
    <x v="21"/>
    <x v="21"/>
    <x v="2"/>
    <x v="3614"/>
    <n v="39.93"/>
    <n v="1003640.55"/>
  </r>
  <r>
    <s v="ORD03675"/>
    <x v="233"/>
    <s v="C163"/>
    <x v="275"/>
    <x v="3"/>
    <x v="17"/>
    <x v="17"/>
    <x v="1"/>
    <x v="3615"/>
    <n v="39.51"/>
    <n v="2065385.25"/>
  </r>
  <r>
    <s v="ORD03676"/>
    <x v="36"/>
    <s v="C287"/>
    <x v="228"/>
    <x v="4"/>
    <x v="48"/>
    <x v="48"/>
    <x v="2"/>
    <x v="3616"/>
    <n v="31.14"/>
    <n v="1684238.04"/>
  </r>
  <r>
    <s v="ORD03677"/>
    <x v="406"/>
    <s v="C192"/>
    <x v="154"/>
    <x v="3"/>
    <x v="31"/>
    <x v="31"/>
    <x v="0"/>
    <x v="3617"/>
    <n v="29.6"/>
    <n v="80541.600000000006"/>
  </r>
  <r>
    <s v="ORD03678"/>
    <x v="391"/>
    <s v="C306"/>
    <x v="274"/>
    <x v="4"/>
    <x v="47"/>
    <x v="47"/>
    <x v="2"/>
    <x v="3618"/>
    <n v="49.04"/>
    <n v="4773994.96"/>
  </r>
  <r>
    <s v="ORD03679"/>
    <x v="102"/>
    <s v="C196"/>
    <x v="1"/>
    <x v="1"/>
    <x v="2"/>
    <x v="2"/>
    <x v="1"/>
    <x v="3117"/>
    <n v="25.78"/>
    <n v="1381008.82"/>
  </r>
  <r>
    <s v="ORD03680"/>
    <x v="212"/>
    <s v="C012"/>
    <x v="412"/>
    <x v="1"/>
    <x v="49"/>
    <x v="49"/>
    <x v="3"/>
    <x v="1520"/>
    <n v="21.86"/>
    <n v="1874188.96"/>
  </r>
  <r>
    <s v="ORD03681"/>
    <x v="251"/>
    <s v="C179"/>
    <x v="377"/>
    <x v="3"/>
    <x v="33"/>
    <x v="33"/>
    <x v="1"/>
    <x v="1635"/>
    <n v="2.83"/>
    <n v="104760.94"/>
  </r>
  <r>
    <s v="ORD03682"/>
    <x v="286"/>
    <s v="C427"/>
    <x v="293"/>
    <x v="0"/>
    <x v="20"/>
    <x v="20"/>
    <x v="1"/>
    <x v="3619"/>
    <n v="28.16"/>
    <n v="862681.59999999998"/>
  </r>
  <r>
    <s v="ORD03683"/>
    <x v="712"/>
    <s v="C020"/>
    <x v="80"/>
    <x v="4"/>
    <x v="42"/>
    <x v="42"/>
    <x v="1"/>
    <x v="3620"/>
    <n v="17.23"/>
    <n v="311656.24"/>
  </r>
  <r>
    <s v="ORD03684"/>
    <x v="459"/>
    <s v="C281"/>
    <x v="317"/>
    <x v="2"/>
    <x v="31"/>
    <x v="31"/>
    <x v="0"/>
    <x v="3621"/>
    <n v="25.6"/>
    <n v="676761.59999999998"/>
  </r>
  <r>
    <s v="ORD03685"/>
    <x v="535"/>
    <s v="C397"/>
    <x v="95"/>
    <x v="3"/>
    <x v="0"/>
    <x v="0"/>
    <x v="0"/>
    <x v="3622"/>
    <n v="23.55"/>
    <n v="1853832.45"/>
  </r>
  <r>
    <s v="ORD03686"/>
    <x v="666"/>
    <s v="C167"/>
    <x v="404"/>
    <x v="4"/>
    <x v="17"/>
    <x v="17"/>
    <x v="1"/>
    <x v="3623"/>
    <n v="10.64"/>
    <n v="481055.68"/>
  </r>
  <r>
    <s v="ORD03687"/>
    <x v="34"/>
    <s v="C151"/>
    <x v="328"/>
    <x v="0"/>
    <x v="18"/>
    <x v="18"/>
    <x v="0"/>
    <x v="3624"/>
    <n v="28.38"/>
    <n v="2148337.62"/>
  </r>
  <r>
    <s v="ORD03688"/>
    <x v="44"/>
    <s v="C074"/>
    <x v="329"/>
    <x v="2"/>
    <x v="39"/>
    <x v="39"/>
    <x v="3"/>
    <x v="3625"/>
    <n v="32.83"/>
    <n v="1770095.11"/>
  </r>
  <r>
    <s v="ORD03689"/>
    <x v="594"/>
    <s v="C272"/>
    <x v="98"/>
    <x v="0"/>
    <x v="38"/>
    <x v="38"/>
    <x v="2"/>
    <x v="3626"/>
    <n v="40.65"/>
    <n v="2403309.2999999998"/>
  </r>
  <r>
    <s v="ORD03690"/>
    <x v="99"/>
    <s v="C380"/>
    <x v="193"/>
    <x v="3"/>
    <x v="32"/>
    <x v="32"/>
    <x v="4"/>
    <x v="3627"/>
    <n v="39.35"/>
    <n v="340967.75"/>
  </r>
  <r>
    <s v="ORD03691"/>
    <x v="432"/>
    <s v="C428"/>
    <x v="260"/>
    <x v="3"/>
    <x v="41"/>
    <x v="41"/>
    <x v="4"/>
    <x v="3628"/>
    <n v="20.58"/>
    <n v="1488325.02"/>
  </r>
  <r>
    <s v="ORD03692"/>
    <x v="50"/>
    <s v="C220"/>
    <x v="157"/>
    <x v="0"/>
    <x v="8"/>
    <x v="8"/>
    <x v="3"/>
    <x v="3629"/>
    <n v="4.62"/>
    <n v="153873.72"/>
  </r>
  <r>
    <s v="ORD03693"/>
    <x v="352"/>
    <s v="C071"/>
    <x v="279"/>
    <x v="0"/>
    <x v="30"/>
    <x v="30"/>
    <x v="4"/>
    <x v="3630"/>
    <n v="44.39"/>
    <n v="2824313.75"/>
  </r>
  <r>
    <s v="ORD03694"/>
    <x v="543"/>
    <s v="C287"/>
    <x v="228"/>
    <x v="4"/>
    <x v="25"/>
    <x v="25"/>
    <x v="4"/>
    <x v="3631"/>
    <n v="14.59"/>
    <n v="1372656.38"/>
  </r>
  <r>
    <s v="ORD03695"/>
    <x v="433"/>
    <s v="C466"/>
    <x v="23"/>
    <x v="2"/>
    <x v="28"/>
    <x v="28"/>
    <x v="3"/>
    <x v="3632"/>
    <n v="40.22"/>
    <n v="1437744.34"/>
  </r>
  <r>
    <s v="ORD03696"/>
    <x v="457"/>
    <s v="C170"/>
    <x v="493"/>
    <x v="4"/>
    <x v="48"/>
    <x v="48"/>
    <x v="2"/>
    <x v="3633"/>
    <n v="29.34"/>
    <n v="1419087.78"/>
  </r>
  <r>
    <s v="ORD03697"/>
    <x v="458"/>
    <s v="C489"/>
    <x v="184"/>
    <x v="4"/>
    <x v="48"/>
    <x v="48"/>
    <x v="2"/>
    <x v="3634"/>
    <n v="40.56"/>
    <n v="1716661.44"/>
  </r>
  <r>
    <s v="ORD03698"/>
    <x v="625"/>
    <s v="C365"/>
    <x v="155"/>
    <x v="4"/>
    <x v="6"/>
    <x v="6"/>
    <x v="0"/>
    <x v="3635"/>
    <n v="44.72"/>
    <n v="2997939.36"/>
  </r>
  <r>
    <s v="ORD03699"/>
    <x v="147"/>
    <s v="C422"/>
    <x v="415"/>
    <x v="4"/>
    <x v="12"/>
    <x v="12"/>
    <x v="4"/>
    <x v="3636"/>
    <n v="33.409999999999997"/>
    <n v="420164.16"/>
  </r>
  <r>
    <s v="ORD03700"/>
    <x v="0"/>
    <s v="C163"/>
    <x v="275"/>
    <x v="3"/>
    <x v="33"/>
    <x v="33"/>
    <x v="1"/>
    <x v="3637"/>
    <n v="14.94"/>
    <n v="239577.84"/>
  </r>
  <r>
    <s v="ORD03701"/>
    <x v="579"/>
    <s v="C442"/>
    <x v="205"/>
    <x v="3"/>
    <x v="13"/>
    <x v="13"/>
    <x v="2"/>
    <x v="3638"/>
    <n v="30.84"/>
    <n v="2748985.08"/>
  </r>
  <r>
    <s v="ORD03702"/>
    <x v="448"/>
    <s v="C081"/>
    <x v="456"/>
    <x v="3"/>
    <x v="46"/>
    <x v="46"/>
    <x v="0"/>
    <x v="3639"/>
    <n v="38.03"/>
    <n v="3680961.73"/>
  </r>
  <r>
    <s v="ORD03703"/>
    <x v="108"/>
    <s v="C064"/>
    <x v="387"/>
    <x v="2"/>
    <x v="5"/>
    <x v="5"/>
    <x v="3"/>
    <x v="3640"/>
    <n v="13.28"/>
    <n v="968616.64"/>
  </r>
  <r>
    <s v="ORD03704"/>
    <x v="285"/>
    <s v="C494"/>
    <x v="267"/>
    <x v="0"/>
    <x v="29"/>
    <x v="29"/>
    <x v="0"/>
    <x v="3641"/>
    <n v="45.1"/>
    <n v="1976327.1"/>
  </r>
  <r>
    <s v="ORD03705"/>
    <x v="26"/>
    <s v="C155"/>
    <x v="407"/>
    <x v="1"/>
    <x v="14"/>
    <x v="14"/>
    <x v="2"/>
    <x v="3642"/>
    <n v="15.18"/>
    <n v="1055784.18"/>
  </r>
  <r>
    <s v="ORD03706"/>
    <x v="144"/>
    <s v="C494"/>
    <x v="267"/>
    <x v="0"/>
    <x v="13"/>
    <x v="13"/>
    <x v="2"/>
    <x v="3643"/>
    <n v="38.49"/>
    <n v="2249625.0299999998"/>
  </r>
  <r>
    <s v="ORD03707"/>
    <x v="351"/>
    <s v="C411"/>
    <x v="2"/>
    <x v="2"/>
    <x v="17"/>
    <x v="17"/>
    <x v="1"/>
    <x v="3644"/>
    <n v="42.91"/>
    <n v="3386328.47"/>
  </r>
  <r>
    <s v="ORD03708"/>
    <x v="710"/>
    <s v="C192"/>
    <x v="154"/>
    <x v="3"/>
    <x v="28"/>
    <x v="28"/>
    <x v="3"/>
    <x v="3645"/>
    <n v="19.46"/>
    <n v="884204.02"/>
  </r>
  <r>
    <s v="ORD03709"/>
    <x v="32"/>
    <s v="C303"/>
    <x v="262"/>
    <x v="0"/>
    <x v="10"/>
    <x v="10"/>
    <x v="3"/>
    <x v="3646"/>
    <n v="24.28"/>
    <n v="1174909.2"/>
  </r>
  <r>
    <s v="ORD03710"/>
    <x v="87"/>
    <s v="C116"/>
    <x v="323"/>
    <x v="3"/>
    <x v="12"/>
    <x v="12"/>
    <x v="4"/>
    <x v="3647"/>
    <n v="2.57"/>
    <n v="192675.47"/>
  </r>
  <r>
    <s v="ORD03711"/>
    <x v="462"/>
    <s v="C296"/>
    <x v="321"/>
    <x v="3"/>
    <x v="2"/>
    <x v="2"/>
    <x v="1"/>
    <x v="3648"/>
    <n v="8.5500000000000007"/>
    <n v="577791.9"/>
  </r>
  <r>
    <s v="ORD03712"/>
    <x v="709"/>
    <s v="C189"/>
    <x v="253"/>
    <x v="0"/>
    <x v="7"/>
    <x v="7"/>
    <x v="3"/>
    <x v="3649"/>
    <n v="9.17"/>
    <n v="157017.91"/>
  </r>
  <r>
    <s v="ORD03713"/>
    <x v="292"/>
    <s v="C253"/>
    <x v="379"/>
    <x v="4"/>
    <x v="7"/>
    <x v="7"/>
    <x v="3"/>
    <x v="3650"/>
    <n v="7.43"/>
    <n v="489822.75"/>
  </r>
  <r>
    <s v="ORD03714"/>
    <x v="515"/>
    <s v="C382"/>
    <x v="136"/>
    <x v="3"/>
    <x v="39"/>
    <x v="39"/>
    <x v="3"/>
    <x v="3651"/>
    <n v="18.46"/>
    <n v="53072.5"/>
  </r>
  <r>
    <s v="ORD03715"/>
    <x v="99"/>
    <s v="C478"/>
    <x v="269"/>
    <x v="0"/>
    <x v="16"/>
    <x v="16"/>
    <x v="1"/>
    <x v="3652"/>
    <n v="5.52"/>
    <n v="102936.96000000001"/>
  </r>
  <r>
    <s v="ORD03716"/>
    <x v="114"/>
    <s v="C466"/>
    <x v="23"/>
    <x v="2"/>
    <x v="17"/>
    <x v="17"/>
    <x v="1"/>
    <x v="3653"/>
    <n v="12.2"/>
    <n v="1026471.4"/>
  </r>
  <r>
    <s v="ORD03717"/>
    <x v="677"/>
    <s v="C280"/>
    <x v="244"/>
    <x v="1"/>
    <x v="1"/>
    <x v="1"/>
    <x v="1"/>
    <x v="3654"/>
    <n v="6.21"/>
    <n v="279555.57"/>
  </r>
  <r>
    <s v="ORD03718"/>
    <x v="451"/>
    <s v="C104"/>
    <x v="21"/>
    <x v="2"/>
    <x v="43"/>
    <x v="43"/>
    <x v="4"/>
    <x v="3655"/>
    <n v="10.76"/>
    <n v="615794.80000000005"/>
  </r>
  <r>
    <s v="ORD03719"/>
    <x v="389"/>
    <s v="C384"/>
    <x v="187"/>
    <x v="4"/>
    <x v="30"/>
    <x v="30"/>
    <x v="4"/>
    <x v="3656"/>
    <n v="49.02"/>
    <n v="1124665.8600000001"/>
  </r>
  <r>
    <s v="ORD03720"/>
    <x v="513"/>
    <s v="C489"/>
    <x v="184"/>
    <x v="4"/>
    <x v="2"/>
    <x v="2"/>
    <x v="1"/>
    <x v="3657"/>
    <n v="37.090000000000003"/>
    <n v="2614103.2000000002"/>
  </r>
  <r>
    <s v="ORD03721"/>
    <x v="4"/>
    <s v="C488"/>
    <x v="312"/>
    <x v="1"/>
    <x v="6"/>
    <x v="6"/>
    <x v="0"/>
    <x v="3658"/>
    <n v="12.75"/>
    <n v="480152.25"/>
  </r>
  <r>
    <s v="ORD03722"/>
    <x v="583"/>
    <s v="C201"/>
    <x v="359"/>
    <x v="2"/>
    <x v="22"/>
    <x v="22"/>
    <x v="0"/>
    <x v="3659"/>
    <n v="3.5"/>
    <n v="238444.5"/>
  </r>
  <r>
    <s v="ORD03723"/>
    <x v="573"/>
    <s v="C328"/>
    <x v="335"/>
    <x v="3"/>
    <x v="20"/>
    <x v="20"/>
    <x v="1"/>
    <x v="3660"/>
    <n v="5.32"/>
    <n v="453753.44"/>
  </r>
  <r>
    <s v="ORD03724"/>
    <x v="403"/>
    <s v="C292"/>
    <x v="268"/>
    <x v="0"/>
    <x v="27"/>
    <x v="27"/>
    <x v="4"/>
    <x v="3661"/>
    <n v="18.97"/>
    <n v="741157.9"/>
  </r>
  <r>
    <s v="ORD03725"/>
    <x v="43"/>
    <s v="C143"/>
    <x v="448"/>
    <x v="4"/>
    <x v="26"/>
    <x v="26"/>
    <x v="0"/>
    <x v="3662"/>
    <n v="4.26"/>
    <n v="89106.42"/>
  </r>
  <r>
    <s v="ORD03726"/>
    <x v="265"/>
    <s v="C044"/>
    <x v="202"/>
    <x v="2"/>
    <x v="32"/>
    <x v="32"/>
    <x v="4"/>
    <x v="3663"/>
    <n v="45.8"/>
    <n v="1922546.6"/>
  </r>
  <r>
    <s v="ORD03727"/>
    <x v="415"/>
    <s v="C470"/>
    <x v="190"/>
    <x v="4"/>
    <x v="37"/>
    <x v="37"/>
    <x v="1"/>
    <x v="3664"/>
    <n v="31.09"/>
    <n v="1409527.33"/>
  </r>
  <r>
    <s v="ORD03728"/>
    <x v="578"/>
    <s v="C162"/>
    <x v="344"/>
    <x v="0"/>
    <x v="11"/>
    <x v="11"/>
    <x v="4"/>
    <x v="3665"/>
    <n v="9.4700000000000006"/>
    <n v="562196.02"/>
  </r>
  <r>
    <s v="ORD03729"/>
    <x v="36"/>
    <s v="C114"/>
    <x v="370"/>
    <x v="1"/>
    <x v="14"/>
    <x v="14"/>
    <x v="2"/>
    <x v="3666"/>
    <n v="49.63"/>
    <n v="4784877.93"/>
  </r>
  <r>
    <s v="ORD03730"/>
    <x v="125"/>
    <s v="C345"/>
    <x v="15"/>
    <x v="2"/>
    <x v="17"/>
    <x v="17"/>
    <x v="1"/>
    <x v="3667"/>
    <n v="28.37"/>
    <n v="2171553.2799999998"/>
  </r>
  <r>
    <s v="ORD03731"/>
    <x v="725"/>
    <s v="C078"/>
    <x v="41"/>
    <x v="4"/>
    <x v="46"/>
    <x v="46"/>
    <x v="0"/>
    <x v="3668"/>
    <n v="40.61"/>
    <n v="862678.23"/>
  </r>
  <r>
    <s v="ORD03732"/>
    <x v="432"/>
    <s v="C019"/>
    <x v="88"/>
    <x v="0"/>
    <x v="18"/>
    <x v="18"/>
    <x v="0"/>
    <x v="3669"/>
    <n v="10.08"/>
    <n v="640573.92000000004"/>
  </r>
  <r>
    <s v="ORD03733"/>
    <x v="550"/>
    <s v="C275"/>
    <x v="126"/>
    <x v="1"/>
    <x v="27"/>
    <x v="27"/>
    <x v="4"/>
    <x v="3670"/>
    <n v="43.77"/>
    <n v="317463.81"/>
  </r>
  <r>
    <s v="ORD03734"/>
    <x v="13"/>
    <s v="C353"/>
    <x v="472"/>
    <x v="0"/>
    <x v="3"/>
    <x v="3"/>
    <x v="2"/>
    <x v="3671"/>
    <n v="14.57"/>
    <n v="119794.54"/>
  </r>
  <r>
    <s v="ORD03735"/>
    <x v="73"/>
    <s v="C362"/>
    <x v="9"/>
    <x v="4"/>
    <x v="5"/>
    <x v="5"/>
    <x v="3"/>
    <x v="3672"/>
    <n v="44.23"/>
    <n v="2222557.5"/>
  </r>
  <r>
    <s v="ORD03736"/>
    <x v="580"/>
    <s v="C196"/>
    <x v="1"/>
    <x v="1"/>
    <x v="32"/>
    <x v="32"/>
    <x v="4"/>
    <x v="3673"/>
    <n v="5.88"/>
    <n v="469112.28"/>
  </r>
  <r>
    <s v="ORD03737"/>
    <x v="132"/>
    <s v="C105"/>
    <x v="386"/>
    <x v="0"/>
    <x v="43"/>
    <x v="43"/>
    <x v="4"/>
    <x v="3674"/>
    <n v="2.94"/>
    <n v="191423.4"/>
  </r>
  <r>
    <s v="ORD03738"/>
    <x v="332"/>
    <s v="C465"/>
    <x v="140"/>
    <x v="2"/>
    <x v="40"/>
    <x v="40"/>
    <x v="0"/>
    <x v="3675"/>
    <n v="33.19"/>
    <n v="1943075.36"/>
  </r>
  <r>
    <s v="ORD03739"/>
    <x v="125"/>
    <s v="C102"/>
    <x v="20"/>
    <x v="0"/>
    <x v="42"/>
    <x v="42"/>
    <x v="1"/>
    <x v="3676"/>
    <n v="15.41"/>
    <n v="939871.31"/>
  </r>
  <r>
    <s v="ORD03740"/>
    <x v="503"/>
    <s v="C396"/>
    <x v="427"/>
    <x v="3"/>
    <x v="7"/>
    <x v="7"/>
    <x v="3"/>
    <x v="3677"/>
    <n v="47.84"/>
    <n v="1724344.96"/>
  </r>
  <r>
    <s v="ORD03741"/>
    <x v="248"/>
    <s v="C365"/>
    <x v="155"/>
    <x v="4"/>
    <x v="4"/>
    <x v="4"/>
    <x v="1"/>
    <x v="3678"/>
    <n v="37.729999999999997"/>
    <n v="1706188.33"/>
  </r>
  <r>
    <s v="ORD03742"/>
    <x v="386"/>
    <s v="C110"/>
    <x v="114"/>
    <x v="1"/>
    <x v="45"/>
    <x v="45"/>
    <x v="3"/>
    <x v="3679"/>
    <n v="32.5"/>
    <n v="429975"/>
  </r>
  <r>
    <s v="ORD03743"/>
    <x v="340"/>
    <s v="C239"/>
    <x v="12"/>
    <x v="3"/>
    <x v="20"/>
    <x v="20"/>
    <x v="1"/>
    <x v="3680"/>
    <n v="10.77"/>
    <n v="998271.3"/>
  </r>
  <r>
    <s v="ORD03744"/>
    <x v="102"/>
    <s v="C283"/>
    <x v="478"/>
    <x v="0"/>
    <x v="24"/>
    <x v="24"/>
    <x v="3"/>
    <x v="3681"/>
    <n v="14.43"/>
    <n v="1206679.8899999999"/>
  </r>
  <r>
    <s v="ORD03745"/>
    <x v="427"/>
    <s v="C028"/>
    <x v="151"/>
    <x v="2"/>
    <x v="0"/>
    <x v="0"/>
    <x v="0"/>
    <x v="3682"/>
    <n v="47.97"/>
    <n v="3675845.16"/>
  </r>
  <r>
    <s v="ORD03746"/>
    <x v="273"/>
    <s v="C218"/>
    <x v="263"/>
    <x v="4"/>
    <x v="7"/>
    <x v="7"/>
    <x v="3"/>
    <x v="3683"/>
    <n v="23.04"/>
    <n v="1303395.8400000001"/>
  </r>
  <r>
    <s v="ORD03747"/>
    <x v="258"/>
    <s v="C212"/>
    <x v="90"/>
    <x v="4"/>
    <x v="21"/>
    <x v="21"/>
    <x v="2"/>
    <x v="705"/>
    <n v="19.77"/>
    <n v="1585059.75"/>
  </r>
  <r>
    <s v="ORD03748"/>
    <x v="212"/>
    <s v="C240"/>
    <x v="218"/>
    <x v="3"/>
    <x v="11"/>
    <x v="11"/>
    <x v="4"/>
    <x v="2811"/>
    <n v="48.62"/>
    <n v="2607879.56"/>
  </r>
  <r>
    <s v="ORD03749"/>
    <x v="310"/>
    <s v="C297"/>
    <x v="49"/>
    <x v="3"/>
    <x v="0"/>
    <x v="0"/>
    <x v="0"/>
    <x v="3684"/>
    <n v="36.729999999999997"/>
    <n v="1327275.28"/>
  </r>
  <r>
    <s v="ORD03750"/>
    <x v="406"/>
    <s v="C111"/>
    <x v="286"/>
    <x v="0"/>
    <x v="28"/>
    <x v="28"/>
    <x v="3"/>
    <x v="3685"/>
    <n v="30.22"/>
    <n v="1902953.4"/>
  </r>
  <r>
    <s v="ORD03751"/>
    <x v="586"/>
    <s v="C364"/>
    <x v="398"/>
    <x v="3"/>
    <x v="5"/>
    <x v="5"/>
    <x v="3"/>
    <x v="3686"/>
    <n v="31.8"/>
    <n v="2883846.6"/>
  </r>
  <r>
    <s v="ORD03752"/>
    <x v="714"/>
    <s v="C196"/>
    <x v="1"/>
    <x v="1"/>
    <x v="17"/>
    <x v="17"/>
    <x v="1"/>
    <x v="3687"/>
    <n v="31.08"/>
    <n v="816160.8"/>
  </r>
  <r>
    <s v="ORD03753"/>
    <x v="11"/>
    <s v="C025"/>
    <x v="396"/>
    <x v="0"/>
    <x v="14"/>
    <x v="14"/>
    <x v="2"/>
    <x v="3688"/>
    <n v="33.299999999999997"/>
    <n v="2875488.3"/>
  </r>
  <r>
    <s v="ORD03754"/>
    <x v="441"/>
    <s v="C269"/>
    <x v="320"/>
    <x v="3"/>
    <x v="34"/>
    <x v="34"/>
    <x v="2"/>
    <x v="3689"/>
    <n v="34.67"/>
    <n v="799074.16"/>
  </r>
  <r>
    <s v="ORD03755"/>
    <x v="456"/>
    <s v="C141"/>
    <x v="438"/>
    <x v="0"/>
    <x v="18"/>
    <x v="18"/>
    <x v="0"/>
    <x v="3690"/>
    <n v="17.850000000000001"/>
    <n v="175590.45"/>
  </r>
  <r>
    <s v="ORD03756"/>
    <x v="331"/>
    <s v="C487"/>
    <x v="436"/>
    <x v="0"/>
    <x v="36"/>
    <x v="36"/>
    <x v="4"/>
    <x v="3691"/>
    <n v="3.89"/>
    <n v="282779.65999999997"/>
  </r>
  <r>
    <s v="ORD03757"/>
    <x v="109"/>
    <s v="C125"/>
    <x v="473"/>
    <x v="0"/>
    <x v="34"/>
    <x v="34"/>
    <x v="2"/>
    <x v="3692"/>
    <n v="49.99"/>
    <n v="716206.73"/>
  </r>
  <r>
    <s v="ORD03758"/>
    <x v="201"/>
    <s v="C108"/>
    <x v="310"/>
    <x v="4"/>
    <x v="13"/>
    <x v="13"/>
    <x v="2"/>
    <x v="3693"/>
    <n v="40.299999999999997"/>
    <n v="2019473.3"/>
  </r>
  <r>
    <s v="ORD03759"/>
    <x v="265"/>
    <s v="C353"/>
    <x v="472"/>
    <x v="0"/>
    <x v="13"/>
    <x v="13"/>
    <x v="2"/>
    <x v="3694"/>
    <n v="6.55"/>
    <n v="594674.5"/>
  </r>
  <r>
    <s v="ORD03760"/>
    <x v="41"/>
    <s v="C242"/>
    <x v="264"/>
    <x v="0"/>
    <x v="7"/>
    <x v="7"/>
    <x v="3"/>
    <x v="3695"/>
    <n v="42.98"/>
    <n v="2996780.5"/>
  </r>
  <r>
    <s v="ORD03761"/>
    <x v="278"/>
    <s v="C411"/>
    <x v="2"/>
    <x v="2"/>
    <x v="17"/>
    <x v="17"/>
    <x v="1"/>
    <x v="3696"/>
    <n v="30.96"/>
    <n v="1916269.2"/>
  </r>
  <r>
    <s v="ORD03762"/>
    <x v="440"/>
    <s v="C499"/>
    <x v="100"/>
    <x v="0"/>
    <x v="2"/>
    <x v="2"/>
    <x v="1"/>
    <x v="3697"/>
    <n v="8.58"/>
    <n v="162685.38"/>
  </r>
  <r>
    <s v="ORD03763"/>
    <x v="683"/>
    <s v="C264"/>
    <x v="65"/>
    <x v="0"/>
    <x v="18"/>
    <x v="18"/>
    <x v="0"/>
    <x v="3698"/>
    <n v="5.69"/>
    <n v="251310.23"/>
  </r>
  <r>
    <s v="ORD03764"/>
    <x v="707"/>
    <s v="C014"/>
    <x v="134"/>
    <x v="2"/>
    <x v="41"/>
    <x v="41"/>
    <x v="4"/>
    <x v="3699"/>
    <n v="42.16"/>
    <n v="2420911.52"/>
  </r>
  <r>
    <s v="ORD03765"/>
    <x v="550"/>
    <s v="C064"/>
    <x v="387"/>
    <x v="2"/>
    <x v="34"/>
    <x v="34"/>
    <x v="2"/>
    <x v="3700"/>
    <n v="5"/>
    <n v="302035"/>
  </r>
  <r>
    <s v="ORD03766"/>
    <x v="436"/>
    <s v="C182"/>
    <x v="159"/>
    <x v="1"/>
    <x v="0"/>
    <x v="0"/>
    <x v="0"/>
    <x v="3701"/>
    <n v="26.45"/>
    <n v="1164937.3500000001"/>
  </r>
  <r>
    <s v="ORD03767"/>
    <x v="88"/>
    <s v="C027"/>
    <x v="289"/>
    <x v="1"/>
    <x v="41"/>
    <x v="41"/>
    <x v="4"/>
    <x v="3702"/>
    <n v="11.66"/>
    <n v="665762.68000000005"/>
  </r>
  <r>
    <s v="ORD03768"/>
    <x v="650"/>
    <s v="C138"/>
    <x v="251"/>
    <x v="2"/>
    <x v="21"/>
    <x v="21"/>
    <x v="2"/>
    <x v="3703"/>
    <n v="38.92"/>
    <n v="217173.6"/>
  </r>
  <r>
    <s v="ORD03769"/>
    <x v="189"/>
    <s v="C146"/>
    <x v="37"/>
    <x v="4"/>
    <x v="4"/>
    <x v="4"/>
    <x v="1"/>
    <x v="3704"/>
    <n v="44.49"/>
    <n v="1866044.07"/>
  </r>
  <r>
    <s v="ORD03770"/>
    <x v="563"/>
    <s v="C236"/>
    <x v="25"/>
    <x v="2"/>
    <x v="44"/>
    <x v="44"/>
    <x v="2"/>
    <x v="3705"/>
    <n v="5"/>
    <n v="265980"/>
  </r>
  <r>
    <s v="ORD03771"/>
    <x v="77"/>
    <s v="C482"/>
    <x v="369"/>
    <x v="4"/>
    <x v="12"/>
    <x v="12"/>
    <x v="4"/>
    <x v="3706"/>
    <n v="3.27"/>
    <n v="45649.2"/>
  </r>
  <r>
    <s v="ORD03772"/>
    <x v="121"/>
    <s v="C485"/>
    <x v="374"/>
    <x v="0"/>
    <x v="9"/>
    <x v="9"/>
    <x v="4"/>
    <x v="3707"/>
    <n v="32.14"/>
    <n v="2272715.8199999998"/>
  </r>
  <r>
    <s v="ORD03773"/>
    <x v="163"/>
    <s v="C092"/>
    <x v="405"/>
    <x v="0"/>
    <x v="19"/>
    <x v="19"/>
    <x v="3"/>
    <x v="3708"/>
    <n v="34"/>
    <n v="797640"/>
  </r>
  <r>
    <s v="ORD03774"/>
    <x v="418"/>
    <s v="C173"/>
    <x v="342"/>
    <x v="2"/>
    <x v="10"/>
    <x v="10"/>
    <x v="3"/>
    <x v="3709"/>
    <n v="48.02"/>
    <n v="1529292.94"/>
  </r>
  <r>
    <s v="ORD03775"/>
    <x v="278"/>
    <s v="C176"/>
    <x v="469"/>
    <x v="2"/>
    <x v="35"/>
    <x v="35"/>
    <x v="1"/>
    <x v="3710"/>
    <n v="22.98"/>
    <n v="715229.52"/>
  </r>
  <r>
    <s v="ORD03776"/>
    <x v="270"/>
    <s v="C196"/>
    <x v="1"/>
    <x v="1"/>
    <x v="3"/>
    <x v="3"/>
    <x v="2"/>
    <x v="3711"/>
    <n v="17.850000000000001"/>
    <n v="507600.45"/>
  </r>
  <r>
    <s v="ORD03777"/>
    <x v="518"/>
    <s v="C469"/>
    <x v="498"/>
    <x v="0"/>
    <x v="21"/>
    <x v="21"/>
    <x v="2"/>
    <x v="3712"/>
    <n v="2.84"/>
    <n v="59267.96"/>
  </r>
  <r>
    <s v="ORD03778"/>
    <x v="550"/>
    <s v="C177"/>
    <x v="183"/>
    <x v="1"/>
    <x v="16"/>
    <x v="16"/>
    <x v="1"/>
    <x v="3713"/>
    <n v="47.53"/>
    <n v="4219380.6900000004"/>
  </r>
  <r>
    <s v="ORD03779"/>
    <x v="696"/>
    <s v="C105"/>
    <x v="386"/>
    <x v="0"/>
    <x v="29"/>
    <x v="29"/>
    <x v="0"/>
    <x v="3714"/>
    <n v="5.5"/>
    <n v="166584"/>
  </r>
  <r>
    <s v="ORD03780"/>
    <x v="193"/>
    <s v="C032"/>
    <x v="234"/>
    <x v="4"/>
    <x v="3"/>
    <x v="3"/>
    <x v="2"/>
    <x v="3715"/>
    <n v="11.74"/>
    <n v="944694.32"/>
  </r>
  <r>
    <s v="ORD03781"/>
    <x v="548"/>
    <s v="C438"/>
    <x v="475"/>
    <x v="1"/>
    <x v="34"/>
    <x v="34"/>
    <x v="2"/>
    <x v="1601"/>
    <n v="26.77"/>
    <n v="194591.13"/>
  </r>
  <r>
    <s v="ORD03782"/>
    <x v="298"/>
    <s v="C120"/>
    <x v="445"/>
    <x v="2"/>
    <x v="2"/>
    <x v="2"/>
    <x v="1"/>
    <x v="3716"/>
    <n v="38.24"/>
    <n v="2810334.08"/>
  </r>
  <r>
    <s v="ORD03783"/>
    <x v="547"/>
    <s v="C324"/>
    <x v="208"/>
    <x v="0"/>
    <x v="43"/>
    <x v="43"/>
    <x v="4"/>
    <x v="3717"/>
    <n v="13.56"/>
    <n v="468213.24"/>
  </r>
  <r>
    <s v="ORD03784"/>
    <x v="649"/>
    <s v="C070"/>
    <x v="249"/>
    <x v="4"/>
    <x v="22"/>
    <x v="22"/>
    <x v="0"/>
    <x v="3718"/>
    <n v="37.36"/>
    <n v="2994628.16"/>
  </r>
  <r>
    <s v="ORD03785"/>
    <x v="448"/>
    <s v="C327"/>
    <x v="368"/>
    <x v="1"/>
    <x v="4"/>
    <x v="4"/>
    <x v="1"/>
    <x v="3241"/>
    <n v="13.1"/>
    <n v="110564"/>
  </r>
  <r>
    <s v="ORD03786"/>
    <x v="298"/>
    <s v="C254"/>
    <x v="431"/>
    <x v="1"/>
    <x v="37"/>
    <x v="37"/>
    <x v="1"/>
    <x v="3719"/>
    <n v="34.22"/>
    <n v="1394670.32"/>
  </r>
  <r>
    <s v="ORD03787"/>
    <x v="579"/>
    <s v="C196"/>
    <x v="1"/>
    <x v="1"/>
    <x v="20"/>
    <x v="20"/>
    <x v="1"/>
    <x v="3720"/>
    <n v="38.44"/>
    <n v="2462427.96"/>
  </r>
  <r>
    <s v="ORD03788"/>
    <x v="325"/>
    <s v="C260"/>
    <x v="153"/>
    <x v="2"/>
    <x v="12"/>
    <x v="12"/>
    <x v="4"/>
    <x v="3721"/>
    <n v="44.39"/>
    <n v="2538930.44"/>
  </r>
  <r>
    <s v="ORD03789"/>
    <x v="41"/>
    <s v="C012"/>
    <x v="412"/>
    <x v="1"/>
    <x v="43"/>
    <x v="43"/>
    <x v="4"/>
    <x v="3722"/>
    <n v="33.64"/>
    <n v="1039543.28"/>
  </r>
  <r>
    <s v="ORD03790"/>
    <x v="230"/>
    <s v="C083"/>
    <x v="130"/>
    <x v="3"/>
    <x v="43"/>
    <x v="43"/>
    <x v="4"/>
    <x v="3723"/>
    <n v="18.16"/>
    <n v="41931.440000000002"/>
  </r>
  <r>
    <s v="ORD03791"/>
    <x v="187"/>
    <s v="C491"/>
    <x v="32"/>
    <x v="0"/>
    <x v="19"/>
    <x v="19"/>
    <x v="3"/>
    <x v="3724"/>
    <n v="3.38"/>
    <n v="333284.90000000002"/>
  </r>
  <r>
    <s v="ORD03792"/>
    <x v="105"/>
    <s v="C138"/>
    <x v="251"/>
    <x v="2"/>
    <x v="45"/>
    <x v="45"/>
    <x v="3"/>
    <x v="3725"/>
    <n v="49.05"/>
    <n v="2491985.25"/>
  </r>
  <r>
    <s v="ORD03793"/>
    <x v="395"/>
    <s v="C221"/>
    <x v="176"/>
    <x v="2"/>
    <x v="2"/>
    <x v="2"/>
    <x v="1"/>
    <x v="3726"/>
    <n v="11.07"/>
    <n v="409246.83"/>
  </r>
  <r>
    <s v="ORD03794"/>
    <x v="116"/>
    <s v="C269"/>
    <x v="320"/>
    <x v="3"/>
    <x v="36"/>
    <x v="36"/>
    <x v="4"/>
    <x v="3727"/>
    <n v="27.58"/>
    <n v="1356025.86"/>
  </r>
  <r>
    <s v="ORD03795"/>
    <x v="393"/>
    <s v="C391"/>
    <x v="425"/>
    <x v="0"/>
    <x v="29"/>
    <x v="29"/>
    <x v="0"/>
    <x v="3728"/>
    <n v="12.47"/>
    <n v="841700.06"/>
  </r>
  <r>
    <s v="ORD03796"/>
    <x v="558"/>
    <s v="C403"/>
    <x v="59"/>
    <x v="0"/>
    <x v="44"/>
    <x v="44"/>
    <x v="2"/>
    <x v="3729"/>
    <n v="7.06"/>
    <n v="557457.6"/>
  </r>
  <r>
    <s v="ORD03797"/>
    <x v="674"/>
    <s v="C059"/>
    <x v="256"/>
    <x v="4"/>
    <x v="2"/>
    <x v="2"/>
    <x v="1"/>
    <x v="3730"/>
    <n v="10.49"/>
    <n v="631676.32999999996"/>
  </r>
  <r>
    <s v="ORD03798"/>
    <x v="193"/>
    <s v="C141"/>
    <x v="438"/>
    <x v="0"/>
    <x v="31"/>
    <x v="31"/>
    <x v="0"/>
    <x v="3731"/>
    <n v="48.06"/>
    <n v="2866298.4"/>
  </r>
  <r>
    <s v="ORD03799"/>
    <x v="211"/>
    <s v="C421"/>
    <x v="110"/>
    <x v="2"/>
    <x v="0"/>
    <x v="0"/>
    <x v="0"/>
    <x v="3732"/>
    <n v="33.64"/>
    <n v="1225908.8799999999"/>
  </r>
  <r>
    <s v="ORD03800"/>
    <x v="715"/>
    <s v="C164"/>
    <x v="340"/>
    <x v="0"/>
    <x v="42"/>
    <x v="42"/>
    <x v="1"/>
    <x v="3733"/>
    <n v="21.29"/>
    <n v="1113999.25"/>
  </r>
  <r>
    <s v="ORD03801"/>
    <x v="666"/>
    <s v="C176"/>
    <x v="469"/>
    <x v="2"/>
    <x v="7"/>
    <x v="7"/>
    <x v="3"/>
    <x v="3734"/>
    <n v="25.46"/>
    <n v="338261.56"/>
  </r>
  <r>
    <s v="ORD03802"/>
    <x v="152"/>
    <s v="C423"/>
    <x v="288"/>
    <x v="2"/>
    <x v="27"/>
    <x v="27"/>
    <x v="4"/>
    <x v="3735"/>
    <n v="20.74"/>
    <n v="2015160.62"/>
  </r>
  <r>
    <s v="ORD03803"/>
    <x v="63"/>
    <s v="C082"/>
    <x v="462"/>
    <x v="0"/>
    <x v="48"/>
    <x v="48"/>
    <x v="2"/>
    <x v="3736"/>
    <n v="3.3"/>
    <n v="215358"/>
  </r>
  <r>
    <s v="ORD03804"/>
    <x v="612"/>
    <s v="C314"/>
    <x v="10"/>
    <x v="0"/>
    <x v="19"/>
    <x v="19"/>
    <x v="3"/>
    <x v="3737"/>
    <n v="14.33"/>
    <n v="254730.08"/>
  </r>
  <r>
    <s v="ORD03805"/>
    <x v="194"/>
    <s v="C121"/>
    <x v="8"/>
    <x v="2"/>
    <x v="31"/>
    <x v="31"/>
    <x v="0"/>
    <x v="3738"/>
    <n v="11.01"/>
    <n v="80714.31"/>
  </r>
  <r>
    <s v="ORD03806"/>
    <x v="571"/>
    <s v="C187"/>
    <x v="108"/>
    <x v="3"/>
    <x v="18"/>
    <x v="18"/>
    <x v="0"/>
    <x v="3739"/>
    <n v="18.47"/>
    <n v="617489.04"/>
  </r>
  <r>
    <s v="ORD03807"/>
    <x v="436"/>
    <s v="C211"/>
    <x v="24"/>
    <x v="1"/>
    <x v="32"/>
    <x v="32"/>
    <x v="4"/>
    <x v="3740"/>
    <n v="43.05"/>
    <n v="484355.55"/>
  </r>
  <r>
    <s v="ORD03808"/>
    <x v="617"/>
    <s v="C306"/>
    <x v="274"/>
    <x v="4"/>
    <x v="31"/>
    <x v="31"/>
    <x v="0"/>
    <x v="3741"/>
    <n v="20.07"/>
    <n v="1898501.58"/>
  </r>
  <r>
    <s v="ORD03809"/>
    <x v="338"/>
    <s v="C131"/>
    <x v="449"/>
    <x v="1"/>
    <x v="5"/>
    <x v="5"/>
    <x v="3"/>
    <x v="3742"/>
    <n v="38.6"/>
    <n v="3797738.2"/>
  </r>
  <r>
    <s v="ORD03810"/>
    <x v="217"/>
    <s v="C305"/>
    <x v="101"/>
    <x v="1"/>
    <x v="41"/>
    <x v="41"/>
    <x v="4"/>
    <x v="3743"/>
    <n v="7.13"/>
    <n v="533110.1"/>
  </r>
  <r>
    <s v="ORD03811"/>
    <x v="511"/>
    <s v="C107"/>
    <x v="324"/>
    <x v="1"/>
    <x v="34"/>
    <x v="34"/>
    <x v="2"/>
    <x v="3744"/>
    <n v="41.06"/>
    <n v="933909.7"/>
  </r>
  <r>
    <s v="ORD03812"/>
    <x v="209"/>
    <s v="C370"/>
    <x v="486"/>
    <x v="3"/>
    <x v="45"/>
    <x v="45"/>
    <x v="3"/>
    <x v="3745"/>
    <n v="13.07"/>
    <n v="316241.71999999997"/>
  </r>
  <r>
    <s v="ORD03813"/>
    <x v="608"/>
    <s v="C451"/>
    <x v="225"/>
    <x v="1"/>
    <x v="42"/>
    <x v="42"/>
    <x v="1"/>
    <x v="3746"/>
    <n v="29.07"/>
    <n v="2695021.56"/>
  </r>
  <r>
    <s v="ORD03814"/>
    <x v="571"/>
    <s v="C472"/>
    <x v="3"/>
    <x v="3"/>
    <x v="9"/>
    <x v="9"/>
    <x v="4"/>
    <x v="3747"/>
    <n v="9.26"/>
    <n v="730512.14"/>
  </r>
  <r>
    <s v="ORD03815"/>
    <x v="697"/>
    <s v="C244"/>
    <x v="259"/>
    <x v="1"/>
    <x v="34"/>
    <x v="34"/>
    <x v="2"/>
    <x v="3748"/>
    <n v="3.34"/>
    <n v="238262.24"/>
  </r>
  <r>
    <s v="ORD03816"/>
    <x v="539"/>
    <s v="C411"/>
    <x v="2"/>
    <x v="2"/>
    <x v="33"/>
    <x v="33"/>
    <x v="1"/>
    <x v="3749"/>
    <n v="17.420000000000002"/>
    <n v="461804.2"/>
  </r>
  <r>
    <s v="ORD03817"/>
    <x v="582"/>
    <s v="C060"/>
    <x v="420"/>
    <x v="2"/>
    <x v="37"/>
    <x v="37"/>
    <x v="1"/>
    <x v="3750"/>
    <n v="20.260000000000002"/>
    <n v="573337.74"/>
  </r>
  <r>
    <s v="ORD03818"/>
    <x v="148"/>
    <s v="C300"/>
    <x v="204"/>
    <x v="0"/>
    <x v="8"/>
    <x v="8"/>
    <x v="3"/>
    <x v="3751"/>
    <n v="26.73"/>
    <n v="244552.77"/>
  </r>
  <r>
    <s v="ORD03819"/>
    <x v="458"/>
    <s v="C247"/>
    <x v="433"/>
    <x v="4"/>
    <x v="21"/>
    <x v="21"/>
    <x v="2"/>
    <x v="3752"/>
    <n v="40.67"/>
    <n v="2968950.67"/>
  </r>
  <r>
    <s v="ORD03820"/>
    <x v="368"/>
    <s v="C341"/>
    <x v="104"/>
    <x v="0"/>
    <x v="39"/>
    <x v="39"/>
    <x v="3"/>
    <x v="3753"/>
    <n v="39.24"/>
    <n v="1130857.56"/>
  </r>
  <r>
    <s v="ORD03821"/>
    <x v="274"/>
    <s v="C137"/>
    <x v="182"/>
    <x v="4"/>
    <x v="22"/>
    <x v="22"/>
    <x v="0"/>
    <x v="3754"/>
    <n v="36.89"/>
    <n v="2859860.36"/>
  </r>
  <r>
    <s v="ORD03822"/>
    <x v="331"/>
    <s v="C335"/>
    <x v="402"/>
    <x v="4"/>
    <x v="22"/>
    <x v="22"/>
    <x v="0"/>
    <x v="3755"/>
    <n v="8.91"/>
    <n v="463836.78"/>
  </r>
  <r>
    <s v="ORD03823"/>
    <x v="287"/>
    <s v="C341"/>
    <x v="104"/>
    <x v="0"/>
    <x v="44"/>
    <x v="44"/>
    <x v="2"/>
    <x v="3756"/>
    <n v="15.37"/>
    <n v="1484880.33"/>
  </r>
  <r>
    <s v="ORD03824"/>
    <x v="673"/>
    <s v="C277"/>
    <x v="158"/>
    <x v="3"/>
    <x v="40"/>
    <x v="40"/>
    <x v="0"/>
    <x v="3757"/>
    <n v="44.78"/>
    <n v="2601538.88"/>
  </r>
  <r>
    <s v="ORD03825"/>
    <x v="618"/>
    <s v="C041"/>
    <x v="389"/>
    <x v="4"/>
    <x v="3"/>
    <x v="3"/>
    <x v="2"/>
    <x v="3758"/>
    <n v="2.06"/>
    <n v="191592.36"/>
  </r>
  <r>
    <s v="ORD03826"/>
    <x v="219"/>
    <s v="C089"/>
    <x v="79"/>
    <x v="4"/>
    <x v="18"/>
    <x v="18"/>
    <x v="0"/>
    <x v="3759"/>
    <n v="35.76"/>
    <n v="1149934.32"/>
  </r>
  <r>
    <s v="ORD03827"/>
    <x v="584"/>
    <s v="C190"/>
    <x v="346"/>
    <x v="1"/>
    <x v="43"/>
    <x v="43"/>
    <x v="4"/>
    <x v="3760"/>
    <n v="28.06"/>
    <n v="2788069.66"/>
  </r>
  <r>
    <s v="ORD03828"/>
    <x v="544"/>
    <s v="C473"/>
    <x v="102"/>
    <x v="2"/>
    <x v="36"/>
    <x v="36"/>
    <x v="4"/>
    <x v="3761"/>
    <n v="15.52"/>
    <n v="1100507.68"/>
  </r>
  <r>
    <s v="ORD03829"/>
    <x v="313"/>
    <s v="C083"/>
    <x v="130"/>
    <x v="3"/>
    <x v="13"/>
    <x v="13"/>
    <x v="2"/>
    <x v="3762"/>
    <n v="16.27"/>
    <n v="1190817.57"/>
  </r>
  <r>
    <s v="ORD03830"/>
    <x v="388"/>
    <s v="C086"/>
    <x v="362"/>
    <x v="0"/>
    <x v="38"/>
    <x v="38"/>
    <x v="2"/>
    <x v="3763"/>
    <n v="16.88"/>
    <n v="1458634.56"/>
  </r>
  <r>
    <s v="ORD03831"/>
    <x v="495"/>
    <s v="C434"/>
    <x v="266"/>
    <x v="1"/>
    <x v="27"/>
    <x v="27"/>
    <x v="4"/>
    <x v="3764"/>
    <n v="47.39"/>
    <n v="2417363.9"/>
  </r>
  <r>
    <s v="ORD03832"/>
    <x v="421"/>
    <s v="C463"/>
    <x v="61"/>
    <x v="3"/>
    <x v="33"/>
    <x v="33"/>
    <x v="1"/>
    <x v="3765"/>
    <n v="40.729999999999997"/>
    <n v="1645736.38"/>
  </r>
  <r>
    <s v="ORD03833"/>
    <x v="362"/>
    <s v="C494"/>
    <x v="267"/>
    <x v="0"/>
    <x v="4"/>
    <x v="4"/>
    <x v="1"/>
    <x v="3766"/>
    <n v="8.56"/>
    <n v="302202.23999999999"/>
  </r>
  <r>
    <s v="ORD03834"/>
    <x v="402"/>
    <s v="C053"/>
    <x v="294"/>
    <x v="4"/>
    <x v="8"/>
    <x v="8"/>
    <x v="3"/>
    <x v="3767"/>
    <n v="7.38"/>
    <n v="557212.14"/>
  </r>
  <r>
    <s v="ORD03835"/>
    <x v="690"/>
    <s v="C179"/>
    <x v="377"/>
    <x v="3"/>
    <x v="27"/>
    <x v="27"/>
    <x v="4"/>
    <x v="3768"/>
    <n v="24.43"/>
    <n v="483836.15"/>
  </r>
  <r>
    <s v="ORD03836"/>
    <x v="205"/>
    <s v="C026"/>
    <x v="221"/>
    <x v="1"/>
    <x v="46"/>
    <x v="46"/>
    <x v="0"/>
    <x v="3769"/>
    <n v="37.44"/>
    <n v="2882093.76"/>
  </r>
  <r>
    <s v="ORD03837"/>
    <x v="109"/>
    <s v="C173"/>
    <x v="342"/>
    <x v="2"/>
    <x v="38"/>
    <x v="38"/>
    <x v="2"/>
    <x v="3770"/>
    <n v="42.82"/>
    <n v="2543850.56"/>
  </r>
  <r>
    <s v="ORD03838"/>
    <x v="274"/>
    <s v="C005"/>
    <x v="373"/>
    <x v="3"/>
    <x v="15"/>
    <x v="15"/>
    <x v="2"/>
    <x v="2257"/>
    <n v="46.94"/>
    <n v="4393114.5999999996"/>
  </r>
  <r>
    <s v="ORD03839"/>
    <x v="650"/>
    <s v="C204"/>
    <x v="240"/>
    <x v="0"/>
    <x v="37"/>
    <x v="37"/>
    <x v="1"/>
    <x v="3771"/>
    <n v="48.68"/>
    <n v="4573047.88"/>
  </r>
  <r>
    <s v="ORD03840"/>
    <x v="404"/>
    <s v="C143"/>
    <x v="448"/>
    <x v="4"/>
    <x v="11"/>
    <x v="11"/>
    <x v="4"/>
    <x v="3772"/>
    <n v="27.88"/>
    <n v="1285072.8400000001"/>
  </r>
  <r>
    <s v="ORD03841"/>
    <x v="638"/>
    <s v="C400"/>
    <x v="376"/>
    <x v="2"/>
    <x v="0"/>
    <x v="0"/>
    <x v="0"/>
    <x v="3773"/>
    <n v="30.21"/>
    <n v="2971576.44"/>
  </r>
  <r>
    <s v="ORD03842"/>
    <x v="529"/>
    <s v="C397"/>
    <x v="95"/>
    <x v="3"/>
    <x v="4"/>
    <x v="4"/>
    <x v="1"/>
    <x v="3774"/>
    <n v="25.42"/>
    <n v="1975566.14"/>
  </r>
  <r>
    <s v="ORD03843"/>
    <x v="244"/>
    <s v="C437"/>
    <x v="195"/>
    <x v="2"/>
    <x v="19"/>
    <x v="19"/>
    <x v="3"/>
    <x v="3775"/>
    <n v="15.92"/>
    <n v="522430.71999999997"/>
  </r>
  <r>
    <s v="ORD03844"/>
    <x v="409"/>
    <s v="C018"/>
    <x v="332"/>
    <x v="3"/>
    <x v="15"/>
    <x v="15"/>
    <x v="2"/>
    <x v="3776"/>
    <n v="7.07"/>
    <n v="363440.42"/>
  </r>
  <r>
    <s v="ORD03845"/>
    <x v="533"/>
    <s v="C085"/>
    <x v="223"/>
    <x v="0"/>
    <x v="37"/>
    <x v="37"/>
    <x v="1"/>
    <x v="3777"/>
    <n v="48.02"/>
    <n v="2855989.5"/>
  </r>
  <r>
    <s v="ORD03846"/>
    <x v="282"/>
    <s v="C232"/>
    <x v="75"/>
    <x v="0"/>
    <x v="43"/>
    <x v="43"/>
    <x v="4"/>
    <x v="3778"/>
    <n v="31.43"/>
    <n v="636991.81000000006"/>
  </r>
  <r>
    <s v="ORD03847"/>
    <x v="461"/>
    <s v="C475"/>
    <x v="33"/>
    <x v="1"/>
    <x v="23"/>
    <x v="23"/>
    <x v="0"/>
    <x v="3779"/>
    <n v="41.12"/>
    <n v="3709805.28"/>
  </r>
  <r>
    <s v="ORD03848"/>
    <x v="719"/>
    <s v="C034"/>
    <x v="19"/>
    <x v="0"/>
    <x v="19"/>
    <x v="19"/>
    <x v="3"/>
    <x v="3780"/>
    <n v="11.28"/>
    <n v="942601.92"/>
  </r>
  <r>
    <s v="ORD03849"/>
    <x v="560"/>
    <s v="C253"/>
    <x v="379"/>
    <x v="4"/>
    <x v="37"/>
    <x v="37"/>
    <x v="1"/>
    <x v="3781"/>
    <n v="7.78"/>
    <n v="703592.08"/>
  </r>
  <r>
    <s v="ORD03850"/>
    <x v="453"/>
    <s v="C300"/>
    <x v="204"/>
    <x v="0"/>
    <x v="39"/>
    <x v="39"/>
    <x v="3"/>
    <x v="3782"/>
    <n v="24.04"/>
    <n v="2140930.2799999998"/>
  </r>
  <r>
    <s v="ORD03851"/>
    <x v="17"/>
    <s v="C113"/>
    <x v="442"/>
    <x v="3"/>
    <x v="13"/>
    <x v="13"/>
    <x v="2"/>
    <x v="3783"/>
    <n v="25.11"/>
    <n v="173861.64"/>
  </r>
  <r>
    <s v="ORD03852"/>
    <x v="317"/>
    <s v="C001"/>
    <x v="488"/>
    <x v="4"/>
    <x v="28"/>
    <x v="28"/>
    <x v="3"/>
    <x v="3784"/>
    <n v="35.81"/>
    <n v="1218077.1499999999"/>
  </r>
  <r>
    <s v="ORD03853"/>
    <x v="320"/>
    <s v="C329"/>
    <x v="388"/>
    <x v="2"/>
    <x v="34"/>
    <x v="34"/>
    <x v="2"/>
    <x v="3785"/>
    <n v="11.32"/>
    <n v="420379.52"/>
  </r>
  <r>
    <s v="ORD03854"/>
    <x v="230"/>
    <s v="C265"/>
    <x v="382"/>
    <x v="4"/>
    <x v="40"/>
    <x v="40"/>
    <x v="0"/>
    <x v="3786"/>
    <n v="45.83"/>
    <n v="528511.56000000006"/>
  </r>
  <r>
    <s v="ORD03855"/>
    <x v="55"/>
    <s v="C044"/>
    <x v="202"/>
    <x v="2"/>
    <x v="1"/>
    <x v="1"/>
    <x v="1"/>
    <x v="3787"/>
    <n v="33.159999999999997"/>
    <n v="568992.43999999994"/>
  </r>
  <r>
    <s v="ORD03856"/>
    <x v="88"/>
    <s v="C158"/>
    <x v="117"/>
    <x v="3"/>
    <x v="31"/>
    <x v="31"/>
    <x v="0"/>
    <x v="3788"/>
    <n v="47.43"/>
    <n v="3086270.1"/>
  </r>
  <r>
    <s v="ORD03857"/>
    <x v="595"/>
    <s v="C123"/>
    <x v="284"/>
    <x v="3"/>
    <x v="6"/>
    <x v="6"/>
    <x v="0"/>
    <x v="3789"/>
    <n v="3.25"/>
    <n v="142652.25"/>
  </r>
  <r>
    <s v="ORD03858"/>
    <x v="216"/>
    <s v="C267"/>
    <x v="172"/>
    <x v="4"/>
    <x v="7"/>
    <x v="7"/>
    <x v="3"/>
    <x v="3790"/>
    <n v="22.32"/>
    <n v="862489.44"/>
  </r>
  <r>
    <s v="ORD03859"/>
    <x v="115"/>
    <s v="C164"/>
    <x v="340"/>
    <x v="0"/>
    <x v="29"/>
    <x v="29"/>
    <x v="0"/>
    <x v="3791"/>
    <n v="25.26"/>
    <n v="665474.69999999995"/>
  </r>
  <r>
    <s v="ORD03860"/>
    <x v="621"/>
    <s v="C424"/>
    <x v="57"/>
    <x v="2"/>
    <x v="15"/>
    <x v="15"/>
    <x v="2"/>
    <x v="3792"/>
    <n v="38.18"/>
    <n v="763485.46"/>
  </r>
  <r>
    <s v="ORD03861"/>
    <x v="577"/>
    <s v="C485"/>
    <x v="374"/>
    <x v="0"/>
    <x v="14"/>
    <x v="14"/>
    <x v="2"/>
    <x v="3793"/>
    <n v="39.35"/>
    <n v="612325.35"/>
  </r>
  <r>
    <s v="ORD03862"/>
    <x v="721"/>
    <s v="C284"/>
    <x v="287"/>
    <x v="4"/>
    <x v="23"/>
    <x v="23"/>
    <x v="0"/>
    <x v="3794"/>
    <n v="24.31"/>
    <n v="285399.40000000002"/>
  </r>
  <r>
    <s v="ORD03863"/>
    <x v="657"/>
    <s v="C485"/>
    <x v="374"/>
    <x v="0"/>
    <x v="40"/>
    <x v="40"/>
    <x v="0"/>
    <x v="3795"/>
    <n v="43.22"/>
    <n v="3278409.88"/>
  </r>
  <r>
    <s v="ORD03864"/>
    <x v="15"/>
    <s v="C079"/>
    <x v="439"/>
    <x v="4"/>
    <x v="11"/>
    <x v="11"/>
    <x v="4"/>
    <x v="3796"/>
    <n v="12.5"/>
    <n v="815162.5"/>
  </r>
  <r>
    <s v="ORD03865"/>
    <x v="120"/>
    <s v="C242"/>
    <x v="264"/>
    <x v="0"/>
    <x v="24"/>
    <x v="24"/>
    <x v="3"/>
    <x v="3797"/>
    <n v="41.95"/>
    <n v="3797481.8"/>
  </r>
  <r>
    <s v="ORD03866"/>
    <x v="502"/>
    <s v="C027"/>
    <x v="289"/>
    <x v="1"/>
    <x v="30"/>
    <x v="30"/>
    <x v="4"/>
    <x v="3798"/>
    <n v="3.89"/>
    <n v="46026.48"/>
  </r>
  <r>
    <s v="ORD03867"/>
    <x v="125"/>
    <s v="C189"/>
    <x v="253"/>
    <x v="0"/>
    <x v="35"/>
    <x v="35"/>
    <x v="1"/>
    <x v="3799"/>
    <n v="19.12"/>
    <n v="132425.12"/>
  </r>
  <r>
    <s v="ORD03868"/>
    <x v="38"/>
    <s v="C257"/>
    <x v="281"/>
    <x v="0"/>
    <x v="44"/>
    <x v="44"/>
    <x v="2"/>
    <x v="3800"/>
    <n v="42.22"/>
    <n v="1539890.06"/>
  </r>
  <r>
    <s v="ORD03869"/>
    <x v="31"/>
    <s v="C456"/>
    <x v="338"/>
    <x v="2"/>
    <x v="22"/>
    <x v="22"/>
    <x v="0"/>
    <x v="3801"/>
    <n v="8.48"/>
    <n v="186593.92000000001"/>
  </r>
  <r>
    <s v="ORD03870"/>
    <x v="318"/>
    <s v="C124"/>
    <x v="54"/>
    <x v="1"/>
    <x v="2"/>
    <x v="2"/>
    <x v="1"/>
    <x v="3802"/>
    <n v="39"/>
    <n v="288444"/>
  </r>
  <r>
    <s v="ORD03871"/>
    <x v="421"/>
    <s v="C232"/>
    <x v="75"/>
    <x v="0"/>
    <x v="23"/>
    <x v="23"/>
    <x v="0"/>
    <x v="3803"/>
    <n v="21.33"/>
    <n v="1121894.01"/>
  </r>
  <r>
    <s v="ORD03872"/>
    <x v="685"/>
    <s v="C270"/>
    <x v="391"/>
    <x v="4"/>
    <x v="0"/>
    <x v="0"/>
    <x v="0"/>
    <x v="3804"/>
    <n v="23.32"/>
    <n v="1186031.8799999999"/>
  </r>
  <r>
    <s v="ORD03873"/>
    <x v="74"/>
    <s v="C225"/>
    <x v="34"/>
    <x v="0"/>
    <x v="2"/>
    <x v="2"/>
    <x v="1"/>
    <x v="3805"/>
    <n v="10.62"/>
    <n v="844789.14"/>
  </r>
  <r>
    <s v="ORD03874"/>
    <x v="246"/>
    <s v="C401"/>
    <x v="179"/>
    <x v="1"/>
    <x v="11"/>
    <x v="11"/>
    <x v="4"/>
    <x v="3806"/>
    <n v="35.36"/>
    <n v="1739323.04"/>
  </r>
  <r>
    <s v="ORD03875"/>
    <x v="271"/>
    <s v="C095"/>
    <x v="236"/>
    <x v="0"/>
    <x v="12"/>
    <x v="12"/>
    <x v="4"/>
    <x v="3807"/>
    <n v="5.0199999999999996"/>
    <n v="154083.88"/>
  </r>
  <r>
    <s v="ORD03876"/>
    <x v="478"/>
    <s v="C352"/>
    <x v="162"/>
    <x v="2"/>
    <x v="33"/>
    <x v="33"/>
    <x v="1"/>
    <x v="3808"/>
    <n v="15.84"/>
    <n v="1174805.28"/>
  </r>
  <r>
    <s v="ORD03877"/>
    <x v="45"/>
    <s v="C224"/>
    <x v="147"/>
    <x v="4"/>
    <x v="23"/>
    <x v="23"/>
    <x v="0"/>
    <x v="3809"/>
    <n v="8.93"/>
    <n v="416200.51"/>
  </r>
  <r>
    <s v="ORD03878"/>
    <x v="30"/>
    <s v="C052"/>
    <x v="212"/>
    <x v="4"/>
    <x v="15"/>
    <x v="15"/>
    <x v="2"/>
    <x v="3810"/>
    <n v="5.33"/>
    <n v="339201.2"/>
  </r>
  <r>
    <s v="ORD03879"/>
    <x v="434"/>
    <s v="C157"/>
    <x v="327"/>
    <x v="4"/>
    <x v="1"/>
    <x v="1"/>
    <x v="1"/>
    <x v="3811"/>
    <n v="9.7200000000000006"/>
    <n v="48288.959999999999"/>
  </r>
  <r>
    <s v="ORD03880"/>
    <x v="247"/>
    <s v="C074"/>
    <x v="329"/>
    <x v="2"/>
    <x v="37"/>
    <x v="37"/>
    <x v="1"/>
    <x v="3812"/>
    <n v="9.25"/>
    <n v="692963.75"/>
  </r>
  <r>
    <s v="ORD03881"/>
    <x v="557"/>
    <s v="C265"/>
    <x v="382"/>
    <x v="4"/>
    <x v="0"/>
    <x v="0"/>
    <x v="0"/>
    <x v="3813"/>
    <n v="18.05"/>
    <n v="791528.6"/>
  </r>
  <r>
    <s v="ORD03882"/>
    <x v="619"/>
    <s v="C318"/>
    <x v="235"/>
    <x v="2"/>
    <x v="29"/>
    <x v="29"/>
    <x v="0"/>
    <x v="3814"/>
    <n v="13.41"/>
    <n v="285968.25"/>
  </r>
  <r>
    <s v="ORD03883"/>
    <x v="181"/>
    <s v="C197"/>
    <x v="437"/>
    <x v="1"/>
    <x v="24"/>
    <x v="24"/>
    <x v="3"/>
    <x v="3815"/>
    <n v="3.05"/>
    <n v="75749.8"/>
  </r>
  <r>
    <s v="ORD03884"/>
    <x v="635"/>
    <s v="C181"/>
    <x v="93"/>
    <x v="0"/>
    <x v="40"/>
    <x v="40"/>
    <x v="0"/>
    <x v="3816"/>
    <n v="46.39"/>
    <n v="1288760.5900000001"/>
  </r>
  <r>
    <s v="ORD03885"/>
    <x v="168"/>
    <s v="C191"/>
    <x v="186"/>
    <x v="2"/>
    <x v="20"/>
    <x v="20"/>
    <x v="1"/>
    <x v="3817"/>
    <n v="22.8"/>
    <n v="1062502.8"/>
  </r>
  <r>
    <s v="ORD03886"/>
    <x v="151"/>
    <s v="C025"/>
    <x v="396"/>
    <x v="0"/>
    <x v="20"/>
    <x v="20"/>
    <x v="1"/>
    <x v="3818"/>
    <n v="8.09"/>
    <n v="354495.71"/>
  </r>
  <r>
    <s v="ORD03887"/>
    <x v="613"/>
    <s v="C267"/>
    <x v="172"/>
    <x v="4"/>
    <x v="1"/>
    <x v="1"/>
    <x v="1"/>
    <x v="3819"/>
    <n v="49.91"/>
    <n v="1707221.46"/>
  </r>
  <r>
    <s v="ORD03888"/>
    <x v="223"/>
    <s v="C112"/>
    <x v="77"/>
    <x v="1"/>
    <x v="15"/>
    <x v="15"/>
    <x v="2"/>
    <x v="3820"/>
    <n v="21.71"/>
    <n v="1381667.82"/>
  </r>
  <r>
    <s v="ORD03889"/>
    <x v="449"/>
    <s v="C034"/>
    <x v="19"/>
    <x v="0"/>
    <x v="22"/>
    <x v="22"/>
    <x v="0"/>
    <x v="3821"/>
    <n v="46.45"/>
    <n v="1012145.5"/>
  </r>
  <r>
    <s v="ORD03890"/>
    <x v="533"/>
    <s v="C057"/>
    <x v="161"/>
    <x v="4"/>
    <x v="23"/>
    <x v="23"/>
    <x v="0"/>
    <x v="3822"/>
    <n v="2.2400000000000002"/>
    <n v="136758.72"/>
  </r>
  <r>
    <s v="ORD03891"/>
    <x v="279"/>
    <s v="C327"/>
    <x v="368"/>
    <x v="1"/>
    <x v="12"/>
    <x v="12"/>
    <x v="4"/>
    <x v="3823"/>
    <n v="8.68"/>
    <n v="745204.04"/>
  </r>
  <r>
    <s v="ORD03892"/>
    <x v="180"/>
    <s v="C021"/>
    <x v="333"/>
    <x v="2"/>
    <x v="36"/>
    <x v="36"/>
    <x v="4"/>
    <x v="3824"/>
    <n v="7.62"/>
    <n v="458297.28"/>
  </r>
  <r>
    <s v="ORD03893"/>
    <x v="385"/>
    <s v="C189"/>
    <x v="253"/>
    <x v="0"/>
    <x v="30"/>
    <x v="30"/>
    <x v="4"/>
    <x v="3825"/>
    <n v="26.61"/>
    <n v="390155.82"/>
  </r>
  <r>
    <s v="ORD03894"/>
    <x v="428"/>
    <s v="C165"/>
    <x v="219"/>
    <x v="1"/>
    <x v="44"/>
    <x v="44"/>
    <x v="2"/>
    <x v="3826"/>
    <n v="45.61"/>
    <n v="2011218.56"/>
  </r>
  <r>
    <s v="ORD03895"/>
    <x v="156"/>
    <s v="C274"/>
    <x v="461"/>
    <x v="4"/>
    <x v="28"/>
    <x v="28"/>
    <x v="3"/>
    <x v="3827"/>
    <n v="30.01"/>
    <n v="44354.78"/>
  </r>
  <r>
    <s v="ORD03896"/>
    <x v="484"/>
    <s v="C385"/>
    <x v="309"/>
    <x v="3"/>
    <x v="6"/>
    <x v="6"/>
    <x v="0"/>
    <x v="731"/>
    <n v="49.57"/>
    <n v="263315.84000000003"/>
  </r>
  <r>
    <s v="ORD03897"/>
    <x v="372"/>
    <s v="C265"/>
    <x v="382"/>
    <x v="4"/>
    <x v="32"/>
    <x v="32"/>
    <x v="4"/>
    <x v="3828"/>
    <n v="36.29"/>
    <n v="1907692.72"/>
  </r>
  <r>
    <s v="ORD03898"/>
    <x v="410"/>
    <s v="C056"/>
    <x v="273"/>
    <x v="0"/>
    <x v="18"/>
    <x v="18"/>
    <x v="0"/>
    <x v="3829"/>
    <n v="35.28"/>
    <n v="266011.2"/>
  </r>
  <r>
    <s v="ORD03899"/>
    <x v="465"/>
    <s v="C082"/>
    <x v="462"/>
    <x v="0"/>
    <x v="21"/>
    <x v="21"/>
    <x v="2"/>
    <x v="3830"/>
    <n v="19.93"/>
    <n v="1931814.9"/>
  </r>
  <r>
    <s v="ORD03900"/>
    <x v="113"/>
    <s v="C317"/>
    <x v="211"/>
    <x v="1"/>
    <x v="23"/>
    <x v="23"/>
    <x v="0"/>
    <x v="3831"/>
    <n v="42.01"/>
    <n v="1182413.46"/>
  </r>
  <r>
    <s v="ORD03901"/>
    <x v="675"/>
    <s v="C201"/>
    <x v="359"/>
    <x v="2"/>
    <x v="37"/>
    <x v="37"/>
    <x v="1"/>
    <x v="3832"/>
    <n v="14.9"/>
    <n v="1296076.5"/>
  </r>
  <r>
    <s v="ORD03902"/>
    <x v="727"/>
    <s v="C438"/>
    <x v="475"/>
    <x v="1"/>
    <x v="22"/>
    <x v="22"/>
    <x v="0"/>
    <x v="3833"/>
    <n v="34.630000000000003"/>
    <n v="1006694.1"/>
  </r>
  <r>
    <s v="ORD03903"/>
    <x v="83"/>
    <s v="C494"/>
    <x v="267"/>
    <x v="0"/>
    <x v="11"/>
    <x v="11"/>
    <x v="4"/>
    <x v="3834"/>
    <n v="29.57"/>
    <n v="2718015.26"/>
  </r>
  <r>
    <s v="ORD03904"/>
    <x v="541"/>
    <s v="C181"/>
    <x v="93"/>
    <x v="0"/>
    <x v="6"/>
    <x v="6"/>
    <x v="0"/>
    <x v="3835"/>
    <n v="21.78"/>
    <n v="1705461.12"/>
  </r>
  <r>
    <s v="ORD03905"/>
    <x v="217"/>
    <s v="C095"/>
    <x v="236"/>
    <x v="0"/>
    <x v="24"/>
    <x v="24"/>
    <x v="3"/>
    <x v="3836"/>
    <n v="19.07"/>
    <n v="1347505.27"/>
  </r>
  <r>
    <s v="ORD03906"/>
    <x v="259"/>
    <s v="C361"/>
    <x v="62"/>
    <x v="4"/>
    <x v="29"/>
    <x v="29"/>
    <x v="0"/>
    <x v="3837"/>
    <n v="14.79"/>
    <n v="261916.11"/>
  </r>
  <r>
    <s v="ORD03907"/>
    <x v="478"/>
    <s v="C100"/>
    <x v="39"/>
    <x v="0"/>
    <x v="30"/>
    <x v="30"/>
    <x v="4"/>
    <x v="3838"/>
    <n v="34.17"/>
    <n v="1931185.89"/>
  </r>
  <r>
    <s v="ORD03908"/>
    <x v="42"/>
    <s v="C041"/>
    <x v="389"/>
    <x v="4"/>
    <x v="31"/>
    <x v="31"/>
    <x v="0"/>
    <x v="3839"/>
    <n v="26.16"/>
    <n v="982857.36"/>
  </r>
  <r>
    <s v="ORD03909"/>
    <x v="8"/>
    <s v="C351"/>
    <x v="422"/>
    <x v="2"/>
    <x v="33"/>
    <x v="33"/>
    <x v="1"/>
    <x v="3840"/>
    <n v="5.2"/>
    <n v="20935.2"/>
  </r>
  <r>
    <s v="ORD03910"/>
    <x v="305"/>
    <s v="C329"/>
    <x v="388"/>
    <x v="2"/>
    <x v="20"/>
    <x v="20"/>
    <x v="1"/>
    <x v="3841"/>
    <n v="33.880000000000003"/>
    <n v="1500477.4399999999"/>
  </r>
  <r>
    <s v="ORD03911"/>
    <x v="576"/>
    <s v="C323"/>
    <x v="343"/>
    <x v="2"/>
    <x v="5"/>
    <x v="5"/>
    <x v="3"/>
    <x v="3842"/>
    <n v="19.850000000000001"/>
    <n v="54031.7"/>
  </r>
  <r>
    <s v="ORD03912"/>
    <x v="446"/>
    <s v="C412"/>
    <x v="22"/>
    <x v="2"/>
    <x v="19"/>
    <x v="19"/>
    <x v="3"/>
    <x v="3843"/>
    <n v="8.44"/>
    <n v="30156.12"/>
  </r>
  <r>
    <s v="ORD03913"/>
    <x v="387"/>
    <s v="C283"/>
    <x v="478"/>
    <x v="0"/>
    <x v="15"/>
    <x v="15"/>
    <x v="2"/>
    <x v="3844"/>
    <n v="18.93"/>
    <n v="694712.07"/>
  </r>
  <r>
    <s v="ORD03914"/>
    <x v="244"/>
    <s v="C221"/>
    <x v="176"/>
    <x v="2"/>
    <x v="14"/>
    <x v="14"/>
    <x v="2"/>
    <x v="3845"/>
    <n v="45.18"/>
    <n v="3987315.72"/>
  </r>
  <r>
    <s v="ORD03915"/>
    <x v="323"/>
    <s v="C029"/>
    <x v="30"/>
    <x v="4"/>
    <x v="35"/>
    <x v="35"/>
    <x v="1"/>
    <x v="3846"/>
    <n v="23.67"/>
    <n v="634048.29"/>
  </r>
  <r>
    <s v="ORD03916"/>
    <x v="140"/>
    <s v="C013"/>
    <x v="84"/>
    <x v="3"/>
    <x v="27"/>
    <x v="27"/>
    <x v="4"/>
    <x v="1161"/>
    <n v="18.41"/>
    <n v="1756406.05"/>
  </r>
  <r>
    <s v="ORD03917"/>
    <x v="614"/>
    <s v="C304"/>
    <x v="381"/>
    <x v="3"/>
    <x v="45"/>
    <x v="45"/>
    <x v="3"/>
    <x v="3847"/>
    <n v="16.43"/>
    <n v="1117897.2"/>
  </r>
  <r>
    <s v="ORD03918"/>
    <x v="434"/>
    <s v="C428"/>
    <x v="260"/>
    <x v="3"/>
    <x v="14"/>
    <x v="14"/>
    <x v="2"/>
    <x v="3848"/>
    <n v="48.48"/>
    <n v="1070680.8"/>
  </r>
  <r>
    <s v="ORD03919"/>
    <x v="298"/>
    <s v="C179"/>
    <x v="377"/>
    <x v="3"/>
    <x v="24"/>
    <x v="24"/>
    <x v="3"/>
    <x v="3849"/>
    <n v="33.08"/>
    <n v="1559953.56"/>
  </r>
  <r>
    <s v="ORD03920"/>
    <x v="589"/>
    <s v="C230"/>
    <x v="465"/>
    <x v="4"/>
    <x v="16"/>
    <x v="16"/>
    <x v="1"/>
    <x v="3850"/>
    <n v="18.649999999999999"/>
    <n v="426917.15"/>
  </r>
  <r>
    <s v="ORD03921"/>
    <x v="335"/>
    <s v="C181"/>
    <x v="93"/>
    <x v="0"/>
    <x v="40"/>
    <x v="40"/>
    <x v="0"/>
    <x v="351"/>
    <n v="30.62"/>
    <n v="1388555.76"/>
  </r>
  <r>
    <s v="ORD03922"/>
    <x v="669"/>
    <s v="C463"/>
    <x v="61"/>
    <x v="3"/>
    <x v="24"/>
    <x v="24"/>
    <x v="3"/>
    <x v="3851"/>
    <n v="45.07"/>
    <n v="3452722.56"/>
  </r>
  <r>
    <s v="ORD03923"/>
    <x v="358"/>
    <s v="C115"/>
    <x v="224"/>
    <x v="0"/>
    <x v="4"/>
    <x v="4"/>
    <x v="1"/>
    <x v="3852"/>
    <n v="17.5"/>
    <n v="303730"/>
  </r>
  <r>
    <s v="ORD03924"/>
    <x v="576"/>
    <s v="C330"/>
    <x v="48"/>
    <x v="2"/>
    <x v="8"/>
    <x v="8"/>
    <x v="3"/>
    <x v="3853"/>
    <n v="18.329999999999998"/>
    <n v="291556.98"/>
  </r>
  <r>
    <s v="ORD03925"/>
    <x v="309"/>
    <s v="C150"/>
    <x v="356"/>
    <x v="4"/>
    <x v="10"/>
    <x v="10"/>
    <x v="3"/>
    <x v="3854"/>
    <n v="11.96"/>
    <n v="251040.4"/>
  </r>
  <r>
    <s v="ORD03926"/>
    <x v="0"/>
    <s v="C013"/>
    <x v="84"/>
    <x v="3"/>
    <x v="23"/>
    <x v="23"/>
    <x v="0"/>
    <x v="3855"/>
    <n v="23.25"/>
    <n v="646745.25"/>
  </r>
  <r>
    <s v="ORD03927"/>
    <x v="454"/>
    <s v="C286"/>
    <x v="116"/>
    <x v="3"/>
    <x v="5"/>
    <x v="5"/>
    <x v="3"/>
    <x v="2217"/>
    <n v="12.98"/>
    <n v="935896.94"/>
  </r>
  <r>
    <s v="ORD03928"/>
    <x v="369"/>
    <s v="C424"/>
    <x v="57"/>
    <x v="2"/>
    <x v="21"/>
    <x v="21"/>
    <x v="2"/>
    <x v="3856"/>
    <n v="32.39"/>
    <n v="1310078.33"/>
  </r>
  <r>
    <s v="ORD03929"/>
    <x v="305"/>
    <s v="C320"/>
    <x v="257"/>
    <x v="1"/>
    <x v="20"/>
    <x v="20"/>
    <x v="1"/>
    <x v="3857"/>
    <n v="27.4"/>
    <n v="1730995"/>
  </r>
  <r>
    <s v="ORD03930"/>
    <x v="37"/>
    <s v="C176"/>
    <x v="469"/>
    <x v="2"/>
    <x v="13"/>
    <x v="13"/>
    <x v="2"/>
    <x v="2862"/>
    <n v="8.32"/>
    <n v="170560"/>
  </r>
  <r>
    <s v="ORD03931"/>
    <x v="354"/>
    <s v="C312"/>
    <x v="231"/>
    <x v="1"/>
    <x v="15"/>
    <x v="15"/>
    <x v="2"/>
    <x v="3858"/>
    <n v="37.630000000000003"/>
    <n v="3566383.25"/>
  </r>
  <r>
    <s v="ORD03932"/>
    <x v="52"/>
    <s v="C456"/>
    <x v="338"/>
    <x v="2"/>
    <x v="45"/>
    <x v="45"/>
    <x v="3"/>
    <x v="1549"/>
    <n v="38.65"/>
    <n v="3444642.6"/>
  </r>
  <r>
    <s v="ORD03933"/>
    <x v="654"/>
    <s v="C407"/>
    <x v="70"/>
    <x v="0"/>
    <x v="30"/>
    <x v="30"/>
    <x v="4"/>
    <x v="3859"/>
    <n v="35.799999999999997"/>
    <n v="36122.199999999997"/>
  </r>
  <r>
    <s v="ORD03934"/>
    <x v="317"/>
    <s v="C060"/>
    <x v="420"/>
    <x v="2"/>
    <x v="41"/>
    <x v="41"/>
    <x v="4"/>
    <x v="3860"/>
    <n v="33.35"/>
    <n v="2062364"/>
  </r>
  <r>
    <s v="ORD03935"/>
    <x v="65"/>
    <s v="C073"/>
    <x v="395"/>
    <x v="3"/>
    <x v="31"/>
    <x v="31"/>
    <x v="0"/>
    <x v="3861"/>
    <n v="14.81"/>
    <n v="41068.129999999997"/>
  </r>
  <r>
    <s v="ORD03936"/>
    <x v="536"/>
    <s v="C128"/>
    <x v="361"/>
    <x v="4"/>
    <x v="21"/>
    <x v="21"/>
    <x v="2"/>
    <x v="3862"/>
    <n v="10.92"/>
    <n v="415920.96"/>
  </r>
  <r>
    <s v="ORD03937"/>
    <x v="117"/>
    <s v="C216"/>
    <x v="47"/>
    <x v="1"/>
    <x v="31"/>
    <x v="31"/>
    <x v="0"/>
    <x v="3863"/>
    <n v="21.96"/>
    <n v="1915087.68"/>
  </r>
  <r>
    <s v="ORD03938"/>
    <x v="570"/>
    <s v="C288"/>
    <x v="177"/>
    <x v="3"/>
    <x v="42"/>
    <x v="42"/>
    <x v="1"/>
    <x v="3864"/>
    <n v="32.64"/>
    <n v="1197920.6399999999"/>
  </r>
  <r>
    <s v="ORD03939"/>
    <x v="589"/>
    <s v="C365"/>
    <x v="155"/>
    <x v="4"/>
    <x v="4"/>
    <x v="4"/>
    <x v="1"/>
    <x v="3865"/>
    <n v="17.22"/>
    <n v="269269.14"/>
  </r>
  <r>
    <s v="ORD03940"/>
    <x v="214"/>
    <s v="C214"/>
    <x v="463"/>
    <x v="2"/>
    <x v="7"/>
    <x v="7"/>
    <x v="3"/>
    <x v="3866"/>
    <n v="39.909999999999997"/>
    <n v="3539338.53"/>
  </r>
  <r>
    <s v="ORD03941"/>
    <x v="105"/>
    <s v="C500"/>
    <x v="86"/>
    <x v="0"/>
    <x v="10"/>
    <x v="10"/>
    <x v="3"/>
    <x v="3867"/>
    <n v="7.77"/>
    <n v="760069.17"/>
  </r>
  <r>
    <s v="ORD03942"/>
    <x v="380"/>
    <s v="C081"/>
    <x v="456"/>
    <x v="3"/>
    <x v="7"/>
    <x v="7"/>
    <x v="3"/>
    <x v="3868"/>
    <n v="25.37"/>
    <n v="886250.21"/>
  </r>
  <r>
    <s v="ORD03943"/>
    <x v="47"/>
    <s v="C022"/>
    <x v="303"/>
    <x v="3"/>
    <x v="29"/>
    <x v="29"/>
    <x v="0"/>
    <x v="3869"/>
    <n v="3.07"/>
    <n v="60991.69"/>
  </r>
  <r>
    <s v="ORD03944"/>
    <x v="279"/>
    <s v="C382"/>
    <x v="136"/>
    <x v="3"/>
    <x v="22"/>
    <x v="22"/>
    <x v="0"/>
    <x v="3870"/>
    <n v="44.96"/>
    <n v="892411.04"/>
  </r>
  <r>
    <s v="ORD03945"/>
    <x v="151"/>
    <s v="C471"/>
    <x v="160"/>
    <x v="2"/>
    <x v="30"/>
    <x v="30"/>
    <x v="4"/>
    <x v="3871"/>
    <n v="30.96"/>
    <n v="2704696.56"/>
  </r>
  <r>
    <s v="ORD03946"/>
    <x v="530"/>
    <s v="C371"/>
    <x v="355"/>
    <x v="2"/>
    <x v="34"/>
    <x v="34"/>
    <x v="2"/>
    <x v="3872"/>
    <n v="12.84"/>
    <n v="61850.28"/>
  </r>
  <r>
    <s v="ORD03947"/>
    <x v="320"/>
    <s v="C432"/>
    <x v="14"/>
    <x v="0"/>
    <x v="19"/>
    <x v="19"/>
    <x v="3"/>
    <x v="1841"/>
    <n v="10.85"/>
    <n v="699911.8"/>
  </r>
  <r>
    <s v="ORD03948"/>
    <x v="112"/>
    <s v="C303"/>
    <x v="262"/>
    <x v="0"/>
    <x v="10"/>
    <x v="10"/>
    <x v="3"/>
    <x v="3873"/>
    <n v="10.76"/>
    <n v="641790.96"/>
  </r>
  <r>
    <s v="ORD03949"/>
    <x v="201"/>
    <s v="C208"/>
    <x v="53"/>
    <x v="1"/>
    <x v="48"/>
    <x v="48"/>
    <x v="2"/>
    <x v="3874"/>
    <n v="40.26"/>
    <n v="1760489.28"/>
  </r>
  <r>
    <s v="ORD03950"/>
    <x v="657"/>
    <s v="C118"/>
    <x v="74"/>
    <x v="1"/>
    <x v="29"/>
    <x v="29"/>
    <x v="0"/>
    <x v="3875"/>
    <n v="21.89"/>
    <n v="215441.38"/>
  </r>
  <r>
    <s v="ORD03951"/>
    <x v="506"/>
    <s v="C102"/>
    <x v="20"/>
    <x v="0"/>
    <x v="45"/>
    <x v="45"/>
    <x v="3"/>
    <x v="3876"/>
    <n v="37.96"/>
    <n v="2913657.76"/>
  </r>
  <r>
    <s v="ORD03952"/>
    <x v="369"/>
    <s v="C348"/>
    <x v="413"/>
    <x v="0"/>
    <x v="18"/>
    <x v="18"/>
    <x v="0"/>
    <x v="3877"/>
    <n v="35.17"/>
    <n v="2203048.7999999998"/>
  </r>
  <r>
    <s v="ORD03953"/>
    <x v="141"/>
    <s v="C389"/>
    <x v="394"/>
    <x v="0"/>
    <x v="17"/>
    <x v="17"/>
    <x v="1"/>
    <x v="3878"/>
    <n v="16.649999999999999"/>
    <n v="1465150.05"/>
  </r>
  <r>
    <s v="ORD03954"/>
    <x v="72"/>
    <s v="C412"/>
    <x v="22"/>
    <x v="2"/>
    <x v="11"/>
    <x v="11"/>
    <x v="4"/>
    <x v="1731"/>
    <n v="31.37"/>
    <n v="286941.39"/>
  </r>
  <r>
    <s v="ORD03955"/>
    <x v="528"/>
    <s v="C300"/>
    <x v="204"/>
    <x v="0"/>
    <x v="49"/>
    <x v="49"/>
    <x v="3"/>
    <x v="3879"/>
    <n v="24.65"/>
    <n v="1573335.55"/>
  </r>
  <r>
    <s v="ORD03956"/>
    <x v="283"/>
    <s v="C490"/>
    <x v="141"/>
    <x v="2"/>
    <x v="0"/>
    <x v="0"/>
    <x v="0"/>
    <x v="3880"/>
    <n v="39.520000000000003"/>
    <n v="675436.32"/>
  </r>
  <r>
    <s v="ORD03957"/>
    <x v="430"/>
    <s v="C498"/>
    <x v="68"/>
    <x v="0"/>
    <x v="4"/>
    <x v="4"/>
    <x v="1"/>
    <x v="3881"/>
    <n v="3.9"/>
    <n v="268444.79999999999"/>
  </r>
  <r>
    <s v="ORD03958"/>
    <x v="257"/>
    <s v="C061"/>
    <x v="178"/>
    <x v="2"/>
    <x v="47"/>
    <x v="47"/>
    <x v="2"/>
    <x v="3882"/>
    <n v="10.72"/>
    <n v="689606.88"/>
  </r>
  <r>
    <s v="ORD03959"/>
    <x v="61"/>
    <s v="C007"/>
    <x v="471"/>
    <x v="1"/>
    <x v="7"/>
    <x v="7"/>
    <x v="3"/>
    <x v="3883"/>
    <n v="2.73"/>
    <n v="152484.15"/>
  </r>
  <r>
    <s v="ORD03960"/>
    <x v="404"/>
    <s v="C248"/>
    <x v="392"/>
    <x v="0"/>
    <x v="10"/>
    <x v="10"/>
    <x v="3"/>
    <x v="3884"/>
    <n v="37.14"/>
    <n v="2787802.68"/>
  </r>
  <r>
    <s v="ORD03961"/>
    <x v="632"/>
    <s v="C116"/>
    <x v="323"/>
    <x v="3"/>
    <x v="11"/>
    <x v="11"/>
    <x v="4"/>
    <x v="3885"/>
    <n v="16.059999999999999"/>
    <n v="1325736.94"/>
  </r>
  <r>
    <s v="ORD03962"/>
    <x v="196"/>
    <s v="C233"/>
    <x v="173"/>
    <x v="4"/>
    <x v="31"/>
    <x v="31"/>
    <x v="0"/>
    <x v="3886"/>
    <n v="48.99"/>
    <n v="2027794.08"/>
  </r>
  <r>
    <s v="ORD03963"/>
    <x v="291"/>
    <s v="C246"/>
    <x v="480"/>
    <x v="1"/>
    <x v="47"/>
    <x v="47"/>
    <x v="2"/>
    <x v="3887"/>
    <n v="41.35"/>
    <n v="1421530.3"/>
  </r>
  <r>
    <s v="ORD03964"/>
    <x v="238"/>
    <s v="C075"/>
    <x v="460"/>
    <x v="3"/>
    <x v="16"/>
    <x v="16"/>
    <x v="1"/>
    <x v="3888"/>
    <n v="43.36"/>
    <n v="78524.960000000006"/>
  </r>
  <r>
    <s v="ORD03965"/>
    <x v="155"/>
    <s v="C263"/>
    <x v="432"/>
    <x v="3"/>
    <x v="11"/>
    <x v="11"/>
    <x v="4"/>
    <x v="3889"/>
    <n v="35.130000000000003"/>
    <n v="682646.16"/>
  </r>
  <r>
    <s v="ORD03966"/>
    <x v="540"/>
    <s v="C157"/>
    <x v="327"/>
    <x v="4"/>
    <x v="4"/>
    <x v="4"/>
    <x v="1"/>
    <x v="1758"/>
    <n v="23.57"/>
    <n v="755630.63"/>
  </r>
  <r>
    <s v="ORD03967"/>
    <x v="303"/>
    <s v="C030"/>
    <x v="468"/>
    <x v="4"/>
    <x v="25"/>
    <x v="25"/>
    <x v="4"/>
    <x v="3890"/>
    <n v="20.75"/>
    <n v="1122222.25"/>
  </r>
  <r>
    <s v="ORD03968"/>
    <x v="431"/>
    <s v="C462"/>
    <x v="477"/>
    <x v="2"/>
    <x v="23"/>
    <x v="23"/>
    <x v="0"/>
    <x v="3891"/>
    <n v="24.26"/>
    <n v="2286941.6800000002"/>
  </r>
  <r>
    <s v="ORD03969"/>
    <x v="3"/>
    <s v="C499"/>
    <x v="100"/>
    <x v="0"/>
    <x v="18"/>
    <x v="18"/>
    <x v="0"/>
    <x v="3892"/>
    <n v="4.1500000000000004"/>
    <n v="256507.35"/>
  </r>
  <r>
    <s v="ORD03970"/>
    <x v="149"/>
    <s v="C386"/>
    <x v="272"/>
    <x v="0"/>
    <x v="0"/>
    <x v="0"/>
    <x v="0"/>
    <x v="3893"/>
    <n v="9.1300000000000008"/>
    <n v="762930.19"/>
  </r>
  <r>
    <s v="ORD03971"/>
    <x v="391"/>
    <s v="C433"/>
    <x v="322"/>
    <x v="4"/>
    <x v="5"/>
    <x v="5"/>
    <x v="3"/>
    <x v="3894"/>
    <n v="37.68"/>
    <n v="2880862.08"/>
  </r>
  <r>
    <s v="ORD03972"/>
    <x v="200"/>
    <s v="C013"/>
    <x v="84"/>
    <x v="3"/>
    <x v="15"/>
    <x v="15"/>
    <x v="2"/>
    <x v="3895"/>
    <n v="7.17"/>
    <n v="498451.23"/>
  </r>
  <r>
    <s v="ORD03973"/>
    <x v="602"/>
    <s v="C381"/>
    <x v="113"/>
    <x v="2"/>
    <x v="2"/>
    <x v="2"/>
    <x v="1"/>
    <x v="3896"/>
    <n v="48.12"/>
    <n v="821264.04"/>
  </r>
  <r>
    <s v="ORD03974"/>
    <x v="554"/>
    <s v="C239"/>
    <x v="12"/>
    <x v="3"/>
    <x v="42"/>
    <x v="42"/>
    <x v="1"/>
    <x v="3897"/>
    <n v="9.2200000000000006"/>
    <n v="212714.62"/>
  </r>
  <r>
    <s v="ORD03975"/>
    <x v="623"/>
    <s v="C429"/>
    <x v="474"/>
    <x v="3"/>
    <x v="12"/>
    <x v="12"/>
    <x v="4"/>
    <x v="813"/>
    <n v="7.85"/>
    <n v="649304.9"/>
  </r>
  <r>
    <s v="ORD03976"/>
    <x v="458"/>
    <s v="C342"/>
    <x v="258"/>
    <x v="4"/>
    <x v="44"/>
    <x v="44"/>
    <x v="2"/>
    <x v="3898"/>
    <n v="29.77"/>
    <n v="1737049.73"/>
  </r>
  <r>
    <s v="ORD03977"/>
    <x v="283"/>
    <s v="C464"/>
    <x v="118"/>
    <x v="2"/>
    <x v="0"/>
    <x v="0"/>
    <x v="0"/>
    <x v="3899"/>
    <n v="24.18"/>
    <n v="661951.68000000005"/>
  </r>
  <r>
    <s v="ORD03978"/>
    <x v="422"/>
    <s v="C018"/>
    <x v="332"/>
    <x v="3"/>
    <x v="8"/>
    <x v="8"/>
    <x v="3"/>
    <x v="3900"/>
    <n v="41.7"/>
    <n v="593974.80000000005"/>
  </r>
  <r>
    <s v="ORD03979"/>
    <x v="639"/>
    <s v="C057"/>
    <x v="161"/>
    <x v="4"/>
    <x v="31"/>
    <x v="31"/>
    <x v="0"/>
    <x v="3901"/>
    <n v="47.44"/>
    <n v="1201750.08"/>
  </r>
  <r>
    <s v="ORD03980"/>
    <x v="518"/>
    <s v="C095"/>
    <x v="236"/>
    <x v="0"/>
    <x v="34"/>
    <x v="34"/>
    <x v="2"/>
    <x v="3902"/>
    <n v="27.3"/>
    <n v="2667291.9"/>
  </r>
  <r>
    <s v="ORD03981"/>
    <x v="14"/>
    <s v="C086"/>
    <x v="362"/>
    <x v="0"/>
    <x v="45"/>
    <x v="45"/>
    <x v="3"/>
    <x v="3903"/>
    <n v="15.66"/>
    <n v="793069.38"/>
  </r>
  <r>
    <s v="ORD03982"/>
    <x v="129"/>
    <s v="C462"/>
    <x v="477"/>
    <x v="2"/>
    <x v="49"/>
    <x v="49"/>
    <x v="3"/>
    <x v="3904"/>
    <n v="20.98"/>
    <n v="1166844.6599999999"/>
  </r>
  <r>
    <s v="ORD03983"/>
    <x v="649"/>
    <s v="C308"/>
    <x v="149"/>
    <x v="4"/>
    <x v="24"/>
    <x v="24"/>
    <x v="3"/>
    <x v="3905"/>
    <n v="19.41"/>
    <n v="295653.12"/>
  </r>
  <r>
    <s v="ORD03984"/>
    <x v="296"/>
    <s v="C134"/>
    <x v="107"/>
    <x v="3"/>
    <x v="41"/>
    <x v="41"/>
    <x v="4"/>
    <x v="3906"/>
    <n v="4.09"/>
    <n v="76262.14"/>
  </r>
  <r>
    <s v="ORD03985"/>
    <x v="69"/>
    <s v="C312"/>
    <x v="231"/>
    <x v="1"/>
    <x v="40"/>
    <x v="40"/>
    <x v="0"/>
    <x v="3907"/>
    <n v="16.87"/>
    <n v="1288614.95"/>
  </r>
  <r>
    <s v="ORD03986"/>
    <x v="709"/>
    <s v="C059"/>
    <x v="256"/>
    <x v="4"/>
    <x v="4"/>
    <x v="4"/>
    <x v="1"/>
    <x v="3908"/>
    <n v="36.14"/>
    <n v="3528673.46"/>
  </r>
  <r>
    <s v="ORD03987"/>
    <x v="709"/>
    <s v="C024"/>
    <x v="487"/>
    <x v="0"/>
    <x v="5"/>
    <x v="5"/>
    <x v="3"/>
    <x v="3909"/>
    <n v="29.14"/>
    <n v="1322606.32"/>
  </r>
  <r>
    <s v="ORD03988"/>
    <x v="537"/>
    <s v="C092"/>
    <x v="405"/>
    <x v="0"/>
    <x v="33"/>
    <x v="33"/>
    <x v="1"/>
    <x v="3910"/>
    <n v="16.29"/>
    <n v="1408970.97"/>
  </r>
  <r>
    <s v="ORD03989"/>
    <x v="108"/>
    <s v="C465"/>
    <x v="140"/>
    <x v="2"/>
    <x v="28"/>
    <x v="28"/>
    <x v="3"/>
    <x v="3911"/>
    <n v="17.86"/>
    <n v="647532.16"/>
  </r>
  <r>
    <s v="ORD03990"/>
    <x v="325"/>
    <s v="C352"/>
    <x v="162"/>
    <x v="2"/>
    <x v="32"/>
    <x v="32"/>
    <x v="4"/>
    <x v="3912"/>
    <n v="9.5500000000000007"/>
    <n v="199069.75"/>
  </r>
  <r>
    <s v="ORD03991"/>
    <x v="702"/>
    <s v="C296"/>
    <x v="321"/>
    <x v="3"/>
    <x v="45"/>
    <x v="45"/>
    <x v="3"/>
    <x v="3913"/>
    <n v="19.52"/>
    <n v="1199660.1599999999"/>
  </r>
  <r>
    <s v="ORD03992"/>
    <x v="111"/>
    <s v="C139"/>
    <x v="385"/>
    <x v="2"/>
    <x v="47"/>
    <x v="47"/>
    <x v="2"/>
    <x v="3914"/>
    <n v="37.090000000000003"/>
    <n v="76034.5"/>
  </r>
  <r>
    <s v="ORD03993"/>
    <x v="433"/>
    <s v="C290"/>
    <x v="336"/>
    <x v="4"/>
    <x v="49"/>
    <x v="49"/>
    <x v="3"/>
    <x v="3915"/>
    <n v="6.73"/>
    <n v="136195.01"/>
  </r>
  <r>
    <s v="ORD03994"/>
    <x v="324"/>
    <s v="C496"/>
    <x v="82"/>
    <x v="0"/>
    <x v="32"/>
    <x v="32"/>
    <x v="4"/>
    <x v="3916"/>
    <n v="7.88"/>
    <n v="399602.68"/>
  </r>
  <r>
    <s v="ORD03995"/>
    <x v="360"/>
    <s v="C392"/>
    <x v="383"/>
    <x v="3"/>
    <x v="13"/>
    <x v="13"/>
    <x v="2"/>
    <x v="3917"/>
    <n v="11.66"/>
    <n v="479692.4"/>
  </r>
  <r>
    <s v="ORD03996"/>
    <x v="432"/>
    <s v="C259"/>
    <x v="36"/>
    <x v="2"/>
    <x v="25"/>
    <x v="25"/>
    <x v="4"/>
    <x v="3918"/>
    <n v="28.62"/>
    <n v="151399.79999999999"/>
  </r>
  <r>
    <s v="ORD03997"/>
    <x v="581"/>
    <s v="C495"/>
    <x v="348"/>
    <x v="3"/>
    <x v="27"/>
    <x v="27"/>
    <x v="4"/>
    <x v="1191"/>
    <n v="6.01"/>
    <n v="486665.76"/>
  </r>
  <r>
    <s v="ORD03998"/>
    <x v="476"/>
    <s v="C118"/>
    <x v="74"/>
    <x v="1"/>
    <x v="48"/>
    <x v="48"/>
    <x v="2"/>
    <x v="3317"/>
    <n v="21.22"/>
    <n v="494171.36"/>
  </r>
  <r>
    <s v="ORD03999"/>
    <x v="346"/>
    <s v="C228"/>
    <x v="69"/>
    <x v="2"/>
    <x v="43"/>
    <x v="43"/>
    <x v="4"/>
    <x v="3919"/>
    <n v="46.23"/>
    <n v="2860712.4"/>
  </r>
  <r>
    <s v="ORD04000"/>
    <x v="625"/>
    <s v="C181"/>
    <x v="93"/>
    <x v="0"/>
    <x v="14"/>
    <x v="14"/>
    <x v="2"/>
    <x v="3920"/>
    <n v="46.19"/>
    <n v="964354.82"/>
  </r>
  <r>
    <s v="ORD04001"/>
    <x v="664"/>
    <s v="C183"/>
    <x v="89"/>
    <x v="0"/>
    <x v="34"/>
    <x v="34"/>
    <x v="2"/>
    <x v="3921"/>
    <n v="42.8"/>
    <n v="4193501.2"/>
  </r>
  <r>
    <s v="ORD04002"/>
    <x v="504"/>
    <s v="C312"/>
    <x v="231"/>
    <x v="1"/>
    <x v="45"/>
    <x v="45"/>
    <x v="3"/>
    <x v="3922"/>
    <n v="16.18"/>
    <n v="609225.54"/>
  </r>
  <r>
    <s v="ORD04003"/>
    <x v="327"/>
    <s v="C438"/>
    <x v="475"/>
    <x v="1"/>
    <x v="2"/>
    <x v="2"/>
    <x v="1"/>
    <x v="3923"/>
    <n v="49.96"/>
    <n v="2228865.48"/>
  </r>
  <r>
    <s v="ORD04004"/>
    <x v="161"/>
    <s v="C170"/>
    <x v="493"/>
    <x v="4"/>
    <x v="35"/>
    <x v="35"/>
    <x v="1"/>
    <x v="3924"/>
    <n v="35.479999999999997"/>
    <n v="2482854.92"/>
  </r>
  <r>
    <s v="ORD04005"/>
    <x v="414"/>
    <s v="C246"/>
    <x v="480"/>
    <x v="1"/>
    <x v="35"/>
    <x v="35"/>
    <x v="1"/>
    <x v="3925"/>
    <n v="7.36"/>
    <n v="650741.76000000001"/>
  </r>
  <r>
    <s v="ORD04006"/>
    <x v="45"/>
    <s v="C063"/>
    <x v="282"/>
    <x v="3"/>
    <x v="49"/>
    <x v="49"/>
    <x v="3"/>
    <x v="3926"/>
    <n v="32.11"/>
    <n v="2630290.65"/>
  </r>
  <r>
    <s v="ORD04007"/>
    <x v="577"/>
    <s v="C203"/>
    <x v="403"/>
    <x v="0"/>
    <x v="34"/>
    <x v="34"/>
    <x v="2"/>
    <x v="3927"/>
    <n v="47.66"/>
    <n v="3967980.96"/>
  </r>
  <r>
    <s v="ORD04008"/>
    <x v="194"/>
    <s v="C172"/>
    <x v="207"/>
    <x v="0"/>
    <x v="4"/>
    <x v="4"/>
    <x v="1"/>
    <x v="3928"/>
    <n v="18.309999999999999"/>
    <n v="412194.72"/>
  </r>
  <r>
    <s v="ORD04009"/>
    <x v="545"/>
    <s v="C017"/>
    <x v="139"/>
    <x v="4"/>
    <x v="48"/>
    <x v="48"/>
    <x v="2"/>
    <x v="3929"/>
    <n v="27.18"/>
    <n v="1421160.66"/>
  </r>
  <r>
    <s v="ORD04010"/>
    <x v="57"/>
    <s v="C100"/>
    <x v="39"/>
    <x v="0"/>
    <x v="38"/>
    <x v="38"/>
    <x v="2"/>
    <x v="3930"/>
    <n v="11.79"/>
    <n v="107300.79"/>
  </r>
  <r>
    <s v="ORD04011"/>
    <x v="296"/>
    <s v="C241"/>
    <x v="457"/>
    <x v="1"/>
    <x v="5"/>
    <x v="5"/>
    <x v="3"/>
    <x v="3931"/>
    <n v="12.75"/>
    <n v="806539.5"/>
  </r>
  <r>
    <s v="ORD04012"/>
    <x v="206"/>
    <s v="C463"/>
    <x v="61"/>
    <x v="3"/>
    <x v="27"/>
    <x v="27"/>
    <x v="4"/>
    <x v="3932"/>
    <n v="29.43"/>
    <n v="1803499.83"/>
  </r>
  <r>
    <s v="ORD04013"/>
    <x v="186"/>
    <s v="C181"/>
    <x v="93"/>
    <x v="0"/>
    <x v="48"/>
    <x v="48"/>
    <x v="2"/>
    <x v="3933"/>
    <n v="39.79"/>
    <n v="661389.38"/>
  </r>
  <r>
    <s v="ORD04014"/>
    <x v="154"/>
    <s v="C362"/>
    <x v="9"/>
    <x v="4"/>
    <x v="17"/>
    <x v="17"/>
    <x v="1"/>
    <x v="3934"/>
    <n v="19.29"/>
    <n v="190006.5"/>
  </r>
  <r>
    <s v="ORD04015"/>
    <x v="111"/>
    <s v="C115"/>
    <x v="224"/>
    <x v="0"/>
    <x v="22"/>
    <x v="22"/>
    <x v="0"/>
    <x v="3935"/>
    <n v="49.91"/>
    <n v="4848756.5"/>
  </r>
  <r>
    <s v="ORD04016"/>
    <x v="489"/>
    <s v="C449"/>
    <x v="277"/>
    <x v="0"/>
    <x v="40"/>
    <x v="40"/>
    <x v="0"/>
    <x v="3936"/>
    <n v="42.05"/>
    <n v="3499274.85"/>
  </r>
  <r>
    <s v="ORD04017"/>
    <x v="444"/>
    <s v="C497"/>
    <x v="215"/>
    <x v="1"/>
    <x v="17"/>
    <x v="17"/>
    <x v="1"/>
    <x v="3937"/>
    <n v="24.2"/>
    <n v="286503.8"/>
  </r>
  <r>
    <s v="ORD04018"/>
    <x v="181"/>
    <s v="C045"/>
    <x v="174"/>
    <x v="2"/>
    <x v="23"/>
    <x v="23"/>
    <x v="0"/>
    <x v="3938"/>
    <n v="7.84"/>
    <n v="280860.15999999997"/>
  </r>
  <r>
    <s v="ORD04019"/>
    <x v="719"/>
    <s v="C220"/>
    <x v="157"/>
    <x v="0"/>
    <x v="34"/>
    <x v="34"/>
    <x v="2"/>
    <x v="3939"/>
    <n v="13.68"/>
    <n v="1313922.96"/>
  </r>
  <r>
    <s v="ORD04020"/>
    <x v="26"/>
    <s v="C291"/>
    <x v="198"/>
    <x v="1"/>
    <x v="39"/>
    <x v="39"/>
    <x v="3"/>
    <x v="3940"/>
    <n v="21.58"/>
    <n v="1003124.72"/>
  </r>
  <r>
    <s v="ORD04021"/>
    <x v="126"/>
    <s v="C087"/>
    <x v="44"/>
    <x v="0"/>
    <x v="3"/>
    <x v="3"/>
    <x v="2"/>
    <x v="3941"/>
    <n v="48.48"/>
    <n v="2708432.16"/>
  </r>
  <r>
    <s v="ORD04022"/>
    <x v="138"/>
    <s v="C041"/>
    <x v="389"/>
    <x v="4"/>
    <x v="49"/>
    <x v="49"/>
    <x v="3"/>
    <x v="2819"/>
    <n v="4.34"/>
    <n v="357728.84"/>
  </r>
  <r>
    <s v="ORD04023"/>
    <x v="225"/>
    <s v="C324"/>
    <x v="208"/>
    <x v="0"/>
    <x v="3"/>
    <x v="3"/>
    <x v="2"/>
    <x v="3942"/>
    <n v="22.68"/>
    <n v="2249062.2000000002"/>
  </r>
  <r>
    <s v="ORD04024"/>
    <x v="329"/>
    <s v="C053"/>
    <x v="294"/>
    <x v="4"/>
    <x v="48"/>
    <x v="48"/>
    <x v="2"/>
    <x v="3943"/>
    <n v="43.96"/>
    <n v="4079619.88"/>
  </r>
  <r>
    <s v="ORD04025"/>
    <x v="627"/>
    <s v="C050"/>
    <x v="351"/>
    <x v="4"/>
    <x v="40"/>
    <x v="40"/>
    <x v="0"/>
    <x v="3944"/>
    <n v="34.94"/>
    <n v="1346797.24"/>
  </r>
  <r>
    <s v="ORD04026"/>
    <x v="297"/>
    <s v="C185"/>
    <x v="241"/>
    <x v="2"/>
    <x v="42"/>
    <x v="42"/>
    <x v="1"/>
    <x v="3945"/>
    <n v="15.15"/>
    <n v="1429690.35"/>
  </r>
  <r>
    <s v="ORD04027"/>
    <x v="237"/>
    <s v="C088"/>
    <x v="83"/>
    <x v="0"/>
    <x v="31"/>
    <x v="31"/>
    <x v="0"/>
    <x v="3946"/>
    <n v="4.13"/>
    <n v="159521.25"/>
  </r>
  <r>
    <s v="ORD04028"/>
    <x v="325"/>
    <s v="C303"/>
    <x v="262"/>
    <x v="0"/>
    <x v="16"/>
    <x v="16"/>
    <x v="1"/>
    <x v="1148"/>
    <n v="44.78"/>
    <n v="1921062"/>
  </r>
  <r>
    <s v="ORD04029"/>
    <x v="119"/>
    <s v="C438"/>
    <x v="475"/>
    <x v="1"/>
    <x v="35"/>
    <x v="35"/>
    <x v="1"/>
    <x v="3947"/>
    <n v="40.380000000000003"/>
    <n v="3091654.32"/>
  </r>
  <r>
    <s v="ORD04030"/>
    <x v="299"/>
    <s v="C419"/>
    <x v="156"/>
    <x v="3"/>
    <x v="16"/>
    <x v="16"/>
    <x v="1"/>
    <x v="3948"/>
    <n v="28.55"/>
    <n v="2615950.85"/>
  </r>
  <r>
    <s v="ORD04031"/>
    <x v="69"/>
    <s v="C490"/>
    <x v="141"/>
    <x v="2"/>
    <x v="32"/>
    <x v="32"/>
    <x v="4"/>
    <x v="3949"/>
    <n v="48.33"/>
    <n v="2259234.1800000002"/>
  </r>
  <r>
    <s v="ORD04032"/>
    <x v="30"/>
    <s v="C024"/>
    <x v="487"/>
    <x v="0"/>
    <x v="6"/>
    <x v="6"/>
    <x v="0"/>
    <x v="3950"/>
    <n v="40.53"/>
    <n v="844199.37"/>
  </r>
  <r>
    <s v="ORD04033"/>
    <x v="196"/>
    <s v="C013"/>
    <x v="84"/>
    <x v="3"/>
    <x v="42"/>
    <x v="42"/>
    <x v="1"/>
    <x v="3951"/>
    <n v="34.44"/>
    <n v="996314.76"/>
  </r>
  <r>
    <s v="ORD04034"/>
    <x v="154"/>
    <s v="C423"/>
    <x v="288"/>
    <x v="2"/>
    <x v="38"/>
    <x v="38"/>
    <x v="2"/>
    <x v="3952"/>
    <n v="39.590000000000003"/>
    <n v="1860690.41"/>
  </r>
  <r>
    <s v="ORD04035"/>
    <x v="511"/>
    <s v="C231"/>
    <x v="315"/>
    <x v="2"/>
    <x v="21"/>
    <x v="21"/>
    <x v="2"/>
    <x v="3953"/>
    <n v="13.16"/>
    <n v="514924.48"/>
  </r>
  <r>
    <s v="ORD04036"/>
    <x v="288"/>
    <s v="C237"/>
    <x v="482"/>
    <x v="0"/>
    <x v="9"/>
    <x v="9"/>
    <x v="4"/>
    <x v="3954"/>
    <n v="20.260000000000002"/>
    <n v="260057.36"/>
  </r>
  <r>
    <s v="ORD04037"/>
    <x v="118"/>
    <s v="C387"/>
    <x v="52"/>
    <x v="2"/>
    <x v="23"/>
    <x v="23"/>
    <x v="0"/>
    <x v="3955"/>
    <n v="31.74"/>
    <n v="2369613.1800000002"/>
  </r>
  <r>
    <s v="ORD04038"/>
    <x v="242"/>
    <s v="C006"/>
    <x v="319"/>
    <x v="2"/>
    <x v="7"/>
    <x v="7"/>
    <x v="3"/>
    <x v="3956"/>
    <n v="5.75"/>
    <n v="441893.25"/>
  </r>
  <r>
    <s v="ORD04039"/>
    <x v="399"/>
    <s v="C308"/>
    <x v="149"/>
    <x v="4"/>
    <x v="7"/>
    <x v="7"/>
    <x v="3"/>
    <x v="3520"/>
    <n v="10.41"/>
    <n v="60242.67"/>
  </r>
  <r>
    <s v="ORD04040"/>
    <x v="155"/>
    <s v="C180"/>
    <x v="200"/>
    <x v="0"/>
    <x v="5"/>
    <x v="5"/>
    <x v="3"/>
    <x v="3957"/>
    <n v="35.590000000000003"/>
    <n v="2697793.18"/>
  </r>
  <r>
    <s v="ORD04041"/>
    <x v="160"/>
    <s v="C271"/>
    <x v="4"/>
    <x v="1"/>
    <x v="11"/>
    <x v="11"/>
    <x v="4"/>
    <x v="3958"/>
    <n v="5.48"/>
    <n v="152086.44"/>
  </r>
  <r>
    <s v="ORD04042"/>
    <x v="99"/>
    <s v="C298"/>
    <x v="349"/>
    <x v="1"/>
    <x v="40"/>
    <x v="40"/>
    <x v="0"/>
    <x v="3959"/>
    <n v="9"/>
    <n v="637218"/>
  </r>
  <r>
    <s v="ORD04043"/>
    <x v="257"/>
    <s v="C107"/>
    <x v="324"/>
    <x v="1"/>
    <x v="23"/>
    <x v="23"/>
    <x v="0"/>
    <x v="3960"/>
    <n v="43.73"/>
    <n v="391689.61"/>
  </r>
  <r>
    <s v="ORD04044"/>
    <x v="115"/>
    <s v="C154"/>
    <x v="496"/>
    <x v="0"/>
    <x v="25"/>
    <x v="25"/>
    <x v="4"/>
    <x v="3961"/>
    <n v="2.31"/>
    <n v="112880.46"/>
  </r>
  <r>
    <s v="ORD04045"/>
    <x v="151"/>
    <s v="C497"/>
    <x v="215"/>
    <x v="1"/>
    <x v="1"/>
    <x v="1"/>
    <x v="1"/>
    <x v="3962"/>
    <n v="33.51"/>
    <n v="2702313.42"/>
  </r>
  <r>
    <s v="ORD04046"/>
    <x v="706"/>
    <s v="C481"/>
    <x v="56"/>
    <x v="0"/>
    <x v="25"/>
    <x v="25"/>
    <x v="4"/>
    <x v="3963"/>
    <n v="43.9"/>
    <n v="3085379.8"/>
  </r>
  <r>
    <s v="ORD04047"/>
    <x v="308"/>
    <s v="C210"/>
    <x v="247"/>
    <x v="4"/>
    <x v="32"/>
    <x v="32"/>
    <x v="4"/>
    <x v="3964"/>
    <n v="8.31"/>
    <n v="129860.37"/>
  </r>
  <r>
    <s v="ORD04048"/>
    <x v="439"/>
    <s v="C439"/>
    <x v="489"/>
    <x v="4"/>
    <x v="21"/>
    <x v="21"/>
    <x v="2"/>
    <x v="3965"/>
    <n v="24.77"/>
    <n v="288669.58"/>
  </r>
  <r>
    <s v="ORD04049"/>
    <x v="462"/>
    <s v="C384"/>
    <x v="187"/>
    <x v="4"/>
    <x v="16"/>
    <x v="16"/>
    <x v="1"/>
    <x v="3966"/>
    <n v="20.13"/>
    <n v="803348.04"/>
  </r>
  <r>
    <s v="ORD04050"/>
    <x v="485"/>
    <s v="C250"/>
    <x v="64"/>
    <x v="1"/>
    <x v="45"/>
    <x v="45"/>
    <x v="3"/>
    <x v="3967"/>
    <n v="32.770000000000003"/>
    <n v="791854.28"/>
  </r>
  <r>
    <s v="ORD04051"/>
    <x v="74"/>
    <s v="C351"/>
    <x v="422"/>
    <x v="2"/>
    <x v="40"/>
    <x v="40"/>
    <x v="0"/>
    <x v="3968"/>
    <n v="3.8"/>
    <n v="177695.6"/>
  </r>
  <r>
    <s v="ORD04052"/>
    <x v="181"/>
    <s v="C373"/>
    <x v="435"/>
    <x v="2"/>
    <x v="30"/>
    <x v="30"/>
    <x v="4"/>
    <x v="3969"/>
    <n v="10.75"/>
    <n v="1015004.25"/>
  </r>
  <r>
    <s v="ORD04053"/>
    <x v="319"/>
    <s v="C287"/>
    <x v="228"/>
    <x v="4"/>
    <x v="40"/>
    <x v="40"/>
    <x v="0"/>
    <x v="3970"/>
    <n v="41.11"/>
    <n v="3818995.67"/>
  </r>
  <r>
    <s v="ORD04054"/>
    <x v="622"/>
    <s v="C080"/>
    <x v="222"/>
    <x v="4"/>
    <x v="15"/>
    <x v="15"/>
    <x v="2"/>
    <x v="3971"/>
    <n v="40.51"/>
    <n v="3045055.68"/>
  </r>
  <r>
    <s v="ORD04055"/>
    <x v="250"/>
    <s v="C432"/>
    <x v="14"/>
    <x v="0"/>
    <x v="34"/>
    <x v="34"/>
    <x v="2"/>
    <x v="3972"/>
    <n v="30.1"/>
    <n v="2807396.9"/>
  </r>
  <r>
    <s v="ORD04056"/>
    <x v="567"/>
    <s v="C149"/>
    <x v="430"/>
    <x v="2"/>
    <x v="18"/>
    <x v="18"/>
    <x v="0"/>
    <x v="3973"/>
    <n v="32"/>
    <n v="2456928"/>
  </r>
  <r>
    <s v="ORD04057"/>
    <x v="540"/>
    <s v="C239"/>
    <x v="12"/>
    <x v="3"/>
    <x v="35"/>
    <x v="35"/>
    <x v="1"/>
    <x v="3974"/>
    <n v="42.42"/>
    <n v="124757.22"/>
  </r>
  <r>
    <s v="ORD04058"/>
    <x v="97"/>
    <s v="C469"/>
    <x v="498"/>
    <x v="0"/>
    <x v="20"/>
    <x v="20"/>
    <x v="1"/>
    <x v="3975"/>
    <n v="28.28"/>
    <n v="222111.12"/>
  </r>
  <r>
    <s v="ORD04059"/>
    <x v="167"/>
    <s v="C139"/>
    <x v="385"/>
    <x v="2"/>
    <x v="32"/>
    <x v="32"/>
    <x v="4"/>
    <x v="3976"/>
    <n v="5.35"/>
    <n v="506019.05"/>
  </r>
  <r>
    <s v="ORD04060"/>
    <x v="108"/>
    <s v="C083"/>
    <x v="130"/>
    <x v="3"/>
    <x v="0"/>
    <x v="0"/>
    <x v="0"/>
    <x v="3977"/>
    <n v="25.46"/>
    <n v="2402762.04"/>
  </r>
  <r>
    <s v="ORD04061"/>
    <x v="655"/>
    <s v="C441"/>
    <x v="115"/>
    <x v="0"/>
    <x v="15"/>
    <x v="15"/>
    <x v="2"/>
    <x v="3978"/>
    <n v="3.25"/>
    <n v="127699"/>
  </r>
  <r>
    <s v="ORD04062"/>
    <x v="353"/>
    <s v="C477"/>
    <x v="87"/>
    <x v="4"/>
    <x v="48"/>
    <x v="48"/>
    <x v="2"/>
    <x v="3979"/>
    <n v="40.67"/>
    <n v="3937791.41"/>
  </r>
  <r>
    <s v="ORD04063"/>
    <x v="206"/>
    <s v="C061"/>
    <x v="178"/>
    <x v="2"/>
    <x v="22"/>
    <x v="22"/>
    <x v="0"/>
    <x v="1701"/>
    <n v="2.96"/>
    <n v="152650.16"/>
  </r>
  <r>
    <s v="ORD04064"/>
    <x v="435"/>
    <s v="C436"/>
    <x v="443"/>
    <x v="4"/>
    <x v="44"/>
    <x v="44"/>
    <x v="2"/>
    <x v="3980"/>
    <n v="3.78"/>
    <n v="142695"/>
  </r>
  <r>
    <s v="ORD04065"/>
    <x v="537"/>
    <s v="C180"/>
    <x v="200"/>
    <x v="0"/>
    <x v="44"/>
    <x v="44"/>
    <x v="2"/>
    <x v="3981"/>
    <n v="28.42"/>
    <n v="885283"/>
  </r>
  <r>
    <s v="ORD04066"/>
    <x v="699"/>
    <s v="C160"/>
    <x v="481"/>
    <x v="1"/>
    <x v="45"/>
    <x v="45"/>
    <x v="3"/>
    <x v="3982"/>
    <n v="12.09"/>
    <n v="529010.04"/>
  </r>
  <r>
    <s v="ORD04067"/>
    <x v="446"/>
    <s v="C033"/>
    <x v="150"/>
    <x v="4"/>
    <x v="18"/>
    <x v="18"/>
    <x v="0"/>
    <x v="3983"/>
    <n v="36.85"/>
    <n v="1355195.6"/>
  </r>
  <r>
    <s v="ORD04068"/>
    <x v="558"/>
    <s v="C269"/>
    <x v="320"/>
    <x v="3"/>
    <x v="6"/>
    <x v="6"/>
    <x v="0"/>
    <x v="3984"/>
    <n v="15.69"/>
    <n v="508920.84"/>
  </r>
  <r>
    <s v="ORD04069"/>
    <x v="390"/>
    <s v="C309"/>
    <x v="440"/>
    <x v="3"/>
    <x v="48"/>
    <x v="48"/>
    <x v="2"/>
    <x v="3985"/>
    <n v="2.97"/>
    <n v="275604.12"/>
  </r>
  <r>
    <s v="ORD04070"/>
    <x v="631"/>
    <s v="C368"/>
    <x v="7"/>
    <x v="1"/>
    <x v="49"/>
    <x v="49"/>
    <x v="3"/>
    <x v="3986"/>
    <n v="36.89"/>
    <n v="2875059.04"/>
  </r>
  <r>
    <s v="ORD04071"/>
    <x v="44"/>
    <s v="C486"/>
    <x v="339"/>
    <x v="1"/>
    <x v="1"/>
    <x v="1"/>
    <x v="1"/>
    <x v="3987"/>
    <n v="4.8099999999999996"/>
    <n v="478902.84"/>
  </r>
  <r>
    <s v="ORD04072"/>
    <x v="12"/>
    <s v="C096"/>
    <x v="454"/>
    <x v="1"/>
    <x v="22"/>
    <x v="22"/>
    <x v="0"/>
    <x v="3988"/>
    <n v="39.24"/>
    <n v="749994.12"/>
  </r>
  <r>
    <s v="ORD04073"/>
    <x v="516"/>
    <s v="C357"/>
    <x v="357"/>
    <x v="4"/>
    <x v="15"/>
    <x v="15"/>
    <x v="2"/>
    <x v="3989"/>
    <n v="39.479999999999997"/>
    <n v="290020.08"/>
  </r>
  <r>
    <s v="ORD04074"/>
    <x v="109"/>
    <s v="C157"/>
    <x v="327"/>
    <x v="4"/>
    <x v="43"/>
    <x v="43"/>
    <x v="4"/>
    <x v="3990"/>
    <n v="31.72"/>
    <n v="1159366"/>
  </r>
  <r>
    <s v="ORD04075"/>
    <x v="535"/>
    <s v="C335"/>
    <x v="402"/>
    <x v="4"/>
    <x v="1"/>
    <x v="1"/>
    <x v="1"/>
    <x v="3991"/>
    <n v="6.36"/>
    <n v="125336.52"/>
  </r>
  <r>
    <s v="ORD04076"/>
    <x v="31"/>
    <s v="C053"/>
    <x v="294"/>
    <x v="4"/>
    <x v="4"/>
    <x v="4"/>
    <x v="1"/>
    <x v="3992"/>
    <n v="10.27"/>
    <n v="477031.23"/>
  </r>
  <r>
    <s v="ORD04077"/>
    <x v="611"/>
    <s v="C276"/>
    <x v="360"/>
    <x v="1"/>
    <x v="14"/>
    <x v="14"/>
    <x v="2"/>
    <x v="3993"/>
    <n v="27.03"/>
    <n v="553844.69999999995"/>
  </r>
  <r>
    <s v="ORD04078"/>
    <x v="146"/>
    <s v="C008"/>
    <x v="96"/>
    <x v="1"/>
    <x v="9"/>
    <x v="9"/>
    <x v="4"/>
    <x v="3994"/>
    <n v="29.13"/>
    <n v="857587.19999999995"/>
  </r>
  <r>
    <s v="ORD04079"/>
    <x v="530"/>
    <s v="C162"/>
    <x v="344"/>
    <x v="0"/>
    <x v="44"/>
    <x v="44"/>
    <x v="2"/>
    <x v="3995"/>
    <n v="45.49"/>
    <n v="2777664.89"/>
  </r>
  <r>
    <s v="ORD04080"/>
    <x v="57"/>
    <s v="C195"/>
    <x v="85"/>
    <x v="4"/>
    <x v="17"/>
    <x v="17"/>
    <x v="1"/>
    <x v="3996"/>
    <n v="10.58"/>
    <n v="127690.02"/>
  </r>
  <r>
    <s v="ORD04081"/>
    <x v="505"/>
    <s v="C035"/>
    <x v="325"/>
    <x v="1"/>
    <x v="12"/>
    <x v="12"/>
    <x v="4"/>
    <x v="3997"/>
    <n v="33.31"/>
    <n v="724825.59999999998"/>
  </r>
  <r>
    <s v="ORD04082"/>
    <x v="422"/>
    <s v="C247"/>
    <x v="433"/>
    <x v="4"/>
    <x v="40"/>
    <x v="40"/>
    <x v="0"/>
    <x v="3998"/>
    <n v="25.85"/>
    <n v="423784.9"/>
  </r>
  <r>
    <s v="ORD04083"/>
    <x v="306"/>
    <s v="C484"/>
    <x v="124"/>
    <x v="3"/>
    <x v="1"/>
    <x v="1"/>
    <x v="1"/>
    <x v="3999"/>
    <n v="5.34"/>
    <n v="442739.4"/>
  </r>
  <r>
    <s v="ORD04084"/>
    <x v="167"/>
    <s v="C329"/>
    <x v="388"/>
    <x v="2"/>
    <x v="31"/>
    <x v="31"/>
    <x v="0"/>
    <x v="4000"/>
    <n v="13.42"/>
    <n v="678219.96"/>
  </r>
  <r>
    <s v="ORD04085"/>
    <x v="490"/>
    <s v="C018"/>
    <x v="332"/>
    <x v="3"/>
    <x v="36"/>
    <x v="36"/>
    <x v="4"/>
    <x v="4001"/>
    <n v="17.61"/>
    <n v="1056335.8500000001"/>
  </r>
  <r>
    <s v="ORD04086"/>
    <x v="593"/>
    <s v="C264"/>
    <x v="65"/>
    <x v="0"/>
    <x v="26"/>
    <x v="26"/>
    <x v="0"/>
    <x v="4002"/>
    <n v="4.8899999999999997"/>
    <n v="242250.6"/>
  </r>
  <r>
    <s v="ORD04087"/>
    <x v="13"/>
    <s v="C443"/>
    <x v="105"/>
    <x v="1"/>
    <x v="5"/>
    <x v="5"/>
    <x v="3"/>
    <x v="4003"/>
    <n v="29.69"/>
    <n v="1941696.31"/>
  </r>
  <r>
    <s v="ORD04088"/>
    <x v="594"/>
    <s v="C154"/>
    <x v="496"/>
    <x v="0"/>
    <x v="46"/>
    <x v="46"/>
    <x v="0"/>
    <x v="4004"/>
    <n v="34.24"/>
    <n v="1173507.52"/>
  </r>
  <r>
    <s v="ORD04089"/>
    <x v="447"/>
    <s v="C172"/>
    <x v="207"/>
    <x v="0"/>
    <x v="49"/>
    <x v="49"/>
    <x v="3"/>
    <x v="4005"/>
    <n v="41.69"/>
    <n v="778727.51"/>
  </r>
  <r>
    <s v="ORD04090"/>
    <x v="115"/>
    <s v="C177"/>
    <x v="183"/>
    <x v="1"/>
    <x v="4"/>
    <x v="4"/>
    <x v="1"/>
    <x v="4006"/>
    <n v="41.19"/>
    <n v="3857567.07"/>
  </r>
  <r>
    <s v="ORD04091"/>
    <x v="163"/>
    <s v="C248"/>
    <x v="392"/>
    <x v="0"/>
    <x v="27"/>
    <x v="27"/>
    <x v="4"/>
    <x v="4007"/>
    <n v="32.01"/>
    <n v="425156.82"/>
  </r>
  <r>
    <s v="ORD04092"/>
    <x v="686"/>
    <s v="C042"/>
    <x v="175"/>
    <x v="0"/>
    <x v="27"/>
    <x v="27"/>
    <x v="4"/>
    <x v="4008"/>
    <n v="25.39"/>
    <n v="1127112.8799999999"/>
  </r>
  <r>
    <s v="ORD04093"/>
    <x v="134"/>
    <s v="C460"/>
    <x v="17"/>
    <x v="1"/>
    <x v="19"/>
    <x v="19"/>
    <x v="3"/>
    <x v="4009"/>
    <n v="23.48"/>
    <n v="1910591.08"/>
  </r>
  <r>
    <s v="ORD04094"/>
    <x v="625"/>
    <s v="C303"/>
    <x v="262"/>
    <x v="0"/>
    <x v="24"/>
    <x v="24"/>
    <x v="3"/>
    <x v="4010"/>
    <n v="19.87"/>
    <n v="887135.89"/>
  </r>
  <r>
    <s v="ORD04095"/>
    <x v="696"/>
    <s v="C018"/>
    <x v="332"/>
    <x v="3"/>
    <x v="24"/>
    <x v="24"/>
    <x v="3"/>
    <x v="2163"/>
    <n v="27.77"/>
    <n v="2285526.54"/>
  </r>
  <r>
    <s v="ORD04096"/>
    <x v="260"/>
    <s v="C098"/>
    <x v="364"/>
    <x v="2"/>
    <x v="38"/>
    <x v="38"/>
    <x v="2"/>
    <x v="4011"/>
    <n v="41.82"/>
    <n v="283163.21999999997"/>
  </r>
  <r>
    <s v="ORD04097"/>
    <x v="30"/>
    <s v="C137"/>
    <x v="182"/>
    <x v="4"/>
    <x v="35"/>
    <x v="35"/>
    <x v="1"/>
    <x v="4012"/>
    <n v="35.53"/>
    <n v="3034723.89"/>
  </r>
  <r>
    <s v="ORD04098"/>
    <x v="64"/>
    <s v="C302"/>
    <x v="166"/>
    <x v="3"/>
    <x v="27"/>
    <x v="27"/>
    <x v="4"/>
    <x v="4013"/>
    <n v="21.31"/>
    <n v="1188330.8400000001"/>
  </r>
  <r>
    <s v="ORD04099"/>
    <x v="421"/>
    <s v="C011"/>
    <x v="28"/>
    <x v="4"/>
    <x v="43"/>
    <x v="43"/>
    <x v="4"/>
    <x v="4014"/>
    <n v="19.920000000000002"/>
    <n v="1244521.92"/>
  </r>
  <r>
    <s v="ORD04100"/>
    <x v="595"/>
    <s v="C183"/>
    <x v="89"/>
    <x v="0"/>
    <x v="28"/>
    <x v="28"/>
    <x v="3"/>
    <x v="4015"/>
    <n v="43.6"/>
    <n v="3020128.4"/>
  </r>
  <r>
    <s v="ORD04101"/>
    <x v="75"/>
    <s v="C123"/>
    <x v="284"/>
    <x v="3"/>
    <x v="47"/>
    <x v="47"/>
    <x v="2"/>
    <x v="4016"/>
    <n v="8.4600000000000009"/>
    <n v="103778.82"/>
  </r>
  <r>
    <s v="ORD04102"/>
    <x v="290"/>
    <s v="C397"/>
    <x v="95"/>
    <x v="3"/>
    <x v="19"/>
    <x v="19"/>
    <x v="3"/>
    <x v="4017"/>
    <n v="7.38"/>
    <n v="400770.9"/>
  </r>
  <r>
    <s v="ORD04103"/>
    <x v="272"/>
    <s v="C401"/>
    <x v="179"/>
    <x v="1"/>
    <x v="9"/>
    <x v="9"/>
    <x v="4"/>
    <x v="4018"/>
    <n v="44.71"/>
    <n v="3794001.18"/>
  </r>
  <r>
    <s v="ORD04104"/>
    <x v="217"/>
    <s v="C322"/>
    <x v="238"/>
    <x v="2"/>
    <x v="30"/>
    <x v="30"/>
    <x v="4"/>
    <x v="4019"/>
    <n v="16.190000000000001"/>
    <n v="725651.99"/>
  </r>
  <r>
    <s v="ORD04105"/>
    <x v="16"/>
    <s v="C059"/>
    <x v="256"/>
    <x v="4"/>
    <x v="5"/>
    <x v="5"/>
    <x v="3"/>
    <x v="4020"/>
    <n v="28.12"/>
    <n v="650190.64"/>
  </r>
  <r>
    <s v="ORD04106"/>
    <x v="18"/>
    <s v="C493"/>
    <x v="354"/>
    <x v="4"/>
    <x v="12"/>
    <x v="12"/>
    <x v="4"/>
    <x v="4021"/>
    <n v="31.59"/>
    <n v="736741.98"/>
  </r>
  <r>
    <s v="ORD04107"/>
    <x v="457"/>
    <s v="C238"/>
    <x v="450"/>
    <x v="4"/>
    <x v="9"/>
    <x v="9"/>
    <x v="4"/>
    <x v="4022"/>
    <n v="43.41"/>
    <n v="3689936.82"/>
  </r>
  <r>
    <s v="ORD04108"/>
    <x v="91"/>
    <s v="C264"/>
    <x v="65"/>
    <x v="0"/>
    <x v="20"/>
    <x v="20"/>
    <x v="1"/>
    <x v="4023"/>
    <n v="5.4"/>
    <n v="319307.40000000002"/>
  </r>
  <r>
    <s v="ORD04109"/>
    <x v="477"/>
    <s v="C490"/>
    <x v="141"/>
    <x v="2"/>
    <x v="16"/>
    <x v="16"/>
    <x v="1"/>
    <x v="4024"/>
    <n v="19.190000000000001"/>
    <n v="847526.35"/>
  </r>
  <r>
    <s v="ORD04110"/>
    <x v="369"/>
    <s v="C053"/>
    <x v="294"/>
    <x v="4"/>
    <x v="3"/>
    <x v="3"/>
    <x v="2"/>
    <x v="4025"/>
    <n v="31.11"/>
    <n v="2428851.0299999998"/>
  </r>
  <r>
    <s v="ORD04111"/>
    <x v="650"/>
    <s v="C069"/>
    <x v="410"/>
    <x v="4"/>
    <x v="22"/>
    <x v="22"/>
    <x v="0"/>
    <x v="4026"/>
    <n v="26.07"/>
    <n v="428277.96"/>
  </r>
  <r>
    <s v="ORD04112"/>
    <x v="336"/>
    <s v="C088"/>
    <x v="83"/>
    <x v="0"/>
    <x v="27"/>
    <x v="27"/>
    <x v="4"/>
    <x v="4027"/>
    <n v="32.979999999999997"/>
    <n v="2722960.72"/>
  </r>
  <r>
    <s v="ORD04113"/>
    <x v="223"/>
    <s v="C392"/>
    <x v="383"/>
    <x v="3"/>
    <x v="29"/>
    <x v="29"/>
    <x v="0"/>
    <x v="4028"/>
    <n v="38.04"/>
    <n v="1197993.72"/>
  </r>
  <r>
    <s v="ORD04114"/>
    <x v="724"/>
    <s v="C448"/>
    <x v="434"/>
    <x v="0"/>
    <x v="40"/>
    <x v="40"/>
    <x v="0"/>
    <x v="4029"/>
    <n v="27.06"/>
    <n v="2260808.88"/>
  </r>
  <r>
    <s v="ORD04115"/>
    <x v="627"/>
    <s v="C043"/>
    <x v="499"/>
    <x v="4"/>
    <x v="19"/>
    <x v="19"/>
    <x v="3"/>
    <x v="4030"/>
    <n v="24.91"/>
    <n v="730784.67"/>
  </r>
  <r>
    <s v="ORD04116"/>
    <x v="511"/>
    <s v="C339"/>
    <x v="330"/>
    <x v="3"/>
    <x v="32"/>
    <x v="32"/>
    <x v="4"/>
    <x v="4031"/>
    <n v="39.380000000000003"/>
    <n v="3457879.04"/>
  </r>
  <r>
    <s v="ORD04117"/>
    <x v="273"/>
    <s v="C084"/>
    <x v="291"/>
    <x v="3"/>
    <x v="36"/>
    <x v="36"/>
    <x v="4"/>
    <x v="4032"/>
    <n v="16.760000000000002"/>
    <n v="181058.28"/>
  </r>
  <r>
    <s v="ORD04118"/>
    <x v="52"/>
    <s v="C372"/>
    <x v="217"/>
    <x v="4"/>
    <x v="8"/>
    <x v="8"/>
    <x v="3"/>
    <x v="4033"/>
    <n v="38.36"/>
    <n v="3503188.64"/>
  </r>
  <r>
    <s v="ORD04119"/>
    <x v="561"/>
    <s v="C207"/>
    <x v="352"/>
    <x v="3"/>
    <x v="31"/>
    <x v="31"/>
    <x v="0"/>
    <x v="4034"/>
    <n v="5.85"/>
    <n v="30501.9"/>
  </r>
  <r>
    <s v="ORD04120"/>
    <x v="332"/>
    <s v="C210"/>
    <x v="247"/>
    <x v="4"/>
    <x v="11"/>
    <x v="11"/>
    <x v="4"/>
    <x v="4035"/>
    <n v="39.130000000000003"/>
    <n v="1264407.69"/>
  </r>
  <r>
    <s v="ORD04121"/>
    <x v="518"/>
    <s v="C354"/>
    <x v="97"/>
    <x v="4"/>
    <x v="6"/>
    <x v="6"/>
    <x v="0"/>
    <x v="4036"/>
    <n v="24.15"/>
    <n v="1929536.7"/>
  </r>
  <r>
    <s v="ORD04122"/>
    <x v="191"/>
    <s v="C195"/>
    <x v="85"/>
    <x v="4"/>
    <x v="32"/>
    <x v="32"/>
    <x v="4"/>
    <x v="4037"/>
    <n v="19.059999999999999"/>
    <n v="165593.28"/>
  </r>
  <r>
    <s v="ORD04123"/>
    <x v="126"/>
    <s v="C465"/>
    <x v="140"/>
    <x v="2"/>
    <x v="29"/>
    <x v="29"/>
    <x v="0"/>
    <x v="4038"/>
    <n v="36.19"/>
    <n v="2928096.71"/>
  </r>
  <r>
    <s v="ORD04124"/>
    <x v="695"/>
    <s v="C455"/>
    <x v="366"/>
    <x v="4"/>
    <x v="34"/>
    <x v="34"/>
    <x v="2"/>
    <x v="4039"/>
    <n v="36.85"/>
    <n v="278475.45"/>
  </r>
  <r>
    <s v="ORD04125"/>
    <x v="201"/>
    <s v="C292"/>
    <x v="268"/>
    <x v="0"/>
    <x v="9"/>
    <x v="9"/>
    <x v="4"/>
    <x v="4040"/>
    <n v="42.19"/>
    <n v="3748665.88"/>
  </r>
  <r>
    <s v="ORD04126"/>
    <x v="496"/>
    <s v="C374"/>
    <x v="399"/>
    <x v="1"/>
    <x v="4"/>
    <x v="4"/>
    <x v="1"/>
    <x v="4041"/>
    <n v="30.33"/>
    <n v="784030.5"/>
  </r>
  <r>
    <s v="ORD04127"/>
    <x v="369"/>
    <s v="C419"/>
    <x v="156"/>
    <x v="3"/>
    <x v="0"/>
    <x v="0"/>
    <x v="0"/>
    <x v="4042"/>
    <n v="9.06"/>
    <n v="187134.3"/>
  </r>
  <r>
    <s v="ORD04128"/>
    <x v="703"/>
    <s v="C398"/>
    <x v="63"/>
    <x v="1"/>
    <x v="38"/>
    <x v="38"/>
    <x v="2"/>
    <x v="4043"/>
    <n v="17.89"/>
    <n v="1015865.76"/>
  </r>
  <r>
    <s v="ORD04129"/>
    <x v="533"/>
    <s v="C320"/>
    <x v="257"/>
    <x v="1"/>
    <x v="34"/>
    <x v="34"/>
    <x v="2"/>
    <x v="4044"/>
    <n v="7.51"/>
    <n v="301316.21999999997"/>
  </r>
  <r>
    <s v="ORD04130"/>
    <x v="81"/>
    <s v="C415"/>
    <x v="152"/>
    <x v="0"/>
    <x v="39"/>
    <x v="39"/>
    <x v="3"/>
    <x v="4045"/>
    <n v="45.37"/>
    <n v="2354430.7799999998"/>
  </r>
  <r>
    <s v="ORD04131"/>
    <x v="560"/>
    <s v="C343"/>
    <x v="229"/>
    <x v="1"/>
    <x v="44"/>
    <x v="44"/>
    <x v="2"/>
    <x v="4046"/>
    <n v="26.55"/>
    <n v="869645.25"/>
  </r>
  <r>
    <s v="ORD04132"/>
    <x v="135"/>
    <s v="C449"/>
    <x v="277"/>
    <x v="0"/>
    <x v="41"/>
    <x v="41"/>
    <x v="4"/>
    <x v="4047"/>
    <n v="28.69"/>
    <n v="901755.39"/>
  </r>
  <r>
    <s v="ORD04133"/>
    <x v="443"/>
    <s v="C016"/>
    <x v="170"/>
    <x v="2"/>
    <x v="16"/>
    <x v="16"/>
    <x v="1"/>
    <x v="4048"/>
    <n v="44.79"/>
    <n v="2054472.51"/>
  </r>
  <r>
    <s v="ORD04134"/>
    <x v="375"/>
    <s v="C347"/>
    <x v="476"/>
    <x v="1"/>
    <x v="7"/>
    <x v="7"/>
    <x v="3"/>
    <x v="4049"/>
    <n v="23.66"/>
    <n v="1145309.6200000001"/>
  </r>
  <r>
    <s v="ORD04135"/>
    <x v="71"/>
    <s v="C170"/>
    <x v="493"/>
    <x v="4"/>
    <x v="19"/>
    <x v="19"/>
    <x v="3"/>
    <x v="4050"/>
    <n v="8"/>
    <n v="133776"/>
  </r>
  <r>
    <s v="ORD04136"/>
    <x v="389"/>
    <s v="C087"/>
    <x v="44"/>
    <x v="0"/>
    <x v="7"/>
    <x v="7"/>
    <x v="3"/>
    <x v="4051"/>
    <n v="7.03"/>
    <n v="474834.32"/>
  </r>
  <r>
    <s v="ORD04137"/>
    <x v="62"/>
    <s v="C289"/>
    <x v="408"/>
    <x v="1"/>
    <x v="2"/>
    <x v="2"/>
    <x v="1"/>
    <x v="4052"/>
    <n v="25.95"/>
    <n v="2051736.75"/>
  </r>
  <r>
    <s v="ORD04138"/>
    <x v="679"/>
    <s v="C208"/>
    <x v="53"/>
    <x v="1"/>
    <x v="9"/>
    <x v="9"/>
    <x v="4"/>
    <x v="4053"/>
    <n v="2.13"/>
    <n v="123403.68"/>
  </r>
  <r>
    <s v="ORD04139"/>
    <x v="51"/>
    <s v="C287"/>
    <x v="228"/>
    <x v="4"/>
    <x v="15"/>
    <x v="15"/>
    <x v="2"/>
    <x v="4054"/>
    <n v="24.95"/>
    <n v="2414211.9"/>
  </r>
  <r>
    <s v="ORD04140"/>
    <x v="620"/>
    <s v="C330"/>
    <x v="48"/>
    <x v="2"/>
    <x v="37"/>
    <x v="37"/>
    <x v="1"/>
    <x v="4055"/>
    <n v="25.83"/>
    <n v="1205150.31"/>
  </r>
  <r>
    <s v="ORD04141"/>
    <x v="589"/>
    <s v="C233"/>
    <x v="173"/>
    <x v="4"/>
    <x v="9"/>
    <x v="9"/>
    <x v="4"/>
    <x v="4056"/>
    <n v="7.7"/>
    <n v="704403.7"/>
  </r>
  <r>
    <s v="ORD04142"/>
    <x v="283"/>
    <s v="C222"/>
    <x v="453"/>
    <x v="0"/>
    <x v="17"/>
    <x v="17"/>
    <x v="1"/>
    <x v="4057"/>
    <n v="41.55"/>
    <n v="3247548"/>
  </r>
  <r>
    <s v="ORD04143"/>
    <x v="531"/>
    <s v="C236"/>
    <x v="25"/>
    <x v="2"/>
    <x v="32"/>
    <x v="32"/>
    <x v="4"/>
    <x v="4058"/>
    <n v="25.11"/>
    <n v="2467635.0299999998"/>
  </r>
  <r>
    <s v="ORD04144"/>
    <x v="297"/>
    <s v="C083"/>
    <x v="130"/>
    <x v="3"/>
    <x v="7"/>
    <x v="7"/>
    <x v="3"/>
    <x v="4059"/>
    <n v="15.02"/>
    <n v="711227.04"/>
  </r>
  <r>
    <s v="ORD04145"/>
    <x v="528"/>
    <s v="C369"/>
    <x v="464"/>
    <x v="4"/>
    <x v="13"/>
    <x v="13"/>
    <x v="2"/>
    <x v="4060"/>
    <n v="4.01"/>
    <n v="48208.22"/>
  </r>
  <r>
    <s v="ORD04146"/>
    <x v="354"/>
    <s v="C302"/>
    <x v="166"/>
    <x v="3"/>
    <x v="3"/>
    <x v="3"/>
    <x v="2"/>
    <x v="4061"/>
    <n v="26.3"/>
    <n v="2590287"/>
  </r>
  <r>
    <s v="ORD04147"/>
    <x v="83"/>
    <s v="C138"/>
    <x v="251"/>
    <x v="2"/>
    <x v="31"/>
    <x v="31"/>
    <x v="0"/>
    <x v="4062"/>
    <n v="47.29"/>
    <n v="789695.71"/>
  </r>
  <r>
    <s v="ORD04148"/>
    <x v="503"/>
    <s v="C023"/>
    <x v="304"/>
    <x v="4"/>
    <x v="14"/>
    <x v="14"/>
    <x v="2"/>
    <x v="4063"/>
    <n v="41.75"/>
    <n v="1583076.5"/>
  </r>
  <r>
    <s v="ORD04149"/>
    <x v="661"/>
    <s v="C209"/>
    <x v="409"/>
    <x v="4"/>
    <x v="48"/>
    <x v="48"/>
    <x v="2"/>
    <x v="4064"/>
    <n v="39.51"/>
    <n v="957090.24"/>
  </r>
  <r>
    <s v="ORD04150"/>
    <x v="477"/>
    <s v="C115"/>
    <x v="224"/>
    <x v="0"/>
    <x v="7"/>
    <x v="7"/>
    <x v="3"/>
    <x v="4065"/>
    <n v="36.82"/>
    <n v="419085.24"/>
  </r>
  <r>
    <s v="ORD04151"/>
    <x v="106"/>
    <s v="C345"/>
    <x v="15"/>
    <x v="2"/>
    <x v="10"/>
    <x v="10"/>
    <x v="3"/>
    <x v="4066"/>
    <n v="10.41"/>
    <n v="611702.01"/>
  </r>
  <r>
    <s v="ORD04152"/>
    <x v="206"/>
    <s v="C090"/>
    <x v="380"/>
    <x v="1"/>
    <x v="7"/>
    <x v="7"/>
    <x v="3"/>
    <x v="4067"/>
    <n v="26.9"/>
    <n v="559412.4"/>
  </r>
  <r>
    <s v="ORD04153"/>
    <x v="468"/>
    <s v="C331"/>
    <x v="167"/>
    <x v="1"/>
    <x v="8"/>
    <x v="8"/>
    <x v="3"/>
    <x v="4068"/>
    <n v="42.09"/>
    <n v="613419.66"/>
  </r>
  <r>
    <s v="ORD04154"/>
    <x v="640"/>
    <s v="C201"/>
    <x v="359"/>
    <x v="2"/>
    <x v="6"/>
    <x v="6"/>
    <x v="0"/>
    <x v="4069"/>
    <n v="48.53"/>
    <n v="704461.48"/>
  </r>
  <r>
    <s v="ORD04155"/>
    <x v="475"/>
    <s v="C140"/>
    <x v="393"/>
    <x v="3"/>
    <x v="47"/>
    <x v="47"/>
    <x v="2"/>
    <x v="4070"/>
    <n v="9.33"/>
    <n v="804068.73"/>
  </r>
  <r>
    <s v="ORD04156"/>
    <x v="17"/>
    <s v="C272"/>
    <x v="98"/>
    <x v="0"/>
    <x v="0"/>
    <x v="0"/>
    <x v="0"/>
    <x v="4071"/>
    <n v="29.94"/>
    <n v="2105171.2200000002"/>
  </r>
  <r>
    <s v="ORD04157"/>
    <x v="172"/>
    <s v="C400"/>
    <x v="376"/>
    <x v="2"/>
    <x v="42"/>
    <x v="42"/>
    <x v="1"/>
    <x v="4072"/>
    <n v="38.26"/>
    <n v="1811496.22"/>
  </r>
  <r>
    <s v="ORD04158"/>
    <x v="424"/>
    <s v="C271"/>
    <x v="4"/>
    <x v="1"/>
    <x v="43"/>
    <x v="43"/>
    <x v="4"/>
    <x v="4073"/>
    <n v="36.35"/>
    <n v="537289.35"/>
  </r>
  <r>
    <s v="ORD04159"/>
    <x v="303"/>
    <s v="C334"/>
    <x v="135"/>
    <x v="3"/>
    <x v="5"/>
    <x v="5"/>
    <x v="3"/>
    <x v="4074"/>
    <n v="24.64"/>
    <n v="1575432.32"/>
  </r>
  <r>
    <s v="ORD04160"/>
    <x v="347"/>
    <s v="C434"/>
    <x v="266"/>
    <x v="1"/>
    <x v="13"/>
    <x v="13"/>
    <x v="2"/>
    <x v="4075"/>
    <n v="45.5"/>
    <n v="1444443"/>
  </r>
  <r>
    <s v="ORD04161"/>
    <x v="494"/>
    <s v="C365"/>
    <x v="155"/>
    <x v="4"/>
    <x v="43"/>
    <x v="43"/>
    <x v="4"/>
    <x v="4076"/>
    <n v="13.02"/>
    <n v="577866.66"/>
  </r>
  <r>
    <s v="ORD04162"/>
    <x v="572"/>
    <s v="C169"/>
    <x v="375"/>
    <x v="0"/>
    <x v="2"/>
    <x v="2"/>
    <x v="1"/>
    <x v="4077"/>
    <n v="11.68"/>
    <n v="303551.52"/>
  </r>
  <r>
    <s v="ORD04163"/>
    <x v="359"/>
    <s v="C326"/>
    <x v="209"/>
    <x v="0"/>
    <x v="49"/>
    <x v="49"/>
    <x v="3"/>
    <x v="4078"/>
    <n v="11.94"/>
    <n v="513646.86"/>
  </r>
  <r>
    <s v="ORD04164"/>
    <x v="241"/>
    <s v="C255"/>
    <x v="143"/>
    <x v="0"/>
    <x v="42"/>
    <x v="42"/>
    <x v="1"/>
    <x v="4079"/>
    <n v="29.19"/>
    <n v="1054517.94"/>
  </r>
  <r>
    <s v="ORD04165"/>
    <x v="410"/>
    <s v="C360"/>
    <x v="92"/>
    <x v="3"/>
    <x v="31"/>
    <x v="31"/>
    <x v="0"/>
    <x v="4080"/>
    <n v="30.95"/>
    <n v="315225.75"/>
  </r>
  <r>
    <s v="ORD04166"/>
    <x v="244"/>
    <s v="C210"/>
    <x v="247"/>
    <x v="4"/>
    <x v="25"/>
    <x v="25"/>
    <x v="4"/>
    <x v="4081"/>
    <n v="28.66"/>
    <n v="2787987.48"/>
  </r>
  <r>
    <s v="ORD04167"/>
    <x v="409"/>
    <s v="C383"/>
    <x v="232"/>
    <x v="0"/>
    <x v="47"/>
    <x v="47"/>
    <x v="2"/>
    <x v="4082"/>
    <n v="7.24"/>
    <n v="430070.48"/>
  </r>
  <r>
    <s v="ORD04168"/>
    <x v="118"/>
    <s v="C004"/>
    <x v="181"/>
    <x v="3"/>
    <x v="4"/>
    <x v="4"/>
    <x v="1"/>
    <x v="4083"/>
    <n v="33.56"/>
    <n v="2580730.44"/>
  </r>
  <r>
    <s v="ORD04169"/>
    <x v="98"/>
    <s v="C170"/>
    <x v="493"/>
    <x v="4"/>
    <x v="28"/>
    <x v="28"/>
    <x v="3"/>
    <x v="3168"/>
    <n v="29.65"/>
    <n v="665583.19999999995"/>
  </r>
  <r>
    <s v="ORD04170"/>
    <x v="481"/>
    <s v="C009"/>
    <x v="42"/>
    <x v="1"/>
    <x v="28"/>
    <x v="28"/>
    <x v="3"/>
    <x v="4084"/>
    <n v="48.82"/>
    <n v="2685002.36"/>
  </r>
  <r>
    <s v="ORD04171"/>
    <x v="690"/>
    <s v="C465"/>
    <x v="140"/>
    <x v="2"/>
    <x v="26"/>
    <x v="26"/>
    <x v="0"/>
    <x v="4085"/>
    <n v="25.56"/>
    <n v="1286971.56"/>
  </r>
  <r>
    <s v="ORD04172"/>
    <x v="411"/>
    <s v="C165"/>
    <x v="219"/>
    <x v="1"/>
    <x v="12"/>
    <x v="12"/>
    <x v="4"/>
    <x v="4086"/>
    <n v="15.02"/>
    <n v="986063"/>
  </r>
  <r>
    <s v="ORD04173"/>
    <x v="460"/>
    <s v="C137"/>
    <x v="182"/>
    <x v="4"/>
    <x v="13"/>
    <x v="13"/>
    <x v="2"/>
    <x v="4087"/>
    <n v="46.11"/>
    <n v="469538.13"/>
  </r>
  <r>
    <s v="ORD04174"/>
    <x v="466"/>
    <s v="C488"/>
    <x v="312"/>
    <x v="1"/>
    <x v="6"/>
    <x v="6"/>
    <x v="0"/>
    <x v="4088"/>
    <n v="22.11"/>
    <n v="1120446.3600000001"/>
  </r>
  <r>
    <s v="ORD04175"/>
    <x v="281"/>
    <s v="C304"/>
    <x v="381"/>
    <x v="3"/>
    <x v="14"/>
    <x v="14"/>
    <x v="2"/>
    <x v="4089"/>
    <n v="21.01"/>
    <n v="857670.22"/>
  </r>
  <r>
    <s v="ORD04176"/>
    <x v="16"/>
    <s v="C045"/>
    <x v="174"/>
    <x v="2"/>
    <x v="10"/>
    <x v="10"/>
    <x v="3"/>
    <x v="4090"/>
    <n v="32.29"/>
    <n v="1111809.28"/>
  </r>
  <r>
    <s v="ORD04177"/>
    <x v="529"/>
    <s v="C124"/>
    <x v="54"/>
    <x v="1"/>
    <x v="29"/>
    <x v="29"/>
    <x v="0"/>
    <x v="4091"/>
    <n v="13.02"/>
    <n v="51767.519999999997"/>
  </r>
  <r>
    <s v="ORD04178"/>
    <x v="206"/>
    <s v="C448"/>
    <x v="434"/>
    <x v="0"/>
    <x v="42"/>
    <x v="42"/>
    <x v="1"/>
    <x v="4092"/>
    <n v="34.71"/>
    <n v="1278161.04"/>
  </r>
  <r>
    <s v="ORD04179"/>
    <x v="588"/>
    <s v="C067"/>
    <x v="109"/>
    <x v="2"/>
    <x v="7"/>
    <x v="7"/>
    <x v="3"/>
    <x v="4093"/>
    <n v="5.32"/>
    <n v="48678"/>
  </r>
  <r>
    <s v="ORD04180"/>
    <x v="664"/>
    <s v="C286"/>
    <x v="116"/>
    <x v="3"/>
    <x v="15"/>
    <x v="15"/>
    <x v="2"/>
    <x v="4094"/>
    <n v="8.2100000000000009"/>
    <n v="745812.82"/>
  </r>
  <r>
    <s v="ORD04181"/>
    <x v="53"/>
    <s v="C064"/>
    <x v="387"/>
    <x v="2"/>
    <x v="7"/>
    <x v="7"/>
    <x v="3"/>
    <x v="4095"/>
    <n v="34.78"/>
    <n v="302864.24"/>
  </r>
  <r>
    <s v="ORD04182"/>
    <x v="399"/>
    <s v="C323"/>
    <x v="343"/>
    <x v="2"/>
    <x v="35"/>
    <x v="35"/>
    <x v="1"/>
    <x v="4096"/>
    <n v="48.46"/>
    <n v="4699311.58"/>
  </r>
  <r>
    <s v="ORD04183"/>
    <x v="299"/>
    <s v="C396"/>
    <x v="427"/>
    <x v="3"/>
    <x v="33"/>
    <x v="33"/>
    <x v="1"/>
    <x v="4097"/>
    <n v="25.97"/>
    <n v="1266556.8999999999"/>
  </r>
  <r>
    <s v="ORD04184"/>
    <x v="637"/>
    <s v="C377"/>
    <x v="165"/>
    <x v="4"/>
    <x v="1"/>
    <x v="1"/>
    <x v="1"/>
    <x v="4098"/>
    <n v="8.1999999999999993"/>
    <n v="220555.4"/>
  </r>
  <r>
    <s v="ORD04185"/>
    <x v="427"/>
    <s v="C430"/>
    <x v="363"/>
    <x v="4"/>
    <x v="40"/>
    <x v="40"/>
    <x v="0"/>
    <x v="4099"/>
    <n v="44.89"/>
    <n v="1696078.87"/>
  </r>
  <r>
    <s v="ORD04186"/>
    <x v="694"/>
    <s v="C195"/>
    <x v="85"/>
    <x v="4"/>
    <x v="14"/>
    <x v="14"/>
    <x v="2"/>
    <x v="4100"/>
    <n v="20.81"/>
    <n v="2042376.64"/>
  </r>
  <r>
    <s v="ORD04187"/>
    <x v="183"/>
    <s v="C327"/>
    <x v="368"/>
    <x v="1"/>
    <x v="28"/>
    <x v="28"/>
    <x v="3"/>
    <x v="4101"/>
    <n v="12.08"/>
    <n v="1013669.04"/>
  </r>
  <r>
    <s v="ORD04188"/>
    <x v="593"/>
    <s v="C011"/>
    <x v="28"/>
    <x v="4"/>
    <x v="25"/>
    <x v="25"/>
    <x v="4"/>
    <x v="4102"/>
    <n v="19.670000000000002"/>
    <n v="250143.39"/>
  </r>
  <r>
    <s v="ORD04189"/>
    <x v="230"/>
    <s v="C377"/>
    <x v="165"/>
    <x v="4"/>
    <x v="26"/>
    <x v="26"/>
    <x v="0"/>
    <x v="4103"/>
    <n v="24.29"/>
    <n v="536031.72"/>
  </r>
  <r>
    <s v="ORD04190"/>
    <x v="536"/>
    <s v="C490"/>
    <x v="141"/>
    <x v="2"/>
    <x v="44"/>
    <x v="44"/>
    <x v="2"/>
    <x v="4104"/>
    <n v="10.28"/>
    <n v="328497.40000000002"/>
  </r>
  <r>
    <s v="ORD04191"/>
    <x v="135"/>
    <s v="C330"/>
    <x v="48"/>
    <x v="2"/>
    <x v="34"/>
    <x v="34"/>
    <x v="2"/>
    <x v="4105"/>
    <n v="7.28"/>
    <n v="166682.88"/>
  </r>
  <r>
    <s v="ORD04192"/>
    <x v="360"/>
    <s v="C382"/>
    <x v="136"/>
    <x v="3"/>
    <x v="30"/>
    <x v="30"/>
    <x v="4"/>
    <x v="4106"/>
    <n v="5.34"/>
    <n v="444069.06"/>
  </r>
  <r>
    <s v="ORD04193"/>
    <x v="271"/>
    <s v="C092"/>
    <x v="405"/>
    <x v="0"/>
    <x v="11"/>
    <x v="11"/>
    <x v="4"/>
    <x v="4107"/>
    <n v="10.47"/>
    <n v="11757.81"/>
  </r>
  <r>
    <s v="ORD04194"/>
    <x v="281"/>
    <s v="C469"/>
    <x v="498"/>
    <x v="0"/>
    <x v="4"/>
    <x v="4"/>
    <x v="1"/>
    <x v="4108"/>
    <n v="16.34"/>
    <n v="1448671.72"/>
  </r>
  <r>
    <s v="ORD04195"/>
    <x v="101"/>
    <s v="C454"/>
    <x v="345"/>
    <x v="3"/>
    <x v="45"/>
    <x v="45"/>
    <x v="3"/>
    <x v="976"/>
    <n v="49.7"/>
    <n v="4033403.5"/>
  </r>
  <r>
    <s v="ORD04196"/>
    <x v="459"/>
    <s v="C171"/>
    <x v="423"/>
    <x v="0"/>
    <x v="36"/>
    <x v="36"/>
    <x v="4"/>
    <x v="802"/>
    <n v="3.41"/>
    <n v="196705.85"/>
  </r>
  <r>
    <s v="ORD04197"/>
    <x v="478"/>
    <s v="C010"/>
    <x v="220"/>
    <x v="3"/>
    <x v="12"/>
    <x v="12"/>
    <x v="4"/>
    <x v="4109"/>
    <n v="39.880000000000003"/>
    <n v="2997739.72"/>
  </r>
  <r>
    <s v="ORD04198"/>
    <x v="286"/>
    <s v="C129"/>
    <x v="334"/>
    <x v="3"/>
    <x v="41"/>
    <x v="41"/>
    <x v="4"/>
    <x v="4110"/>
    <n v="49.78"/>
    <n v="2560334.7400000002"/>
  </r>
  <r>
    <s v="ORD04199"/>
    <x v="454"/>
    <s v="C284"/>
    <x v="287"/>
    <x v="4"/>
    <x v="43"/>
    <x v="43"/>
    <x v="4"/>
    <x v="4111"/>
    <n v="4.42"/>
    <n v="270137.14"/>
  </r>
  <r>
    <s v="ORD04200"/>
    <x v="372"/>
    <s v="C179"/>
    <x v="377"/>
    <x v="3"/>
    <x v="43"/>
    <x v="43"/>
    <x v="4"/>
    <x v="4112"/>
    <n v="18.88"/>
    <n v="1080275.8400000001"/>
  </r>
  <r>
    <s v="ORD04201"/>
    <x v="157"/>
    <s v="C065"/>
    <x v="13"/>
    <x v="2"/>
    <x v="0"/>
    <x v="0"/>
    <x v="0"/>
    <x v="4113"/>
    <n v="10.89"/>
    <n v="1059836.58"/>
  </r>
  <r>
    <s v="ORD04202"/>
    <x v="145"/>
    <s v="C431"/>
    <x v="367"/>
    <x v="2"/>
    <x v="46"/>
    <x v="46"/>
    <x v="0"/>
    <x v="4114"/>
    <n v="17.510000000000002"/>
    <n v="995776.19"/>
  </r>
  <r>
    <s v="ORD04203"/>
    <x v="592"/>
    <s v="C148"/>
    <x v="365"/>
    <x v="1"/>
    <x v="14"/>
    <x v="14"/>
    <x v="2"/>
    <x v="4115"/>
    <n v="33.79"/>
    <n v="3304999.9"/>
  </r>
  <r>
    <s v="ORD04204"/>
    <x v="513"/>
    <s v="C027"/>
    <x v="289"/>
    <x v="1"/>
    <x v="27"/>
    <x v="27"/>
    <x v="4"/>
    <x v="4116"/>
    <n v="19.739999999999998"/>
    <n v="869803.62"/>
  </r>
  <r>
    <s v="ORD04205"/>
    <x v="484"/>
    <s v="C238"/>
    <x v="450"/>
    <x v="4"/>
    <x v="15"/>
    <x v="15"/>
    <x v="2"/>
    <x v="4117"/>
    <n v="19.57"/>
    <n v="753934.25"/>
  </r>
  <r>
    <s v="ORD04206"/>
    <x v="242"/>
    <s v="C181"/>
    <x v="93"/>
    <x v="0"/>
    <x v="43"/>
    <x v="43"/>
    <x v="4"/>
    <x v="4118"/>
    <n v="42.96"/>
    <n v="401847.84"/>
  </r>
  <r>
    <s v="ORD04207"/>
    <x v="16"/>
    <s v="C408"/>
    <x v="45"/>
    <x v="4"/>
    <x v="41"/>
    <x v="41"/>
    <x v="4"/>
    <x v="4119"/>
    <n v="2.04"/>
    <n v="165095.16"/>
  </r>
  <r>
    <s v="ORD04208"/>
    <x v="494"/>
    <s v="C076"/>
    <x v="206"/>
    <x v="2"/>
    <x v="18"/>
    <x v="18"/>
    <x v="0"/>
    <x v="4120"/>
    <n v="38.119999999999997"/>
    <n v="3306414.44"/>
  </r>
  <r>
    <s v="ORD04209"/>
    <x v="220"/>
    <s v="C250"/>
    <x v="64"/>
    <x v="1"/>
    <x v="15"/>
    <x v="15"/>
    <x v="2"/>
    <x v="4121"/>
    <n v="6.91"/>
    <n v="419899.97"/>
  </r>
  <r>
    <s v="ORD04210"/>
    <x v="377"/>
    <s v="C178"/>
    <x v="245"/>
    <x v="0"/>
    <x v="40"/>
    <x v="40"/>
    <x v="0"/>
    <x v="4122"/>
    <n v="10.48"/>
    <n v="447946.64"/>
  </r>
  <r>
    <s v="ORD04211"/>
    <x v="525"/>
    <s v="C237"/>
    <x v="482"/>
    <x v="0"/>
    <x v="14"/>
    <x v="14"/>
    <x v="2"/>
    <x v="4123"/>
    <n v="46.86"/>
    <n v="1129841.46"/>
  </r>
  <r>
    <s v="ORD04212"/>
    <x v="176"/>
    <s v="C165"/>
    <x v="219"/>
    <x v="1"/>
    <x v="32"/>
    <x v="32"/>
    <x v="4"/>
    <x v="4124"/>
    <n v="20.22"/>
    <n v="688450.56000000006"/>
  </r>
  <r>
    <s v="ORD04213"/>
    <x v="291"/>
    <s v="C366"/>
    <x v="447"/>
    <x v="3"/>
    <x v="47"/>
    <x v="47"/>
    <x v="2"/>
    <x v="4125"/>
    <n v="41.38"/>
    <n v="3186756.56"/>
  </r>
  <r>
    <s v="ORD04214"/>
    <x v="87"/>
    <s v="C223"/>
    <x v="358"/>
    <x v="1"/>
    <x v="32"/>
    <x v="32"/>
    <x v="4"/>
    <x v="4126"/>
    <n v="22.4"/>
    <n v="2163840"/>
  </r>
  <r>
    <s v="ORD04215"/>
    <x v="699"/>
    <s v="C422"/>
    <x v="415"/>
    <x v="4"/>
    <x v="24"/>
    <x v="24"/>
    <x v="3"/>
    <x v="4127"/>
    <n v="45.78"/>
    <n v="3913182.84"/>
  </r>
  <r>
    <s v="ORD04216"/>
    <x v="330"/>
    <s v="C056"/>
    <x v="273"/>
    <x v="0"/>
    <x v="35"/>
    <x v="35"/>
    <x v="1"/>
    <x v="4128"/>
    <n v="14.79"/>
    <n v="1161562.23"/>
  </r>
  <r>
    <s v="ORD04217"/>
    <x v="646"/>
    <s v="C243"/>
    <x v="353"/>
    <x v="0"/>
    <x v="19"/>
    <x v="19"/>
    <x v="3"/>
    <x v="4129"/>
    <n v="24.18"/>
    <n v="862234.62"/>
  </r>
  <r>
    <s v="ORD04218"/>
    <x v="551"/>
    <s v="C355"/>
    <x v="81"/>
    <x v="2"/>
    <x v="24"/>
    <x v="24"/>
    <x v="3"/>
    <x v="4130"/>
    <n v="28.58"/>
    <n v="2008973.94"/>
  </r>
  <r>
    <s v="ORD04219"/>
    <x v="466"/>
    <s v="C261"/>
    <x v="390"/>
    <x v="2"/>
    <x v="23"/>
    <x v="23"/>
    <x v="0"/>
    <x v="1586"/>
    <n v="33.380000000000003"/>
    <n v="578108.22"/>
  </r>
  <r>
    <s v="ORD04220"/>
    <x v="45"/>
    <s v="C238"/>
    <x v="450"/>
    <x v="4"/>
    <x v="11"/>
    <x v="11"/>
    <x v="4"/>
    <x v="4131"/>
    <n v="21.13"/>
    <n v="960020.42"/>
  </r>
  <r>
    <s v="ORD04221"/>
    <x v="94"/>
    <s v="C127"/>
    <x v="180"/>
    <x v="3"/>
    <x v="25"/>
    <x v="25"/>
    <x v="4"/>
    <x v="4132"/>
    <n v="24.44"/>
    <n v="1313356.72"/>
  </r>
  <r>
    <s v="ORD04222"/>
    <x v="705"/>
    <s v="C083"/>
    <x v="130"/>
    <x v="3"/>
    <x v="5"/>
    <x v="5"/>
    <x v="3"/>
    <x v="4133"/>
    <n v="44.61"/>
    <n v="1750496.4"/>
  </r>
  <r>
    <s v="ORD04223"/>
    <x v="503"/>
    <s v="C073"/>
    <x v="395"/>
    <x v="3"/>
    <x v="0"/>
    <x v="0"/>
    <x v="0"/>
    <x v="4134"/>
    <n v="43.23"/>
    <n v="3381364.14"/>
  </r>
  <r>
    <s v="ORD04224"/>
    <x v="465"/>
    <s v="C493"/>
    <x v="354"/>
    <x v="4"/>
    <x v="37"/>
    <x v="37"/>
    <x v="1"/>
    <x v="4135"/>
    <n v="40.799999999999997"/>
    <n v="208080"/>
  </r>
  <r>
    <s v="ORD04225"/>
    <x v="541"/>
    <s v="C078"/>
    <x v="41"/>
    <x v="4"/>
    <x v="11"/>
    <x v="11"/>
    <x v="4"/>
    <x v="4136"/>
    <n v="29.9"/>
    <n v="1681247.1"/>
  </r>
  <r>
    <s v="ORD04226"/>
    <x v="183"/>
    <s v="C432"/>
    <x v="14"/>
    <x v="0"/>
    <x v="0"/>
    <x v="0"/>
    <x v="0"/>
    <x v="4137"/>
    <n v="17.489999999999998"/>
    <n v="493130.55"/>
  </r>
  <r>
    <s v="ORD04227"/>
    <x v="168"/>
    <s v="C496"/>
    <x v="82"/>
    <x v="0"/>
    <x v="7"/>
    <x v="7"/>
    <x v="3"/>
    <x v="4138"/>
    <n v="27.83"/>
    <n v="970710.4"/>
  </r>
  <r>
    <s v="ORD04228"/>
    <x v="500"/>
    <s v="C187"/>
    <x v="108"/>
    <x v="3"/>
    <x v="11"/>
    <x v="11"/>
    <x v="4"/>
    <x v="4139"/>
    <n v="33.93"/>
    <n v="982850.31"/>
  </r>
  <r>
    <s v="ORD04229"/>
    <x v="597"/>
    <s v="C120"/>
    <x v="445"/>
    <x v="2"/>
    <x v="49"/>
    <x v="49"/>
    <x v="3"/>
    <x v="4140"/>
    <n v="35.17"/>
    <n v="1675252.61"/>
  </r>
  <r>
    <s v="ORD04230"/>
    <x v="342"/>
    <s v="C295"/>
    <x v="485"/>
    <x v="4"/>
    <x v="33"/>
    <x v="33"/>
    <x v="1"/>
    <x v="4141"/>
    <n v="13.2"/>
    <n v="953290.8"/>
  </r>
  <r>
    <s v="ORD04231"/>
    <x v="543"/>
    <s v="C029"/>
    <x v="30"/>
    <x v="4"/>
    <x v="34"/>
    <x v="34"/>
    <x v="2"/>
    <x v="682"/>
    <n v="12.93"/>
    <n v="782950.29"/>
  </r>
  <r>
    <s v="ORD04232"/>
    <x v="719"/>
    <s v="C208"/>
    <x v="53"/>
    <x v="1"/>
    <x v="11"/>
    <x v="11"/>
    <x v="4"/>
    <x v="4142"/>
    <n v="35.729999999999997"/>
    <n v="2688861.15"/>
  </r>
  <r>
    <s v="ORD04233"/>
    <x v="703"/>
    <s v="C122"/>
    <x v="297"/>
    <x v="4"/>
    <x v="36"/>
    <x v="36"/>
    <x v="4"/>
    <x v="4143"/>
    <n v="9.5399999999999991"/>
    <n v="291122.64"/>
  </r>
  <r>
    <s v="ORD04234"/>
    <x v="476"/>
    <s v="C129"/>
    <x v="334"/>
    <x v="3"/>
    <x v="32"/>
    <x v="32"/>
    <x v="4"/>
    <x v="4144"/>
    <n v="3.28"/>
    <n v="191105.92000000001"/>
  </r>
  <r>
    <s v="ORD04235"/>
    <x v="578"/>
    <s v="C237"/>
    <x v="482"/>
    <x v="0"/>
    <x v="31"/>
    <x v="31"/>
    <x v="0"/>
    <x v="4145"/>
    <n v="48.87"/>
    <n v="3202744.3199999998"/>
  </r>
  <r>
    <s v="ORD04236"/>
    <x v="123"/>
    <s v="C061"/>
    <x v="178"/>
    <x v="2"/>
    <x v="40"/>
    <x v="40"/>
    <x v="0"/>
    <x v="4146"/>
    <n v="16.98"/>
    <n v="546008.88"/>
  </r>
  <r>
    <s v="ORD04237"/>
    <x v="370"/>
    <s v="C462"/>
    <x v="477"/>
    <x v="2"/>
    <x v="15"/>
    <x v="15"/>
    <x v="2"/>
    <x v="4147"/>
    <n v="29.81"/>
    <n v="1684145.76"/>
  </r>
  <r>
    <s v="ORD04238"/>
    <x v="596"/>
    <s v="C001"/>
    <x v="488"/>
    <x v="4"/>
    <x v="49"/>
    <x v="49"/>
    <x v="3"/>
    <x v="4148"/>
    <n v="15.86"/>
    <n v="1445686.58"/>
  </r>
  <r>
    <s v="ORD04239"/>
    <x v="629"/>
    <s v="C458"/>
    <x v="103"/>
    <x v="1"/>
    <x v="2"/>
    <x v="2"/>
    <x v="1"/>
    <x v="4149"/>
    <n v="27.38"/>
    <n v="707417.06"/>
  </r>
  <r>
    <s v="ORD04240"/>
    <x v="675"/>
    <s v="C099"/>
    <x v="302"/>
    <x v="2"/>
    <x v="10"/>
    <x v="10"/>
    <x v="3"/>
    <x v="4150"/>
    <n v="24.85"/>
    <n v="2388755.9500000002"/>
  </r>
  <r>
    <s v="ORD04241"/>
    <x v="261"/>
    <s v="C077"/>
    <x v="426"/>
    <x v="0"/>
    <x v="10"/>
    <x v="10"/>
    <x v="3"/>
    <x v="4151"/>
    <n v="37.520000000000003"/>
    <n v="3272494.4"/>
  </r>
  <r>
    <s v="ORD04242"/>
    <x v="246"/>
    <s v="C355"/>
    <x v="81"/>
    <x v="2"/>
    <x v="33"/>
    <x v="33"/>
    <x v="1"/>
    <x v="4152"/>
    <n v="22.53"/>
    <n v="2131338"/>
  </r>
  <r>
    <s v="ORD04243"/>
    <x v="630"/>
    <s v="C001"/>
    <x v="488"/>
    <x v="4"/>
    <x v="9"/>
    <x v="9"/>
    <x v="4"/>
    <x v="4153"/>
    <n v="44.21"/>
    <n v="1572240.23"/>
  </r>
  <r>
    <s v="ORD04244"/>
    <x v="671"/>
    <s v="C365"/>
    <x v="155"/>
    <x v="4"/>
    <x v="46"/>
    <x v="46"/>
    <x v="0"/>
    <x v="4154"/>
    <n v="35.03"/>
    <n v="474306.2"/>
  </r>
  <r>
    <s v="ORD04245"/>
    <x v="355"/>
    <s v="C030"/>
    <x v="468"/>
    <x v="4"/>
    <x v="4"/>
    <x v="4"/>
    <x v="1"/>
    <x v="4155"/>
    <n v="46.63"/>
    <n v="4463936.53"/>
  </r>
  <r>
    <s v="ORD04246"/>
    <x v="254"/>
    <s v="C184"/>
    <x v="125"/>
    <x v="2"/>
    <x v="25"/>
    <x v="25"/>
    <x v="4"/>
    <x v="4156"/>
    <n v="49.47"/>
    <n v="3991981.65"/>
  </r>
  <r>
    <s v="ORD04247"/>
    <x v="413"/>
    <s v="C365"/>
    <x v="155"/>
    <x v="4"/>
    <x v="43"/>
    <x v="43"/>
    <x v="4"/>
    <x v="4157"/>
    <n v="28.33"/>
    <n v="967866.12"/>
  </r>
  <r>
    <s v="ORD04248"/>
    <x v="545"/>
    <s v="C161"/>
    <x v="169"/>
    <x v="1"/>
    <x v="23"/>
    <x v="23"/>
    <x v="0"/>
    <x v="4158"/>
    <n v="16.510000000000002"/>
    <n v="279497.78999999998"/>
  </r>
  <r>
    <s v="ORD04249"/>
    <x v="335"/>
    <s v="C101"/>
    <x v="120"/>
    <x v="4"/>
    <x v="6"/>
    <x v="6"/>
    <x v="0"/>
    <x v="4159"/>
    <n v="41.76"/>
    <n v="320716.79999999999"/>
  </r>
  <r>
    <s v="ORD04250"/>
    <x v="640"/>
    <s v="C107"/>
    <x v="324"/>
    <x v="1"/>
    <x v="19"/>
    <x v="19"/>
    <x v="3"/>
    <x v="4160"/>
    <n v="2.85"/>
    <n v="135429.15"/>
  </r>
  <r>
    <s v="ORD04251"/>
    <x v="163"/>
    <s v="C342"/>
    <x v="258"/>
    <x v="4"/>
    <x v="34"/>
    <x v="34"/>
    <x v="2"/>
    <x v="4161"/>
    <n v="49.62"/>
    <n v="1539162.78"/>
  </r>
  <r>
    <s v="ORD04252"/>
    <x v="104"/>
    <s v="C353"/>
    <x v="472"/>
    <x v="0"/>
    <x v="42"/>
    <x v="42"/>
    <x v="1"/>
    <x v="4162"/>
    <n v="27.43"/>
    <n v="891118.41"/>
  </r>
  <r>
    <s v="ORD04253"/>
    <x v="247"/>
    <s v="C339"/>
    <x v="330"/>
    <x v="3"/>
    <x v="3"/>
    <x v="3"/>
    <x v="2"/>
    <x v="4163"/>
    <n v="29.14"/>
    <n v="1997692.7"/>
  </r>
  <r>
    <s v="ORD04254"/>
    <x v="591"/>
    <s v="C425"/>
    <x v="144"/>
    <x v="1"/>
    <x v="34"/>
    <x v="34"/>
    <x v="2"/>
    <x v="4164"/>
    <n v="25.89"/>
    <n v="2308093.5"/>
  </r>
  <r>
    <s v="ORD04255"/>
    <x v="23"/>
    <s v="C499"/>
    <x v="100"/>
    <x v="0"/>
    <x v="25"/>
    <x v="25"/>
    <x v="4"/>
    <x v="4165"/>
    <n v="11.31"/>
    <n v="793566.15"/>
  </r>
  <r>
    <s v="ORD04256"/>
    <x v="703"/>
    <s v="C155"/>
    <x v="407"/>
    <x v="1"/>
    <x v="5"/>
    <x v="5"/>
    <x v="3"/>
    <x v="4166"/>
    <n v="42.27"/>
    <n v="849204.3"/>
  </r>
  <r>
    <s v="ORD04257"/>
    <x v="87"/>
    <s v="C356"/>
    <x v="416"/>
    <x v="1"/>
    <x v="48"/>
    <x v="48"/>
    <x v="2"/>
    <x v="4167"/>
    <n v="33.700000000000003"/>
    <n v="2277850.4"/>
  </r>
  <r>
    <s v="ORD04258"/>
    <x v="603"/>
    <s v="C283"/>
    <x v="478"/>
    <x v="0"/>
    <x v="38"/>
    <x v="38"/>
    <x v="2"/>
    <x v="4168"/>
    <n v="5.74"/>
    <n v="424381.16"/>
  </r>
  <r>
    <s v="ORD04259"/>
    <x v="155"/>
    <s v="C390"/>
    <x v="233"/>
    <x v="2"/>
    <x v="31"/>
    <x v="31"/>
    <x v="0"/>
    <x v="4169"/>
    <n v="29.79"/>
    <n v="1052063.6399999999"/>
  </r>
  <r>
    <s v="ORD04260"/>
    <x v="107"/>
    <s v="C052"/>
    <x v="212"/>
    <x v="4"/>
    <x v="13"/>
    <x v="13"/>
    <x v="2"/>
    <x v="4170"/>
    <n v="43.49"/>
    <n v="1153006.8799999999"/>
  </r>
  <r>
    <s v="ORD04261"/>
    <x v="47"/>
    <s v="C173"/>
    <x v="342"/>
    <x v="2"/>
    <x v="49"/>
    <x v="49"/>
    <x v="3"/>
    <x v="4171"/>
    <n v="7.76"/>
    <n v="234965.04"/>
  </r>
  <r>
    <s v="ORD04262"/>
    <x v="562"/>
    <s v="C095"/>
    <x v="236"/>
    <x v="0"/>
    <x v="30"/>
    <x v="30"/>
    <x v="4"/>
    <x v="4172"/>
    <n v="13.44"/>
    <n v="113393.28"/>
  </r>
  <r>
    <s v="ORD04263"/>
    <x v="467"/>
    <s v="C139"/>
    <x v="385"/>
    <x v="2"/>
    <x v="46"/>
    <x v="46"/>
    <x v="0"/>
    <x v="4173"/>
    <n v="20.94"/>
    <n v="163687.98000000001"/>
  </r>
  <r>
    <s v="ORD04264"/>
    <x v="203"/>
    <s v="C280"/>
    <x v="244"/>
    <x v="1"/>
    <x v="7"/>
    <x v="7"/>
    <x v="3"/>
    <x v="4174"/>
    <n v="48.6"/>
    <n v="2247215.4"/>
  </r>
  <r>
    <s v="ORD04265"/>
    <x v="150"/>
    <s v="C214"/>
    <x v="463"/>
    <x v="2"/>
    <x v="35"/>
    <x v="35"/>
    <x v="1"/>
    <x v="4175"/>
    <n v="44.43"/>
    <n v="3953425.83"/>
  </r>
  <r>
    <s v="ORD04266"/>
    <x v="437"/>
    <s v="C363"/>
    <x v="72"/>
    <x v="4"/>
    <x v="20"/>
    <x v="20"/>
    <x v="1"/>
    <x v="4176"/>
    <n v="23.09"/>
    <n v="2014925.76"/>
  </r>
  <r>
    <s v="ORD04267"/>
    <x v="359"/>
    <s v="C183"/>
    <x v="89"/>
    <x v="0"/>
    <x v="26"/>
    <x v="26"/>
    <x v="0"/>
    <x v="3378"/>
    <n v="28.78"/>
    <n v="719845.36"/>
  </r>
  <r>
    <s v="ORD04268"/>
    <x v="533"/>
    <s v="C476"/>
    <x v="201"/>
    <x v="3"/>
    <x v="36"/>
    <x v="36"/>
    <x v="4"/>
    <x v="4177"/>
    <n v="23.06"/>
    <n v="1003548.14"/>
  </r>
  <r>
    <s v="ORD04269"/>
    <x v="229"/>
    <s v="C061"/>
    <x v="178"/>
    <x v="2"/>
    <x v="10"/>
    <x v="10"/>
    <x v="3"/>
    <x v="4178"/>
    <n v="14.42"/>
    <n v="1233746.3600000001"/>
  </r>
  <r>
    <s v="ORD04270"/>
    <x v="15"/>
    <s v="C480"/>
    <x v="331"/>
    <x v="3"/>
    <x v="44"/>
    <x v="44"/>
    <x v="2"/>
    <x v="4179"/>
    <n v="28.24"/>
    <n v="1551449.12"/>
  </r>
  <r>
    <s v="ORD04271"/>
    <x v="586"/>
    <s v="C220"/>
    <x v="157"/>
    <x v="0"/>
    <x v="11"/>
    <x v="11"/>
    <x v="4"/>
    <x v="4180"/>
    <n v="39"/>
    <n v="521235"/>
  </r>
  <r>
    <s v="ORD04272"/>
    <x v="268"/>
    <s v="C081"/>
    <x v="456"/>
    <x v="3"/>
    <x v="19"/>
    <x v="19"/>
    <x v="3"/>
    <x v="4181"/>
    <n v="44.82"/>
    <n v="1138562.46"/>
  </r>
  <r>
    <s v="ORD04273"/>
    <x v="164"/>
    <s v="C277"/>
    <x v="158"/>
    <x v="3"/>
    <x v="13"/>
    <x v="13"/>
    <x v="2"/>
    <x v="4182"/>
    <n v="15.43"/>
    <n v="534063.16"/>
  </r>
  <r>
    <s v="ORD04274"/>
    <x v="209"/>
    <s v="C384"/>
    <x v="187"/>
    <x v="4"/>
    <x v="39"/>
    <x v="39"/>
    <x v="3"/>
    <x v="4183"/>
    <n v="38.270000000000003"/>
    <n v="3823517.43"/>
  </r>
  <r>
    <s v="ORD04275"/>
    <x v="336"/>
    <s v="C003"/>
    <x v="133"/>
    <x v="1"/>
    <x v="32"/>
    <x v="32"/>
    <x v="4"/>
    <x v="4184"/>
    <n v="15.74"/>
    <n v="1177273.3"/>
  </r>
  <r>
    <s v="ORD04276"/>
    <x v="74"/>
    <s v="C193"/>
    <x v="127"/>
    <x v="4"/>
    <x v="29"/>
    <x v="29"/>
    <x v="0"/>
    <x v="4185"/>
    <n v="6.24"/>
    <n v="237581.76"/>
  </r>
  <r>
    <s v="ORD04277"/>
    <x v="605"/>
    <s v="C081"/>
    <x v="456"/>
    <x v="3"/>
    <x v="10"/>
    <x v="10"/>
    <x v="3"/>
    <x v="4186"/>
    <n v="46.47"/>
    <n v="1058818.95"/>
  </r>
  <r>
    <s v="ORD04278"/>
    <x v="634"/>
    <s v="C001"/>
    <x v="488"/>
    <x v="4"/>
    <x v="15"/>
    <x v="15"/>
    <x v="2"/>
    <x v="4187"/>
    <n v="10.84"/>
    <n v="776555.92"/>
  </r>
  <r>
    <s v="ORD04279"/>
    <x v="10"/>
    <s v="C193"/>
    <x v="127"/>
    <x v="4"/>
    <x v="2"/>
    <x v="2"/>
    <x v="1"/>
    <x v="4188"/>
    <n v="40.520000000000003"/>
    <n v="3696031.8"/>
  </r>
  <r>
    <s v="ORD04280"/>
    <x v="726"/>
    <s v="C056"/>
    <x v="273"/>
    <x v="0"/>
    <x v="38"/>
    <x v="38"/>
    <x v="2"/>
    <x v="4189"/>
    <n v="40.76"/>
    <n v="1004448.68"/>
  </r>
  <r>
    <s v="ORD04281"/>
    <x v="450"/>
    <s v="C344"/>
    <x v="307"/>
    <x v="4"/>
    <x v="30"/>
    <x v="30"/>
    <x v="4"/>
    <x v="4190"/>
    <n v="33.92"/>
    <n v="3279758.72"/>
  </r>
  <r>
    <s v="ORD04282"/>
    <x v="35"/>
    <s v="C051"/>
    <x v="66"/>
    <x v="4"/>
    <x v="21"/>
    <x v="21"/>
    <x v="2"/>
    <x v="4191"/>
    <n v="7.26"/>
    <n v="274631.28000000003"/>
  </r>
  <r>
    <s v="ORD04283"/>
    <x v="562"/>
    <s v="C120"/>
    <x v="445"/>
    <x v="2"/>
    <x v="16"/>
    <x v="16"/>
    <x v="1"/>
    <x v="4192"/>
    <n v="24.1"/>
    <n v="2338567.6"/>
  </r>
  <r>
    <s v="ORD04284"/>
    <x v="356"/>
    <s v="C332"/>
    <x v="242"/>
    <x v="2"/>
    <x v="24"/>
    <x v="24"/>
    <x v="3"/>
    <x v="4193"/>
    <n v="2.64"/>
    <n v="185650.08"/>
  </r>
  <r>
    <s v="ORD04285"/>
    <x v="383"/>
    <s v="C457"/>
    <x v="196"/>
    <x v="3"/>
    <x v="5"/>
    <x v="5"/>
    <x v="3"/>
    <x v="4194"/>
    <n v="46.91"/>
    <n v="650641.69999999995"/>
  </r>
  <r>
    <s v="ORD04286"/>
    <x v="35"/>
    <s v="C394"/>
    <x v="213"/>
    <x v="0"/>
    <x v="32"/>
    <x v="32"/>
    <x v="4"/>
    <x v="4195"/>
    <n v="11.79"/>
    <n v="960071.49"/>
  </r>
  <r>
    <s v="ORD04287"/>
    <x v="103"/>
    <s v="C286"/>
    <x v="116"/>
    <x v="3"/>
    <x v="13"/>
    <x v="13"/>
    <x v="2"/>
    <x v="4196"/>
    <n v="43.14"/>
    <n v="652708.19999999995"/>
  </r>
  <r>
    <s v="ORD04288"/>
    <x v="723"/>
    <s v="C312"/>
    <x v="231"/>
    <x v="1"/>
    <x v="7"/>
    <x v="7"/>
    <x v="3"/>
    <x v="4197"/>
    <n v="26.56"/>
    <n v="1355569.28"/>
  </r>
  <r>
    <s v="ORD04289"/>
    <x v="208"/>
    <s v="C265"/>
    <x v="382"/>
    <x v="4"/>
    <x v="19"/>
    <x v="19"/>
    <x v="3"/>
    <x v="4198"/>
    <n v="10.23"/>
    <n v="644755.98"/>
  </r>
  <r>
    <s v="ORD04290"/>
    <x v="678"/>
    <s v="C334"/>
    <x v="135"/>
    <x v="3"/>
    <x v="4"/>
    <x v="4"/>
    <x v="1"/>
    <x v="4199"/>
    <n v="18.23"/>
    <n v="1216542.5900000001"/>
  </r>
  <r>
    <s v="ORD04291"/>
    <x v="683"/>
    <s v="C018"/>
    <x v="332"/>
    <x v="3"/>
    <x v="32"/>
    <x v="32"/>
    <x v="4"/>
    <x v="4200"/>
    <n v="7.48"/>
    <n v="92340.6"/>
  </r>
  <r>
    <s v="ORD04292"/>
    <x v="614"/>
    <s v="C277"/>
    <x v="158"/>
    <x v="3"/>
    <x v="10"/>
    <x v="10"/>
    <x v="3"/>
    <x v="4201"/>
    <n v="22.25"/>
    <n v="1277528.25"/>
  </r>
  <r>
    <s v="ORD04293"/>
    <x v="34"/>
    <s v="C229"/>
    <x v="46"/>
    <x v="1"/>
    <x v="46"/>
    <x v="46"/>
    <x v="0"/>
    <x v="4202"/>
    <n v="2.37"/>
    <n v="232968.63"/>
  </r>
  <r>
    <s v="ORD04294"/>
    <x v="12"/>
    <s v="C303"/>
    <x v="262"/>
    <x v="0"/>
    <x v="40"/>
    <x v="40"/>
    <x v="0"/>
    <x v="4203"/>
    <n v="37.450000000000003"/>
    <n v="2647864.7999999998"/>
  </r>
  <r>
    <s v="ORD04295"/>
    <x v="301"/>
    <s v="C379"/>
    <x v="494"/>
    <x v="2"/>
    <x v="32"/>
    <x v="32"/>
    <x v="4"/>
    <x v="1607"/>
    <n v="38.01"/>
    <n v="1749296.22"/>
  </r>
  <r>
    <s v="ORD04296"/>
    <x v="74"/>
    <s v="C029"/>
    <x v="30"/>
    <x v="4"/>
    <x v="43"/>
    <x v="43"/>
    <x v="4"/>
    <x v="1033"/>
    <n v="35.94"/>
    <n v="3475577.7"/>
  </r>
  <r>
    <s v="ORD04297"/>
    <x v="154"/>
    <s v="C412"/>
    <x v="22"/>
    <x v="2"/>
    <x v="46"/>
    <x v="46"/>
    <x v="0"/>
    <x v="4204"/>
    <n v="38.19"/>
    <n v="644799.96"/>
  </r>
  <r>
    <s v="ORD04298"/>
    <x v="624"/>
    <s v="C448"/>
    <x v="434"/>
    <x v="0"/>
    <x v="34"/>
    <x v="34"/>
    <x v="2"/>
    <x v="4205"/>
    <n v="12.36"/>
    <n v="408460.92"/>
  </r>
  <r>
    <s v="ORD04299"/>
    <x v="321"/>
    <s v="C485"/>
    <x v="374"/>
    <x v="0"/>
    <x v="10"/>
    <x v="10"/>
    <x v="3"/>
    <x v="3989"/>
    <n v="3.73"/>
    <n v="27400.58"/>
  </r>
  <r>
    <s v="ORD04300"/>
    <x v="384"/>
    <s v="C197"/>
    <x v="437"/>
    <x v="1"/>
    <x v="10"/>
    <x v="10"/>
    <x v="3"/>
    <x v="4206"/>
    <n v="38.07"/>
    <n v="2270418.66"/>
  </r>
  <r>
    <s v="ORD04301"/>
    <x v="354"/>
    <s v="C235"/>
    <x v="199"/>
    <x v="0"/>
    <x v="10"/>
    <x v="10"/>
    <x v="3"/>
    <x v="4207"/>
    <n v="33.630000000000003"/>
    <n v="998844.63"/>
  </r>
  <r>
    <s v="ORD04302"/>
    <x v="487"/>
    <s v="C056"/>
    <x v="273"/>
    <x v="0"/>
    <x v="9"/>
    <x v="9"/>
    <x v="4"/>
    <x v="4208"/>
    <n v="21.57"/>
    <n v="1659401.67"/>
  </r>
  <r>
    <s v="ORD04303"/>
    <x v="181"/>
    <s v="C266"/>
    <x v="99"/>
    <x v="0"/>
    <x v="42"/>
    <x v="42"/>
    <x v="1"/>
    <x v="4209"/>
    <n v="44.85"/>
    <n v="958040.85"/>
  </r>
  <r>
    <s v="ORD04304"/>
    <x v="538"/>
    <s v="C497"/>
    <x v="215"/>
    <x v="1"/>
    <x v="11"/>
    <x v="11"/>
    <x v="4"/>
    <x v="4210"/>
    <n v="12.53"/>
    <n v="803486.25"/>
  </r>
  <r>
    <s v="ORD04305"/>
    <x v="530"/>
    <s v="C157"/>
    <x v="327"/>
    <x v="4"/>
    <x v="36"/>
    <x v="36"/>
    <x v="4"/>
    <x v="4211"/>
    <n v="49.85"/>
    <n v="1751629.3"/>
  </r>
  <r>
    <s v="ORD04306"/>
    <x v="638"/>
    <s v="C243"/>
    <x v="353"/>
    <x v="0"/>
    <x v="23"/>
    <x v="23"/>
    <x v="0"/>
    <x v="4212"/>
    <n v="10.59"/>
    <n v="932449.5"/>
  </r>
  <r>
    <s v="ORD04307"/>
    <x v="409"/>
    <s v="C189"/>
    <x v="253"/>
    <x v="0"/>
    <x v="38"/>
    <x v="38"/>
    <x v="2"/>
    <x v="4213"/>
    <n v="44.41"/>
    <n v="2213927.3199999998"/>
  </r>
  <r>
    <s v="ORD04308"/>
    <x v="570"/>
    <s v="C487"/>
    <x v="436"/>
    <x v="0"/>
    <x v="8"/>
    <x v="8"/>
    <x v="3"/>
    <x v="4214"/>
    <n v="23.46"/>
    <n v="2345319.66"/>
  </r>
  <r>
    <s v="ORD04309"/>
    <x v="504"/>
    <s v="C492"/>
    <x v="299"/>
    <x v="3"/>
    <x v="27"/>
    <x v="27"/>
    <x v="4"/>
    <x v="4215"/>
    <n v="27.52"/>
    <n v="31455.360000000001"/>
  </r>
  <r>
    <s v="ORD04310"/>
    <x v="304"/>
    <s v="C378"/>
    <x v="216"/>
    <x v="2"/>
    <x v="4"/>
    <x v="4"/>
    <x v="1"/>
    <x v="4216"/>
    <n v="38.549999999999997"/>
    <n v="50346.3"/>
  </r>
  <r>
    <s v="ORD04311"/>
    <x v="129"/>
    <s v="C341"/>
    <x v="104"/>
    <x v="0"/>
    <x v="14"/>
    <x v="14"/>
    <x v="2"/>
    <x v="4217"/>
    <n v="13.08"/>
    <n v="423007.2"/>
  </r>
  <r>
    <s v="ORD04312"/>
    <x v="661"/>
    <s v="C457"/>
    <x v="196"/>
    <x v="3"/>
    <x v="34"/>
    <x v="34"/>
    <x v="2"/>
    <x v="4218"/>
    <n v="49.44"/>
    <n v="3161144.16"/>
  </r>
  <r>
    <s v="ORD04313"/>
    <x v="323"/>
    <s v="C422"/>
    <x v="415"/>
    <x v="4"/>
    <x v="35"/>
    <x v="35"/>
    <x v="1"/>
    <x v="4219"/>
    <n v="28.8"/>
    <n v="2733004.7999999998"/>
  </r>
  <r>
    <s v="ORD04314"/>
    <x v="661"/>
    <s v="C043"/>
    <x v="499"/>
    <x v="4"/>
    <x v="49"/>
    <x v="49"/>
    <x v="3"/>
    <x v="4220"/>
    <n v="36.28"/>
    <n v="3604998.48"/>
  </r>
  <r>
    <s v="ORD04315"/>
    <x v="724"/>
    <s v="C333"/>
    <x v="189"/>
    <x v="0"/>
    <x v="12"/>
    <x v="12"/>
    <x v="4"/>
    <x v="4221"/>
    <n v="14.8"/>
    <n v="205246.4"/>
  </r>
  <r>
    <s v="ORD04316"/>
    <x v="715"/>
    <s v="C404"/>
    <x v="378"/>
    <x v="3"/>
    <x v="26"/>
    <x v="26"/>
    <x v="0"/>
    <x v="4222"/>
    <n v="8.8000000000000007"/>
    <n v="71860.800000000003"/>
  </r>
  <r>
    <s v="ORD04317"/>
    <x v="184"/>
    <s v="C035"/>
    <x v="325"/>
    <x v="1"/>
    <x v="0"/>
    <x v="0"/>
    <x v="0"/>
    <x v="4223"/>
    <n v="34.56"/>
    <n v="683354.88"/>
  </r>
  <r>
    <s v="ORD04318"/>
    <x v="573"/>
    <s v="C217"/>
    <x v="145"/>
    <x v="4"/>
    <x v="30"/>
    <x v="30"/>
    <x v="4"/>
    <x v="4224"/>
    <n v="20.13"/>
    <n v="562774.41"/>
  </r>
  <r>
    <s v="ORD04319"/>
    <x v="22"/>
    <s v="C278"/>
    <x v="227"/>
    <x v="1"/>
    <x v="4"/>
    <x v="4"/>
    <x v="1"/>
    <x v="4225"/>
    <n v="20.49"/>
    <n v="1859344.56"/>
  </r>
  <r>
    <s v="ORD04320"/>
    <x v="481"/>
    <s v="C036"/>
    <x v="40"/>
    <x v="3"/>
    <x v="7"/>
    <x v="7"/>
    <x v="3"/>
    <x v="4226"/>
    <n v="42.92"/>
    <n v="2187847"/>
  </r>
  <r>
    <s v="ORD04321"/>
    <x v="473"/>
    <s v="C043"/>
    <x v="499"/>
    <x v="4"/>
    <x v="42"/>
    <x v="42"/>
    <x v="1"/>
    <x v="4227"/>
    <n v="41.14"/>
    <n v="107663.38"/>
  </r>
  <r>
    <s v="ORD04322"/>
    <x v="122"/>
    <s v="C308"/>
    <x v="149"/>
    <x v="4"/>
    <x v="45"/>
    <x v="45"/>
    <x v="3"/>
    <x v="4228"/>
    <n v="37.270000000000003"/>
    <n v="1828503.47"/>
  </r>
  <r>
    <s v="ORD04323"/>
    <x v="524"/>
    <s v="C057"/>
    <x v="161"/>
    <x v="4"/>
    <x v="28"/>
    <x v="28"/>
    <x v="3"/>
    <x v="4229"/>
    <n v="15.82"/>
    <n v="1259082.1599999999"/>
  </r>
  <r>
    <s v="ORD04324"/>
    <x v="323"/>
    <s v="C382"/>
    <x v="136"/>
    <x v="3"/>
    <x v="42"/>
    <x v="42"/>
    <x v="1"/>
    <x v="4230"/>
    <n v="29.82"/>
    <n v="2040045.84"/>
  </r>
  <r>
    <s v="ORD04325"/>
    <x v="409"/>
    <s v="C111"/>
    <x v="286"/>
    <x v="0"/>
    <x v="20"/>
    <x v="20"/>
    <x v="1"/>
    <x v="4231"/>
    <n v="15.01"/>
    <n v="1349714.21"/>
  </r>
  <r>
    <s v="ORD04326"/>
    <x v="360"/>
    <s v="C271"/>
    <x v="4"/>
    <x v="1"/>
    <x v="14"/>
    <x v="14"/>
    <x v="2"/>
    <x v="4232"/>
    <n v="36.36"/>
    <n v="877003.2"/>
  </r>
  <r>
    <s v="ORD04327"/>
    <x v="603"/>
    <s v="C004"/>
    <x v="181"/>
    <x v="3"/>
    <x v="16"/>
    <x v="16"/>
    <x v="1"/>
    <x v="4233"/>
    <n v="46.19"/>
    <n v="3355749.69"/>
  </r>
  <r>
    <s v="ORD04328"/>
    <x v="123"/>
    <s v="C131"/>
    <x v="449"/>
    <x v="1"/>
    <x v="25"/>
    <x v="25"/>
    <x v="4"/>
    <x v="4234"/>
    <n v="36.159999999999997"/>
    <n v="2963782.08"/>
  </r>
  <r>
    <s v="ORD04329"/>
    <x v="194"/>
    <s v="C262"/>
    <x v="123"/>
    <x v="1"/>
    <x v="31"/>
    <x v="31"/>
    <x v="0"/>
    <x v="4235"/>
    <n v="24.9"/>
    <n v="1946408.1"/>
  </r>
  <r>
    <s v="ORD04330"/>
    <x v="441"/>
    <s v="C154"/>
    <x v="496"/>
    <x v="0"/>
    <x v="32"/>
    <x v="32"/>
    <x v="4"/>
    <x v="4236"/>
    <n v="12.4"/>
    <n v="571801.19999999995"/>
  </r>
  <r>
    <s v="ORD04331"/>
    <x v="395"/>
    <s v="C417"/>
    <x v="417"/>
    <x v="2"/>
    <x v="12"/>
    <x v="12"/>
    <x v="4"/>
    <x v="4237"/>
    <n v="15.12"/>
    <n v="773372.88"/>
  </r>
  <r>
    <s v="ORD04332"/>
    <x v="642"/>
    <s v="C058"/>
    <x v="479"/>
    <x v="2"/>
    <x v="9"/>
    <x v="9"/>
    <x v="4"/>
    <x v="4238"/>
    <n v="42.74"/>
    <n v="3049584.48"/>
  </r>
  <r>
    <s v="ORD04333"/>
    <x v="11"/>
    <s v="C256"/>
    <x v="397"/>
    <x v="1"/>
    <x v="48"/>
    <x v="48"/>
    <x v="2"/>
    <x v="4239"/>
    <n v="22.77"/>
    <n v="193089.6"/>
  </r>
  <r>
    <s v="ORD04334"/>
    <x v="419"/>
    <s v="C268"/>
    <x v="313"/>
    <x v="0"/>
    <x v="42"/>
    <x v="42"/>
    <x v="1"/>
    <x v="4240"/>
    <n v="27.64"/>
    <n v="1215220.24"/>
  </r>
  <r>
    <s v="ORD04335"/>
    <x v="188"/>
    <s v="C289"/>
    <x v="408"/>
    <x v="1"/>
    <x v="6"/>
    <x v="6"/>
    <x v="0"/>
    <x v="4241"/>
    <n v="26.18"/>
    <n v="983137.54"/>
  </r>
  <r>
    <s v="ORD04336"/>
    <x v="526"/>
    <s v="C182"/>
    <x v="159"/>
    <x v="1"/>
    <x v="27"/>
    <x v="27"/>
    <x v="4"/>
    <x v="4242"/>
    <n v="31.71"/>
    <n v="1570374.33"/>
  </r>
  <r>
    <s v="ORD04337"/>
    <x v="302"/>
    <s v="C137"/>
    <x v="182"/>
    <x v="4"/>
    <x v="36"/>
    <x v="36"/>
    <x v="4"/>
    <x v="4243"/>
    <n v="32.04"/>
    <n v="1742591.52"/>
  </r>
  <r>
    <s v="ORD04338"/>
    <x v="439"/>
    <s v="C327"/>
    <x v="368"/>
    <x v="1"/>
    <x v="36"/>
    <x v="36"/>
    <x v="4"/>
    <x v="4244"/>
    <n v="14.01"/>
    <n v="948617.1"/>
  </r>
  <r>
    <s v="ORD04339"/>
    <x v="399"/>
    <s v="C294"/>
    <x v="484"/>
    <x v="4"/>
    <x v="43"/>
    <x v="43"/>
    <x v="4"/>
    <x v="4245"/>
    <n v="8.42"/>
    <n v="357563.72"/>
  </r>
  <r>
    <s v="ORD04340"/>
    <x v="343"/>
    <s v="C177"/>
    <x v="183"/>
    <x v="1"/>
    <x v="12"/>
    <x v="12"/>
    <x v="4"/>
    <x v="4246"/>
    <n v="29.12"/>
    <n v="2711654.3999999999"/>
  </r>
  <r>
    <s v="ORD04341"/>
    <x v="602"/>
    <s v="C221"/>
    <x v="176"/>
    <x v="2"/>
    <x v="22"/>
    <x v="22"/>
    <x v="0"/>
    <x v="4247"/>
    <n v="23.91"/>
    <n v="2248137.75"/>
  </r>
  <r>
    <s v="ORD04342"/>
    <x v="566"/>
    <s v="C449"/>
    <x v="277"/>
    <x v="0"/>
    <x v="5"/>
    <x v="5"/>
    <x v="3"/>
    <x v="4248"/>
    <n v="25.29"/>
    <n v="1558445.67"/>
  </r>
  <r>
    <s v="ORD04343"/>
    <x v="498"/>
    <s v="C286"/>
    <x v="116"/>
    <x v="3"/>
    <x v="38"/>
    <x v="38"/>
    <x v="2"/>
    <x v="4249"/>
    <n v="14.8"/>
    <n v="1213008"/>
  </r>
  <r>
    <s v="ORD04344"/>
    <x v="223"/>
    <s v="C386"/>
    <x v="272"/>
    <x v="0"/>
    <x v="20"/>
    <x v="20"/>
    <x v="1"/>
    <x v="4250"/>
    <n v="37.200000000000003"/>
    <n v="1951437.6"/>
  </r>
  <r>
    <s v="ORD04345"/>
    <x v="445"/>
    <s v="C021"/>
    <x v="333"/>
    <x v="2"/>
    <x v="35"/>
    <x v="35"/>
    <x v="1"/>
    <x v="4251"/>
    <n v="15.45"/>
    <n v="632244.9"/>
  </r>
  <r>
    <s v="ORD04346"/>
    <x v="516"/>
    <s v="C437"/>
    <x v="195"/>
    <x v="2"/>
    <x v="35"/>
    <x v="35"/>
    <x v="1"/>
    <x v="4252"/>
    <n v="45.17"/>
    <n v="2481775.31"/>
  </r>
  <r>
    <s v="ORD04347"/>
    <x v="412"/>
    <s v="C444"/>
    <x v="6"/>
    <x v="1"/>
    <x v="8"/>
    <x v="8"/>
    <x v="3"/>
    <x v="4253"/>
    <n v="19.2"/>
    <n v="1676640"/>
  </r>
  <r>
    <s v="ORD04348"/>
    <x v="587"/>
    <s v="C158"/>
    <x v="117"/>
    <x v="3"/>
    <x v="27"/>
    <x v="27"/>
    <x v="4"/>
    <x v="3456"/>
    <n v="10.15"/>
    <n v="449218.7"/>
  </r>
  <r>
    <s v="ORD04349"/>
    <x v="513"/>
    <s v="C352"/>
    <x v="162"/>
    <x v="2"/>
    <x v="13"/>
    <x v="13"/>
    <x v="2"/>
    <x v="4254"/>
    <n v="38.51"/>
    <n v="3665266.27"/>
  </r>
  <r>
    <s v="ORD04350"/>
    <x v="565"/>
    <s v="C268"/>
    <x v="313"/>
    <x v="0"/>
    <x v="8"/>
    <x v="8"/>
    <x v="3"/>
    <x v="4255"/>
    <n v="36.49"/>
    <n v="2501498.9700000002"/>
  </r>
  <r>
    <s v="ORD04351"/>
    <x v="147"/>
    <s v="C365"/>
    <x v="155"/>
    <x v="4"/>
    <x v="0"/>
    <x v="0"/>
    <x v="0"/>
    <x v="4256"/>
    <n v="24.95"/>
    <n v="289120.59999999998"/>
  </r>
  <r>
    <s v="ORD04352"/>
    <x v="517"/>
    <s v="C210"/>
    <x v="247"/>
    <x v="4"/>
    <x v="33"/>
    <x v="33"/>
    <x v="1"/>
    <x v="4257"/>
    <n v="34.68"/>
    <n v="494918.28"/>
  </r>
  <r>
    <s v="ORD04353"/>
    <x v="259"/>
    <s v="C162"/>
    <x v="344"/>
    <x v="0"/>
    <x v="27"/>
    <x v="27"/>
    <x v="4"/>
    <x v="4258"/>
    <n v="8.39"/>
    <n v="237546.07"/>
  </r>
  <r>
    <s v="ORD04354"/>
    <x v="239"/>
    <s v="C485"/>
    <x v="374"/>
    <x v="0"/>
    <x v="34"/>
    <x v="34"/>
    <x v="2"/>
    <x v="4259"/>
    <n v="16.690000000000001"/>
    <n v="445456.1"/>
  </r>
  <r>
    <s v="ORD04355"/>
    <x v="654"/>
    <s v="C135"/>
    <x v="67"/>
    <x v="1"/>
    <x v="38"/>
    <x v="38"/>
    <x v="2"/>
    <x v="4260"/>
    <n v="7.68"/>
    <n v="399782.40000000002"/>
  </r>
  <r>
    <s v="ORD04356"/>
    <x v="650"/>
    <s v="C066"/>
    <x v="237"/>
    <x v="4"/>
    <x v="2"/>
    <x v="2"/>
    <x v="1"/>
    <x v="4261"/>
    <n v="24.39"/>
    <n v="1194719.76"/>
  </r>
  <r>
    <s v="ORD04357"/>
    <x v="364"/>
    <s v="C438"/>
    <x v="475"/>
    <x v="1"/>
    <x v="30"/>
    <x v="30"/>
    <x v="4"/>
    <x v="4262"/>
    <n v="10.88"/>
    <n v="647327.36"/>
  </r>
  <r>
    <s v="ORD04358"/>
    <x v="144"/>
    <s v="C010"/>
    <x v="220"/>
    <x v="3"/>
    <x v="46"/>
    <x v="46"/>
    <x v="0"/>
    <x v="4263"/>
    <n v="41"/>
    <n v="2623139"/>
  </r>
  <r>
    <s v="ORD04359"/>
    <x v="714"/>
    <s v="C339"/>
    <x v="330"/>
    <x v="3"/>
    <x v="23"/>
    <x v="23"/>
    <x v="0"/>
    <x v="4264"/>
    <n v="11.04"/>
    <n v="863261.76"/>
  </r>
  <r>
    <s v="ORD04360"/>
    <x v="264"/>
    <s v="C199"/>
    <x v="419"/>
    <x v="3"/>
    <x v="46"/>
    <x v="46"/>
    <x v="0"/>
    <x v="4265"/>
    <n v="21.23"/>
    <n v="1286644.1499999999"/>
  </r>
  <r>
    <s v="ORD04361"/>
    <x v="699"/>
    <s v="C463"/>
    <x v="61"/>
    <x v="3"/>
    <x v="31"/>
    <x v="31"/>
    <x v="0"/>
    <x v="4266"/>
    <n v="14.1"/>
    <n v="1358140.2"/>
  </r>
  <r>
    <s v="ORD04362"/>
    <x v="320"/>
    <s v="C265"/>
    <x v="382"/>
    <x v="4"/>
    <x v="38"/>
    <x v="38"/>
    <x v="2"/>
    <x v="4267"/>
    <n v="2.64"/>
    <n v="160815.6"/>
  </r>
  <r>
    <s v="ORD04363"/>
    <x v="343"/>
    <s v="C001"/>
    <x v="488"/>
    <x v="4"/>
    <x v="47"/>
    <x v="47"/>
    <x v="2"/>
    <x v="4268"/>
    <n v="10.039999999999999"/>
    <n v="784836.84"/>
  </r>
  <r>
    <s v="ORD04364"/>
    <x v="618"/>
    <s v="C427"/>
    <x v="293"/>
    <x v="0"/>
    <x v="8"/>
    <x v="8"/>
    <x v="3"/>
    <x v="4269"/>
    <n v="48.47"/>
    <n v="1138899.5900000001"/>
  </r>
  <r>
    <s v="ORD04365"/>
    <x v="329"/>
    <s v="C451"/>
    <x v="225"/>
    <x v="1"/>
    <x v="40"/>
    <x v="40"/>
    <x v="0"/>
    <x v="4270"/>
    <n v="19.47"/>
    <n v="704989.23"/>
  </r>
  <r>
    <s v="ORD04366"/>
    <x v="26"/>
    <s v="C385"/>
    <x v="309"/>
    <x v="3"/>
    <x v="49"/>
    <x v="49"/>
    <x v="3"/>
    <x v="4271"/>
    <n v="37.79"/>
    <n v="2413760.67"/>
  </r>
  <r>
    <s v="ORD04367"/>
    <x v="152"/>
    <s v="C292"/>
    <x v="268"/>
    <x v="0"/>
    <x v="10"/>
    <x v="10"/>
    <x v="3"/>
    <x v="4272"/>
    <n v="29.22"/>
    <n v="2568438"/>
  </r>
  <r>
    <s v="ORD04368"/>
    <x v="728"/>
    <s v="C118"/>
    <x v="74"/>
    <x v="1"/>
    <x v="38"/>
    <x v="38"/>
    <x v="2"/>
    <x v="4273"/>
    <n v="11.07"/>
    <n v="327328.83"/>
  </r>
  <r>
    <s v="ORD04369"/>
    <x v="63"/>
    <s v="C322"/>
    <x v="238"/>
    <x v="2"/>
    <x v="27"/>
    <x v="27"/>
    <x v="4"/>
    <x v="4274"/>
    <n v="33.729999999999997"/>
    <n v="2293471.35"/>
  </r>
  <r>
    <s v="ORD04370"/>
    <x v="373"/>
    <s v="C331"/>
    <x v="167"/>
    <x v="1"/>
    <x v="8"/>
    <x v="8"/>
    <x v="3"/>
    <x v="4275"/>
    <n v="26.36"/>
    <n v="90731.12"/>
  </r>
  <r>
    <s v="ORD04371"/>
    <x v="506"/>
    <s v="C129"/>
    <x v="334"/>
    <x v="3"/>
    <x v="26"/>
    <x v="26"/>
    <x v="0"/>
    <x v="4276"/>
    <n v="48.31"/>
    <n v="1568770.63"/>
  </r>
  <r>
    <s v="ORD04372"/>
    <x v="601"/>
    <s v="C173"/>
    <x v="342"/>
    <x v="2"/>
    <x v="30"/>
    <x v="30"/>
    <x v="4"/>
    <x v="151"/>
    <n v="8.1"/>
    <n v="285768"/>
  </r>
  <r>
    <s v="ORD04373"/>
    <x v="596"/>
    <s v="C269"/>
    <x v="320"/>
    <x v="3"/>
    <x v="21"/>
    <x v="21"/>
    <x v="2"/>
    <x v="4277"/>
    <n v="18.05"/>
    <n v="1425751.45"/>
  </r>
  <r>
    <s v="ORD04374"/>
    <x v="716"/>
    <s v="C081"/>
    <x v="456"/>
    <x v="3"/>
    <x v="25"/>
    <x v="25"/>
    <x v="4"/>
    <x v="4278"/>
    <n v="10.81"/>
    <n v="593598.71999999997"/>
  </r>
  <r>
    <s v="ORD04375"/>
    <x v="524"/>
    <s v="C007"/>
    <x v="471"/>
    <x v="1"/>
    <x v="21"/>
    <x v="21"/>
    <x v="2"/>
    <x v="4279"/>
    <n v="44.65"/>
    <n v="3622990.3"/>
  </r>
  <r>
    <s v="ORD04376"/>
    <x v="353"/>
    <s v="C021"/>
    <x v="333"/>
    <x v="2"/>
    <x v="37"/>
    <x v="37"/>
    <x v="1"/>
    <x v="4280"/>
    <n v="23.62"/>
    <n v="43130.12"/>
  </r>
  <r>
    <s v="ORD04377"/>
    <x v="572"/>
    <s v="C227"/>
    <x v="278"/>
    <x v="2"/>
    <x v="25"/>
    <x v="25"/>
    <x v="4"/>
    <x v="4281"/>
    <n v="39.17"/>
    <n v="3373398.74"/>
  </r>
  <r>
    <s v="ORD04378"/>
    <x v="432"/>
    <s v="C274"/>
    <x v="461"/>
    <x v="4"/>
    <x v="21"/>
    <x v="21"/>
    <x v="2"/>
    <x v="4282"/>
    <n v="42.81"/>
    <n v="250053.21"/>
  </r>
  <r>
    <s v="ORD04379"/>
    <x v="536"/>
    <s v="C294"/>
    <x v="484"/>
    <x v="4"/>
    <x v="4"/>
    <x v="4"/>
    <x v="1"/>
    <x v="4283"/>
    <n v="26.95"/>
    <n v="1971392.5"/>
  </r>
  <r>
    <s v="ORD04380"/>
    <x v="634"/>
    <s v="C123"/>
    <x v="284"/>
    <x v="3"/>
    <x v="23"/>
    <x v="23"/>
    <x v="0"/>
    <x v="4284"/>
    <n v="10.91"/>
    <n v="935532.5"/>
  </r>
  <r>
    <s v="ORD04381"/>
    <x v="66"/>
    <s v="C112"/>
    <x v="77"/>
    <x v="1"/>
    <x v="32"/>
    <x v="32"/>
    <x v="4"/>
    <x v="4285"/>
    <n v="10.210000000000001"/>
    <n v="632386.98"/>
  </r>
  <r>
    <s v="ORD04382"/>
    <x v="515"/>
    <s v="C417"/>
    <x v="417"/>
    <x v="2"/>
    <x v="36"/>
    <x v="36"/>
    <x v="4"/>
    <x v="4286"/>
    <n v="40.049999999999997"/>
    <n v="859152.6"/>
  </r>
  <r>
    <s v="ORD04383"/>
    <x v="22"/>
    <s v="C022"/>
    <x v="303"/>
    <x v="3"/>
    <x v="44"/>
    <x v="44"/>
    <x v="2"/>
    <x v="4287"/>
    <n v="32.729999999999997"/>
    <n v="2732136.75"/>
  </r>
  <r>
    <s v="ORD04384"/>
    <x v="297"/>
    <s v="C321"/>
    <x v="455"/>
    <x v="2"/>
    <x v="16"/>
    <x v="16"/>
    <x v="1"/>
    <x v="4288"/>
    <n v="11.94"/>
    <n v="747312.66"/>
  </r>
  <r>
    <s v="ORD04385"/>
    <x v="196"/>
    <s v="C472"/>
    <x v="3"/>
    <x v="3"/>
    <x v="28"/>
    <x v="28"/>
    <x v="3"/>
    <x v="4289"/>
    <n v="16.54"/>
    <n v="923031.24"/>
  </r>
  <r>
    <s v="ORD04386"/>
    <x v="717"/>
    <s v="C144"/>
    <x v="470"/>
    <x v="4"/>
    <x v="2"/>
    <x v="2"/>
    <x v="1"/>
    <x v="2526"/>
    <n v="21.3"/>
    <n v="1351761.9"/>
  </r>
  <r>
    <s v="ORD04387"/>
    <x v="8"/>
    <s v="C323"/>
    <x v="343"/>
    <x v="2"/>
    <x v="22"/>
    <x v="22"/>
    <x v="0"/>
    <x v="4290"/>
    <n v="36.909999999999997"/>
    <n v="2034405.38"/>
  </r>
  <r>
    <s v="ORD04388"/>
    <x v="130"/>
    <s v="C402"/>
    <x v="16"/>
    <x v="3"/>
    <x v="28"/>
    <x v="28"/>
    <x v="3"/>
    <x v="4291"/>
    <n v="24.99"/>
    <n v="1343412.42"/>
  </r>
  <r>
    <s v="ORD04389"/>
    <x v="367"/>
    <s v="C371"/>
    <x v="355"/>
    <x v="2"/>
    <x v="12"/>
    <x v="12"/>
    <x v="4"/>
    <x v="4292"/>
    <n v="31.43"/>
    <n v="658364.21"/>
  </r>
  <r>
    <s v="ORD04390"/>
    <x v="30"/>
    <s v="C458"/>
    <x v="103"/>
    <x v="1"/>
    <x v="31"/>
    <x v="31"/>
    <x v="0"/>
    <x v="4293"/>
    <n v="21.72"/>
    <n v="1694898.48"/>
  </r>
  <r>
    <s v="ORD04391"/>
    <x v="100"/>
    <s v="C258"/>
    <x v="276"/>
    <x v="3"/>
    <x v="13"/>
    <x v="13"/>
    <x v="2"/>
    <x v="4294"/>
    <n v="41.29"/>
    <n v="2036629.25"/>
  </r>
  <r>
    <s v="ORD04392"/>
    <x v="698"/>
    <s v="C232"/>
    <x v="75"/>
    <x v="0"/>
    <x v="31"/>
    <x v="31"/>
    <x v="0"/>
    <x v="4295"/>
    <n v="6.38"/>
    <n v="261407.74"/>
  </r>
  <r>
    <s v="ORD04393"/>
    <x v="188"/>
    <s v="C445"/>
    <x v="248"/>
    <x v="3"/>
    <x v="7"/>
    <x v="7"/>
    <x v="3"/>
    <x v="4296"/>
    <n v="14.59"/>
    <n v="742280.84"/>
  </r>
  <r>
    <s v="ORD04394"/>
    <x v="35"/>
    <s v="C200"/>
    <x v="119"/>
    <x v="4"/>
    <x v="11"/>
    <x v="11"/>
    <x v="4"/>
    <x v="4297"/>
    <n v="8.16"/>
    <n v="54002.879999999997"/>
  </r>
  <r>
    <s v="ORD04395"/>
    <x v="491"/>
    <s v="C209"/>
    <x v="409"/>
    <x v="4"/>
    <x v="6"/>
    <x v="6"/>
    <x v="0"/>
    <x v="941"/>
    <n v="36.56"/>
    <n v="795326.24"/>
  </r>
  <r>
    <s v="ORD04396"/>
    <x v="207"/>
    <s v="C272"/>
    <x v="98"/>
    <x v="0"/>
    <x v="11"/>
    <x v="11"/>
    <x v="4"/>
    <x v="4298"/>
    <n v="29.32"/>
    <n v="2217471.6"/>
  </r>
  <r>
    <s v="ORD04397"/>
    <x v="295"/>
    <s v="C060"/>
    <x v="420"/>
    <x v="2"/>
    <x v="16"/>
    <x v="16"/>
    <x v="1"/>
    <x v="4299"/>
    <n v="4.68"/>
    <n v="122723.64"/>
  </r>
  <r>
    <s v="ORD04398"/>
    <x v="685"/>
    <s v="C437"/>
    <x v="195"/>
    <x v="2"/>
    <x v="36"/>
    <x v="36"/>
    <x v="4"/>
    <x v="4300"/>
    <n v="11.09"/>
    <n v="637907.89"/>
  </r>
  <r>
    <s v="ORD04399"/>
    <x v="84"/>
    <s v="C320"/>
    <x v="257"/>
    <x v="1"/>
    <x v="22"/>
    <x v="22"/>
    <x v="0"/>
    <x v="4301"/>
    <n v="30.73"/>
    <n v="1590584.8"/>
  </r>
  <r>
    <s v="ORD04400"/>
    <x v="135"/>
    <s v="C209"/>
    <x v="409"/>
    <x v="4"/>
    <x v="36"/>
    <x v="36"/>
    <x v="4"/>
    <x v="4302"/>
    <n v="47.63"/>
    <n v="3776677.96"/>
  </r>
  <r>
    <s v="ORD04401"/>
    <x v="606"/>
    <s v="C436"/>
    <x v="443"/>
    <x v="4"/>
    <x v="24"/>
    <x v="24"/>
    <x v="3"/>
    <x v="4303"/>
    <n v="24.35"/>
    <n v="1502321.95"/>
  </r>
  <r>
    <s v="ORD04402"/>
    <x v="383"/>
    <s v="C439"/>
    <x v="489"/>
    <x v="4"/>
    <x v="49"/>
    <x v="49"/>
    <x v="3"/>
    <x v="4304"/>
    <n v="46.63"/>
    <n v="853888.56"/>
  </r>
  <r>
    <s v="ORD04403"/>
    <x v="616"/>
    <s v="C296"/>
    <x v="321"/>
    <x v="3"/>
    <x v="17"/>
    <x v="17"/>
    <x v="1"/>
    <x v="4305"/>
    <n v="33.67"/>
    <n v="3057808.39"/>
  </r>
  <r>
    <s v="ORD04404"/>
    <x v="97"/>
    <s v="C054"/>
    <x v="129"/>
    <x v="3"/>
    <x v="40"/>
    <x v="40"/>
    <x v="0"/>
    <x v="4306"/>
    <n v="33.65"/>
    <n v="1272003.6499999999"/>
  </r>
  <r>
    <s v="ORD04405"/>
    <x v="192"/>
    <s v="C149"/>
    <x v="430"/>
    <x v="2"/>
    <x v="43"/>
    <x v="43"/>
    <x v="4"/>
    <x v="4307"/>
    <n v="42.59"/>
    <n v="467254.89"/>
  </r>
  <r>
    <s v="ORD04406"/>
    <x v="76"/>
    <s v="C341"/>
    <x v="104"/>
    <x v="0"/>
    <x v="39"/>
    <x v="39"/>
    <x v="3"/>
    <x v="4308"/>
    <n v="22.04"/>
    <n v="145728.48000000001"/>
  </r>
  <r>
    <s v="ORD04407"/>
    <x v="705"/>
    <s v="C114"/>
    <x v="370"/>
    <x v="1"/>
    <x v="47"/>
    <x v="47"/>
    <x v="2"/>
    <x v="4309"/>
    <n v="48.12"/>
    <n v="1059121.2"/>
  </r>
  <r>
    <s v="ORD04408"/>
    <x v="700"/>
    <s v="C357"/>
    <x v="357"/>
    <x v="4"/>
    <x v="43"/>
    <x v="43"/>
    <x v="4"/>
    <x v="4310"/>
    <n v="27.78"/>
    <n v="1647048.42"/>
  </r>
  <r>
    <s v="ORD04409"/>
    <x v="581"/>
    <s v="C229"/>
    <x v="46"/>
    <x v="1"/>
    <x v="20"/>
    <x v="20"/>
    <x v="1"/>
    <x v="4311"/>
    <n v="16.149999999999999"/>
    <n v="861441"/>
  </r>
  <r>
    <s v="ORD04410"/>
    <x v="198"/>
    <s v="C244"/>
    <x v="259"/>
    <x v="1"/>
    <x v="5"/>
    <x v="5"/>
    <x v="3"/>
    <x v="4312"/>
    <n v="23.92"/>
    <n v="1066927.68"/>
  </r>
  <r>
    <s v="ORD04411"/>
    <x v="535"/>
    <s v="C441"/>
    <x v="115"/>
    <x v="0"/>
    <x v="26"/>
    <x v="26"/>
    <x v="0"/>
    <x v="4313"/>
    <n v="46.84"/>
    <n v="911225.36"/>
  </r>
  <r>
    <s v="ORD04412"/>
    <x v="373"/>
    <s v="C156"/>
    <x v="27"/>
    <x v="0"/>
    <x v="20"/>
    <x v="20"/>
    <x v="1"/>
    <x v="4314"/>
    <n v="26.33"/>
    <n v="1883648.2"/>
  </r>
  <r>
    <s v="ORD04413"/>
    <x v="14"/>
    <s v="C158"/>
    <x v="117"/>
    <x v="3"/>
    <x v="33"/>
    <x v="33"/>
    <x v="1"/>
    <x v="4315"/>
    <n v="14.88"/>
    <n v="1161235.2"/>
  </r>
  <r>
    <s v="ORD04414"/>
    <x v="484"/>
    <s v="C022"/>
    <x v="303"/>
    <x v="3"/>
    <x v="43"/>
    <x v="43"/>
    <x v="4"/>
    <x v="4316"/>
    <n v="13.06"/>
    <n v="604390.68000000005"/>
  </r>
  <r>
    <s v="ORD04415"/>
    <x v="364"/>
    <s v="C266"/>
    <x v="99"/>
    <x v="0"/>
    <x v="2"/>
    <x v="2"/>
    <x v="1"/>
    <x v="4317"/>
    <n v="9.19"/>
    <n v="320262.31"/>
  </r>
  <r>
    <s v="ORD04416"/>
    <x v="212"/>
    <s v="C043"/>
    <x v="499"/>
    <x v="4"/>
    <x v="31"/>
    <x v="31"/>
    <x v="0"/>
    <x v="4318"/>
    <n v="32.130000000000003"/>
    <n v="1055470.5"/>
  </r>
  <r>
    <s v="ORD04417"/>
    <x v="413"/>
    <s v="C491"/>
    <x v="32"/>
    <x v="0"/>
    <x v="4"/>
    <x v="4"/>
    <x v="1"/>
    <x v="4319"/>
    <n v="37.76"/>
    <n v="3429854.08"/>
  </r>
  <r>
    <s v="ORD04418"/>
    <x v="362"/>
    <s v="C480"/>
    <x v="331"/>
    <x v="3"/>
    <x v="46"/>
    <x v="46"/>
    <x v="0"/>
    <x v="4320"/>
    <n v="49.87"/>
    <n v="1891220.01"/>
  </r>
  <r>
    <s v="ORD04419"/>
    <x v="319"/>
    <s v="C247"/>
    <x v="433"/>
    <x v="4"/>
    <x v="46"/>
    <x v="46"/>
    <x v="0"/>
    <x v="4321"/>
    <n v="5.46"/>
    <n v="26781.3"/>
  </r>
  <r>
    <s v="ORD04420"/>
    <x v="529"/>
    <s v="C270"/>
    <x v="391"/>
    <x v="4"/>
    <x v="8"/>
    <x v="8"/>
    <x v="3"/>
    <x v="4322"/>
    <n v="33.700000000000003"/>
    <n v="1514208.4"/>
  </r>
  <r>
    <s v="ORD04421"/>
    <x v="325"/>
    <s v="C159"/>
    <x v="243"/>
    <x v="0"/>
    <x v="8"/>
    <x v="8"/>
    <x v="3"/>
    <x v="4323"/>
    <n v="42.74"/>
    <n v="1506114.86"/>
  </r>
  <r>
    <s v="ORD04422"/>
    <x v="408"/>
    <s v="C493"/>
    <x v="354"/>
    <x v="4"/>
    <x v="2"/>
    <x v="2"/>
    <x v="1"/>
    <x v="4324"/>
    <n v="29.11"/>
    <n v="570323.12"/>
  </r>
  <r>
    <s v="ORD04423"/>
    <x v="520"/>
    <s v="C095"/>
    <x v="236"/>
    <x v="0"/>
    <x v="2"/>
    <x v="2"/>
    <x v="1"/>
    <x v="2698"/>
    <n v="11.44"/>
    <n v="145425.28"/>
  </r>
  <r>
    <s v="ORD04424"/>
    <x v="352"/>
    <s v="C096"/>
    <x v="454"/>
    <x v="1"/>
    <x v="20"/>
    <x v="20"/>
    <x v="1"/>
    <x v="4325"/>
    <n v="5.72"/>
    <n v="274113.84000000003"/>
  </r>
  <r>
    <s v="ORD04425"/>
    <x v="559"/>
    <s v="C049"/>
    <x v="384"/>
    <x v="2"/>
    <x v="6"/>
    <x v="6"/>
    <x v="0"/>
    <x v="3784"/>
    <n v="27.63"/>
    <n v="939834.45"/>
  </r>
  <r>
    <s v="ORD04426"/>
    <x v="261"/>
    <s v="C083"/>
    <x v="130"/>
    <x v="3"/>
    <x v="43"/>
    <x v="43"/>
    <x v="4"/>
    <x v="4326"/>
    <n v="13.52"/>
    <n v="172745.04"/>
  </r>
  <r>
    <s v="ORD04427"/>
    <x v="152"/>
    <s v="C330"/>
    <x v="48"/>
    <x v="2"/>
    <x v="41"/>
    <x v="41"/>
    <x v="4"/>
    <x v="4327"/>
    <n v="13.89"/>
    <n v="471412.71"/>
  </r>
  <r>
    <s v="ORD04428"/>
    <x v="55"/>
    <s v="C117"/>
    <x v="441"/>
    <x v="2"/>
    <x v="11"/>
    <x v="11"/>
    <x v="4"/>
    <x v="4328"/>
    <n v="8.9700000000000006"/>
    <n v="704198.82"/>
  </r>
  <r>
    <s v="ORD04429"/>
    <x v="345"/>
    <s v="C343"/>
    <x v="229"/>
    <x v="1"/>
    <x v="30"/>
    <x v="30"/>
    <x v="4"/>
    <x v="4329"/>
    <n v="47.1"/>
    <n v="1397786.7"/>
  </r>
  <r>
    <s v="ORD04430"/>
    <x v="642"/>
    <s v="C216"/>
    <x v="47"/>
    <x v="1"/>
    <x v="12"/>
    <x v="12"/>
    <x v="4"/>
    <x v="4330"/>
    <n v="14.5"/>
    <n v="421109"/>
  </r>
  <r>
    <s v="ORD04431"/>
    <x v="341"/>
    <s v="C165"/>
    <x v="219"/>
    <x v="1"/>
    <x v="28"/>
    <x v="28"/>
    <x v="3"/>
    <x v="4331"/>
    <n v="10.56"/>
    <n v="633082.56000000006"/>
  </r>
  <r>
    <s v="ORD04432"/>
    <x v="37"/>
    <s v="C422"/>
    <x v="415"/>
    <x v="4"/>
    <x v="12"/>
    <x v="12"/>
    <x v="4"/>
    <x v="4332"/>
    <n v="12.52"/>
    <n v="901389.92"/>
  </r>
  <r>
    <s v="ORD04433"/>
    <x v="525"/>
    <s v="C261"/>
    <x v="390"/>
    <x v="2"/>
    <x v="31"/>
    <x v="31"/>
    <x v="0"/>
    <x v="4333"/>
    <n v="44.74"/>
    <n v="3678567.54"/>
  </r>
  <r>
    <s v="ORD04434"/>
    <x v="229"/>
    <s v="C022"/>
    <x v="303"/>
    <x v="3"/>
    <x v="8"/>
    <x v="8"/>
    <x v="3"/>
    <x v="4334"/>
    <n v="46.4"/>
    <n v="3620081.6"/>
  </r>
  <r>
    <s v="ORD04435"/>
    <x v="313"/>
    <s v="C321"/>
    <x v="455"/>
    <x v="2"/>
    <x v="37"/>
    <x v="37"/>
    <x v="1"/>
    <x v="4335"/>
    <n v="3.54"/>
    <n v="109740"/>
  </r>
  <r>
    <s v="ORD04436"/>
    <x v="258"/>
    <s v="C152"/>
    <x v="121"/>
    <x v="0"/>
    <x v="34"/>
    <x v="34"/>
    <x v="2"/>
    <x v="4336"/>
    <n v="45.43"/>
    <n v="793889.25"/>
  </r>
  <r>
    <s v="ORD04437"/>
    <x v="452"/>
    <s v="C064"/>
    <x v="387"/>
    <x v="2"/>
    <x v="25"/>
    <x v="25"/>
    <x v="4"/>
    <x v="4337"/>
    <n v="3.3"/>
    <n v="24231.9"/>
  </r>
  <r>
    <s v="ORD04438"/>
    <x v="489"/>
    <s v="C284"/>
    <x v="287"/>
    <x v="4"/>
    <x v="38"/>
    <x v="38"/>
    <x v="2"/>
    <x v="4338"/>
    <n v="36.46"/>
    <n v="724678.96"/>
  </r>
  <r>
    <s v="ORD04439"/>
    <x v="379"/>
    <s v="C468"/>
    <x v="76"/>
    <x v="1"/>
    <x v="28"/>
    <x v="28"/>
    <x v="3"/>
    <x v="4339"/>
    <n v="10.039999999999999"/>
    <n v="371911.72"/>
  </r>
  <r>
    <s v="ORD04440"/>
    <x v="394"/>
    <s v="C236"/>
    <x v="25"/>
    <x v="2"/>
    <x v="36"/>
    <x v="36"/>
    <x v="4"/>
    <x v="4340"/>
    <n v="33.520000000000003"/>
    <n v="734121.52"/>
  </r>
  <r>
    <s v="ORD04441"/>
    <x v="265"/>
    <s v="C321"/>
    <x v="455"/>
    <x v="2"/>
    <x v="48"/>
    <x v="48"/>
    <x v="2"/>
    <x v="4341"/>
    <n v="5.84"/>
    <n v="221166.64"/>
  </r>
  <r>
    <s v="ORD04442"/>
    <x v="419"/>
    <s v="C105"/>
    <x v="386"/>
    <x v="0"/>
    <x v="2"/>
    <x v="2"/>
    <x v="1"/>
    <x v="4342"/>
    <n v="30.59"/>
    <n v="2358213.69"/>
  </r>
  <r>
    <s v="ORD04443"/>
    <x v="250"/>
    <s v="C432"/>
    <x v="14"/>
    <x v="0"/>
    <x v="14"/>
    <x v="14"/>
    <x v="2"/>
    <x v="4343"/>
    <n v="41.3"/>
    <n v="3021797.1"/>
  </r>
  <r>
    <s v="ORD04444"/>
    <x v="301"/>
    <s v="C069"/>
    <x v="410"/>
    <x v="4"/>
    <x v="47"/>
    <x v="47"/>
    <x v="2"/>
    <x v="4344"/>
    <n v="24.91"/>
    <n v="492246.51"/>
  </r>
  <r>
    <s v="ORD04445"/>
    <x v="47"/>
    <s v="C332"/>
    <x v="242"/>
    <x v="2"/>
    <x v="46"/>
    <x v="46"/>
    <x v="0"/>
    <x v="461"/>
    <n v="48.01"/>
    <n v="3717558.33"/>
  </r>
  <r>
    <s v="ORD04446"/>
    <x v="706"/>
    <s v="C128"/>
    <x v="361"/>
    <x v="4"/>
    <x v="15"/>
    <x v="15"/>
    <x v="2"/>
    <x v="4345"/>
    <n v="19.86"/>
    <n v="687434.04"/>
  </r>
  <r>
    <s v="ORD04447"/>
    <x v="505"/>
    <s v="C011"/>
    <x v="28"/>
    <x v="4"/>
    <x v="48"/>
    <x v="48"/>
    <x v="2"/>
    <x v="4346"/>
    <n v="16.86"/>
    <n v="741098.16"/>
  </r>
  <r>
    <s v="ORD04448"/>
    <x v="405"/>
    <s v="C196"/>
    <x v="1"/>
    <x v="1"/>
    <x v="16"/>
    <x v="16"/>
    <x v="1"/>
    <x v="4347"/>
    <n v="37.43"/>
    <n v="2531840.06"/>
  </r>
  <r>
    <s v="ORD04449"/>
    <x v="503"/>
    <s v="C293"/>
    <x v="372"/>
    <x v="0"/>
    <x v="23"/>
    <x v="23"/>
    <x v="0"/>
    <x v="4348"/>
    <n v="41.98"/>
    <n v="1684825.32"/>
  </r>
  <r>
    <s v="ORD04450"/>
    <x v="587"/>
    <s v="C220"/>
    <x v="157"/>
    <x v="0"/>
    <x v="26"/>
    <x v="26"/>
    <x v="0"/>
    <x v="4349"/>
    <n v="13.68"/>
    <n v="762017.04"/>
  </r>
  <r>
    <s v="ORD04451"/>
    <x v="367"/>
    <s v="C162"/>
    <x v="344"/>
    <x v="0"/>
    <x v="7"/>
    <x v="7"/>
    <x v="3"/>
    <x v="4350"/>
    <n v="23.09"/>
    <n v="1535138.65"/>
  </r>
  <r>
    <s v="ORD04452"/>
    <x v="675"/>
    <s v="C500"/>
    <x v="86"/>
    <x v="0"/>
    <x v="35"/>
    <x v="35"/>
    <x v="1"/>
    <x v="4351"/>
    <n v="40.880000000000003"/>
    <n v="255091.20000000001"/>
  </r>
  <r>
    <s v="ORD04453"/>
    <x v="219"/>
    <s v="C399"/>
    <x v="194"/>
    <x v="4"/>
    <x v="5"/>
    <x v="5"/>
    <x v="3"/>
    <x v="4352"/>
    <n v="22.72"/>
    <n v="184645.44"/>
  </r>
  <r>
    <s v="ORD04454"/>
    <x v="113"/>
    <s v="C322"/>
    <x v="238"/>
    <x v="2"/>
    <x v="48"/>
    <x v="48"/>
    <x v="2"/>
    <x v="4353"/>
    <n v="28.82"/>
    <n v="2664985.4"/>
  </r>
  <r>
    <s v="ORD04455"/>
    <x v="598"/>
    <s v="C266"/>
    <x v="99"/>
    <x v="0"/>
    <x v="16"/>
    <x v="16"/>
    <x v="1"/>
    <x v="4354"/>
    <n v="22.82"/>
    <n v="1118978.7"/>
  </r>
  <r>
    <s v="ORD04456"/>
    <x v="227"/>
    <s v="C001"/>
    <x v="488"/>
    <x v="4"/>
    <x v="0"/>
    <x v="0"/>
    <x v="0"/>
    <x v="4355"/>
    <n v="15.79"/>
    <n v="318263.24"/>
  </r>
  <r>
    <s v="ORD04457"/>
    <x v="355"/>
    <s v="C119"/>
    <x v="122"/>
    <x v="0"/>
    <x v="13"/>
    <x v="13"/>
    <x v="2"/>
    <x v="4356"/>
    <n v="17.88"/>
    <n v="362338.2"/>
  </r>
  <r>
    <s v="ORD04458"/>
    <x v="313"/>
    <s v="C093"/>
    <x v="292"/>
    <x v="1"/>
    <x v="19"/>
    <x v="19"/>
    <x v="3"/>
    <x v="4357"/>
    <n v="30.19"/>
    <n v="1475536.25"/>
  </r>
  <r>
    <s v="ORD04459"/>
    <x v="139"/>
    <s v="C289"/>
    <x v="408"/>
    <x v="1"/>
    <x v="44"/>
    <x v="44"/>
    <x v="2"/>
    <x v="4358"/>
    <n v="46.58"/>
    <n v="4646820.8"/>
  </r>
  <r>
    <s v="ORD04460"/>
    <x v="84"/>
    <s v="C044"/>
    <x v="202"/>
    <x v="2"/>
    <x v="33"/>
    <x v="33"/>
    <x v="1"/>
    <x v="4359"/>
    <n v="36.89"/>
    <n v="2020871.09"/>
  </r>
  <r>
    <s v="ORD04461"/>
    <x v="378"/>
    <s v="C076"/>
    <x v="206"/>
    <x v="2"/>
    <x v="21"/>
    <x v="21"/>
    <x v="2"/>
    <x v="4360"/>
    <n v="48.77"/>
    <n v="3263883.48"/>
  </r>
  <r>
    <s v="ORD04462"/>
    <x v="229"/>
    <s v="C209"/>
    <x v="409"/>
    <x v="4"/>
    <x v="35"/>
    <x v="35"/>
    <x v="1"/>
    <x v="4361"/>
    <n v="31.58"/>
    <n v="1094752.28"/>
  </r>
  <r>
    <s v="ORD04463"/>
    <x v="103"/>
    <s v="C497"/>
    <x v="215"/>
    <x v="1"/>
    <x v="31"/>
    <x v="31"/>
    <x v="0"/>
    <x v="4362"/>
    <n v="8.66"/>
    <n v="259592.16"/>
  </r>
  <r>
    <s v="ORD04464"/>
    <x v="258"/>
    <s v="C078"/>
    <x v="41"/>
    <x v="4"/>
    <x v="32"/>
    <x v="32"/>
    <x v="4"/>
    <x v="4363"/>
    <n v="46.15"/>
    <n v="3924826.75"/>
  </r>
  <r>
    <s v="ORD04465"/>
    <x v="276"/>
    <s v="C288"/>
    <x v="177"/>
    <x v="3"/>
    <x v="6"/>
    <x v="6"/>
    <x v="0"/>
    <x v="4364"/>
    <n v="32.28"/>
    <n v="1315861.92"/>
  </r>
  <r>
    <s v="ORD04466"/>
    <x v="227"/>
    <s v="C493"/>
    <x v="354"/>
    <x v="4"/>
    <x v="9"/>
    <x v="9"/>
    <x v="4"/>
    <x v="4365"/>
    <n v="46.91"/>
    <n v="2013471.02"/>
  </r>
  <r>
    <s v="ORD04467"/>
    <x v="454"/>
    <s v="C065"/>
    <x v="13"/>
    <x v="2"/>
    <x v="7"/>
    <x v="7"/>
    <x v="3"/>
    <x v="4366"/>
    <n v="44.04"/>
    <n v="4118136.36"/>
  </r>
  <r>
    <s v="ORD04468"/>
    <x v="317"/>
    <s v="C113"/>
    <x v="442"/>
    <x v="3"/>
    <x v="46"/>
    <x v="46"/>
    <x v="0"/>
    <x v="4367"/>
    <n v="35.729999999999997"/>
    <n v="54345.33"/>
  </r>
  <r>
    <s v="ORD04469"/>
    <x v="440"/>
    <s v="C021"/>
    <x v="333"/>
    <x v="2"/>
    <x v="10"/>
    <x v="10"/>
    <x v="3"/>
    <x v="4368"/>
    <n v="20.22"/>
    <n v="1026488.52"/>
  </r>
  <r>
    <s v="ORD04470"/>
    <x v="696"/>
    <s v="C025"/>
    <x v="396"/>
    <x v="0"/>
    <x v="4"/>
    <x v="4"/>
    <x v="1"/>
    <x v="4369"/>
    <n v="42.25"/>
    <n v="2285387"/>
  </r>
  <r>
    <s v="ORD04471"/>
    <x v="182"/>
    <s v="C221"/>
    <x v="176"/>
    <x v="2"/>
    <x v="1"/>
    <x v="1"/>
    <x v="1"/>
    <x v="4370"/>
    <n v="12.17"/>
    <n v="540798.29"/>
  </r>
  <r>
    <s v="ORD04472"/>
    <x v="721"/>
    <s v="C046"/>
    <x v="446"/>
    <x v="0"/>
    <x v="38"/>
    <x v="38"/>
    <x v="2"/>
    <x v="4371"/>
    <n v="38.67"/>
    <n v="3608684.4"/>
  </r>
  <r>
    <s v="ORD04473"/>
    <x v="603"/>
    <s v="C467"/>
    <x v="131"/>
    <x v="2"/>
    <x v="29"/>
    <x v="29"/>
    <x v="0"/>
    <x v="4372"/>
    <n v="33.299999999999997"/>
    <n v="3135261.6"/>
  </r>
  <r>
    <s v="ORD04474"/>
    <x v="611"/>
    <s v="C254"/>
    <x v="431"/>
    <x v="1"/>
    <x v="7"/>
    <x v="7"/>
    <x v="3"/>
    <x v="4373"/>
    <n v="25.87"/>
    <n v="1075648.73"/>
  </r>
  <r>
    <s v="ORD04475"/>
    <x v="358"/>
    <s v="C096"/>
    <x v="454"/>
    <x v="1"/>
    <x v="26"/>
    <x v="26"/>
    <x v="0"/>
    <x v="4374"/>
    <n v="21.73"/>
    <n v="1978559.96"/>
  </r>
  <r>
    <s v="ORD04476"/>
    <x v="274"/>
    <s v="C034"/>
    <x v="19"/>
    <x v="0"/>
    <x v="21"/>
    <x v="21"/>
    <x v="2"/>
    <x v="4375"/>
    <n v="8.18"/>
    <n v="420419.28"/>
  </r>
  <r>
    <s v="ORD04477"/>
    <x v="531"/>
    <s v="C281"/>
    <x v="317"/>
    <x v="2"/>
    <x v="11"/>
    <x v="11"/>
    <x v="4"/>
    <x v="4376"/>
    <n v="18.989999999999998"/>
    <n v="1349391.42"/>
  </r>
  <r>
    <s v="ORD04478"/>
    <x v="148"/>
    <s v="C356"/>
    <x v="416"/>
    <x v="1"/>
    <x v="17"/>
    <x v="17"/>
    <x v="1"/>
    <x v="4377"/>
    <n v="2.7"/>
    <n v="140996.70000000001"/>
  </r>
  <r>
    <s v="ORD04479"/>
    <x v="180"/>
    <s v="C446"/>
    <x v="371"/>
    <x v="4"/>
    <x v="26"/>
    <x v="26"/>
    <x v="0"/>
    <x v="4378"/>
    <n v="26"/>
    <n v="377988"/>
  </r>
  <r>
    <s v="ORD04480"/>
    <x v="634"/>
    <s v="C228"/>
    <x v="69"/>
    <x v="2"/>
    <x v="33"/>
    <x v="33"/>
    <x v="1"/>
    <x v="4200"/>
    <n v="30.43"/>
    <n v="375658.35"/>
  </r>
  <r>
    <s v="ORD04481"/>
    <x v="286"/>
    <s v="C397"/>
    <x v="95"/>
    <x v="3"/>
    <x v="7"/>
    <x v="7"/>
    <x v="3"/>
    <x v="4379"/>
    <n v="10.47"/>
    <n v="500884.8"/>
  </r>
  <r>
    <s v="ORD04482"/>
    <x v="267"/>
    <s v="C077"/>
    <x v="426"/>
    <x v="0"/>
    <x v="35"/>
    <x v="35"/>
    <x v="1"/>
    <x v="4380"/>
    <n v="48.3"/>
    <n v="4578453.5999999996"/>
  </r>
  <r>
    <s v="ORD04483"/>
    <x v="585"/>
    <s v="C294"/>
    <x v="484"/>
    <x v="4"/>
    <x v="10"/>
    <x v="10"/>
    <x v="3"/>
    <x v="4381"/>
    <n v="11.03"/>
    <n v="498522.91"/>
  </r>
  <r>
    <s v="ORD04484"/>
    <x v="507"/>
    <s v="C080"/>
    <x v="222"/>
    <x v="4"/>
    <x v="23"/>
    <x v="23"/>
    <x v="0"/>
    <x v="4382"/>
    <n v="4.8899999999999997"/>
    <n v="451591.5"/>
  </r>
  <r>
    <s v="ORD04485"/>
    <x v="189"/>
    <s v="C052"/>
    <x v="212"/>
    <x v="4"/>
    <x v="44"/>
    <x v="44"/>
    <x v="2"/>
    <x v="4383"/>
    <n v="18.329999999999998"/>
    <n v="1141427.43"/>
  </r>
  <r>
    <s v="ORD04486"/>
    <x v="606"/>
    <s v="C349"/>
    <x v="316"/>
    <x v="2"/>
    <x v="14"/>
    <x v="14"/>
    <x v="2"/>
    <x v="4384"/>
    <n v="14.87"/>
    <n v="76297.97"/>
  </r>
  <r>
    <s v="ORD04487"/>
    <x v="615"/>
    <s v="C027"/>
    <x v="289"/>
    <x v="1"/>
    <x v="27"/>
    <x v="27"/>
    <x v="4"/>
    <x v="4385"/>
    <n v="36.82"/>
    <n v="3477722.64"/>
  </r>
  <r>
    <s v="ORD04488"/>
    <x v="367"/>
    <s v="C071"/>
    <x v="279"/>
    <x v="0"/>
    <x v="8"/>
    <x v="8"/>
    <x v="3"/>
    <x v="4386"/>
    <n v="15.39"/>
    <n v="1355935.95"/>
  </r>
  <r>
    <s v="ORD04489"/>
    <x v="404"/>
    <s v="C008"/>
    <x v="96"/>
    <x v="1"/>
    <x v="0"/>
    <x v="0"/>
    <x v="0"/>
    <x v="4387"/>
    <n v="17.09"/>
    <n v="534472.66"/>
  </r>
  <r>
    <s v="ORD04490"/>
    <x v="53"/>
    <s v="C415"/>
    <x v="152"/>
    <x v="0"/>
    <x v="45"/>
    <x v="45"/>
    <x v="3"/>
    <x v="4388"/>
    <n v="42.59"/>
    <n v="3496553.82"/>
  </r>
  <r>
    <s v="ORD04491"/>
    <x v="697"/>
    <s v="C459"/>
    <x v="295"/>
    <x v="2"/>
    <x v="22"/>
    <x v="22"/>
    <x v="0"/>
    <x v="4389"/>
    <n v="33.22"/>
    <n v="678883.92"/>
  </r>
  <r>
    <s v="ORD04492"/>
    <x v="79"/>
    <s v="C249"/>
    <x v="347"/>
    <x v="4"/>
    <x v="35"/>
    <x v="35"/>
    <x v="1"/>
    <x v="4390"/>
    <n v="13.08"/>
    <n v="1307346"/>
  </r>
  <r>
    <s v="ORD04493"/>
    <x v="679"/>
    <s v="C234"/>
    <x v="406"/>
    <x v="4"/>
    <x v="14"/>
    <x v="14"/>
    <x v="2"/>
    <x v="4391"/>
    <n v="10.35"/>
    <n v="287709.3"/>
  </r>
  <r>
    <s v="ORD04494"/>
    <x v="222"/>
    <s v="C315"/>
    <x v="132"/>
    <x v="2"/>
    <x v="39"/>
    <x v="39"/>
    <x v="3"/>
    <x v="4392"/>
    <n v="8.4499999999999993"/>
    <n v="589438.19999999995"/>
  </r>
  <r>
    <s v="ORD04495"/>
    <x v="99"/>
    <s v="C319"/>
    <x v="210"/>
    <x v="2"/>
    <x v="20"/>
    <x v="20"/>
    <x v="1"/>
    <x v="4393"/>
    <n v="24.15"/>
    <n v="897148.35"/>
  </r>
  <r>
    <s v="ORD04496"/>
    <x v="671"/>
    <s v="C437"/>
    <x v="195"/>
    <x v="2"/>
    <x v="10"/>
    <x v="10"/>
    <x v="3"/>
    <x v="4394"/>
    <n v="27.4"/>
    <n v="1127290.8"/>
  </r>
  <r>
    <s v="ORD04497"/>
    <x v="643"/>
    <s v="C067"/>
    <x v="109"/>
    <x v="2"/>
    <x v="36"/>
    <x v="36"/>
    <x v="4"/>
    <x v="4395"/>
    <n v="4.96"/>
    <n v="189080.16"/>
  </r>
  <r>
    <s v="ORD04498"/>
    <x v="295"/>
    <s v="C022"/>
    <x v="303"/>
    <x v="3"/>
    <x v="3"/>
    <x v="3"/>
    <x v="2"/>
    <x v="4396"/>
    <n v="37.869999999999997"/>
    <n v="693361.83"/>
  </r>
  <r>
    <s v="ORD04499"/>
    <x v="365"/>
    <s v="C206"/>
    <x v="401"/>
    <x v="1"/>
    <x v="17"/>
    <x v="17"/>
    <x v="1"/>
    <x v="4397"/>
    <n v="37.130000000000003"/>
    <n v="697301.4"/>
  </r>
  <r>
    <s v="ORD04500"/>
    <x v="543"/>
    <s v="C285"/>
    <x v="421"/>
    <x v="0"/>
    <x v="16"/>
    <x v="16"/>
    <x v="1"/>
    <x v="4398"/>
    <n v="4.07"/>
    <n v="275510.51"/>
  </r>
  <r>
    <s v="ORD04501"/>
    <x v="41"/>
    <s v="C326"/>
    <x v="209"/>
    <x v="0"/>
    <x v="31"/>
    <x v="31"/>
    <x v="0"/>
    <x v="4399"/>
    <n v="3.51"/>
    <n v="96528.51"/>
  </r>
  <r>
    <s v="ORD04502"/>
    <x v="593"/>
    <s v="C078"/>
    <x v="41"/>
    <x v="4"/>
    <x v="4"/>
    <x v="4"/>
    <x v="1"/>
    <x v="4400"/>
    <n v="23.89"/>
    <n v="1576548.88"/>
  </r>
  <r>
    <s v="ORD04503"/>
    <x v="475"/>
    <s v="C336"/>
    <x v="239"/>
    <x v="2"/>
    <x v="37"/>
    <x v="37"/>
    <x v="1"/>
    <x v="4401"/>
    <n v="4.18"/>
    <n v="118503"/>
  </r>
  <r>
    <s v="ORD04504"/>
    <x v="400"/>
    <s v="C200"/>
    <x v="119"/>
    <x v="4"/>
    <x v="30"/>
    <x v="30"/>
    <x v="4"/>
    <x v="4402"/>
    <n v="9.2100000000000009"/>
    <n v="911734.74"/>
  </r>
  <r>
    <s v="ORD04505"/>
    <x v="634"/>
    <s v="C334"/>
    <x v="135"/>
    <x v="3"/>
    <x v="24"/>
    <x v="24"/>
    <x v="3"/>
    <x v="4403"/>
    <n v="6.86"/>
    <n v="626242.54"/>
  </r>
  <r>
    <s v="ORD04506"/>
    <x v="19"/>
    <s v="C192"/>
    <x v="154"/>
    <x v="3"/>
    <x v="47"/>
    <x v="47"/>
    <x v="2"/>
    <x v="4404"/>
    <n v="46.56"/>
    <n v="521611.68"/>
  </r>
  <r>
    <s v="ORD04507"/>
    <x v="89"/>
    <s v="C431"/>
    <x v="367"/>
    <x v="2"/>
    <x v="33"/>
    <x v="33"/>
    <x v="1"/>
    <x v="4405"/>
    <n v="6.04"/>
    <n v="87936.36"/>
  </r>
  <r>
    <s v="ORD04508"/>
    <x v="389"/>
    <s v="C097"/>
    <x v="91"/>
    <x v="3"/>
    <x v="42"/>
    <x v="42"/>
    <x v="1"/>
    <x v="4406"/>
    <n v="21.14"/>
    <n v="1248126.74"/>
  </r>
  <r>
    <s v="ORD04509"/>
    <x v="354"/>
    <s v="C072"/>
    <x v="265"/>
    <x v="3"/>
    <x v="31"/>
    <x v="31"/>
    <x v="0"/>
    <x v="4407"/>
    <n v="7.39"/>
    <n v="57597.66"/>
  </r>
  <r>
    <s v="ORD04510"/>
    <x v="682"/>
    <s v="C206"/>
    <x v="401"/>
    <x v="1"/>
    <x v="46"/>
    <x v="46"/>
    <x v="0"/>
    <x v="4408"/>
    <n v="36.19"/>
    <n v="608715.80000000005"/>
  </r>
  <r>
    <s v="ORD04511"/>
    <x v="217"/>
    <s v="C420"/>
    <x v="11"/>
    <x v="4"/>
    <x v="11"/>
    <x v="11"/>
    <x v="4"/>
    <x v="3644"/>
    <n v="35.67"/>
    <n v="2814969.39"/>
  </r>
  <r>
    <s v="ORD04512"/>
    <x v="69"/>
    <s v="C466"/>
    <x v="23"/>
    <x v="2"/>
    <x v="26"/>
    <x v="26"/>
    <x v="0"/>
    <x v="4409"/>
    <n v="43.43"/>
    <n v="1476011.98"/>
  </r>
  <r>
    <s v="ORD04513"/>
    <x v="189"/>
    <s v="C319"/>
    <x v="210"/>
    <x v="2"/>
    <x v="39"/>
    <x v="39"/>
    <x v="3"/>
    <x v="4410"/>
    <n v="49.16"/>
    <n v="3209803.88"/>
  </r>
  <r>
    <s v="ORD04514"/>
    <x v="549"/>
    <s v="C009"/>
    <x v="42"/>
    <x v="1"/>
    <x v="26"/>
    <x v="26"/>
    <x v="0"/>
    <x v="3208"/>
    <n v="8.61"/>
    <n v="103216.68"/>
  </r>
  <r>
    <s v="ORD04515"/>
    <x v="711"/>
    <s v="C421"/>
    <x v="110"/>
    <x v="2"/>
    <x v="13"/>
    <x v="13"/>
    <x v="2"/>
    <x v="4411"/>
    <n v="42.87"/>
    <n v="2108303.73"/>
  </r>
  <r>
    <s v="ORD04516"/>
    <x v="290"/>
    <s v="C147"/>
    <x v="308"/>
    <x v="4"/>
    <x v="42"/>
    <x v="42"/>
    <x v="1"/>
    <x v="4412"/>
    <n v="30.12"/>
    <n v="1568258.04"/>
  </r>
  <r>
    <s v="ORD04517"/>
    <x v="30"/>
    <s v="C452"/>
    <x v="148"/>
    <x v="4"/>
    <x v="43"/>
    <x v="43"/>
    <x v="4"/>
    <x v="4413"/>
    <n v="44.86"/>
    <n v="3374055.18"/>
  </r>
  <r>
    <s v="ORD04518"/>
    <x v="684"/>
    <s v="C168"/>
    <x v="285"/>
    <x v="1"/>
    <x v="33"/>
    <x v="33"/>
    <x v="1"/>
    <x v="4414"/>
    <n v="14.95"/>
    <n v="75691.850000000006"/>
  </r>
  <r>
    <s v="ORD04519"/>
    <x v="117"/>
    <s v="C127"/>
    <x v="180"/>
    <x v="3"/>
    <x v="38"/>
    <x v="38"/>
    <x v="2"/>
    <x v="4415"/>
    <n v="9.5299999999999994"/>
    <n v="935407.62"/>
  </r>
  <r>
    <s v="ORD04520"/>
    <x v="184"/>
    <s v="C200"/>
    <x v="119"/>
    <x v="4"/>
    <x v="25"/>
    <x v="25"/>
    <x v="4"/>
    <x v="4416"/>
    <n v="30.9"/>
    <n v="1683092.1"/>
  </r>
  <r>
    <s v="ORD04521"/>
    <x v="30"/>
    <s v="C002"/>
    <x v="314"/>
    <x v="3"/>
    <x v="36"/>
    <x v="36"/>
    <x v="4"/>
    <x v="4417"/>
    <n v="40.71"/>
    <n v="1782446.64"/>
  </r>
  <r>
    <s v="ORD04522"/>
    <x v="651"/>
    <s v="C177"/>
    <x v="183"/>
    <x v="1"/>
    <x v="22"/>
    <x v="22"/>
    <x v="0"/>
    <x v="4418"/>
    <n v="3"/>
    <n v="11280"/>
  </r>
  <r>
    <s v="ORD04523"/>
    <x v="321"/>
    <s v="C380"/>
    <x v="193"/>
    <x v="3"/>
    <x v="37"/>
    <x v="37"/>
    <x v="1"/>
    <x v="4419"/>
    <n v="23.89"/>
    <n v="1746120.1"/>
  </r>
  <r>
    <s v="ORD04524"/>
    <x v="312"/>
    <s v="C217"/>
    <x v="145"/>
    <x v="4"/>
    <x v="40"/>
    <x v="40"/>
    <x v="0"/>
    <x v="4420"/>
    <n v="48.19"/>
    <n v="531487.51"/>
  </r>
  <r>
    <s v="ORD04525"/>
    <x v="336"/>
    <s v="C020"/>
    <x v="80"/>
    <x v="4"/>
    <x v="22"/>
    <x v="22"/>
    <x v="0"/>
    <x v="4421"/>
    <n v="13.92"/>
    <n v="506075.52"/>
  </r>
  <r>
    <s v="ORD04526"/>
    <x v="110"/>
    <s v="C117"/>
    <x v="441"/>
    <x v="2"/>
    <x v="10"/>
    <x v="10"/>
    <x v="3"/>
    <x v="4422"/>
    <n v="35.380000000000003"/>
    <n v="1171467.18"/>
  </r>
  <r>
    <s v="ORD04527"/>
    <x v="284"/>
    <s v="C491"/>
    <x v="32"/>
    <x v="0"/>
    <x v="31"/>
    <x v="31"/>
    <x v="0"/>
    <x v="4423"/>
    <n v="14.63"/>
    <n v="439221.86"/>
  </r>
  <r>
    <s v="ORD04528"/>
    <x v="369"/>
    <s v="C156"/>
    <x v="27"/>
    <x v="0"/>
    <x v="44"/>
    <x v="44"/>
    <x v="2"/>
    <x v="4424"/>
    <n v="39.159999999999997"/>
    <n v="924998.36"/>
  </r>
  <r>
    <s v="ORD04529"/>
    <x v="211"/>
    <s v="C111"/>
    <x v="286"/>
    <x v="0"/>
    <x v="34"/>
    <x v="34"/>
    <x v="2"/>
    <x v="4425"/>
    <n v="19.329999999999998"/>
    <n v="1888289.71"/>
  </r>
  <r>
    <s v="ORD04530"/>
    <x v="386"/>
    <s v="C037"/>
    <x v="255"/>
    <x v="1"/>
    <x v="27"/>
    <x v="27"/>
    <x v="4"/>
    <x v="4426"/>
    <n v="40.479999999999997"/>
    <n v="971358.08"/>
  </r>
  <r>
    <s v="ORD04531"/>
    <x v="115"/>
    <s v="C282"/>
    <x v="290"/>
    <x v="3"/>
    <x v="28"/>
    <x v="28"/>
    <x v="3"/>
    <x v="4427"/>
    <n v="4.3"/>
    <n v="225810.2"/>
  </r>
  <r>
    <s v="ORD04532"/>
    <x v="549"/>
    <s v="C045"/>
    <x v="174"/>
    <x v="2"/>
    <x v="43"/>
    <x v="43"/>
    <x v="4"/>
    <x v="4428"/>
    <n v="4.4800000000000004"/>
    <n v="446382.72"/>
  </r>
  <r>
    <s v="ORD04533"/>
    <x v="495"/>
    <s v="C010"/>
    <x v="220"/>
    <x v="3"/>
    <x v="39"/>
    <x v="39"/>
    <x v="3"/>
    <x v="4429"/>
    <n v="29.07"/>
    <n v="1005909.21"/>
  </r>
  <r>
    <s v="ORD04534"/>
    <x v="289"/>
    <s v="C232"/>
    <x v="75"/>
    <x v="0"/>
    <x v="39"/>
    <x v="39"/>
    <x v="3"/>
    <x v="4430"/>
    <n v="17.47"/>
    <n v="1726612.51"/>
  </r>
  <r>
    <s v="ORD04535"/>
    <x v="410"/>
    <s v="C138"/>
    <x v="251"/>
    <x v="2"/>
    <x v="27"/>
    <x v="27"/>
    <x v="4"/>
    <x v="4431"/>
    <n v="2.67"/>
    <n v="235598.13"/>
  </r>
  <r>
    <s v="ORD04536"/>
    <x v="138"/>
    <s v="C220"/>
    <x v="157"/>
    <x v="0"/>
    <x v="39"/>
    <x v="39"/>
    <x v="3"/>
    <x v="4432"/>
    <n v="43.23"/>
    <n v="2353700.58"/>
  </r>
  <r>
    <s v="ORD04537"/>
    <x v="174"/>
    <s v="C426"/>
    <x v="163"/>
    <x v="2"/>
    <x v="34"/>
    <x v="34"/>
    <x v="2"/>
    <x v="4433"/>
    <n v="3.68"/>
    <n v="12331.68"/>
  </r>
  <r>
    <s v="ORD04538"/>
    <x v="310"/>
    <s v="C328"/>
    <x v="335"/>
    <x v="3"/>
    <x v="41"/>
    <x v="41"/>
    <x v="4"/>
    <x v="4434"/>
    <n v="19.63"/>
    <n v="496462.33"/>
  </r>
  <r>
    <s v="ORD04539"/>
    <x v="511"/>
    <s v="C308"/>
    <x v="149"/>
    <x v="4"/>
    <x v="16"/>
    <x v="16"/>
    <x v="1"/>
    <x v="4435"/>
    <n v="3.75"/>
    <n v="294937.5"/>
  </r>
  <r>
    <s v="ORD04540"/>
    <x v="383"/>
    <s v="C102"/>
    <x v="20"/>
    <x v="0"/>
    <x v="49"/>
    <x v="49"/>
    <x v="3"/>
    <x v="4436"/>
    <n v="48.58"/>
    <n v="4200032.4800000004"/>
  </r>
  <r>
    <s v="ORD04541"/>
    <x v="271"/>
    <s v="C147"/>
    <x v="308"/>
    <x v="4"/>
    <x v="28"/>
    <x v="28"/>
    <x v="3"/>
    <x v="4437"/>
    <n v="2.63"/>
    <n v="101031.45"/>
  </r>
  <r>
    <s v="ORD04542"/>
    <x v="617"/>
    <s v="C023"/>
    <x v="304"/>
    <x v="4"/>
    <x v="9"/>
    <x v="9"/>
    <x v="4"/>
    <x v="4438"/>
    <n v="23.5"/>
    <n v="2150837.5"/>
  </r>
  <r>
    <s v="ORD04543"/>
    <x v="570"/>
    <s v="C456"/>
    <x v="338"/>
    <x v="2"/>
    <x v="37"/>
    <x v="37"/>
    <x v="1"/>
    <x v="4439"/>
    <n v="9.4700000000000006"/>
    <n v="31411.99"/>
  </r>
  <r>
    <s v="ORD04544"/>
    <x v="573"/>
    <s v="C176"/>
    <x v="469"/>
    <x v="2"/>
    <x v="19"/>
    <x v="19"/>
    <x v="3"/>
    <x v="4440"/>
    <n v="17.77"/>
    <n v="1705866.69"/>
  </r>
  <r>
    <s v="ORD04545"/>
    <x v="48"/>
    <s v="C457"/>
    <x v="196"/>
    <x v="3"/>
    <x v="34"/>
    <x v="34"/>
    <x v="2"/>
    <x v="4441"/>
    <n v="22.48"/>
    <n v="1310066.96"/>
  </r>
  <r>
    <s v="ORD04546"/>
    <x v="622"/>
    <s v="C247"/>
    <x v="433"/>
    <x v="4"/>
    <x v="49"/>
    <x v="49"/>
    <x v="3"/>
    <x v="4442"/>
    <n v="37.909999999999997"/>
    <n v="2085239.55"/>
  </r>
  <r>
    <s v="ORD04547"/>
    <x v="456"/>
    <s v="C360"/>
    <x v="92"/>
    <x v="3"/>
    <x v="8"/>
    <x v="8"/>
    <x v="3"/>
    <x v="4443"/>
    <n v="35.130000000000003"/>
    <n v="861844.29"/>
  </r>
  <r>
    <s v="ORD04548"/>
    <x v="114"/>
    <s v="C424"/>
    <x v="57"/>
    <x v="2"/>
    <x v="9"/>
    <x v="9"/>
    <x v="4"/>
    <x v="4444"/>
    <n v="23.74"/>
    <n v="252403.68"/>
  </r>
  <r>
    <s v="ORD04549"/>
    <x v="420"/>
    <s v="C428"/>
    <x v="260"/>
    <x v="3"/>
    <x v="13"/>
    <x v="13"/>
    <x v="2"/>
    <x v="4445"/>
    <n v="29.83"/>
    <n v="364343.62"/>
  </r>
  <r>
    <s v="ORD04550"/>
    <x v="234"/>
    <s v="C285"/>
    <x v="421"/>
    <x v="0"/>
    <x v="37"/>
    <x v="37"/>
    <x v="1"/>
    <x v="4446"/>
    <n v="15.23"/>
    <n v="1515080.4"/>
  </r>
  <r>
    <s v="ORD04551"/>
    <x v="320"/>
    <s v="C061"/>
    <x v="178"/>
    <x v="2"/>
    <x v="44"/>
    <x v="44"/>
    <x v="2"/>
    <x v="4447"/>
    <n v="6.96"/>
    <n v="469772.16"/>
  </r>
  <r>
    <s v="ORD04552"/>
    <x v="699"/>
    <s v="C492"/>
    <x v="299"/>
    <x v="3"/>
    <x v="25"/>
    <x v="25"/>
    <x v="4"/>
    <x v="4448"/>
    <n v="47.07"/>
    <n v="2541073.9500000002"/>
  </r>
  <r>
    <s v="ORD04553"/>
    <x v="389"/>
    <s v="C219"/>
    <x v="43"/>
    <x v="0"/>
    <x v="10"/>
    <x v="10"/>
    <x v="3"/>
    <x v="4449"/>
    <n v="41.91"/>
    <n v="338423.25"/>
  </r>
  <r>
    <s v="ORD04554"/>
    <x v="639"/>
    <s v="C342"/>
    <x v="258"/>
    <x v="4"/>
    <x v="10"/>
    <x v="10"/>
    <x v="3"/>
    <x v="4450"/>
    <n v="9.35"/>
    <n v="538401.05000000005"/>
  </r>
  <r>
    <s v="ORD04555"/>
    <x v="556"/>
    <s v="C229"/>
    <x v="46"/>
    <x v="1"/>
    <x v="6"/>
    <x v="6"/>
    <x v="0"/>
    <x v="4451"/>
    <n v="42.35"/>
    <n v="3211315.8"/>
  </r>
  <r>
    <s v="ORD04556"/>
    <x v="601"/>
    <s v="C143"/>
    <x v="448"/>
    <x v="4"/>
    <x v="10"/>
    <x v="10"/>
    <x v="3"/>
    <x v="4452"/>
    <n v="25.31"/>
    <n v="1141329.1399999999"/>
  </r>
  <r>
    <s v="ORD04557"/>
    <x v="92"/>
    <s v="C494"/>
    <x v="267"/>
    <x v="0"/>
    <x v="11"/>
    <x v="11"/>
    <x v="4"/>
    <x v="4453"/>
    <n v="26.73"/>
    <n v="1621842.75"/>
  </r>
  <r>
    <s v="ORD04558"/>
    <x v="500"/>
    <s v="C197"/>
    <x v="437"/>
    <x v="1"/>
    <x v="40"/>
    <x v="40"/>
    <x v="0"/>
    <x v="4454"/>
    <n v="47.05"/>
    <n v="2247719.65"/>
  </r>
  <r>
    <s v="ORD04559"/>
    <x v="698"/>
    <s v="C060"/>
    <x v="420"/>
    <x v="2"/>
    <x v="36"/>
    <x v="36"/>
    <x v="4"/>
    <x v="4455"/>
    <n v="11.84"/>
    <n v="661003.52000000002"/>
  </r>
  <r>
    <s v="ORD04560"/>
    <x v="543"/>
    <s v="C154"/>
    <x v="496"/>
    <x v="0"/>
    <x v="5"/>
    <x v="5"/>
    <x v="3"/>
    <x v="4456"/>
    <n v="31.07"/>
    <n v="328254.55"/>
  </r>
  <r>
    <s v="ORD04561"/>
    <x v="79"/>
    <s v="C242"/>
    <x v="264"/>
    <x v="0"/>
    <x v="21"/>
    <x v="21"/>
    <x v="2"/>
    <x v="4457"/>
    <n v="43.35"/>
    <n v="3721207.35"/>
  </r>
  <r>
    <s v="ORD04562"/>
    <x v="711"/>
    <s v="C390"/>
    <x v="233"/>
    <x v="2"/>
    <x v="25"/>
    <x v="25"/>
    <x v="4"/>
    <x v="4458"/>
    <n v="47.79"/>
    <n v="215293.95"/>
  </r>
  <r>
    <s v="ORD04563"/>
    <x v="81"/>
    <s v="C369"/>
    <x v="464"/>
    <x v="4"/>
    <x v="10"/>
    <x v="10"/>
    <x v="3"/>
    <x v="2171"/>
    <n v="27.78"/>
    <n v="1087781.46"/>
  </r>
  <r>
    <s v="ORD04564"/>
    <x v="324"/>
    <s v="C403"/>
    <x v="59"/>
    <x v="0"/>
    <x v="4"/>
    <x v="4"/>
    <x v="1"/>
    <x v="4459"/>
    <n v="25.7"/>
    <n v="1894732.5"/>
  </r>
  <r>
    <s v="ORD04565"/>
    <x v="657"/>
    <s v="C175"/>
    <x v="29"/>
    <x v="4"/>
    <x v="15"/>
    <x v="15"/>
    <x v="2"/>
    <x v="4460"/>
    <n v="33.619999999999997"/>
    <n v="2277082.6"/>
  </r>
  <r>
    <s v="ORD04566"/>
    <x v="4"/>
    <s v="C325"/>
    <x v="414"/>
    <x v="0"/>
    <x v="12"/>
    <x v="12"/>
    <x v="4"/>
    <x v="4461"/>
    <n v="43.18"/>
    <n v="3771254.84"/>
  </r>
  <r>
    <s v="ORD04567"/>
    <x v="574"/>
    <s v="C366"/>
    <x v="447"/>
    <x v="3"/>
    <x v="23"/>
    <x v="23"/>
    <x v="0"/>
    <x v="4462"/>
    <n v="40.880000000000003"/>
    <n v="3441237.52"/>
  </r>
  <r>
    <s v="ORD04568"/>
    <x v="613"/>
    <s v="C005"/>
    <x v="373"/>
    <x v="3"/>
    <x v="31"/>
    <x v="31"/>
    <x v="0"/>
    <x v="4463"/>
    <n v="2.35"/>
    <n v="197552.75"/>
  </r>
  <r>
    <s v="ORD04569"/>
    <x v="418"/>
    <s v="C276"/>
    <x v="360"/>
    <x v="1"/>
    <x v="25"/>
    <x v="25"/>
    <x v="4"/>
    <x v="4464"/>
    <n v="24.91"/>
    <n v="836104.15"/>
  </r>
  <r>
    <s v="ORD04570"/>
    <x v="512"/>
    <s v="C126"/>
    <x v="424"/>
    <x v="4"/>
    <x v="31"/>
    <x v="31"/>
    <x v="0"/>
    <x v="4465"/>
    <n v="36.799999999999997"/>
    <n v="2723126.4"/>
  </r>
  <r>
    <s v="ORD04571"/>
    <x v="141"/>
    <s v="C217"/>
    <x v="145"/>
    <x v="4"/>
    <x v="48"/>
    <x v="48"/>
    <x v="2"/>
    <x v="4466"/>
    <n v="6.01"/>
    <n v="368701.48"/>
  </r>
  <r>
    <s v="ORD04572"/>
    <x v="522"/>
    <s v="C002"/>
    <x v="314"/>
    <x v="3"/>
    <x v="35"/>
    <x v="35"/>
    <x v="1"/>
    <x v="4467"/>
    <n v="9.61"/>
    <n v="29714.12"/>
  </r>
  <r>
    <s v="ORD04573"/>
    <x v="471"/>
    <s v="C017"/>
    <x v="139"/>
    <x v="4"/>
    <x v="27"/>
    <x v="27"/>
    <x v="4"/>
    <x v="4468"/>
    <n v="18.53"/>
    <n v="1847292.76"/>
  </r>
  <r>
    <s v="ORD04574"/>
    <x v="419"/>
    <s v="C473"/>
    <x v="102"/>
    <x v="2"/>
    <x v="18"/>
    <x v="18"/>
    <x v="0"/>
    <x v="4469"/>
    <n v="18.86"/>
    <n v="812998.02"/>
  </r>
  <r>
    <s v="ORD04575"/>
    <x v="337"/>
    <s v="C219"/>
    <x v="43"/>
    <x v="0"/>
    <x v="41"/>
    <x v="41"/>
    <x v="4"/>
    <x v="4470"/>
    <n v="8.0399999999999991"/>
    <n v="530455.07999999996"/>
  </r>
  <r>
    <s v="ORD04576"/>
    <x v="244"/>
    <s v="C261"/>
    <x v="390"/>
    <x v="2"/>
    <x v="48"/>
    <x v="48"/>
    <x v="2"/>
    <x v="4471"/>
    <n v="18.899999999999999"/>
    <n v="436533.3"/>
  </r>
  <r>
    <s v="ORD04577"/>
    <x v="536"/>
    <s v="C199"/>
    <x v="419"/>
    <x v="3"/>
    <x v="48"/>
    <x v="48"/>
    <x v="2"/>
    <x v="4472"/>
    <n v="18.43"/>
    <n v="857326.74"/>
  </r>
  <r>
    <s v="ORD04578"/>
    <x v="724"/>
    <s v="C038"/>
    <x v="452"/>
    <x v="3"/>
    <x v="17"/>
    <x v="17"/>
    <x v="1"/>
    <x v="4473"/>
    <n v="16.309999999999999"/>
    <n v="437254.79"/>
  </r>
  <r>
    <s v="ORD04579"/>
    <x v="221"/>
    <s v="C367"/>
    <x v="337"/>
    <x v="4"/>
    <x v="47"/>
    <x v="47"/>
    <x v="2"/>
    <x v="4474"/>
    <n v="20.010000000000002"/>
    <n v="790615.11"/>
  </r>
  <r>
    <s v="ORD04580"/>
    <x v="344"/>
    <s v="C105"/>
    <x v="386"/>
    <x v="0"/>
    <x v="14"/>
    <x v="14"/>
    <x v="2"/>
    <x v="4475"/>
    <n v="31.65"/>
    <n v="1946538.3"/>
  </r>
  <r>
    <s v="ORD04581"/>
    <x v="604"/>
    <s v="C290"/>
    <x v="336"/>
    <x v="4"/>
    <x v="34"/>
    <x v="34"/>
    <x v="2"/>
    <x v="4476"/>
    <n v="6.18"/>
    <n v="527932.68000000005"/>
  </r>
  <r>
    <s v="ORD04582"/>
    <x v="500"/>
    <s v="C396"/>
    <x v="427"/>
    <x v="3"/>
    <x v="27"/>
    <x v="27"/>
    <x v="4"/>
    <x v="4477"/>
    <n v="25.94"/>
    <n v="2450811.2000000002"/>
  </r>
  <r>
    <s v="ORD04583"/>
    <x v="638"/>
    <s v="C074"/>
    <x v="329"/>
    <x v="2"/>
    <x v="43"/>
    <x v="43"/>
    <x v="4"/>
    <x v="4478"/>
    <n v="7.32"/>
    <n v="382374.84"/>
  </r>
  <r>
    <s v="ORD04584"/>
    <x v="105"/>
    <s v="C172"/>
    <x v="207"/>
    <x v="0"/>
    <x v="30"/>
    <x v="30"/>
    <x v="4"/>
    <x v="4479"/>
    <n v="41.25"/>
    <n v="561825"/>
  </r>
  <r>
    <s v="ORD04585"/>
    <x v="343"/>
    <s v="C364"/>
    <x v="398"/>
    <x v="3"/>
    <x v="49"/>
    <x v="49"/>
    <x v="3"/>
    <x v="4480"/>
    <n v="38.25"/>
    <n v="2677538.25"/>
  </r>
  <r>
    <s v="ORD04586"/>
    <x v="376"/>
    <s v="C208"/>
    <x v="53"/>
    <x v="1"/>
    <x v="39"/>
    <x v="39"/>
    <x v="3"/>
    <x v="4481"/>
    <n v="21.6"/>
    <n v="1264744.8"/>
  </r>
  <r>
    <s v="ORD04587"/>
    <x v="562"/>
    <s v="C280"/>
    <x v="244"/>
    <x v="1"/>
    <x v="42"/>
    <x v="42"/>
    <x v="1"/>
    <x v="4482"/>
    <n v="44.38"/>
    <n v="3252654.58"/>
  </r>
  <r>
    <s v="ORD04588"/>
    <x v="262"/>
    <s v="C226"/>
    <x v="51"/>
    <x v="0"/>
    <x v="48"/>
    <x v="48"/>
    <x v="2"/>
    <x v="4483"/>
    <n v="12.79"/>
    <n v="1028418.32"/>
  </r>
  <r>
    <s v="ORD04589"/>
    <x v="44"/>
    <s v="C348"/>
    <x v="413"/>
    <x v="0"/>
    <x v="30"/>
    <x v="30"/>
    <x v="4"/>
    <x v="4484"/>
    <n v="34.19"/>
    <n v="2084735.25"/>
  </r>
  <r>
    <s v="ORD04590"/>
    <x v="162"/>
    <s v="C204"/>
    <x v="240"/>
    <x v="0"/>
    <x v="18"/>
    <x v="18"/>
    <x v="0"/>
    <x v="4485"/>
    <n v="25.41"/>
    <n v="1356131.7"/>
  </r>
  <r>
    <s v="ORD04591"/>
    <x v="214"/>
    <s v="C227"/>
    <x v="278"/>
    <x v="2"/>
    <x v="40"/>
    <x v="40"/>
    <x v="0"/>
    <x v="4486"/>
    <n v="49.84"/>
    <n v="2047128.16"/>
  </r>
  <r>
    <s v="ORD04592"/>
    <x v="332"/>
    <s v="C081"/>
    <x v="456"/>
    <x v="3"/>
    <x v="7"/>
    <x v="7"/>
    <x v="3"/>
    <x v="4487"/>
    <n v="32.06"/>
    <n v="1787697.66"/>
  </r>
  <r>
    <s v="ORD04593"/>
    <x v="409"/>
    <s v="C357"/>
    <x v="357"/>
    <x v="4"/>
    <x v="31"/>
    <x v="31"/>
    <x v="0"/>
    <x v="4488"/>
    <n v="38.130000000000003"/>
    <n v="1062225.54"/>
  </r>
  <r>
    <s v="ORD04594"/>
    <x v="63"/>
    <s v="C334"/>
    <x v="135"/>
    <x v="3"/>
    <x v="35"/>
    <x v="35"/>
    <x v="1"/>
    <x v="4489"/>
    <n v="17.78"/>
    <n v="397329.66"/>
  </r>
  <r>
    <s v="ORD04595"/>
    <x v="588"/>
    <s v="C023"/>
    <x v="304"/>
    <x v="4"/>
    <x v="47"/>
    <x v="47"/>
    <x v="2"/>
    <x v="4490"/>
    <n v="24.18"/>
    <n v="2084195.1"/>
  </r>
  <r>
    <s v="ORD04596"/>
    <x v="287"/>
    <s v="C051"/>
    <x v="66"/>
    <x v="4"/>
    <x v="6"/>
    <x v="6"/>
    <x v="0"/>
    <x v="4491"/>
    <n v="17.62"/>
    <n v="623941.81999999995"/>
  </r>
  <r>
    <s v="ORD04597"/>
    <x v="282"/>
    <s v="C422"/>
    <x v="415"/>
    <x v="4"/>
    <x v="44"/>
    <x v="44"/>
    <x v="2"/>
    <x v="4492"/>
    <n v="23.52"/>
    <n v="1313544.96"/>
  </r>
  <r>
    <s v="ORD04598"/>
    <x v="513"/>
    <s v="C487"/>
    <x v="436"/>
    <x v="0"/>
    <x v="25"/>
    <x v="25"/>
    <x v="4"/>
    <x v="4493"/>
    <n v="22.23"/>
    <n v="2054296.53"/>
  </r>
  <r>
    <s v="ORD04599"/>
    <x v="479"/>
    <s v="C339"/>
    <x v="330"/>
    <x v="3"/>
    <x v="35"/>
    <x v="35"/>
    <x v="1"/>
    <x v="4494"/>
    <n v="22.68"/>
    <n v="1936350.36"/>
  </r>
  <r>
    <s v="ORD04600"/>
    <x v="357"/>
    <s v="C190"/>
    <x v="346"/>
    <x v="1"/>
    <x v="13"/>
    <x v="13"/>
    <x v="2"/>
    <x v="624"/>
    <n v="8.11"/>
    <n v="304368.3"/>
  </r>
  <r>
    <s v="ORD04601"/>
    <x v="0"/>
    <s v="C012"/>
    <x v="412"/>
    <x v="1"/>
    <x v="37"/>
    <x v="37"/>
    <x v="1"/>
    <x v="4495"/>
    <n v="27.26"/>
    <n v="2506529.7400000002"/>
  </r>
  <r>
    <s v="ORD04602"/>
    <x v="155"/>
    <s v="C261"/>
    <x v="390"/>
    <x v="2"/>
    <x v="15"/>
    <x v="15"/>
    <x v="2"/>
    <x v="114"/>
    <n v="5.25"/>
    <n v="181209"/>
  </r>
  <r>
    <s v="ORD04603"/>
    <x v="62"/>
    <s v="C389"/>
    <x v="394"/>
    <x v="0"/>
    <x v="40"/>
    <x v="40"/>
    <x v="0"/>
    <x v="4496"/>
    <n v="48.74"/>
    <n v="3755563.22"/>
  </r>
  <r>
    <s v="ORD04604"/>
    <x v="74"/>
    <s v="C055"/>
    <x v="301"/>
    <x v="1"/>
    <x v="47"/>
    <x v="47"/>
    <x v="2"/>
    <x v="4497"/>
    <n v="8.11"/>
    <n v="393732.39"/>
  </r>
  <r>
    <s v="ORD04605"/>
    <x v="101"/>
    <s v="C055"/>
    <x v="301"/>
    <x v="1"/>
    <x v="28"/>
    <x v="28"/>
    <x v="3"/>
    <x v="4498"/>
    <n v="43.78"/>
    <n v="114265.8"/>
  </r>
  <r>
    <s v="ORD04606"/>
    <x v="621"/>
    <s v="C223"/>
    <x v="358"/>
    <x v="1"/>
    <x v="12"/>
    <x v="12"/>
    <x v="4"/>
    <x v="2024"/>
    <n v="46.75"/>
    <n v="2400191.75"/>
  </r>
  <r>
    <s v="ORD04607"/>
    <x v="486"/>
    <s v="C104"/>
    <x v="21"/>
    <x v="2"/>
    <x v="9"/>
    <x v="9"/>
    <x v="4"/>
    <x v="4499"/>
    <n v="17.940000000000001"/>
    <n v="1132516.32"/>
  </r>
  <r>
    <s v="ORD04608"/>
    <x v="495"/>
    <s v="C124"/>
    <x v="54"/>
    <x v="1"/>
    <x v="1"/>
    <x v="1"/>
    <x v="1"/>
    <x v="4500"/>
    <n v="18.649999999999999"/>
    <n v="96625.65"/>
  </r>
  <r>
    <s v="ORD04609"/>
    <x v="232"/>
    <s v="C307"/>
    <x v="318"/>
    <x v="0"/>
    <x v="33"/>
    <x v="33"/>
    <x v="1"/>
    <x v="4501"/>
    <n v="46.76"/>
    <n v="2307606"/>
  </r>
  <r>
    <s v="ORD04610"/>
    <x v="162"/>
    <s v="C315"/>
    <x v="132"/>
    <x v="2"/>
    <x v="24"/>
    <x v="24"/>
    <x v="3"/>
    <x v="4502"/>
    <n v="23.55"/>
    <n v="1771902"/>
  </r>
  <r>
    <s v="ORD04611"/>
    <x v="178"/>
    <s v="C145"/>
    <x v="94"/>
    <x v="4"/>
    <x v="23"/>
    <x v="23"/>
    <x v="0"/>
    <x v="4503"/>
    <n v="49.51"/>
    <n v="3647451.21"/>
  </r>
  <r>
    <s v="ORD04612"/>
    <x v="557"/>
    <s v="C188"/>
    <x v="138"/>
    <x v="0"/>
    <x v="36"/>
    <x v="36"/>
    <x v="4"/>
    <x v="4504"/>
    <n v="46.81"/>
    <n v="1478915.14"/>
  </r>
  <r>
    <s v="ORD04613"/>
    <x v="230"/>
    <s v="C050"/>
    <x v="351"/>
    <x v="4"/>
    <x v="26"/>
    <x v="26"/>
    <x v="0"/>
    <x v="4505"/>
    <n v="4.74"/>
    <n v="428259"/>
  </r>
  <r>
    <s v="ORD04614"/>
    <x v="493"/>
    <s v="C106"/>
    <x v="492"/>
    <x v="3"/>
    <x v="37"/>
    <x v="37"/>
    <x v="1"/>
    <x v="4506"/>
    <n v="33.71"/>
    <n v="1678859.13"/>
  </r>
  <r>
    <s v="ORD04615"/>
    <x v="662"/>
    <s v="C422"/>
    <x v="415"/>
    <x v="4"/>
    <x v="32"/>
    <x v="32"/>
    <x v="4"/>
    <x v="4507"/>
    <n v="49.71"/>
    <n v="2460992.9700000002"/>
  </r>
  <r>
    <s v="ORD04616"/>
    <x v="16"/>
    <s v="C100"/>
    <x v="39"/>
    <x v="0"/>
    <x v="19"/>
    <x v="19"/>
    <x v="3"/>
    <x v="4508"/>
    <n v="30.58"/>
    <n v="2007210.04"/>
  </r>
  <r>
    <s v="ORD04617"/>
    <x v="643"/>
    <s v="C365"/>
    <x v="155"/>
    <x v="4"/>
    <x v="30"/>
    <x v="30"/>
    <x v="4"/>
    <x v="4127"/>
    <n v="39.92"/>
    <n v="3412281.76"/>
  </r>
  <r>
    <s v="ORD04618"/>
    <x v="509"/>
    <s v="C221"/>
    <x v="176"/>
    <x v="2"/>
    <x v="19"/>
    <x v="19"/>
    <x v="3"/>
    <x v="4509"/>
    <n v="6.32"/>
    <n v="149524.88"/>
  </r>
  <r>
    <s v="ORD04619"/>
    <x v="335"/>
    <s v="C487"/>
    <x v="436"/>
    <x v="0"/>
    <x v="36"/>
    <x v="36"/>
    <x v="4"/>
    <x v="4510"/>
    <n v="16.71"/>
    <n v="1022635.29"/>
  </r>
  <r>
    <s v="ORD04620"/>
    <x v="318"/>
    <s v="C321"/>
    <x v="455"/>
    <x v="2"/>
    <x v="23"/>
    <x v="23"/>
    <x v="0"/>
    <x v="4511"/>
    <n v="28.97"/>
    <n v="557237.94999999995"/>
  </r>
  <r>
    <s v="ORD04621"/>
    <x v="173"/>
    <s v="C286"/>
    <x v="116"/>
    <x v="3"/>
    <x v="19"/>
    <x v="19"/>
    <x v="3"/>
    <x v="4512"/>
    <n v="31.91"/>
    <n v="1487739.93"/>
  </r>
  <r>
    <s v="ORD04622"/>
    <x v="476"/>
    <s v="C128"/>
    <x v="361"/>
    <x v="4"/>
    <x v="24"/>
    <x v="24"/>
    <x v="3"/>
    <x v="927"/>
    <n v="9.7799999999999994"/>
    <n v="871691.4"/>
  </r>
  <r>
    <s v="ORD04623"/>
    <x v="493"/>
    <s v="C496"/>
    <x v="82"/>
    <x v="0"/>
    <x v="21"/>
    <x v="21"/>
    <x v="2"/>
    <x v="4513"/>
    <n v="44.63"/>
    <n v="2325223"/>
  </r>
  <r>
    <s v="ORD04624"/>
    <x v="616"/>
    <s v="C202"/>
    <x v="400"/>
    <x v="1"/>
    <x v="25"/>
    <x v="25"/>
    <x v="4"/>
    <x v="4514"/>
    <n v="17.46"/>
    <n v="1068866.28"/>
  </r>
  <r>
    <s v="ORD04625"/>
    <x v="550"/>
    <s v="C492"/>
    <x v="299"/>
    <x v="3"/>
    <x v="37"/>
    <x v="37"/>
    <x v="1"/>
    <x v="4515"/>
    <n v="20.05"/>
    <n v="1546516.65"/>
  </r>
  <r>
    <s v="ORD04626"/>
    <x v="196"/>
    <s v="C138"/>
    <x v="251"/>
    <x v="2"/>
    <x v="11"/>
    <x v="11"/>
    <x v="4"/>
    <x v="4516"/>
    <n v="32.450000000000003"/>
    <n v="274689.25"/>
  </r>
  <r>
    <s v="ORD04627"/>
    <x v="14"/>
    <s v="C069"/>
    <x v="410"/>
    <x v="4"/>
    <x v="33"/>
    <x v="33"/>
    <x v="1"/>
    <x v="4517"/>
    <n v="14.14"/>
    <n v="104777.4"/>
  </r>
  <r>
    <s v="ORD04628"/>
    <x v="346"/>
    <s v="C237"/>
    <x v="482"/>
    <x v="0"/>
    <x v="31"/>
    <x v="31"/>
    <x v="0"/>
    <x v="4518"/>
    <n v="16.28"/>
    <n v="911549.76"/>
  </r>
  <r>
    <s v="ORD04629"/>
    <x v="377"/>
    <s v="C042"/>
    <x v="175"/>
    <x v="0"/>
    <x v="18"/>
    <x v="18"/>
    <x v="0"/>
    <x v="4519"/>
    <n v="3.03"/>
    <n v="232349.49"/>
  </r>
  <r>
    <s v="ORD04630"/>
    <x v="231"/>
    <s v="C106"/>
    <x v="492"/>
    <x v="3"/>
    <x v="3"/>
    <x v="3"/>
    <x v="2"/>
    <x v="4520"/>
    <n v="44.4"/>
    <n v="1079896.8"/>
  </r>
  <r>
    <s v="ORD04631"/>
    <x v="635"/>
    <s v="C408"/>
    <x v="45"/>
    <x v="4"/>
    <x v="6"/>
    <x v="6"/>
    <x v="0"/>
    <x v="4521"/>
    <n v="41.63"/>
    <n v="3578764.58"/>
  </r>
  <r>
    <s v="ORD04632"/>
    <x v="185"/>
    <s v="C305"/>
    <x v="101"/>
    <x v="1"/>
    <x v="21"/>
    <x v="21"/>
    <x v="2"/>
    <x v="4522"/>
    <n v="49.13"/>
    <n v="3758445"/>
  </r>
  <r>
    <s v="ORD04633"/>
    <x v="501"/>
    <s v="C148"/>
    <x v="365"/>
    <x v="1"/>
    <x v="29"/>
    <x v="29"/>
    <x v="0"/>
    <x v="4523"/>
    <n v="15.77"/>
    <n v="1339582.6499999999"/>
  </r>
  <r>
    <s v="ORD04634"/>
    <x v="637"/>
    <s v="C146"/>
    <x v="37"/>
    <x v="4"/>
    <x v="13"/>
    <x v="13"/>
    <x v="2"/>
    <x v="4524"/>
    <n v="5.7"/>
    <n v="519184.5"/>
  </r>
  <r>
    <s v="ORD04635"/>
    <x v="97"/>
    <s v="C360"/>
    <x v="92"/>
    <x v="3"/>
    <x v="20"/>
    <x v="20"/>
    <x v="1"/>
    <x v="4525"/>
    <n v="25.74"/>
    <n v="1133949.96"/>
  </r>
  <r>
    <s v="ORD04636"/>
    <x v="142"/>
    <s v="C112"/>
    <x v="77"/>
    <x v="1"/>
    <x v="46"/>
    <x v="46"/>
    <x v="0"/>
    <x v="4526"/>
    <n v="23.31"/>
    <n v="785756.79"/>
  </r>
  <r>
    <s v="ORD04637"/>
    <x v="647"/>
    <s v="C139"/>
    <x v="385"/>
    <x v="2"/>
    <x v="10"/>
    <x v="10"/>
    <x v="3"/>
    <x v="4527"/>
    <n v="6.16"/>
    <n v="320455.52"/>
  </r>
  <r>
    <s v="ORD04638"/>
    <x v="550"/>
    <s v="C259"/>
    <x v="36"/>
    <x v="2"/>
    <x v="49"/>
    <x v="49"/>
    <x v="3"/>
    <x v="4528"/>
    <n v="26.86"/>
    <n v="2157583.2200000002"/>
  </r>
  <r>
    <s v="ORD04639"/>
    <x v="478"/>
    <s v="C087"/>
    <x v="44"/>
    <x v="0"/>
    <x v="17"/>
    <x v="17"/>
    <x v="1"/>
    <x v="4529"/>
    <n v="18.12"/>
    <n v="1060726.68"/>
  </r>
  <r>
    <s v="ORD04640"/>
    <x v="716"/>
    <s v="C144"/>
    <x v="470"/>
    <x v="4"/>
    <x v="11"/>
    <x v="11"/>
    <x v="4"/>
    <x v="4530"/>
    <n v="43.43"/>
    <n v="1067161.96"/>
  </r>
  <r>
    <s v="ORD04641"/>
    <x v="466"/>
    <s v="C192"/>
    <x v="154"/>
    <x v="3"/>
    <x v="25"/>
    <x v="25"/>
    <x v="4"/>
    <x v="4531"/>
    <n v="40.78"/>
    <n v="548287.1"/>
  </r>
  <r>
    <s v="ORD04642"/>
    <x v="581"/>
    <s v="C154"/>
    <x v="496"/>
    <x v="0"/>
    <x v="35"/>
    <x v="35"/>
    <x v="1"/>
    <x v="4532"/>
    <n v="28.66"/>
    <n v="1024451.7"/>
  </r>
  <r>
    <s v="ORD04643"/>
    <x v="122"/>
    <s v="C078"/>
    <x v="41"/>
    <x v="4"/>
    <x v="38"/>
    <x v="38"/>
    <x v="2"/>
    <x v="4533"/>
    <n v="2.39"/>
    <n v="120456"/>
  </r>
  <r>
    <s v="ORD04644"/>
    <x v="225"/>
    <s v="C247"/>
    <x v="433"/>
    <x v="4"/>
    <x v="36"/>
    <x v="36"/>
    <x v="4"/>
    <x v="4534"/>
    <n v="5.16"/>
    <n v="492423.96"/>
  </r>
  <r>
    <s v="ORD04645"/>
    <x v="243"/>
    <s v="C037"/>
    <x v="255"/>
    <x v="1"/>
    <x v="20"/>
    <x v="20"/>
    <x v="1"/>
    <x v="4535"/>
    <n v="26.65"/>
    <n v="2638483.25"/>
  </r>
  <r>
    <s v="ORD04646"/>
    <x v="481"/>
    <s v="C266"/>
    <x v="99"/>
    <x v="0"/>
    <x v="26"/>
    <x v="26"/>
    <x v="0"/>
    <x v="4536"/>
    <n v="8.4"/>
    <n v="333505.2"/>
  </r>
  <r>
    <s v="ORD04647"/>
    <x v="669"/>
    <s v="C358"/>
    <x v="311"/>
    <x v="3"/>
    <x v="45"/>
    <x v="45"/>
    <x v="3"/>
    <x v="4537"/>
    <n v="9.14"/>
    <n v="641372.07999999996"/>
  </r>
  <r>
    <s v="ORD04648"/>
    <x v="477"/>
    <s v="C059"/>
    <x v="256"/>
    <x v="4"/>
    <x v="24"/>
    <x v="24"/>
    <x v="3"/>
    <x v="4538"/>
    <n v="35.869999999999997"/>
    <n v="1310115.8799999999"/>
  </r>
  <r>
    <s v="ORD04649"/>
    <x v="63"/>
    <s v="C257"/>
    <x v="281"/>
    <x v="0"/>
    <x v="2"/>
    <x v="2"/>
    <x v="1"/>
    <x v="4539"/>
    <n v="12.4"/>
    <n v="68919.199999999997"/>
  </r>
  <r>
    <s v="ORD04650"/>
    <x v="172"/>
    <s v="C474"/>
    <x v="203"/>
    <x v="3"/>
    <x v="24"/>
    <x v="24"/>
    <x v="3"/>
    <x v="4148"/>
    <n v="17.399999999999999"/>
    <n v="1586062.2"/>
  </r>
  <r>
    <s v="ORD04651"/>
    <x v="626"/>
    <s v="C120"/>
    <x v="445"/>
    <x v="2"/>
    <x v="18"/>
    <x v="18"/>
    <x v="0"/>
    <x v="4540"/>
    <n v="12.2"/>
    <n v="754289.4"/>
  </r>
  <r>
    <s v="ORD04652"/>
    <x v="434"/>
    <s v="C189"/>
    <x v="253"/>
    <x v="0"/>
    <x v="28"/>
    <x v="28"/>
    <x v="3"/>
    <x v="4541"/>
    <n v="48.14"/>
    <n v="3695755.94"/>
  </r>
  <r>
    <s v="ORD04653"/>
    <x v="360"/>
    <s v="C022"/>
    <x v="303"/>
    <x v="3"/>
    <x v="8"/>
    <x v="8"/>
    <x v="3"/>
    <x v="4542"/>
    <n v="49.43"/>
    <n v="2857597.73"/>
  </r>
  <r>
    <s v="ORD04654"/>
    <x v="19"/>
    <s v="C481"/>
    <x v="56"/>
    <x v="0"/>
    <x v="43"/>
    <x v="43"/>
    <x v="4"/>
    <x v="4543"/>
    <n v="36.94"/>
    <n v="1248054.8400000001"/>
  </r>
  <r>
    <s v="ORD04655"/>
    <x v="312"/>
    <s v="C110"/>
    <x v="114"/>
    <x v="1"/>
    <x v="47"/>
    <x v="47"/>
    <x v="2"/>
    <x v="4544"/>
    <n v="2.46"/>
    <n v="240125.52"/>
  </r>
  <r>
    <s v="ORD04656"/>
    <x v="190"/>
    <s v="C481"/>
    <x v="56"/>
    <x v="0"/>
    <x v="23"/>
    <x v="23"/>
    <x v="0"/>
    <x v="4545"/>
    <n v="41.5"/>
    <n v="3490689.5"/>
  </r>
  <r>
    <s v="ORD04657"/>
    <x v="31"/>
    <s v="C288"/>
    <x v="177"/>
    <x v="3"/>
    <x v="34"/>
    <x v="34"/>
    <x v="2"/>
    <x v="4546"/>
    <n v="20.61"/>
    <n v="445423.32"/>
  </r>
  <r>
    <s v="ORD04658"/>
    <x v="350"/>
    <s v="C263"/>
    <x v="432"/>
    <x v="3"/>
    <x v="12"/>
    <x v="12"/>
    <x v="4"/>
    <x v="4547"/>
    <n v="29.5"/>
    <n v="1022381.5"/>
  </r>
  <r>
    <s v="ORD04659"/>
    <x v="441"/>
    <s v="C438"/>
    <x v="475"/>
    <x v="1"/>
    <x v="26"/>
    <x v="26"/>
    <x v="0"/>
    <x v="4548"/>
    <n v="28.8"/>
    <n v="374688"/>
  </r>
  <r>
    <s v="ORD04660"/>
    <x v="284"/>
    <s v="C177"/>
    <x v="183"/>
    <x v="1"/>
    <x v="14"/>
    <x v="14"/>
    <x v="2"/>
    <x v="4549"/>
    <n v="14.21"/>
    <n v="712645.71"/>
  </r>
  <r>
    <s v="ORD04661"/>
    <x v="53"/>
    <s v="C470"/>
    <x v="190"/>
    <x v="4"/>
    <x v="20"/>
    <x v="20"/>
    <x v="1"/>
    <x v="1751"/>
    <n v="3.12"/>
    <n v="223831.92"/>
  </r>
  <r>
    <s v="ORD04662"/>
    <x v="637"/>
    <s v="C272"/>
    <x v="98"/>
    <x v="0"/>
    <x v="2"/>
    <x v="2"/>
    <x v="1"/>
    <x v="4550"/>
    <n v="43.72"/>
    <n v="3547309.64"/>
  </r>
  <r>
    <s v="ORD04663"/>
    <x v="196"/>
    <s v="C151"/>
    <x v="328"/>
    <x v="0"/>
    <x v="16"/>
    <x v="16"/>
    <x v="1"/>
    <x v="4551"/>
    <n v="12.22"/>
    <n v="944715.98"/>
  </r>
  <r>
    <s v="ORD04664"/>
    <x v="12"/>
    <s v="C406"/>
    <x v="50"/>
    <x v="3"/>
    <x v="5"/>
    <x v="5"/>
    <x v="3"/>
    <x v="4552"/>
    <n v="42.5"/>
    <n v="1330845"/>
  </r>
  <r>
    <s v="ORD04665"/>
    <x v="670"/>
    <s v="C058"/>
    <x v="479"/>
    <x v="2"/>
    <x v="29"/>
    <x v="29"/>
    <x v="0"/>
    <x v="4553"/>
    <n v="6.89"/>
    <n v="118769.82"/>
  </r>
  <r>
    <s v="ORD04666"/>
    <x v="341"/>
    <s v="C117"/>
    <x v="441"/>
    <x v="2"/>
    <x v="1"/>
    <x v="1"/>
    <x v="1"/>
    <x v="4554"/>
    <n v="20.5"/>
    <n v="2043809"/>
  </r>
  <r>
    <s v="ORD04667"/>
    <x v="417"/>
    <s v="C415"/>
    <x v="152"/>
    <x v="0"/>
    <x v="28"/>
    <x v="28"/>
    <x v="3"/>
    <x v="4555"/>
    <n v="29.68"/>
    <n v="1151257.52"/>
  </r>
  <r>
    <s v="ORD04668"/>
    <x v="558"/>
    <s v="C264"/>
    <x v="65"/>
    <x v="0"/>
    <x v="29"/>
    <x v="29"/>
    <x v="0"/>
    <x v="4556"/>
    <n v="45.02"/>
    <n v="1192444.74"/>
  </r>
  <r>
    <s v="ORD04669"/>
    <x v="29"/>
    <s v="C414"/>
    <x v="341"/>
    <x v="4"/>
    <x v="42"/>
    <x v="42"/>
    <x v="1"/>
    <x v="4557"/>
    <n v="16.29"/>
    <n v="701919.81"/>
  </r>
  <r>
    <s v="ORD04670"/>
    <x v="274"/>
    <s v="C080"/>
    <x v="222"/>
    <x v="4"/>
    <x v="19"/>
    <x v="19"/>
    <x v="3"/>
    <x v="4558"/>
    <n v="32.47"/>
    <n v="529910.4"/>
  </r>
  <r>
    <s v="ORD04671"/>
    <x v="410"/>
    <s v="C231"/>
    <x v="315"/>
    <x v="2"/>
    <x v="27"/>
    <x v="27"/>
    <x v="4"/>
    <x v="4559"/>
    <n v="3.35"/>
    <n v="333740.40000000002"/>
  </r>
  <r>
    <s v="ORD04672"/>
    <x v="503"/>
    <s v="C125"/>
    <x v="473"/>
    <x v="0"/>
    <x v="1"/>
    <x v="1"/>
    <x v="1"/>
    <x v="4560"/>
    <n v="29.88"/>
    <n v="2255820.48"/>
  </r>
  <r>
    <s v="ORD04673"/>
    <x v="459"/>
    <s v="C397"/>
    <x v="95"/>
    <x v="3"/>
    <x v="45"/>
    <x v="45"/>
    <x v="3"/>
    <x v="4561"/>
    <n v="24.93"/>
    <n v="2246791.3199999998"/>
  </r>
  <r>
    <s v="ORD04674"/>
    <x v="613"/>
    <s v="C283"/>
    <x v="478"/>
    <x v="0"/>
    <x v="30"/>
    <x v="30"/>
    <x v="4"/>
    <x v="4562"/>
    <n v="42.64"/>
    <n v="2438624.2400000002"/>
  </r>
  <r>
    <s v="ORD04675"/>
    <x v="530"/>
    <s v="C485"/>
    <x v="374"/>
    <x v="0"/>
    <x v="28"/>
    <x v="28"/>
    <x v="3"/>
    <x v="4563"/>
    <n v="39.92"/>
    <n v="2301308.16"/>
  </r>
  <r>
    <s v="ORD04676"/>
    <x v="382"/>
    <s v="C045"/>
    <x v="174"/>
    <x v="2"/>
    <x v="2"/>
    <x v="2"/>
    <x v="1"/>
    <x v="4564"/>
    <n v="18.329999999999998"/>
    <n v="1019624.58"/>
  </r>
  <r>
    <s v="ORD04677"/>
    <x v="384"/>
    <s v="C125"/>
    <x v="473"/>
    <x v="0"/>
    <x v="47"/>
    <x v="47"/>
    <x v="2"/>
    <x v="2354"/>
    <n v="19.04"/>
    <n v="232002.4"/>
  </r>
  <r>
    <s v="ORD04678"/>
    <x v="617"/>
    <s v="C020"/>
    <x v="80"/>
    <x v="4"/>
    <x v="32"/>
    <x v="32"/>
    <x v="4"/>
    <x v="4565"/>
    <n v="19.36"/>
    <n v="121329.12"/>
  </r>
  <r>
    <s v="ORD04679"/>
    <x v="121"/>
    <s v="C222"/>
    <x v="453"/>
    <x v="0"/>
    <x v="29"/>
    <x v="29"/>
    <x v="0"/>
    <x v="4566"/>
    <n v="6.72"/>
    <n v="140246.39999999999"/>
  </r>
  <r>
    <s v="ORD04680"/>
    <x v="480"/>
    <s v="C455"/>
    <x v="366"/>
    <x v="4"/>
    <x v="11"/>
    <x v="11"/>
    <x v="4"/>
    <x v="4567"/>
    <n v="18.32"/>
    <n v="1478259.12"/>
  </r>
  <r>
    <s v="ORD04681"/>
    <x v="679"/>
    <s v="C490"/>
    <x v="141"/>
    <x v="2"/>
    <x v="10"/>
    <x v="10"/>
    <x v="3"/>
    <x v="4568"/>
    <n v="24.41"/>
    <n v="2280845.9900000002"/>
  </r>
  <r>
    <s v="ORD04682"/>
    <x v="720"/>
    <s v="C175"/>
    <x v="29"/>
    <x v="4"/>
    <x v="48"/>
    <x v="48"/>
    <x v="2"/>
    <x v="4569"/>
    <n v="7.17"/>
    <n v="130637.4"/>
  </r>
  <r>
    <s v="ORD04683"/>
    <x v="544"/>
    <s v="C194"/>
    <x v="106"/>
    <x v="2"/>
    <x v="29"/>
    <x v="29"/>
    <x v="0"/>
    <x v="4570"/>
    <n v="7.53"/>
    <n v="387531.45"/>
  </r>
  <r>
    <s v="ORD04684"/>
    <x v="366"/>
    <s v="C025"/>
    <x v="396"/>
    <x v="0"/>
    <x v="17"/>
    <x v="17"/>
    <x v="1"/>
    <x v="4571"/>
    <n v="23.21"/>
    <n v="59719.33"/>
  </r>
  <r>
    <s v="ORD04685"/>
    <x v="629"/>
    <s v="C484"/>
    <x v="124"/>
    <x v="3"/>
    <x v="10"/>
    <x v="10"/>
    <x v="3"/>
    <x v="4572"/>
    <n v="26.21"/>
    <n v="1961949.55"/>
  </r>
  <r>
    <s v="ORD04686"/>
    <x v="327"/>
    <s v="C243"/>
    <x v="353"/>
    <x v="0"/>
    <x v="36"/>
    <x v="36"/>
    <x v="4"/>
    <x v="4573"/>
    <n v="15.65"/>
    <n v="807461.75"/>
  </r>
  <r>
    <s v="ORD04687"/>
    <x v="497"/>
    <s v="C020"/>
    <x v="80"/>
    <x v="4"/>
    <x v="30"/>
    <x v="30"/>
    <x v="4"/>
    <x v="4574"/>
    <n v="5.25"/>
    <n v="179875.5"/>
  </r>
  <r>
    <s v="ORD04688"/>
    <x v="317"/>
    <s v="C248"/>
    <x v="392"/>
    <x v="0"/>
    <x v="34"/>
    <x v="34"/>
    <x v="2"/>
    <x v="4575"/>
    <n v="37.1"/>
    <n v="3208222.5"/>
  </r>
  <r>
    <s v="ORD04689"/>
    <x v="381"/>
    <s v="C348"/>
    <x v="413"/>
    <x v="0"/>
    <x v="3"/>
    <x v="3"/>
    <x v="2"/>
    <x v="4576"/>
    <n v="33.46"/>
    <n v="665151.34"/>
  </r>
  <r>
    <s v="ORD04690"/>
    <x v="691"/>
    <s v="C116"/>
    <x v="323"/>
    <x v="3"/>
    <x v="28"/>
    <x v="28"/>
    <x v="3"/>
    <x v="4577"/>
    <n v="6.08"/>
    <n v="356993.28000000003"/>
  </r>
  <r>
    <s v="ORD04691"/>
    <x v="390"/>
    <s v="C430"/>
    <x v="363"/>
    <x v="4"/>
    <x v="19"/>
    <x v="19"/>
    <x v="3"/>
    <x v="4578"/>
    <n v="36.25"/>
    <n v="621687.5"/>
  </r>
  <r>
    <s v="ORD04692"/>
    <x v="376"/>
    <s v="C126"/>
    <x v="424"/>
    <x v="4"/>
    <x v="42"/>
    <x v="42"/>
    <x v="1"/>
    <x v="4579"/>
    <n v="40.369999999999997"/>
    <n v="779585.07"/>
  </r>
  <r>
    <s v="ORD04693"/>
    <x v="601"/>
    <s v="C133"/>
    <x v="71"/>
    <x v="4"/>
    <x v="25"/>
    <x v="25"/>
    <x v="4"/>
    <x v="4580"/>
    <n v="7.49"/>
    <n v="457159.64"/>
  </r>
  <r>
    <s v="ORD04694"/>
    <x v="388"/>
    <s v="C464"/>
    <x v="118"/>
    <x v="2"/>
    <x v="15"/>
    <x v="15"/>
    <x v="2"/>
    <x v="4581"/>
    <n v="33.58"/>
    <n v="1354079.92"/>
  </r>
  <r>
    <s v="ORD04695"/>
    <x v="677"/>
    <s v="C475"/>
    <x v="33"/>
    <x v="1"/>
    <x v="2"/>
    <x v="2"/>
    <x v="1"/>
    <x v="4582"/>
    <n v="13.05"/>
    <n v="1036979.1"/>
  </r>
  <r>
    <s v="ORD04696"/>
    <x v="101"/>
    <s v="C264"/>
    <x v="65"/>
    <x v="0"/>
    <x v="4"/>
    <x v="4"/>
    <x v="1"/>
    <x v="4583"/>
    <n v="45.57"/>
    <n v="811100.43"/>
  </r>
  <r>
    <s v="ORD04697"/>
    <x v="385"/>
    <s v="C149"/>
    <x v="430"/>
    <x v="2"/>
    <x v="16"/>
    <x v="16"/>
    <x v="1"/>
    <x v="4584"/>
    <n v="12.12"/>
    <n v="304878.59999999998"/>
  </r>
  <r>
    <s v="ORD04698"/>
    <x v="680"/>
    <s v="C315"/>
    <x v="132"/>
    <x v="2"/>
    <x v="8"/>
    <x v="8"/>
    <x v="3"/>
    <x v="4585"/>
    <n v="45.66"/>
    <n v="2103784.5"/>
  </r>
  <r>
    <s v="ORD04699"/>
    <x v="274"/>
    <s v="C117"/>
    <x v="441"/>
    <x v="2"/>
    <x v="29"/>
    <x v="29"/>
    <x v="0"/>
    <x v="4586"/>
    <n v="47.85"/>
    <n v="196615.65"/>
  </r>
  <r>
    <s v="ORD04700"/>
    <x v="240"/>
    <s v="C070"/>
    <x v="249"/>
    <x v="4"/>
    <x v="40"/>
    <x v="40"/>
    <x v="0"/>
    <x v="4587"/>
    <n v="32.11"/>
    <n v="2414447.23"/>
  </r>
  <r>
    <s v="ORD04701"/>
    <x v="96"/>
    <s v="C069"/>
    <x v="410"/>
    <x v="4"/>
    <x v="39"/>
    <x v="39"/>
    <x v="3"/>
    <x v="4588"/>
    <n v="9.67"/>
    <n v="533261.81999999995"/>
  </r>
  <r>
    <s v="ORD04702"/>
    <x v="84"/>
    <s v="C417"/>
    <x v="417"/>
    <x v="2"/>
    <x v="39"/>
    <x v="39"/>
    <x v="3"/>
    <x v="4589"/>
    <n v="26.26"/>
    <n v="834752.88"/>
  </r>
  <r>
    <s v="ORD04703"/>
    <x v="642"/>
    <s v="C369"/>
    <x v="464"/>
    <x v="4"/>
    <x v="49"/>
    <x v="49"/>
    <x v="3"/>
    <x v="4590"/>
    <n v="43.67"/>
    <n v="1666228.85"/>
  </r>
  <r>
    <s v="ORD04704"/>
    <x v="240"/>
    <s v="C045"/>
    <x v="174"/>
    <x v="2"/>
    <x v="22"/>
    <x v="22"/>
    <x v="0"/>
    <x v="4591"/>
    <n v="9.43"/>
    <n v="670718.18000000005"/>
  </r>
  <r>
    <s v="ORD04705"/>
    <x v="543"/>
    <s v="C420"/>
    <x v="11"/>
    <x v="4"/>
    <x v="11"/>
    <x v="11"/>
    <x v="4"/>
    <x v="4592"/>
    <n v="6.47"/>
    <n v="283411.88"/>
  </r>
  <r>
    <s v="ORD04706"/>
    <x v="139"/>
    <s v="C240"/>
    <x v="218"/>
    <x v="3"/>
    <x v="31"/>
    <x v="31"/>
    <x v="0"/>
    <x v="4593"/>
    <n v="29.49"/>
    <n v="2690785.56"/>
  </r>
  <r>
    <s v="ORD04707"/>
    <x v="36"/>
    <s v="C422"/>
    <x v="415"/>
    <x v="4"/>
    <x v="33"/>
    <x v="33"/>
    <x v="1"/>
    <x v="4594"/>
    <n v="9.34"/>
    <n v="259194.34"/>
  </r>
  <r>
    <s v="ORD04708"/>
    <x v="475"/>
    <s v="C205"/>
    <x v="490"/>
    <x v="4"/>
    <x v="9"/>
    <x v="9"/>
    <x v="4"/>
    <x v="4595"/>
    <n v="17.02"/>
    <n v="1483378.1"/>
  </r>
  <r>
    <s v="ORD04709"/>
    <x v="420"/>
    <s v="C019"/>
    <x v="88"/>
    <x v="0"/>
    <x v="9"/>
    <x v="9"/>
    <x v="4"/>
    <x v="4596"/>
    <n v="10.31"/>
    <n v="736773.22"/>
  </r>
  <r>
    <s v="ORD04710"/>
    <x v="643"/>
    <s v="C267"/>
    <x v="172"/>
    <x v="4"/>
    <x v="12"/>
    <x v="12"/>
    <x v="4"/>
    <x v="4597"/>
    <n v="26.99"/>
    <n v="1233254.07"/>
  </r>
  <r>
    <s v="ORD04711"/>
    <x v="219"/>
    <s v="C440"/>
    <x v="73"/>
    <x v="0"/>
    <x v="5"/>
    <x v="5"/>
    <x v="3"/>
    <x v="4598"/>
    <n v="19.920000000000002"/>
    <n v="239358.72"/>
  </r>
  <r>
    <s v="ORD04712"/>
    <x v="40"/>
    <s v="C036"/>
    <x v="40"/>
    <x v="3"/>
    <x v="16"/>
    <x v="16"/>
    <x v="1"/>
    <x v="4599"/>
    <n v="42.97"/>
    <n v="579407.48"/>
  </r>
  <r>
    <s v="ORD04713"/>
    <x v="656"/>
    <s v="C354"/>
    <x v="97"/>
    <x v="4"/>
    <x v="27"/>
    <x v="27"/>
    <x v="4"/>
    <x v="4600"/>
    <n v="39.65"/>
    <n v="3803465.9"/>
  </r>
  <r>
    <s v="ORD04714"/>
    <x v="68"/>
    <s v="C421"/>
    <x v="110"/>
    <x v="2"/>
    <x v="34"/>
    <x v="34"/>
    <x v="2"/>
    <x v="4601"/>
    <n v="38.840000000000003"/>
    <n v="2039255.36"/>
  </r>
  <r>
    <s v="ORD04715"/>
    <x v="431"/>
    <s v="C082"/>
    <x v="462"/>
    <x v="0"/>
    <x v="16"/>
    <x v="16"/>
    <x v="1"/>
    <x v="4602"/>
    <n v="42.21"/>
    <n v="1892443.14"/>
  </r>
  <r>
    <s v="ORD04716"/>
    <x v="159"/>
    <s v="C161"/>
    <x v="169"/>
    <x v="1"/>
    <x v="38"/>
    <x v="38"/>
    <x v="2"/>
    <x v="4603"/>
    <n v="43.14"/>
    <n v="350037.96"/>
  </r>
  <r>
    <s v="ORD04717"/>
    <x v="367"/>
    <s v="C482"/>
    <x v="369"/>
    <x v="4"/>
    <x v="49"/>
    <x v="49"/>
    <x v="3"/>
    <x v="4604"/>
    <n v="36.659999999999997"/>
    <n v="1573410.54"/>
  </r>
  <r>
    <s v="ORD04718"/>
    <x v="337"/>
    <s v="C464"/>
    <x v="118"/>
    <x v="2"/>
    <x v="5"/>
    <x v="5"/>
    <x v="3"/>
    <x v="4605"/>
    <n v="28.27"/>
    <n v="2436534.7599999998"/>
  </r>
  <r>
    <s v="ORD04719"/>
    <x v="71"/>
    <s v="C141"/>
    <x v="438"/>
    <x v="0"/>
    <x v="32"/>
    <x v="32"/>
    <x v="4"/>
    <x v="4606"/>
    <n v="28.53"/>
    <n v="2449899.63"/>
  </r>
  <r>
    <s v="ORD04720"/>
    <x v="227"/>
    <s v="C006"/>
    <x v="319"/>
    <x v="2"/>
    <x v="42"/>
    <x v="42"/>
    <x v="1"/>
    <x v="4607"/>
    <n v="32.42"/>
    <n v="1402554.04"/>
  </r>
  <r>
    <s v="ORD04721"/>
    <x v="729"/>
    <s v="C254"/>
    <x v="431"/>
    <x v="1"/>
    <x v="38"/>
    <x v="38"/>
    <x v="2"/>
    <x v="4608"/>
    <n v="24.66"/>
    <n v="2073536.1"/>
  </r>
  <r>
    <s v="ORD04722"/>
    <x v="408"/>
    <s v="C155"/>
    <x v="407"/>
    <x v="1"/>
    <x v="27"/>
    <x v="27"/>
    <x v="4"/>
    <x v="4609"/>
    <n v="48.04"/>
    <n v="885761.52"/>
  </r>
  <r>
    <s v="ORD04723"/>
    <x v="532"/>
    <s v="C132"/>
    <x v="250"/>
    <x v="3"/>
    <x v="19"/>
    <x v="19"/>
    <x v="3"/>
    <x v="4610"/>
    <n v="9.58"/>
    <n v="132520.14000000001"/>
  </r>
  <r>
    <s v="ORD04724"/>
    <x v="209"/>
    <s v="C267"/>
    <x v="172"/>
    <x v="4"/>
    <x v="7"/>
    <x v="7"/>
    <x v="3"/>
    <x v="4611"/>
    <n v="19.64"/>
    <n v="1615743.52"/>
  </r>
  <r>
    <s v="ORD04725"/>
    <x v="541"/>
    <s v="C408"/>
    <x v="45"/>
    <x v="4"/>
    <x v="16"/>
    <x v="16"/>
    <x v="1"/>
    <x v="4612"/>
    <n v="4.54"/>
    <n v="41391.18"/>
  </r>
  <r>
    <s v="ORD04726"/>
    <x v="517"/>
    <s v="C489"/>
    <x v="184"/>
    <x v="4"/>
    <x v="40"/>
    <x v="40"/>
    <x v="0"/>
    <x v="4613"/>
    <n v="11.34"/>
    <n v="43341.48"/>
  </r>
  <r>
    <s v="ORD04727"/>
    <x v="369"/>
    <s v="C130"/>
    <x v="192"/>
    <x v="3"/>
    <x v="14"/>
    <x v="14"/>
    <x v="2"/>
    <x v="3302"/>
    <n v="10.76"/>
    <n v="740804.48"/>
  </r>
  <r>
    <s v="ORD04728"/>
    <x v="432"/>
    <s v="C429"/>
    <x v="474"/>
    <x v="3"/>
    <x v="27"/>
    <x v="27"/>
    <x v="4"/>
    <x v="4614"/>
    <n v="3.75"/>
    <n v="87948.75"/>
  </r>
  <r>
    <s v="ORD04729"/>
    <x v="28"/>
    <s v="C399"/>
    <x v="194"/>
    <x v="4"/>
    <x v="35"/>
    <x v="35"/>
    <x v="1"/>
    <x v="4615"/>
    <n v="23.65"/>
    <n v="998692.2"/>
  </r>
  <r>
    <s v="ORD04730"/>
    <x v="317"/>
    <s v="C072"/>
    <x v="265"/>
    <x v="3"/>
    <x v="37"/>
    <x v="37"/>
    <x v="1"/>
    <x v="4616"/>
    <n v="17.399999999999999"/>
    <n v="1165121.3999999999"/>
  </r>
  <r>
    <s v="ORD04731"/>
    <x v="244"/>
    <s v="C141"/>
    <x v="438"/>
    <x v="0"/>
    <x v="14"/>
    <x v="14"/>
    <x v="2"/>
    <x v="4617"/>
    <n v="3.91"/>
    <n v="302176.53000000003"/>
  </r>
  <r>
    <s v="ORD04732"/>
    <x v="344"/>
    <s v="C031"/>
    <x v="296"/>
    <x v="1"/>
    <x v="4"/>
    <x v="4"/>
    <x v="1"/>
    <x v="4618"/>
    <n v="33.159999999999997"/>
    <n v="3181635.68"/>
  </r>
  <r>
    <s v="ORD04733"/>
    <x v="661"/>
    <s v="C191"/>
    <x v="186"/>
    <x v="2"/>
    <x v="15"/>
    <x v="15"/>
    <x v="2"/>
    <x v="4619"/>
    <n v="35.49"/>
    <n v="153955.62"/>
  </r>
  <r>
    <s v="ORD04734"/>
    <x v="315"/>
    <s v="C405"/>
    <x v="230"/>
    <x v="4"/>
    <x v="21"/>
    <x v="21"/>
    <x v="2"/>
    <x v="4620"/>
    <n v="46.4"/>
    <n v="3816678.4"/>
  </r>
  <r>
    <s v="ORD04735"/>
    <x v="543"/>
    <s v="C289"/>
    <x v="408"/>
    <x v="1"/>
    <x v="9"/>
    <x v="9"/>
    <x v="4"/>
    <x v="4621"/>
    <n v="8.44"/>
    <n v="388451"/>
  </r>
  <r>
    <s v="ORD04736"/>
    <x v="407"/>
    <s v="C019"/>
    <x v="88"/>
    <x v="0"/>
    <x v="25"/>
    <x v="25"/>
    <x v="4"/>
    <x v="4622"/>
    <n v="12.22"/>
    <n v="542885.72"/>
  </r>
  <r>
    <s v="ORD04737"/>
    <x v="139"/>
    <s v="C100"/>
    <x v="39"/>
    <x v="0"/>
    <x v="11"/>
    <x v="11"/>
    <x v="4"/>
    <x v="4623"/>
    <n v="20.399999999999999"/>
    <n v="1432998"/>
  </r>
  <r>
    <s v="ORD04738"/>
    <x v="264"/>
    <s v="C403"/>
    <x v="59"/>
    <x v="0"/>
    <x v="38"/>
    <x v="38"/>
    <x v="2"/>
    <x v="4624"/>
    <n v="36.159999999999997"/>
    <n v="1962584"/>
  </r>
  <r>
    <s v="ORD04739"/>
    <x v="164"/>
    <s v="C264"/>
    <x v="65"/>
    <x v="0"/>
    <x v="36"/>
    <x v="36"/>
    <x v="4"/>
    <x v="4625"/>
    <n v="24.72"/>
    <n v="1012679.52"/>
  </r>
  <r>
    <s v="ORD04740"/>
    <x v="115"/>
    <s v="C198"/>
    <x v="0"/>
    <x v="0"/>
    <x v="45"/>
    <x v="45"/>
    <x v="3"/>
    <x v="4626"/>
    <n v="25.62"/>
    <n v="1735345.08"/>
  </r>
  <r>
    <s v="ORD04741"/>
    <x v="230"/>
    <s v="C092"/>
    <x v="405"/>
    <x v="0"/>
    <x v="43"/>
    <x v="43"/>
    <x v="4"/>
    <x v="4627"/>
    <n v="4.17"/>
    <n v="217995.09"/>
  </r>
  <r>
    <s v="ORD04742"/>
    <x v="631"/>
    <s v="C102"/>
    <x v="20"/>
    <x v="0"/>
    <x v="1"/>
    <x v="1"/>
    <x v="1"/>
    <x v="4628"/>
    <n v="14.06"/>
    <n v="192340.8"/>
  </r>
  <r>
    <s v="ORD04743"/>
    <x v="648"/>
    <s v="C363"/>
    <x v="72"/>
    <x v="4"/>
    <x v="20"/>
    <x v="20"/>
    <x v="1"/>
    <x v="4629"/>
    <n v="37.74"/>
    <n v="2127064.14"/>
  </r>
  <r>
    <s v="ORD04744"/>
    <x v="623"/>
    <s v="C068"/>
    <x v="112"/>
    <x v="2"/>
    <x v="26"/>
    <x v="26"/>
    <x v="0"/>
    <x v="4630"/>
    <n v="44.68"/>
    <n v="2629060.56"/>
  </r>
  <r>
    <s v="ORD04745"/>
    <x v="86"/>
    <s v="C299"/>
    <x v="252"/>
    <x v="4"/>
    <x v="46"/>
    <x v="46"/>
    <x v="0"/>
    <x v="4631"/>
    <n v="12.87"/>
    <n v="1189973.07"/>
  </r>
  <r>
    <s v="ORD04746"/>
    <x v="484"/>
    <s v="C294"/>
    <x v="484"/>
    <x v="4"/>
    <x v="22"/>
    <x v="22"/>
    <x v="0"/>
    <x v="4632"/>
    <n v="37.799999999999997"/>
    <n v="3315249"/>
  </r>
  <r>
    <s v="ORD04747"/>
    <x v="83"/>
    <s v="C070"/>
    <x v="249"/>
    <x v="4"/>
    <x v="41"/>
    <x v="41"/>
    <x v="4"/>
    <x v="4633"/>
    <n v="14.86"/>
    <n v="576657.16"/>
  </r>
  <r>
    <s v="ORD04748"/>
    <x v="504"/>
    <s v="C083"/>
    <x v="130"/>
    <x v="3"/>
    <x v="23"/>
    <x v="23"/>
    <x v="0"/>
    <x v="4634"/>
    <n v="41.2"/>
    <n v="2814536.8"/>
  </r>
  <r>
    <s v="ORD04749"/>
    <x v="503"/>
    <s v="C092"/>
    <x v="405"/>
    <x v="0"/>
    <x v="49"/>
    <x v="49"/>
    <x v="3"/>
    <x v="4635"/>
    <n v="45.21"/>
    <n v="1546362.84"/>
  </r>
  <r>
    <s v="ORD04750"/>
    <x v="137"/>
    <s v="C189"/>
    <x v="253"/>
    <x v="0"/>
    <x v="20"/>
    <x v="20"/>
    <x v="1"/>
    <x v="4636"/>
    <n v="38.86"/>
    <n v="2682738.96"/>
  </r>
  <r>
    <s v="ORD04751"/>
    <x v="242"/>
    <s v="C103"/>
    <x v="226"/>
    <x v="4"/>
    <x v="15"/>
    <x v="15"/>
    <x v="2"/>
    <x v="4637"/>
    <n v="16.690000000000001"/>
    <n v="314923.61"/>
  </r>
  <r>
    <s v="ORD04752"/>
    <x v="422"/>
    <s v="C490"/>
    <x v="141"/>
    <x v="2"/>
    <x v="39"/>
    <x v="39"/>
    <x v="3"/>
    <x v="4638"/>
    <n v="16.64"/>
    <n v="873999.35999999999"/>
  </r>
  <r>
    <s v="ORD04753"/>
    <x v="29"/>
    <s v="C452"/>
    <x v="148"/>
    <x v="4"/>
    <x v="17"/>
    <x v="17"/>
    <x v="1"/>
    <x v="4639"/>
    <n v="11.3"/>
    <n v="983563.3"/>
  </r>
  <r>
    <s v="ORD04754"/>
    <x v="417"/>
    <s v="C341"/>
    <x v="104"/>
    <x v="0"/>
    <x v="17"/>
    <x v="17"/>
    <x v="1"/>
    <x v="4640"/>
    <n v="20.09"/>
    <n v="93800.21"/>
  </r>
  <r>
    <s v="ORD04755"/>
    <x v="312"/>
    <s v="C008"/>
    <x v="96"/>
    <x v="1"/>
    <x v="38"/>
    <x v="38"/>
    <x v="2"/>
    <x v="4641"/>
    <n v="26.57"/>
    <n v="1173942.31"/>
  </r>
  <r>
    <s v="ORD04756"/>
    <x v="41"/>
    <s v="C285"/>
    <x v="421"/>
    <x v="0"/>
    <x v="33"/>
    <x v="33"/>
    <x v="1"/>
    <x v="4642"/>
    <n v="37.200000000000003"/>
    <n v="1878488.4"/>
  </r>
  <r>
    <s v="ORD04757"/>
    <x v="402"/>
    <s v="C130"/>
    <x v="192"/>
    <x v="3"/>
    <x v="34"/>
    <x v="34"/>
    <x v="2"/>
    <x v="4643"/>
    <n v="31.12"/>
    <n v="802366.96"/>
  </r>
  <r>
    <s v="ORD04758"/>
    <x v="580"/>
    <s v="C276"/>
    <x v="360"/>
    <x v="1"/>
    <x v="8"/>
    <x v="8"/>
    <x v="3"/>
    <x v="4644"/>
    <n v="5.42"/>
    <n v="337400.42"/>
  </r>
  <r>
    <s v="ORD04759"/>
    <x v="643"/>
    <s v="C476"/>
    <x v="201"/>
    <x v="3"/>
    <x v="13"/>
    <x v="13"/>
    <x v="2"/>
    <x v="4645"/>
    <n v="36.130000000000003"/>
    <n v="2204074.52"/>
  </r>
  <r>
    <s v="ORD04760"/>
    <x v="516"/>
    <s v="C073"/>
    <x v="395"/>
    <x v="3"/>
    <x v="40"/>
    <x v="40"/>
    <x v="0"/>
    <x v="4646"/>
    <n v="33.979999999999997"/>
    <n v="211457.54"/>
  </r>
  <r>
    <s v="ORD04761"/>
    <x v="235"/>
    <s v="C314"/>
    <x v="10"/>
    <x v="0"/>
    <x v="39"/>
    <x v="39"/>
    <x v="3"/>
    <x v="4647"/>
    <n v="36.729999999999997"/>
    <n v="800493.62"/>
  </r>
  <r>
    <s v="ORD04762"/>
    <x v="265"/>
    <s v="C447"/>
    <x v="146"/>
    <x v="1"/>
    <x v="30"/>
    <x v="30"/>
    <x v="4"/>
    <x v="4648"/>
    <n v="39.869999999999997"/>
    <n v="2889259.29"/>
  </r>
  <r>
    <s v="ORD04763"/>
    <x v="526"/>
    <s v="C163"/>
    <x v="275"/>
    <x v="3"/>
    <x v="21"/>
    <x v="21"/>
    <x v="2"/>
    <x v="4649"/>
    <n v="47.74"/>
    <n v="2549125.04"/>
  </r>
  <r>
    <s v="ORD04764"/>
    <x v="20"/>
    <s v="C327"/>
    <x v="368"/>
    <x v="1"/>
    <x v="22"/>
    <x v="22"/>
    <x v="0"/>
    <x v="4650"/>
    <n v="45.44"/>
    <n v="186304"/>
  </r>
  <r>
    <s v="ORD04765"/>
    <x v="393"/>
    <s v="C300"/>
    <x v="204"/>
    <x v="0"/>
    <x v="36"/>
    <x v="36"/>
    <x v="4"/>
    <x v="4651"/>
    <n v="26.19"/>
    <n v="255588.21"/>
  </r>
  <r>
    <s v="ORD04766"/>
    <x v="476"/>
    <s v="C139"/>
    <x v="385"/>
    <x v="2"/>
    <x v="35"/>
    <x v="35"/>
    <x v="1"/>
    <x v="4652"/>
    <n v="16.28"/>
    <n v="418672.76"/>
  </r>
  <r>
    <s v="ORD04767"/>
    <x v="223"/>
    <s v="C101"/>
    <x v="120"/>
    <x v="4"/>
    <x v="37"/>
    <x v="37"/>
    <x v="1"/>
    <x v="4653"/>
    <n v="28.96"/>
    <n v="2407328.96"/>
  </r>
  <r>
    <s v="ORD04768"/>
    <x v="324"/>
    <s v="C007"/>
    <x v="471"/>
    <x v="1"/>
    <x v="14"/>
    <x v="14"/>
    <x v="2"/>
    <x v="4654"/>
    <n v="47.62"/>
    <n v="1549935.76"/>
  </r>
  <r>
    <s v="ORD04769"/>
    <x v="505"/>
    <s v="C025"/>
    <x v="396"/>
    <x v="0"/>
    <x v="49"/>
    <x v="49"/>
    <x v="3"/>
    <x v="4655"/>
    <n v="21.02"/>
    <n v="1083286.72"/>
  </r>
  <r>
    <s v="ORD04770"/>
    <x v="348"/>
    <s v="C496"/>
    <x v="82"/>
    <x v="0"/>
    <x v="35"/>
    <x v="35"/>
    <x v="1"/>
    <x v="4656"/>
    <n v="49.22"/>
    <n v="2837680.66"/>
  </r>
  <r>
    <s v="ORD04771"/>
    <x v="313"/>
    <s v="C472"/>
    <x v="3"/>
    <x v="3"/>
    <x v="19"/>
    <x v="19"/>
    <x v="3"/>
    <x v="4657"/>
    <n v="22.07"/>
    <n v="2062927.04"/>
  </r>
  <r>
    <s v="ORD04772"/>
    <x v="254"/>
    <s v="C350"/>
    <x v="280"/>
    <x v="3"/>
    <x v="20"/>
    <x v="20"/>
    <x v="1"/>
    <x v="4658"/>
    <n v="46.37"/>
    <n v="4519173.83"/>
  </r>
  <r>
    <s v="ORD04773"/>
    <x v="271"/>
    <s v="C091"/>
    <x v="458"/>
    <x v="1"/>
    <x v="31"/>
    <x v="31"/>
    <x v="0"/>
    <x v="4659"/>
    <n v="14.32"/>
    <n v="1255119.3600000001"/>
  </r>
  <r>
    <s v="ORD04774"/>
    <x v="157"/>
    <s v="C474"/>
    <x v="203"/>
    <x v="3"/>
    <x v="15"/>
    <x v="15"/>
    <x v="2"/>
    <x v="4660"/>
    <n v="44.14"/>
    <n v="794917.26"/>
  </r>
  <r>
    <s v="ORD04775"/>
    <x v="303"/>
    <s v="C365"/>
    <x v="155"/>
    <x v="4"/>
    <x v="1"/>
    <x v="1"/>
    <x v="1"/>
    <x v="4661"/>
    <n v="37.58"/>
    <n v="2182608.8199999998"/>
  </r>
  <r>
    <s v="ORD04776"/>
    <x v="448"/>
    <s v="C191"/>
    <x v="186"/>
    <x v="2"/>
    <x v="6"/>
    <x v="6"/>
    <x v="0"/>
    <x v="4662"/>
    <n v="17.739999999999998"/>
    <n v="957764.86"/>
  </r>
  <r>
    <s v="ORD04777"/>
    <x v="357"/>
    <s v="C324"/>
    <x v="208"/>
    <x v="0"/>
    <x v="38"/>
    <x v="38"/>
    <x v="2"/>
    <x v="4663"/>
    <n v="17.91"/>
    <n v="712620.99"/>
  </r>
  <r>
    <s v="ORD04778"/>
    <x v="138"/>
    <s v="C426"/>
    <x v="163"/>
    <x v="2"/>
    <x v="16"/>
    <x v="16"/>
    <x v="1"/>
    <x v="4664"/>
    <n v="49.05"/>
    <n v="4495726.8"/>
  </r>
  <r>
    <s v="ORD04779"/>
    <x v="552"/>
    <s v="C405"/>
    <x v="230"/>
    <x v="4"/>
    <x v="40"/>
    <x v="40"/>
    <x v="0"/>
    <x v="4665"/>
    <n v="2.0499999999999998"/>
    <n v="79619.95"/>
  </r>
  <r>
    <s v="ORD04780"/>
    <x v="200"/>
    <s v="C291"/>
    <x v="198"/>
    <x v="1"/>
    <x v="8"/>
    <x v="8"/>
    <x v="3"/>
    <x v="4666"/>
    <n v="6.52"/>
    <n v="544602.56000000006"/>
  </r>
  <r>
    <s v="ORD04781"/>
    <x v="188"/>
    <s v="C252"/>
    <x v="111"/>
    <x v="4"/>
    <x v="37"/>
    <x v="37"/>
    <x v="1"/>
    <x v="4667"/>
    <n v="11.19"/>
    <n v="971314.38"/>
  </r>
  <r>
    <s v="ORD04782"/>
    <x v="171"/>
    <s v="C311"/>
    <x v="128"/>
    <x v="0"/>
    <x v="12"/>
    <x v="12"/>
    <x v="4"/>
    <x v="4668"/>
    <n v="29.24"/>
    <n v="714245.48"/>
  </r>
  <r>
    <s v="ORD04783"/>
    <x v="667"/>
    <s v="C476"/>
    <x v="201"/>
    <x v="3"/>
    <x v="15"/>
    <x v="15"/>
    <x v="2"/>
    <x v="4669"/>
    <n v="45.11"/>
    <n v="1830654.02"/>
  </r>
  <r>
    <s v="ORD04784"/>
    <x v="562"/>
    <s v="C132"/>
    <x v="250"/>
    <x v="3"/>
    <x v="22"/>
    <x v="22"/>
    <x v="0"/>
    <x v="4670"/>
    <n v="15.55"/>
    <n v="965686.1"/>
  </r>
  <r>
    <s v="ORD04785"/>
    <x v="282"/>
    <s v="C455"/>
    <x v="366"/>
    <x v="4"/>
    <x v="14"/>
    <x v="14"/>
    <x v="2"/>
    <x v="4671"/>
    <n v="35.659999999999997"/>
    <n v="1406680.02"/>
  </r>
  <r>
    <s v="ORD04786"/>
    <x v="615"/>
    <s v="C131"/>
    <x v="449"/>
    <x v="1"/>
    <x v="34"/>
    <x v="34"/>
    <x v="2"/>
    <x v="4672"/>
    <n v="40.14"/>
    <n v="1671269.04"/>
  </r>
  <r>
    <s v="ORD04787"/>
    <x v="54"/>
    <s v="C402"/>
    <x v="16"/>
    <x v="3"/>
    <x v="33"/>
    <x v="33"/>
    <x v="1"/>
    <x v="4673"/>
    <n v="3.02"/>
    <n v="31673.759999999998"/>
  </r>
  <r>
    <s v="ORD04788"/>
    <x v="543"/>
    <s v="C204"/>
    <x v="240"/>
    <x v="0"/>
    <x v="18"/>
    <x v="18"/>
    <x v="0"/>
    <x v="4674"/>
    <n v="48.6"/>
    <n v="3288276"/>
  </r>
  <r>
    <s v="ORD04789"/>
    <x v="100"/>
    <s v="C123"/>
    <x v="284"/>
    <x v="3"/>
    <x v="20"/>
    <x v="20"/>
    <x v="1"/>
    <x v="4675"/>
    <n v="10.97"/>
    <n v="77996.7"/>
  </r>
  <r>
    <s v="ORD04790"/>
    <x v="163"/>
    <s v="C227"/>
    <x v="278"/>
    <x v="2"/>
    <x v="6"/>
    <x v="6"/>
    <x v="0"/>
    <x v="4676"/>
    <n v="22.36"/>
    <n v="767797.68"/>
  </r>
  <r>
    <s v="ORD04791"/>
    <x v="402"/>
    <s v="C302"/>
    <x v="166"/>
    <x v="3"/>
    <x v="48"/>
    <x v="48"/>
    <x v="2"/>
    <x v="4099"/>
    <n v="6.5"/>
    <n v="245589.5"/>
  </r>
  <r>
    <s v="ORD04792"/>
    <x v="265"/>
    <s v="C172"/>
    <x v="207"/>
    <x v="0"/>
    <x v="42"/>
    <x v="42"/>
    <x v="1"/>
    <x v="4677"/>
    <n v="33.54"/>
    <n v="1013645.88"/>
  </r>
  <r>
    <s v="ORD04793"/>
    <x v="482"/>
    <s v="C403"/>
    <x v="59"/>
    <x v="0"/>
    <x v="40"/>
    <x v="40"/>
    <x v="0"/>
    <x v="4678"/>
    <n v="29.19"/>
    <n v="2648233.56"/>
  </r>
  <r>
    <s v="ORD04794"/>
    <x v="188"/>
    <s v="C160"/>
    <x v="481"/>
    <x v="1"/>
    <x v="45"/>
    <x v="45"/>
    <x v="3"/>
    <x v="4679"/>
    <n v="15.08"/>
    <n v="1249423.24"/>
  </r>
  <r>
    <s v="ORD04795"/>
    <x v="143"/>
    <s v="C151"/>
    <x v="328"/>
    <x v="0"/>
    <x v="33"/>
    <x v="33"/>
    <x v="1"/>
    <x v="4680"/>
    <n v="31.25"/>
    <n v="1444750"/>
  </r>
  <r>
    <s v="ORD04796"/>
    <x v="335"/>
    <s v="C109"/>
    <x v="78"/>
    <x v="1"/>
    <x v="18"/>
    <x v="18"/>
    <x v="0"/>
    <x v="4681"/>
    <n v="23.07"/>
    <n v="2101838.4900000002"/>
  </r>
  <r>
    <s v="ORD04797"/>
    <x v="584"/>
    <s v="C296"/>
    <x v="321"/>
    <x v="3"/>
    <x v="35"/>
    <x v="35"/>
    <x v="1"/>
    <x v="4682"/>
    <n v="29.93"/>
    <n v="1623133.83"/>
  </r>
  <r>
    <s v="ORD04798"/>
    <x v="554"/>
    <s v="C261"/>
    <x v="390"/>
    <x v="2"/>
    <x v="48"/>
    <x v="48"/>
    <x v="2"/>
    <x v="4683"/>
    <n v="25.28"/>
    <n v="80061.759999999995"/>
  </r>
  <r>
    <s v="ORD04799"/>
    <x v="608"/>
    <s v="C132"/>
    <x v="250"/>
    <x v="3"/>
    <x v="48"/>
    <x v="48"/>
    <x v="2"/>
    <x v="4684"/>
    <n v="19.87"/>
    <n v="176664.17"/>
  </r>
  <r>
    <s v="ORD04800"/>
    <x v="105"/>
    <s v="C279"/>
    <x v="270"/>
    <x v="1"/>
    <x v="14"/>
    <x v="14"/>
    <x v="2"/>
    <x v="4685"/>
    <n v="12.75"/>
    <n v="957219"/>
  </r>
  <r>
    <s v="ORD04801"/>
    <x v="479"/>
    <s v="C288"/>
    <x v="177"/>
    <x v="3"/>
    <x v="5"/>
    <x v="5"/>
    <x v="3"/>
    <x v="4686"/>
    <n v="36.74"/>
    <n v="2087383.1"/>
  </r>
  <r>
    <s v="ORD04802"/>
    <x v="361"/>
    <s v="C301"/>
    <x v="418"/>
    <x v="3"/>
    <x v="49"/>
    <x v="49"/>
    <x v="3"/>
    <x v="4687"/>
    <n v="2.5499999999999998"/>
    <n v="94378.05"/>
  </r>
  <r>
    <s v="ORD04803"/>
    <x v="105"/>
    <s v="C273"/>
    <x v="185"/>
    <x v="0"/>
    <x v="11"/>
    <x v="11"/>
    <x v="4"/>
    <x v="4688"/>
    <n v="36.270000000000003"/>
    <n v="2792427.3"/>
  </r>
  <r>
    <s v="ORD04804"/>
    <x v="333"/>
    <s v="C472"/>
    <x v="3"/>
    <x v="3"/>
    <x v="49"/>
    <x v="49"/>
    <x v="3"/>
    <x v="4689"/>
    <n v="11.33"/>
    <n v="27509.24"/>
  </r>
  <r>
    <s v="ORD04805"/>
    <x v="237"/>
    <s v="C054"/>
    <x v="129"/>
    <x v="3"/>
    <x v="16"/>
    <x v="16"/>
    <x v="1"/>
    <x v="4690"/>
    <n v="46.6"/>
    <n v="964666.6"/>
  </r>
  <r>
    <s v="ORD04806"/>
    <x v="359"/>
    <s v="C111"/>
    <x v="286"/>
    <x v="0"/>
    <x v="48"/>
    <x v="48"/>
    <x v="2"/>
    <x v="4691"/>
    <n v="27.1"/>
    <n v="1276897.8"/>
  </r>
  <r>
    <s v="ORD04807"/>
    <x v="333"/>
    <s v="C355"/>
    <x v="81"/>
    <x v="2"/>
    <x v="30"/>
    <x v="30"/>
    <x v="4"/>
    <x v="4692"/>
    <n v="21.06"/>
    <n v="1203242.04"/>
  </r>
  <r>
    <s v="ORD04808"/>
    <x v="522"/>
    <s v="C252"/>
    <x v="111"/>
    <x v="4"/>
    <x v="37"/>
    <x v="37"/>
    <x v="1"/>
    <x v="4693"/>
    <n v="33.909999999999997"/>
    <n v="2685672"/>
  </r>
  <r>
    <s v="ORD04809"/>
    <x v="196"/>
    <s v="C268"/>
    <x v="313"/>
    <x v="0"/>
    <x v="20"/>
    <x v="20"/>
    <x v="1"/>
    <x v="4694"/>
    <n v="18.29"/>
    <n v="1240628.99"/>
  </r>
  <r>
    <s v="ORD04810"/>
    <x v="312"/>
    <s v="C131"/>
    <x v="449"/>
    <x v="1"/>
    <x v="22"/>
    <x v="22"/>
    <x v="0"/>
    <x v="4695"/>
    <n v="43.88"/>
    <n v="2348150.44"/>
  </r>
  <r>
    <s v="ORD04811"/>
    <x v="622"/>
    <s v="C457"/>
    <x v="196"/>
    <x v="3"/>
    <x v="2"/>
    <x v="2"/>
    <x v="1"/>
    <x v="4696"/>
    <n v="30.41"/>
    <n v="2246265.06"/>
  </r>
  <r>
    <s v="ORD04812"/>
    <x v="13"/>
    <s v="C383"/>
    <x v="232"/>
    <x v="0"/>
    <x v="41"/>
    <x v="41"/>
    <x v="4"/>
    <x v="4697"/>
    <n v="8.6199999999999992"/>
    <n v="784290.7"/>
  </r>
  <r>
    <s v="ORD04813"/>
    <x v="682"/>
    <s v="C483"/>
    <x v="214"/>
    <x v="2"/>
    <x v="49"/>
    <x v="49"/>
    <x v="3"/>
    <x v="4698"/>
    <n v="35.64"/>
    <n v="3469589.64"/>
  </r>
  <r>
    <s v="ORD04814"/>
    <x v="655"/>
    <s v="C135"/>
    <x v="67"/>
    <x v="1"/>
    <x v="9"/>
    <x v="9"/>
    <x v="4"/>
    <x v="4699"/>
    <n v="8.36"/>
    <n v="258992.8"/>
  </r>
  <r>
    <s v="ORD04815"/>
    <x v="628"/>
    <s v="C460"/>
    <x v="17"/>
    <x v="1"/>
    <x v="34"/>
    <x v="34"/>
    <x v="2"/>
    <x v="4700"/>
    <n v="2.87"/>
    <n v="20922.3"/>
  </r>
  <r>
    <s v="ORD04816"/>
    <x v="494"/>
    <s v="C458"/>
    <x v="103"/>
    <x v="1"/>
    <x v="14"/>
    <x v="14"/>
    <x v="2"/>
    <x v="4701"/>
    <n v="30.42"/>
    <n v="2148929.64"/>
  </r>
  <r>
    <s v="ORD04817"/>
    <x v="123"/>
    <s v="C475"/>
    <x v="33"/>
    <x v="1"/>
    <x v="36"/>
    <x v="36"/>
    <x v="4"/>
    <x v="4702"/>
    <n v="25.22"/>
    <n v="2051546.12"/>
  </r>
  <r>
    <s v="ORD04818"/>
    <x v="340"/>
    <s v="C047"/>
    <x v="497"/>
    <x v="2"/>
    <x v="3"/>
    <x v="3"/>
    <x v="2"/>
    <x v="4703"/>
    <n v="28.47"/>
    <n v="1445051.79"/>
  </r>
  <r>
    <s v="ORD04819"/>
    <x v="353"/>
    <s v="C033"/>
    <x v="150"/>
    <x v="4"/>
    <x v="31"/>
    <x v="31"/>
    <x v="0"/>
    <x v="4704"/>
    <n v="44.97"/>
    <n v="2387007.6"/>
  </r>
  <r>
    <s v="ORD04820"/>
    <x v="189"/>
    <s v="C224"/>
    <x v="147"/>
    <x v="4"/>
    <x v="26"/>
    <x v="26"/>
    <x v="0"/>
    <x v="4705"/>
    <n v="18.66"/>
    <n v="219646.86"/>
  </r>
  <r>
    <s v="ORD04821"/>
    <x v="68"/>
    <s v="C345"/>
    <x v="15"/>
    <x v="2"/>
    <x v="20"/>
    <x v="20"/>
    <x v="1"/>
    <x v="4706"/>
    <n v="30.11"/>
    <n v="2706678.23"/>
  </r>
  <r>
    <s v="ORD04822"/>
    <x v="556"/>
    <s v="C485"/>
    <x v="374"/>
    <x v="0"/>
    <x v="1"/>
    <x v="1"/>
    <x v="1"/>
    <x v="4707"/>
    <n v="45.58"/>
    <n v="215821.3"/>
  </r>
  <r>
    <s v="ORD04823"/>
    <x v="497"/>
    <s v="C010"/>
    <x v="220"/>
    <x v="3"/>
    <x v="7"/>
    <x v="7"/>
    <x v="3"/>
    <x v="4708"/>
    <n v="38.520000000000003"/>
    <n v="1791180"/>
  </r>
  <r>
    <s v="ORD04824"/>
    <x v="539"/>
    <s v="C450"/>
    <x v="429"/>
    <x v="2"/>
    <x v="41"/>
    <x v="41"/>
    <x v="4"/>
    <x v="4709"/>
    <n v="33.44"/>
    <n v="2908878.72"/>
  </r>
  <r>
    <s v="ORD04825"/>
    <x v="604"/>
    <s v="C179"/>
    <x v="377"/>
    <x v="3"/>
    <x v="17"/>
    <x v="17"/>
    <x v="1"/>
    <x v="4710"/>
    <n v="38.19"/>
    <n v="1085359.8"/>
  </r>
  <r>
    <s v="ORD04826"/>
    <x v="277"/>
    <s v="C456"/>
    <x v="338"/>
    <x v="2"/>
    <x v="32"/>
    <x v="32"/>
    <x v="4"/>
    <x v="4711"/>
    <n v="15.14"/>
    <n v="346842.26"/>
  </r>
  <r>
    <s v="ORD04827"/>
    <x v="625"/>
    <s v="C090"/>
    <x v="380"/>
    <x v="1"/>
    <x v="14"/>
    <x v="14"/>
    <x v="2"/>
    <x v="4712"/>
    <n v="46.89"/>
    <n v="4237871.3099999996"/>
  </r>
  <r>
    <s v="ORD04828"/>
    <x v="449"/>
    <s v="C301"/>
    <x v="418"/>
    <x v="3"/>
    <x v="44"/>
    <x v="44"/>
    <x v="2"/>
    <x v="4713"/>
    <n v="49.57"/>
    <n v="1867153.19"/>
  </r>
  <r>
    <s v="ORD04829"/>
    <x v="433"/>
    <s v="C235"/>
    <x v="199"/>
    <x v="0"/>
    <x v="10"/>
    <x v="10"/>
    <x v="3"/>
    <x v="4714"/>
    <n v="18.63"/>
    <n v="183244.68"/>
  </r>
  <r>
    <s v="ORD04830"/>
    <x v="290"/>
    <s v="C418"/>
    <x v="246"/>
    <x v="2"/>
    <x v="26"/>
    <x v="26"/>
    <x v="0"/>
    <x v="4715"/>
    <n v="32.64"/>
    <n v="2775999.36"/>
  </r>
  <r>
    <s v="ORD04831"/>
    <x v="146"/>
    <s v="C491"/>
    <x v="32"/>
    <x v="0"/>
    <x v="40"/>
    <x v="40"/>
    <x v="0"/>
    <x v="4716"/>
    <n v="32.44"/>
    <n v="2118915.92"/>
  </r>
  <r>
    <s v="ORD04832"/>
    <x v="512"/>
    <s v="C402"/>
    <x v="16"/>
    <x v="3"/>
    <x v="23"/>
    <x v="23"/>
    <x v="0"/>
    <x v="4717"/>
    <n v="22.04"/>
    <n v="640217.92000000004"/>
  </r>
  <r>
    <s v="ORD04833"/>
    <x v="149"/>
    <s v="C157"/>
    <x v="327"/>
    <x v="4"/>
    <x v="6"/>
    <x v="6"/>
    <x v="0"/>
    <x v="4718"/>
    <n v="41.18"/>
    <n v="3370088.84"/>
  </r>
  <r>
    <s v="ORD04834"/>
    <x v="480"/>
    <s v="C177"/>
    <x v="183"/>
    <x v="1"/>
    <x v="47"/>
    <x v="47"/>
    <x v="2"/>
    <x v="4299"/>
    <n v="24.6"/>
    <n v="645085.80000000005"/>
  </r>
  <r>
    <s v="ORD04835"/>
    <x v="484"/>
    <s v="C305"/>
    <x v="101"/>
    <x v="1"/>
    <x v="2"/>
    <x v="2"/>
    <x v="1"/>
    <x v="4719"/>
    <n v="30.61"/>
    <n v="496983.96"/>
  </r>
  <r>
    <s v="ORD04836"/>
    <x v="544"/>
    <s v="C472"/>
    <x v="3"/>
    <x v="3"/>
    <x v="28"/>
    <x v="28"/>
    <x v="3"/>
    <x v="4720"/>
    <n v="47.54"/>
    <n v="4234007.4800000004"/>
  </r>
  <r>
    <s v="ORD04837"/>
    <x v="502"/>
    <s v="C467"/>
    <x v="131"/>
    <x v="2"/>
    <x v="12"/>
    <x v="12"/>
    <x v="4"/>
    <x v="4721"/>
    <n v="16.75"/>
    <n v="1153991.25"/>
  </r>
  <r>
    <s v="ORD04838"/>
    <x v="199"/>
    <s v="C476"/>
    <x v="201"/>
    <x v="3"/>
    <x v="35"/>
    <x v="35"/>
    <x v="1"/>
    <x v="4722"/>
    <n v="15.32"/>
    <n v="838478.92"/>
  </r>
  <r>
    <s v="ORD04839"/>
    <x v="572"/>
    <s v="C153"/>
    <x v="271"/>
    <x v="0"/>
    <x v="15"/>
    <x v="15"/>
    <x v="2"/>
    <x v="4723"/>
    <n v="33.5"/>
    <n v="3265379"/>
  </r>
  <r>
    <s v="ORD04840"/>
    <x v="663"/>
    <s v="C250"/>
    <x v="64"/>
    <x v="1"/>
    <x v="35"/>
    <x v="35"/>
    <x v="1"/>
    <x v="4724"/>
    <n v="22.8"/>
    <n v="1463258.4"/>
  </r>
  <r>
    <s v="ORD04841"/>
    <x v="272"/>
    <s v="C175"/>
    <x v="29"/>
    <x v="4"/>
    <x v="23"/>
    <x v="23"/>
    <x v="0"/>
    <x v="3752"/>
    <n v="8.51"/>
    <n v="621238.51"/>
  </r>
  <r>
    <s v="ORD04842"/>
    <x v="526"/>
    <s v="C313"/>
    <x v="350"/>
    <x v="2"/>
    <x v="16"/>
    <x v="16"/>
    <x v="1"/>
    <x v="4725"/>
    <n v="48.96"/>
    <n v="209401.92"/>
  </r>
  <r>
    <s v="ORD04843"/>
    <x v="59"/>
    <s v="C233"/>
    <x v="173"/>
    <x v="4"/>
    <x v="1"/>
    <x v="1"/>
    <x v="1"/>
    <x v="4726"/>
    <n v="34.119999999999997"/>
    <n v="3021530.72"/>
  </r>
  <r>
    <s v="ORD04844"/>
    <x v="198"/>
    <s v="C483"/>
    <x v="214"/>
    <x v="2"/>
    <x v="14"/>
    <x v="14"/>
    <x v="2"/>
    <x v="4727"/>
    <n v="49.42"/>
    <n v="2577302.42"/>
  </r>
  <r>
    <s v="ORD04845"/>
    <x v="121"/>
    <s v="C127"/>
    <x v="180"/>
    <x v="3"/>
    <x v="11"/>
    <x v="11"/>
    <x v="4"/>
    <x v="4728"/>
    <n v="6.19"/>
    <n v="422721.29"/>
  </r>
  <r>
    <s v="ORD04846"/>
    <x v="243"/>
    <s v="C070"/>
    <x v="249"/>
    <x v="4"/>
    <x v="14"/>
    <x v="14"/>
    <x v="2"/>
    <x v="4729"/>
    <n v="37.58"/>
    <n v="3522410.98"/>
  </r>
  <r>
    <s v="ORD04847"/>
    <x v="505"/>
    <s v="C199"/>
    <x v="419"/>
    <x v="3"/>
    <x v="21"/>
    <x v="21"/>
    <x v="2"/>
    <x v="4730"/>
    <n v="19.22"/>
    <n v="1118181.1599999999"/>
  </r>
  <r>
    <s v="ORD04848"/>
    <x v="160"/>
    <s v="C214"/>
    <x v="463"/>
    <x v="2"/>
    <x v="39"/>
    <x v="39"/>
    <x v="3"/>
    <x v="4731"/>
    <n v="10.98"/>
    <n v="456273.9"/>
  </r>
  <r>
    <s v="ORD04849"/>
    <x v="716"/>
    <s v="C094"/>
    <x v="55"/>
    <x v="1"/>
    <x v="39"/>
    <x v="39"/>
    <x v="3"/>
    <x v="4732"/>
    <n v="19.53"/>
    <n v="1841874.3"/>
  </r>
  <r>
    <s v="ORD04850"/>
    <x v="301"/>
    <s v="C457"/>
    <x v="196"/>
    <x v="3"/>
    <x v="0"/>
    <x v="0"/>
    <x v="0"/>
    <x v="4733"/>
    <n v="8.8800000000000008"/>
    <n v="617630.64"/>
  </r>
  <r>
    <s v="ORD04851"/>
    <x v="58"/>
    <s v="C156"/>
    <x v="27"/>
    <x v="0"/>
    <x v="4"/>
    <x v="4"/>
    <x v="1"/>
    <x v="4734"/>
    <n v="16.760000000000002"/>
    <n v="989476.88"/>
  </r>
  <r>
    <s v="ORD04852"/>
    <x v="348"/>
    <s v="C215"/>
    <x v="459"/>
    <x v="1"/>
    <x v="18"/>
    <x v="18"/>
    <x v="0"/>
    <x v="4735"/>
    <n v="49.86"/>
    <n v="4334828.4000000004"/>
  </r>
  <r>
    <s v="ORD04853"/>
    <x v="42"/>
    <s v="C166"/>
    <x v="491"/>
    <x v="2"/>
    <x v="17"/>
    <x v="17"/>
    <x v="1"/>
    <x v="4736"/>
    <n v="35.99"/>
    <n v="2423314.67"/>
  </r>
  <r>
    <s v="ORD04854"/>
    <x v="453"/>
    <s v="C292"/>
    <x v="268"/>
    <x v="0"/>
    <x v="10"/>
    <x v="10"/>
    <x v="3"/>
    <x v="4737"/>
    <n v="38.409999999999997"/>
    <n v="2102678.63"/>
  </r>
  <r>
    <s v="ORD04855"/>
    <x v="264"/>
    <s v="C066"/>
    <x v="237"/>
    <x v="4"/>
    <x v="2"/>
    <x v="2"/>
    <x v="1"/>
    <x v="4738"/>
    <n v="3.85"/>
    <n v="204227.1"/>
  </r>
  <r>
    <s v="ORD04856"/>
    <x v="303"/>
    <s v="C013"/>
    <x v="84"/>
    <x v="3"/>
    <x v="16"/>
    <x v="16"/>
    <x v="1"/>
    <x v="4739"/>
    <n v="25.84"/>
    <n v="738868.96"/>
  </r>
  <r>
    <s v="ORD04857"/>
    <x v="238"/>
    <s v="C376"/>
    <x v="35"/>
    <x v="1"/>
    <x v="17"/>
    <x v="17"/>
    <x v="1"/>
    <x v="4740"/>
    <n v="6.98"/>
    <n v="183636.82"/>
  </r>
  <r>
    <s v="ORD04858"/>
    <x v="672"/>
    <s v="C429"/>
    <x v="474"/>
    <x v="3"/>
    <x v="12"/>
    <x v="12"/>
    <x v="4"/>
    <x v="4741"/>
    <n v="17.45"/>
    <n v="529415.55000000005"/>
  </r>
  <r>
    <s v="ORD04859"/>
    <x v="143"/>
    <s v="C372"/>
    <x v="217"/>
    <x v="4"/>
    <x v="41"/>
    <x v="41"/>
    <x v="4"/>
    <x v="4742"/>
    <n v="6.38"/>
    <n v="120403.36"/>
  </r>
  <r>
    <s v="ORD04860"/>
    <x v="429"/>
    <s v="C452"/>
    <x v="148"/>
    <x v="4"/>
    <x v="33"/>
    <x v="33"/>
    <x v="1"/>
    <x v="4743"/>
    <n v="49.46"/>
    <n v="4065265.78"/>
  </r>
  <r>
    <s v="ORD04861"/>
    <x v="182"/>
    <s v="C494"/>
    <x v="267"/>
    <x v="0"/>
    <x v="20"/>
    <x v="20"/>
    <x v="1"/>
    <x v="4744"/>
    <n v="12.13"/>
    <n v="958367.04"/>
  </r>
  <r>
    <s v="ORD04862"/>
    <x v="504"/>
    <s v="C228"/>
    <x v="69"/>
    <x v="2"/>
    <x v="47"/>
    <x v="47"/>
    <x v="2"/>
    <x v="4745"/>
    <n v="10.34"/>
    <n v="219725"/>
  </r>
  <r>
    <s v="ORD04863"/>
    <x v="251"/>
    <s v="C204"/>
    <x v="240"/>
    <x v="0"/>
    <x v="28"/>
    <x v="28"/>
    <x v="3"/>
    <x v="4746"/>
    <n v="27.84"/>
    <n v="2049552.96"/>
  </r>
  <r>
    <s v="ORD04864"/>
    <x v="476"/>
    <s v="C219"/>
    <x v="43"/>
    <x v="0"/>
    <x v="20"/>
    <x v="20"/>
    <x v="1"/>
    <x v="4747"/>
    <n v="38.31"/>
    <n v="89990.19"/>
  </r>
  <r>
    <s v="ORD04865"/>
    <x v="710"/>
    <s v="C477"/>
    <x v="87"/>
    <x v="4"/>
    <x v="16"/>
    <x v="16"/>
    <x v="1"/>
    <x v="4748"/>
    <n v="13.69"/>
    <n v="982517.61"/>
  </r>
  <r>
    <s v="ORD04866"/>
    <x v="405"/>
    <s v="C431"/>
    <x v="367"/>
    <x v="2"/>
    <x v="14"/>
    <x v="14"/>
    <x v="2"/>
    <x v="4749"/>
    <n v="38.590000000000003"/>
    <n v="2731515.97"/>
  </r>
  <r>
    <s v="ORD04867"/>
    <x v="275"/>
    <s v="C426"/>
    <x v="163"/>
    <x v="2"/>
    <x v="44"/>
    <x v="44"/>
    <x v="2"/>
    <x v="4750"/>
    <n v="36.76"/>
    <n v="177146.44"/>
  </r>
  <r>
    <s v="ORD04868"/>
    <x v="18"/>
    <s v="C420"/>
    <x v="11"/>
    <x v="4"/>
    <x v="21"/>
    <x v="21"/>
    <x v="2"/>
    <x v="4751"/>
    <n v="23.39"/>
    <n v="912443.9"/>
  </r>
  <r>
    <s v="ORD04869"/>
    <x v="79"/>
    <s v="C349"/>
    <x v="316"/>
    <x v="2"/>
    <x v="25"/>
    <x v="25"/>
    <x v="4"/>
    <x v="4752"/>
    <n v="28.45"/>
    <n v="813527.75"/>
  </r>
  <r>
    <s v="ORD04870"/>
    <x v="5"/>
    <s v="C182"/>
    <x v="159"/>
    <x v="1"/>
    <x v="7"/>
    <x v="7"/>
    <x v="3"/>
    <x v="2805"/>
    <n v="17.809999999999999"/>
    <n v="229090.03"/>
  </r>
  <r>
    <s v="ORD04871"/>
    <x v="225"/>
    <s v="C300"/>
    <x v="204"/>
    <x v="0"/>
    <x v="5"/>
    <x v="5"/>
    <x v="3"/>
    <x v="4753"/>
    <n v="41.88"/>
    <n v="2201631.6"/>
  </r>
  <r>
    <s v="ORD04872"/>
    <x v="325"/>
    <s v="C376"/>
    <x v="35"/>
    <x v="1"/>
    <x v="3"/>
    <x v="3"/>
    <x v="2"/>
    <x v="4754"/>
    <n v="47.37"/>
    <n v="1562262.6"/>
  </r>
  <r>
    <s v="ORD04873"/>
    <x v="353"/>
    <s v="C180"/>
    <x v="200"/>
    <x v="0"/>
    <x v="46"/>
    <x v="46"/>
    <x v="0"/>
    <x v="4755"/>
    <n v="31.05"/>
    <n v="1131430.95"/>
  </r>
  <r>
    <s v="ORD04874"/>
    <x v="50"/>
    <s v="C403"/>
    <x v="59"/>
    <x v="0"/>
    <x v="10"/>
    <x v="10"/>
    <x v="3"/>
    <x v="4756"/>
    <n v="46.98"/>
    <n v="2166200.8199999998"/>
  </r>
  <r>
    <s v="ORD04875"/>
    <x v="102"/>
    <s v="C162"/>
    <x v="344"/>
    <x v="0"/>
    <x v="29"/>
    <x v="29"/>
    <x v="0"/>
    <x v="4757"/>
    <n v="30.67"/>
    <n v="2378151.7999999998"/>
  </r>
  <r>
    <s v="ORD04876"/>
    <x v="5"/>
    <s v="C032"/>
    <x v="234"/>
    <x v="4"/>
    <x v="27"/>
    <x v="27"/>
    <x v="4"/>
    <x v="4758"/>
    <n v="33.659999999999997"/>
    <n v="2726089.74"/>
  </r>
  <r>
    <s v="ORD04877"/>
    <x v="268"/>
    <s v="C492"/>
    <x v="299"/>
    <x v="3"/>
    <x v="10"/>
    <x v="10"/>
    <x v="3"/>
    <x v="4759"/>
    <n v="48.99"/>
    <n v="4801803.84"/>
  </r>
  <r>
    <s v="ORD04878"/>
    <x v="696"/>
    <s v="C377"/>
    <x v="165"/>
    <x v="4"/>
    <x v="15"/>
    <x v="15"/>
    <x v="2"/>
    <x v="4760"/>
    <n v="25.98"/>
    <n v="2452901.7000000002"/>
  </r>
  <r>
    <s v="ORD04879"/>
    <x v="152"/>
    <s v="C255"/>
    <x v="143"/>
    <x v="0"/>
    <x v="44"/>
    <x v="44"/>
    <x v="2"/>
    <x v="4761"/>
    <n v="43.48"/>
    <n v="48306.28"/>
  </r>
  <r>
    <s v="ORD04880"/>
    <x v="691"/>
    <s v="C435"/>
    <x v="60"/>
    <x v="4"/>
    <x v="37"/>
    <x v="37"/>
    <x v="1"/>
    <x v="4762"/>
    <n v="35.83"/>
    <n v="1539220.97"/>
  </r>
  <r>
    <s v="ORD04881"/>
    <x v="300"/>
    <s v="C500"/>
    <x v="86"/>
    <x v="0"/>
    <x v="28"/>
    <x v="28"/>
    <x v="3"/>
    <x v="4763"/>
    <n v="10.66"/>
    <n v="146617.64000000001"/>
  </r>
  <r>
    <s v="ORD04882"/>
    <x v="696"/>
    <s v="C015"/>
    <x v="18"/>
    <x v="4"/>
    <x v="45"/>
    <x v="45"/>
    <x v="3"/>
    <x v="4764"/>
    <n v="8.86"/>
    <n v="590430.4"/>
  </r>
  <r>
    <s v="ORD04883"/>
    <x v="334"/>
    <s v="C251"/>
    <x v="142"/>
    <x v="0"/>
    <x v="27"/>
    <x v="27"/>
    <x v="4"/>
    <x v="4765"/>
    <n v="11.58"/>
    <n v="809662.02"/>
  </r>
  <r>
    <s v="ORD04884"/>
    <x v="395"/>
    <s v="C327"/>
    <x v="368"/>
    <x v="1"/>
    <x v="9"/>
    <x v="9"/>
    <x v="4"/>
    <x v="4766"/>
    <n v="23.53"/>
    <n v="693687.93"/>
  </r>
  <r>
    <s v="ORD04885"/>
    <x v="120"/>
    <s v="C235"/>
    <x v="199"/>
    <x v="0"/>
    <x v="20"/>
    <x v="20"/>
    <x v="1"/>
    <x v="4767"/>
    <n v="49.25"/>
    <n v="4633292.25"/>
  </r>
  <r>
    <s v="ORD04886"/>
    <x v="519"/>
    <s v="C478"/>
    <x v="269"/>
    <x v="0"/>
    <x v="23"/>
    <x v="23"/>
    <x v="0"/>
    <x v="4768"/>
    <n v="33.82"/>
    <n v="2266785.5"/>
  </r>
  <r>
    <s v="ORD04887"/>
    <x v="6"/>
    <s v="C500"/>
    <x v="86"/>
    <x v="0"/>
    <x v="38"/>
    <x v="38"/>
    <x v="2"/>
    <x v="4769"/>
    <n v="25.31"/>
    <n v="1488607.65"/>
  </r>
  <r>
    <s v="ORD04888"/>
    <x v="635"/>
    <s v="C466"/>
    <x v="23"/>
    <x v="2"/>
    <x v="18"/>
    <x v="18"/>
    <x v="0"/>
    <x v="4770"/>
    <n v="8"/>
    <n v="227320"/>
  </r>
  <r>
    <s v="ORD04889"/>
    <x v="608"/>
    <s v="C496"/>
    <x v="82"/>
    <x v="0"/>
    <x v="24"/>
    <x v="24"/>
    <x v="3"/>
    <x v="4771"/>
    <n v="45.41"/>
    <n v="113025.49"/>
  </r>
  <r>
    <s v="ORD04890"/>
    <x v="73"/>
    <s v="C104"/>
    <x v="21"/>
    <x v="2"/>
    <x v="6"/>
    <x v="6"/>
    <x v="0"/>
    <x v="4772"/>
    <n v="9.51"/>
    <n v="223380.39"/>
  </r>
  <r>
    <s v="ORD04891"/>
    <x v="344"/>
    <s v="C391"/>
    <x v="425"/>
    <x v="0"/>
    <x v="37"/>
    <x v="37"/>
    <x v="1"/>
    <x v="4773"/>
    <n v="41.21"/>
    <n v="1556872.59"/>
  </r>
  <r>
    <s v="ORD04892"/>
    <x v="239"/>
    <s v="C487"/>
    <x v="436"/>
    <x v="0"/>
    <x v="11"/>
    <x v="11"/>
    <x v="4"/>
    <x v="4774"/>
    <n v="48.43"/>
    <n v="1469511.49"/>
  </r>
  <r>
    <s v="ORD04893"/>
    <x v="267"/>
    <s v="C418"/>
    <x v="246"/>
    <x v="2"/>
    <x v="20"/>
    <x v="20"/>
    <x v="1"/>
    <x v="4775"/>
    <n v="38.11"/>
    <n v="1073901.69"/>
  </r>
  <r>
    <s v="ORD04894"/>
    <x v="53"/>
    <s v="C283"/>
    <x v="478"/>
    <x v="0"/>
    <x v="37"/>
    <x v="37"/>
    <x v="1"/>
    <x v="4776"/>
    <n v="2.12"/>
    <n v="145266.64000000001"/>
  </r>
  <r>
    <s v="ORD04895"/>
    <x v="95"/>
    <s v="C113"/>
    <x v="442"/>
    <x v="3"/>
    <x v="33"/>
    <x v="33"/>
    <x v="1"/>
    <x v="4777"/>
    <n v="42"/>
    <n v="103740"/>
  </r>
  <r>
    <s v="ORD04896"/>
    <x v="189"/>
    <s v="C495"/>
    <x v="348"/>
    <x v="3"/>
    <x v="37"/>
    <x v="37"/>
    <x v="1"/>
    <x v="4778"/>
    <n v="32.369999999999997"/>
    <n v="2900125.41"/>
  </r>
  <r>
    <s v="ORD04897"/>
    <x v="575"/>
    <s v="C172"/>
    <x v="207"/>
    <x v="0"/>
    <x v="15"/>
    <x v="15"/>
    <x v="2"/>
    <x v="4779"/>
    <n v="2.25"/>
    <n v="173328.75"/>
  </r>
  <r>
    <s v="ORD04898"/>
    <x v="269"/>
    <s v="C019"/>
    <x v="88"/>
    <x v="0"/>
    <x v="10"/>
    <x v="10"/>
    <x v="3"/>
    <x v="4780"/>
    <n v="23.69"/>
    <n v="2055036.43"/>
  </r>
  <r>
    <s v="ORD04899"/>
    <x v="629"/>
    <s v="C097"/>
    <x v="91"/>
    <x v="3"/>
    <x v="45"/>
    <x v="45"/>
    <x v="3"/>
    <x v="4781"/>
    <n v="40.369999999999997"/>
    <n v="2002392.37"/>
  </r>
  <r>
    <s v="ORD04900"/>
    <x v="241"/>
    <s v="C358"/>
    <x v="311"/>
    <x v="3"/>
    <x v="8"/>
    <x v="8"/>
    <x v="3"/>
    <x v="4782"/>
    <n v="25.41"/>
    <n v="1208728.29"/>
  </r>
  <r>
    <s v="ORD04901"/>
    <x v="333"/>
    <s v="C459"/>
    <x v="295"/>
    <x v="2"/>
    <x v="19"/>
    <x v="19"/>
    <x v="3"/>
    <x v="4783"/>
    <n v="37.799999999999997"/>
    <n v="996294.6"/>
  </r>
  <r>
    <s v="ORD04902"/>
    <x v="696"/>
    <s v="C472"/>
    <x v="3"/>
    <x v="3"/>
    <x v="34"/>
    <x v="34"/>
    <x v="2"/>
    <x v="4784"/>
    <n v="43.19"/>
    <n v="2220052.38"/>
  </r>
  <r>
    <s v="ORD04903"/>
    <x v="122"/>
    <s v="C387"/>
    <x v="52"/>
    <x v="2"/>
    <x v="30"/>
    <x v="30"/>
    <x v="4"/>
    <x v="4785"/>
    <n v="45.56"/>
    <n v="2910737.28"/>
  </r>
  <r>
    <s v="ORD04904"/>
    <x v="190"/>
    <s v="C374"/>
    <x v="399"/>
    <x v="1"/>
    <x v="40"/>
    <x v="40"/>
    <x v="0"/>
    <x v="4786"/>
    <n v="18.920000000000002"/>
    <n v="1855881.72"/>
  </r>
  <r>
    <s v="ORD04905"/>
    <x v="290"/>
    <s v="C378"/>
    <x v="216"/>
    <x v="2"/>
    <x v="45"/>
    <x v="45"/>
    <x v="3"/>
    <x v="4787"/>
    <n v="35.04"/>
    <n v="1391683.68"/>
  </r>
  <r>
    <s v="ORD04906"/>
    <x v="474"/>
    <s v="C407"/>
    <x v="70"/>
    <x v="0"/>
    <x v="46"/>
    <x v="46"/>
    <x v="0"/>
    <x v="4788"/>
    <n v="43.06"/>
    <n v="2253157.56"/>
  </r>
  <r>
    <s v="ORD04907"/>
    <x v="630"/>
    <s v="C188"/>
    <x v="138"/>
    <x v="0"/>
    <x v="30"/>
    <x v="30"/>
    <x v="4"/>
    <x v="4789"/>
    <n v="27.34"/>
    <n v="2356872.04"/>
  </r>
  <r>
    <s v="ORD04908"/>
    <x v="282"/>
    <s v="C290"/>
    <x v="336"/>
    <x v="4"/>
    <x v="46"/>
    <x v="46"/>
    <x v="0"/>
    <x v="4790"/>
    <n v="15.61"/>
    <n v="728924.56"/>
  </r>
  <r>
    <s v="ORD04909"/>
    <x v="689"/>
    <s v="C482"/>
    <x v="369"/>
    <x v="4"/>
    <x v="7"/>
    <x v="7"/>
    <x v="3"/>
    <x v="4791"/>
    <n v="34.29"/>
    <n v="1551005.28"/>
  </r>
  <r>
    <s v="ORD04910"/>
    <x v="643"/>
    <s v="C410"/>
    <x v="326"/>
    <x v="4"/>
    <x v="34"/>
    <x v="34"/>
    <x v="2"/>
    <x v="4792"/>
    <n v="31.76"/>
    <n v="1164289.8400000001"/>
  </r>
  <r>
    <s v="ORD04911"/>
    <x v="451"/>
    <s v="C409"/>
    <x v="466"/>
    <x v="3"/>
    <x v="34"/>
    <x v="34"/>
    <x v="2"/>
    <x v="4793"/>
    <n v="23.16"/>
    <n v="1350158.52"/>
  </r>
  <r>
    <s v="ORD04912"/>
    <x v="602"/>
    <s v="C303"/>
    <x v="262"/>
    <x v="0"/>
    <x v="4"/>
    <x v="4"/>
    <x v="1"/>
    <x v="1185"/>
    <n v="13.18"/>
    <n v="167557.34"/>
  </r>
  <r>
    <s v="ORD04913"/>
    <x v="260"/>
    <s v="C385"/>
    <x v="309"/>
    <x v="3"/>
    <x v="1"/>
    <x v="1"/>
    <x v="1"/>
    <x v="4794"/>
    <n v="18.09"/>
    <n v="255304.17"/>
  </r>
  <r>
    <s v="ORD04914"/>
    <x v="428"/>
    <s v="C399"/>
    <x v="194"/>
    <x v="4"/>
    <x v="26"/>
    <x v="26"/>
    <x v="0"/>
    <x v="4795"/>
    <n v="5.58"/>
    <n v="428521.68"/>
  </r>
  <r>
    <s v="ORD04915"/>
    <x v="474"/>
    <s v="C174"/>
    <x v="26"/>
    <x v="4"/>
    <x v="32"/>
    <x v="32"/>
    <x v="4"/>
    <x v="4796"/>
    <n v="25.49"/>
    <n v="840022.95"/>
  </r>
  <r>
    <s v="ORD04916"/>
    <x v="488"/>
    <s v="C016"/>
    <x v="170"/>
    <x v="2"/>
    <x v="7"/>
    <x v="7"/>
    <x v="3"/>
    <x v="4797"/>
    <n v="20.3"/>
    <n v="1816038"/>
  </r>
  <r>
    <s v="ORD04917"/>
    <x v="633"/>
    <s v="C473"/>
    <x v="102"/>
    <x v="2"/>
    <x v="24"/>
    <x v="24"/>
    <x v="3"/>
    <x v="4798"/>
    <n v="8.0399999999999991"/>
    <n v="38937.72"/>
  </r>
  <r>
    <s v="ORD04918"/>
    <x v="674"/>
    <s v="C230"/>
    <x v="465"/>
    <x v="4"/>
    <x v="0"/>
    <x v="0"/>
    <x v="0"/>
    <x v="4799"/>
    <n v="2.88"/>
    <n v="172393.92"/>
  </r>
  <r>
    <s v="ORD04919"/>
    <x v="328"/>
    <s v="C090"/>
    <x v="380"/>
    <x v="1"/>
    <x v="40"/>
    <x v="40"/>
    <x v="0"/>
    <x v="4800"/>
    <n v="29.33"/>
    <n v="197860.18"/>
  </r>
  <r>
    <s v="ORD04920"/>
    <x v="177"/>
    <s v="C081"/>
    <x v="456"/>
    <x v="3"/>
    <x v="25"/>
    <x v="25"/>
    <x v="4"/>
    <x v="4801"/>
    <n v="17.64"/>
    <n v="492685.2"/>
  </r>
  <r>
    <s v="ORD04921"/>
    <x v="327"/>
    <s v="C493"/>
    <x v="354"/>
    <x v="4"/>
    <x v="29"/>
    <x v="29"/>
    <x v="0"/>
    <x v="4802"/>
    <n v="2.46"/>
    <n v="117027.12"/>
  </r>
  <r>
    <s v="ORD04922"/>
    <x v="103"/>
    <s v="C391"/>
    <x v="425"/>
    <x v="0"/>
    <x v="3"/>
    <x v="3"/>
    <x v="2"/>
    <x v="4803"/>
    <n v="33.1"/>
    <n v="3007333.6"/>
  </r>
  <r>
    <s v="ORD04923"/>
    <x v="392"/>
    <s v="C496"/>
    <x v="82"/>
    <x v="0"/>
    <x v="37"/>
    <x v="37"/>
    <x v="1"/>
    <x v="4804"/>
    <n v="16.54"/>
    <n v="481198.22"/>
  </r>
  <r>
    <s v="ORD04924"/>
    <x v="273"/>
    <s v="C086"/>
    <x v="362"/>
    <x v="0"/>
    <x v="8"/>
    <x v="8"/>
    <x v="3"/>
    <x v="4805"/>
    <n v="44.4"/>
    <n v="1852945.2"/>
  </r>
  <r>
    <s v="ORD04925"/>
    <x v="333"/>
    <s v="C478"/>
    <x v="269"/>
    <x v="0"/>
    <x v="8"/>
    <x v="8"/>
    <x v="3"/>
    <x v="4806"/>
    <n v="43"/>
    <n v="1397801"/>
  </r>
  <r>
    <s v="ORD04926"/>
    <x v="358"/>
    <s v="C025"/>
    <x v="396"/>
    <x v="0"/>
    <x v="9"/>
    <x v="9"/>
    <x v="4"/>
    <x v="4807"/>
    <n v="34.53"/>
    <n v="1610962.62"/>
  </r>
  <r>
    <s v="ORD04927"/>
    <x v="467"/>
    <s v="C018"/>
    <x v="332"/>
    <x v="3"/>
    <x v="19"/>
    <x v="19"/>
    <x v="3"/>
    <x v="4032"/>
    <n v="2.02"/>
    <n v="21822.06"/>
  </r>
  <r>
    <s v="ORD04928"/>
    <x v="489"/>
    <s v="C382"/>
    <x v="136"/>
    <x v="3"/>
    <x v="41"/>
    <x v="41"/>
    <x v="4"/>
    <x v="1327"/>
    <n v="14.43"/>
    <n v="944890.83"/>
  </r>
  <r>
    <s v="ORD04929"/>
    <x v="123"/>
    <s v="C175"/>
    <x v="29"/>
    <x v="4"/>
    <x v="10"/>
    <x v="10"/>
    <x v="3"/>
    <x v="4808"/>
    <n v="43.63"/>
    <n v="2670766.8199999998"/>
  </r>
  <r>
    <s v="ORD04930"/>
    <x v="507"/>
    <s v="C191"/>
    <x v="186"/>
    <x v="2"/>
    <x v="0"/>
    <x v="0"/>
    <x v="0"/>
    <x v="4809"/>
    <n v="11.24"/>
    <n v="467269.28"/>
  </r>
  <r>
    <s v="ORD04931"/>
    <x v="210"/>
    <s v="C144"/>
    <x v="470"/>
    <x v="4"/>
    <x v="29"/>
    <x v="29"/>
    <x v="0"/>
    <x v="4810"/>
    <n v="15.3"/>
    <n v="837414.9"/>
  </r>
  <r>
    <s v="ORD04932"/>
    <x v="180"/>
    <s v="C132"/>
    <x v="250"/>
    <x v="3"/>
    <x v="42"/>
    <x v="42"/>
    <x v="1"/>
    <x v="4811"/>
    <n v="34.880000000000003"/>
    <n v="309350.71999999997"/>
  </r>
  <r>
    <s v="ORD04933"/>
    <x v="706"/>
    <s v="C258"/>
    <x v="276"/>
    <x v="3"/>
    <x v="34"/>
    <x v="34"/>
    <x v="2"/>
    <x v="4812"/>
    <n v="25.17"/>
    <n v="1962681.09"/>
  </r>
  <r>
    <s v="ORD04934"/>
    <x v="233"/>
    <s v="C418"/>
    <x v="246"/>
    <x v="2"/>
    <x v="26"/>
    <x v="26"/>
    <x v="0"/>
    <x v="4813"/>
    <n v="49.23"/>
    <n v="538330.05000000005"/>
  </r>
  <r>
    <s v="ORD04935"/>
    <x v="286"/>
    <s v="C284"/>
    <x v="287"/>
    <x v="4"/>
    <x v="6"/>
    <x v="6"/>
    <x v="0"/>
    <x v="2638"/>
    <n v="28.75"/>
    <n v="1914606.25"/>
  </r>
  <r>
    <s v="ORD04936"/>
    <x v="512"/>
    <s v="C484"/>
    <x v="124"/>
    <x v="3"/>
    <x v="17"/>
    <x v="17"/>
    <x v="1"/>
    <x v="4814"/>
    <n v="37.54"/>
    <n v="3286138.98"/>
  </r>
  <r>
    <s v="ORD04937"/>
    <x v="422"/>
    <s v="C491"/>
    <x v="32"/>
    <x v="0"/>
    <x v="14"/>
    <x v="14"/>
    <x v="2"/>
    <x v="4815"/>
    <n v="34.5"/>
    <n v="1519380"/>
  </r>
  <r>
    <s v="ORD04938"/>
    <x v="408"/>
    <s v="C422"/>
    <x v="415"/>
    <x v="4"/>
    <x v="27"/>
    <x v="27"/>
    <x v="4"/>
    <x v="4816"/>
    <n v="35.72"/>
    <n v="1780892.04"/>
  </r>
  <r>
    <s v="ORD04939"/>
    <x v="348"/>
    <s v="C168"/>
    <x v="285"/>
    <x v="1"/>
    <x v="25"/>
    <x v="25"/>
    <x v="4"/>
    <x v="4817"/>
    <n v="13.96"/>
    <n v="1112486.3600000001"/>
  </r>
  <r>
    <s v="ORD04940"/>
    <x v="316"/>
    <s v="C277"/>
    <x v="158"/>
    <x v="3"/>
    <x v="43"/>
    <x v="43"/>
    <x v="4"/>
    <x v="4818"/>
    <n v="45.6"/>
    <n v="748341.6"/>
  </r>
  <r>
    <s v="ORD04941"/>
    <x v="259"/>
    <s v="C197"/>
    <x v="437"/>
    <x v="1"/>
    <x v="13"/>
    <x v="13"/>
    <x v="2"/>
    <x v="4819"/>
    <n v="25.05"/>
    <n v="1556657.1"/>
  </r>
  <r>
    <s v="ORD04942"/>
    <x v="327"/>
    <s v="C392"/>
    <x v="383"/>
    <x v="3"/>
    <x v="6"/>
    <x v="6"/>
    <x v="0"/>
    <x v="4820"/>
    <n v="9.7899999999999991"/>
    <n v="937089.01"/>
  </r>
  <r>
    <s v="ORD04943"/>
    <x v="622"/>
    <s v="C118"/>
    <x v="74"/>
    <x v="1"/>
    <x v="36"/>
    <x v="36"/>
    <x v="4"/>
    <x v="4821"/>
    <n v="2.68"/>
    <n v="257655.2"/>
  </r>
  <r>
    <s v="ORD04944"/>
    <x v="631"/>
    <s v="C163"/>
    <x v="275"/>
    <x v="3"/>
    <x v="17"/>
    <x v="17"/>
    <x v="1"/>
    <x v="4822"/>
    <n v="20.2"/>
    <n v="1820545.2"/>
  </r>
  <r>
    <s v="ORD04945"/>
    <x v="126"/>
    <s v="C159"/>
    <x v="243"/>
    <x v="0"/>
    <x v="22"/>
    <x v="22"/>
    <x v="0"/>
    <x v="4823"/>
    <n v="19.100000000000001"/>
    <n v="513981"/>
  </r>
  <r>
    <s v="ORD04946"/>
    <x v="701"/>
    <s v="C453"/>
    <x v="168"/>
    <x v="3"/>
    <x v="36"/>
    <x v="36"/>
    <x v="4"/>
    <x v="4824"/>
    <n v="26.17"/>
    <n v="283839.82"/>
  </r>
  <r>
    <s v="ORD04947"/>
    <x v="95"/>
    <s v="C400"/>
    <x v="376"/>
    <x v="2"/>
    <x v="44"/>
    <x v="44"/>
    <x v="2"/>
    <x v="4825"/>
    <n v="46.93"/>
    <n v="3448369.47"/>
  </r>
  <r>
    <s v="ORD04948"/>
    <x v="418"/>
    <s v="C420"/>
    <x v="11"/>
    <x v="4"/>
    <x v="42"/>
    <x v="42"/>
    <x v="1"/>
    <x v="4826"/>
    <n v="11.11"/>
    <n v="641291.42000000004"/>
  </r>
  <r>
    <s v="ORD04949"/>
    <x v="438"/>
    <s v="C015"/>
    <x v="18"/>
    <x v="4"/>
    <x v="29"/>
    <x v="29"/>
    <x v="0"/>
    <x v="4827"/>
    <n v="21.93"/>
    <n v="332809.68"/>
  </r>
  <r>
    <s v="ORD04950"/>
    <x v="537"/>
    <s v="C438"/>
    <x v="475"/>
    <x v="1"/>
    <x v="26"/>
    <x v="26"/>
    <x v="0"/>
    <x v="4828"/>
    <n v="18.87"/>
    <n v="669922.74"/>
  </r>
  <r>
    <s v="ORD04951"/>
    <x v="401"/>
    <s v="C023"/>
    <x v="304"/>
    <x v="4"/>
    <x v="4"/>
    <x v="4"/>
    <x v="1"/>
    <x v="4829"/>
    <n v="35.270000000000003"/>
    <n v="2558521.0699999998"/>
  </r>
  <r>
    <s v="ORD04952"/>
    <x v="404"/>
    <s v="C495"/>
    <x v="348"/>
    <x v="3"/>
    <x v="26"/>
    <x v="26"/>
    <x v="0"/>
    <x v="4830"/>
    <n v="2.1800000000000002"/>
    <n v="7054.48"/>
  </r>
  <r>
    <s v="ORD04953"/>
    <x v="416"/>
    <s v="C331"/>
    <x v="167"/>
    <x v="1"/>
    <x v="45"/>
    <x v="45"/>
    <x v="3"/>
    <x v="997"/>
    <n v="49.09"/>
    <n v="4002111.34"/>
  </r>
  <r>
    <s v="ORD04954"/>
    <x v="442"/>
    <s v="C272"/>
    <x v="98"/>
    <x v="0"/>
    <x v="19"/>
    <x v="19"/>
    <x v="3"/>
    <x v="4831"/>
    <n v="33.200000000000003"/>
    <n v="1540513.2"/>
  </r>
  <r>
    <s v="ORD04955"/>
    <x v="646"/>
    <s v="C177"/>
    <x v="183"/>
    <x v="1"/>
    <x v="46"/>
    <x v="46"/>
    <x v="0"/>
    <x v="4832"/>
    <n v="37.71"/>
    <n v="1599620.49"/>
  </r>
  <r>
    <s v="ORD04956"/>
    <x v="488"/>
    <s v="C148"/>
    <x v="365"/>
    <x v="1"/>
    <x v="4"/>
    <x v="4"/>
    <x v="1"/>
    <x v="4833"/>
    <n v="21.51"/>
    <n v="1895375.16"/>
  </r>
  <r>
    <s v="ORD04957"/>
    <x v="679"/>
    <s v="C111"/>
    <x v="286"/>
    <x v="0"/>
    <x v="10"/>
    <x v="10"/>
    <x v="3"/>
    <x v="4834"/>
    <n v="41.07"/>
    <n v="3656626.38"/>
  </r>
  <r>
    <s v="ORD04958"/>
    <x v="625"/>
    <s v="C212"/>
    <x v="90"/>
    <x v="4"/>
    <x v="11"/>
    <x v="11"/>
    <x v="4"/>
    <x v="4835"/>
    <n v="29.44"/>
    <n v="2548650.2400000002"/>
  </r>
  <r>
    <s v="ORD04959"/>
    <x v="622"/>
    <s v="C153"/>
    <x v="271"/>
    <x v="0"/>
    <x v="6"/>
    <x v="6"/>
    <x v="0"/>
    <x v="4836"/>
    <n v="5"/>
    <n v="158930"/>
  </r>
  <r>
    <s v="ORD04960"/>
    <x v="359"/>
    <s v="C235"/>
    <x v="199"/>
    <x v="0"/>
    <x v="15"/>
    <x v="15"/>
    <x v="2"/>
    <x v="4837"/>
    <n v="11.06"/>
    <n v="383815.18"/>
  </r>
  <r>
    <s v="ORD04961"/>
    <x v="669"/>
    <s v="C443"/>
    <x v="105"/>
    <x v="1"/>
    <x v="19"/>
    <x v="19"/>
    <x v="3"/>
    <x v="4838"/>
    <n v="8.3800000000000008"/>
    <n v="451321.66"/>
  </r>
  <r>
    <s v="ORD04962"/>
    <x v="70"/>
    <s v="C470"/>
    <x v="190"/>
    <x v="4"/>
    <x v="18"/>
    <x v="18"/>
    <x v="0"/>
    <x v="4839"/>
    <n v="20.56"/>
    <n v="1131334.56"/>
  </r>
  <r>
    <s v="ORD04963"/>
    <x v="622"/>
    <s v="C230"/>
    <x v="465"/>
    <x v="4"/>
    <x v="10"/>
    <x v="10"/>
    <x v="3"/>
    <x v="4840"/>
    <n v="15.09"/>
    <n v="783850.05"/>
  </r>
  <r>
    <s v="ORD04964"/>
    <x v="390"/>
    <s v="C155"/>
    <x v="407"/>
    <x v="1"/>
    <x v="0"/>
    <x v="0"/>
    <x v="0"/>
    <x v="4841"/>
    <n v="13.68"/>
    <n v="66840.479999999996"/>
  </r>
  <r>
    <s v="ORD04965"/>
    <x v="579"/>
    <s v="C122"/>
    <x v="297"/>
    <x v="4"/>
    <x v="37"/>
    <x v="37"/>
    <x v="1"/>
    <x v="4842"/>
    <n v="27.09"/>
    <n v="2700764.64"/>
  </r>
  <r>
    <s v="ORD04966"/>
    <x v="112"/>
    <s v="C063"/>
    <x v="282"/>
    <x v="3"/>
    <x v="23"/>
    <x v="23"/>
    <x v="0"/>
    <x v="4843"/>
    <n v="18.09"/>
    <n v="961881.48"/>
  </r>
  <r>
    <s v="ORD04967"/>
    <x v="548"/>
    <s v="C346"/>
    <x v="171"/>
    <x v="2"/>
    <x v="20"/>
    <x v="20"/>
    <x v="1"/>
    <x v="4844"/>
    <n v="23.32"/>
    <n v="788542.48"/>
  </r>
  <r>
    <s v="ORD04968"/>
    <x v="85"/>
    <s v="C184"/>
    <x v="125"/>
    <x v="2"/>
    <x v="6"/>
    <x v="6"/>
    <x v="0"/>
    <x v="4845"/>
    <n v="40.81"/>
    <n v="1617055.44"/>
  </r>
  <r>
    <s v="ORD04969"/>
    <x v="350"/>
    <s v="C255"/>
    <x v="143"/>
    <x v="0"/>
    <x v="19"/>
    <x v="19"/>
    <x v="3"/>
    <x v="4846"/>
    <n v="40.659999999999997"/>
    <n v="2050890.4"/>
  </r>
  <r>
    <s v="ORD04970"/>
    <x v="349"/>
    <s v="C220"/>
    <x v="157"/>
    <x v="0"/>
    <x v="10"/>
    <x v="10"/>
    <x v="3"/>
    <x v="4847"/>
    <n v="33.31"/>
    <n v="497151.75"/>
  </r>
  <r>
    <s v="ORD04971"/>
    <x v="566"/>
    <s v="C047"/>
    <x v="497"/>
    <x v="2"/>
    <x v="17"/>
    <x v="17"/>
    <x v="1"/>
    <x v="4848"/>
    <n v="36.04"/>
    <n v="353300.12"/>
  </r>
  <r>
    <s v="ORD04972"/>
    <x v="170"/>
    <s v="C122"/>
    <x v="297"/>
    <x v="4"/>
    <x v="33"/>
    <x v="33"/>
    <x v="1"/>
    <x v="4849"/>
    <n v="25.51"/>
    <n v="289130.34000000003"/>
  </r>
  <r>
    <s v="ORD04973"/>
    <x v="165"/>
    <s v="C253"/>
    <x v="379"/>
    <x v="4"/>
    <x v="2"/>
    <x v="2"/>
    <x v="1"/>
    <x v="4850"/>
    <n v="27.63"/>
    <n v="679559.85"/>
  </r>
  <r>
    <s v="ORD04974"/>
    <x v="117"/>
    <s v="C247"/>
    <x v="433"/>
    <x v="4"/>
    <x v="41"/>
    <x v="41"/>
    <x v="4"/>
    <x v="4851"/>
    <n v="25.28"/>
    <n v="600349.43999999994"/>
  </r>
  <r>
    <s v="ORD04975"/>
    <x v="647"/>
    <s v="C307"/>
    <x v="318"/>
    <x v="0"/>
    <x v="7"/>
    <x v="7"/>
    <x v="3"/>
    <x v="4852"/>
    <n v="8.89"/>
    <n v="822147.2"/>
  </r>
  <r>
    <s v="ORD04976"/>
    <x v="554"/>
    <s v="C374"/>
    <x v="399"/>
    <x v="1"/>
    <x v="30"/>
    <x v="30"/>
    <x v="4"/>
    <x v="4853"/>
    <n v="3.24"/>
    <n v="321501.96000000002"/>
  </r>
  <r>
    <s v="ORD04977"/>
    <x v="47"/>
    <s v="C090"/>
    <x v="380"/>
    <x v="1"/>
    <x v="29"/>
    <x v="29"/>
    <x v="0"/>
    <x v="4854"/>
    <n v="4.2300000000000004"/>
    <n v="197388.72"/>
  </r>
  <r>
    <s v="ORD04978"/>
    <x v="623"/>
    <s v="C289"/>
    <x v="408"/>
    <x v="1"/>
    <x v="34"/>
    <x v="34"/>
    <x v="2"/>
    <x v="4855"/>
    <n v="48.11"/>
    <n v="3686524.97"/>
  </r>
  <r>
    <s v="ORD04979"/>
    <x v="192"/>
    <s v="C151"/>
    <x v="328"/>
    <x v="0"/>
    <x v="43"/>
    <x v="43"/>
    <x v="4"/>
    <x v="4856"/>
    <n v="43.67"/>
    <n v="880387.2"/>
  </r>
  <r>
    <s v="ORD04980"/>
    <x v="151"/>
    <s v="C483"/>
    <x v="214"/>
    <x v="2"/>
    <x v="11"/>
    <x v="11"/>
    <x v="4"/>
    <x v="4857"/>
    <n v="3.99"/>
    <n v="384340.74"/>
  </r>
  <r>
    <s v="ORD04981"/>
    <x v="324"/>
    <s v="C186"/>
    <x v="306"/>
    <x v="4"/>
    <x v="43"/>
    <x v="43"/>
    <x v="4"/>
    <x v="4858"/>
    <n v="48.4"/>
    <n v="1037163.6"/>
  </r>
  <r>
    <s v="ORD04982"/>
    <x v="417"/>
    <s v="C304"/>
    <x v="381"/>
    <x v="3"/>
    <x v="10"/>
    <x v="10"/>
    <x v="3"/>
    <x v="4859"/>
    <n v="26.03"/>
    <n v="1674197.54"/>
  </r>
  <r>
    <s v="ORD04983"/>
    <x v="271"/>
    <s v="C400"/>
    <x v="376"/>
    <x v="2"/>
    <x v="23"/>
    <x v="23"/>
    <x v="0"/>
    <x v="4860"/>
    <n v="8.76"/>
    <n v="845550.24"/>
  </r>
  <r>
    <s v="ORD04984"/>
    <x v="298"/>
    <s v="C095"/>
    <x v="236"/>
    <x v="0"/>
    <x v="35"/>
    <x v="35"/>
    <x v="1"/>
    <x v="4861"/>
    <n v="3.22"/>
    <n v="200013.52"/>
  </r>
  <r>
    <s v="ORD04985"/>
    <x v="679"/>
    <s v="C383"/>
    <x v="232"/>
    <x v="0"/>
    <x v="17"/>
    <x v="17"/>
    <x v="1"/>
    <x v="4862"/>
    <n v="9.59"/>
    <n v="276412.57"/>
  </r>
  <r>
    <s v="ORD04986"/>
    <x v="690"/>
    <s v="C182"/>
    <x v="159"/>
    <x v="1"/>
    <x v="17"/>
    <x v="17"/>
    <x v="1"/>
    <x v="4863"/>
    <n v="31.69"/>
    <n v="213812.43"/>
  </r>
  <r>
    <s v="ORD04987"/>
    <x v="255"/>
    <s v="C216"/>
    <x v="47"/>
    <x v="1"/>
    <x v="20"/>
    <x v="20"/>
    <x v="1"/>
    <x v="4864"/>
    <n v="24.75"/>
    <n v="1435500"/>
  </r>
  <r>
    <s v="ORD04988"/>
    <x v="75"/>
    <s v="C259"/>
    <x v="36"/>
    <x v="2"/>
    <x v="21"/>
    <x v="21"/>
    <x v="2"/>
    <x v="4865"/>
    <n v="46.16"/>
    <n v="595002.4"/>
  </r>
  <r>
    <s v="ORD04989"/>
    <x v="186"/>
    <s v="C182"/>
    <x v="159"/>
    <x v="1"/>
    <x v="21"/>
    <x v="21"/>
    <x v="2"/>
    <x v="4866"/>
    <n v="49.35"/>
    <n v="1487409"/>
  </r>
  <r>
    <s v="ORD04990"/>
    <x v="343"/>
    <s v="C318"/>
    <x v="235"/>
    <x v="2"/>
    <x v="40"/>
    <x v="40"/>
    <x v="0"/>
    <x v="4867"/>
    <n v="9.6"/>
    <n v="757296"/>
  </r>
  <r>
    <s v="ORD04991"/>
    <x v="417"/>
    <s v="C184"/>
    <x v="125"/>
    <x v="2"/>
    <x v="5"/>
    <x v="5"/>
    <x v="3"/>
    <x v="4868"/>
    <n v="31.58"/>
    <n v="1054171.98"/>
  </r>
  <r>
    <s v="ORD04992"/>
    <x v="347"/>
    <s v="C282"/>
    <x v="290"/>
    <x v="3"/>
    <x v="7"/>
    <x v="7"/>
    <x v="3"/>
    <x v="4869"/>
    <n v="24.86"/>
    <n v="876464.16"/>
  </r>
  <r>
    <s v="ORD04993"/>
    <x v="572"/>
    <s v="C441"/>
    <x v="115"/>
    <x v="0"/>
    <x v="30"/>
    <x v="30"/>
    <x v="4"/>
    <x v="4870"/>
    <n v="33.68"/>
    <n v="1785983.04"/>
  </r>
  <r>
    <s v="ORD04994"/>
    <x v="61"/>
    <s v="C244"/>
    <x v="259"/>
    <x v="1"/>
    <x v="17"/>
    <x v="17"/>
    <x v="1"/>
    <x v="4871"/>
    <n v="9.61"/>
    <n v="760698.77"/>
  </r>
  <r>
    <s v="ORD04995"/>
    <x v="11"/>
    <s v="C279"/>
    <x v="270"/>
    <x v="1"/>
    <x v="13"/>
    <x v="13"/>
    <x v="2"/>
    <x v="2791"/>
    <n v="11.52"/>
    <n v="659980.80000000005"/>
  </r>
  <r>
    <s v="ORD04996"/>
    <x v="459"/>
    <s v="C155"/>
    <x v="407"/>
    <x v="1"/>
    <x v="31"/>
    <x v="31"/>
    <x v="0"/>
    <x v="4872"/>
    <n v="5.4"/>
    <n v="160601.4"/>
  </r>
  <r>
    <s v="ORD04997"/>
    <x v="491"/>
    <s v="C445"/>
    <x v="248"/>
    <x v="3"/>
    <x v="15"/>
    <x v="15"/>
    <x v="2"/>
    <x v="4873"/>
    <n v="6.03"/>
    <n v="283355.73"/>
  </r>
  <r>
    <s v="ORD04998"/>
    <x v="616"/>
    <s v="C197"/>
    <x v="437"/>
    <x v="1"/>
    <x v="48"/>
    <x v="48"/>
    <x v="2"/>
    <x v="4874"/>
    <n v="28.02"/>
    <n v="65622.84"/>
  </r>
  <r>
    <s v="ORD04999"/>
    <x v="333"/>
    <s v="C394"/>
    <x v="213"/>
    <x v="0"/>
    <x v="17"/>
    <x v="17"/>
    <x v="1"/>
    <x v="4875"/>
    <n v="35.61"/>
    <n v="772843.83"/>
  </r>
  <r>
    <s v="ORD05000"/>
    <x v="282"/>
    <s v="C092"/>
    <x v="405"/>
    <x v="0"/>
    <x v="35"/>
    <x v="35"/>
    <x v="1"/>
    <x v="4876"/>
    <n v="49.82"/>
    <n v="44190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48D225-713C-3547-92E6-D66D7A6AE365}" name="PivotTable1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13:P24" firstHeaderRow="1" firstDataRow="1" firstDataCol="1"/>
  <pivotFields count="14">
    <pivotField showAll="0"/>
    <pivotField numFmtId="14" showAll="0">
      <items count="731">
        <item x="347"/>
        <item x="63"/>
        <item x="470"/>
        <item x="636"/>
        <item x="346"/>
        <item x="183"/>
        <item x="244"/>
        <item x="278"/>
        <item x="39"/>
        <item x="289"/>
        <item x="14"/>
        <item x="358"/>
        <item x="88"/>
        <item x="484"/>
        <item x="629"/>
        <item x="41"/>
        <item x="272"/>
        <item x="708"/>
        <item x="345"/>
        <item x="621"/>
        <item x="208"/>
        <item x="140"/>
        <item x="612"/>
        <item x="31"/>
        <item x="139"/>
        <item x="487"/>
        <item x="528"/>
        <item x="75"/>
        <item x="610"/>
        <item x="281"/>
        <item x="648"/>
        <item x="210"/>
        <item x="572"/>
        <item x="465"/>
        <item x="602"/>
        <item x="287"/>
        <item x="303"/>
        <item x="129"/>
        <item x="729"/>
        <item x="1"/>
        <item x="194"/>
        <item x="450"/>
        <item x="673"/>
        <item x="170"/>
        <item x="513"/>
        <item x="161"/>
        <item x="251"/>
        <item x="24"/>
        <item x="237"/>
        <item x="224"/>
        <item x="534"/>
        <item x="600"/>
        <item x="506"/>
        <item x="478"/>
        <item x="532"/>
        <item x="286"/>
        <item x="274"/>
        <item x="703"/>
        <item x="415"/>
        <item x="298"/>
        <item x="33"/>
        <item x="249"/>
        <item x="124"/>
        <item x="135"/>
        <item x="173"/>
        <item x="340"/>
        <item x="271"/>
        <item x="591"/>
        <item x="675"/>
        <item x="254"/>
        <item x="366"/>
        <item x="214"/>
        <item x="150"/>
        <item x="480"/>
        <item x="174"/>
        <item x="61"/>
        <item x="592"/>
        <item x="393"/>
        <item x="564"/>
        <item x="462"/>
        <item x="712"/>
        <item x="25"/>
        <item x="122"/>
        <item x="107"/>
        <item x="582"/>
        <item x="215"/>
        <item x="530"/>
        <item x="455"/>
        <item x="277"/>
        <item x="615"/>
        <item x="112"/>
        <item x="526"/>
        <item x="552"/>
        <item x="339"/>
        <item x="613"/>
        <item x="297"/>
        <item x="166"/>
        <item x="614"/>
        <item x="596"/>
        <item x="279"/>
        <item x="491"/>
        <item x="634"/>
        <item x="119"/>
        <item x="15"/>
        <item x="620"/>
        <item x="691"/>
        <item x="344"/>
        <item x="322"/>
        <item x="495"/>
        <item x="203"/>
        <item x="65"/>
        <item x="575"/>
        <item x="481"/>
        <item x="126"/>
        <item x="607"/>
        <item x="43"/>
        <item x="581"/>
        <item x="58"/>
        <item x="123"/>
        <item x="619"/>
        <item x="229"/>
        <item x="327"/>
        <item x="463"/>
        <item x="533"/>
        <item x="489"/>
        <item x="319"/>
        <item x="545"/>
        <item x="569"/>
        <item x="190"/>
        <item x="151"/>
        <item x="69"/>
        <item x="683"/>
        <item x="285"/>
        <item x="699"/>
        <item x="486"/>
        <item x="407"/>
        <item x="7"/>
        <item x="361"/>
        <item x="169"/>
        <item x="413"/>
        <item x="571"/>
        <item x="707"/>
        <item x="234"/>
        <item x="414"/>
        <item x="658"/>
        <item x="320"/>
        <item x="354"/>
        <item x="662"/>
        <item x="696"/>
        <item x="472"/>
        <item x="197"/>
        <item x="654"/>
        <item x="231"/>
        <item x="364"/>
        <item x="290"/>
        <item x="45"/>
        <item x="188"/>
        <item x="96"/>
        <item x="423"/>
        <item x="283"/>
        <item x="368"/>
        <item x="87"/>
        <item x="625"/>
        <item x="221"/>
        <item x="6"/>
        <item x="295"/>
        <item x="628"/>
        <item x="725"/>
        <item x="128"/>
        <item x="143"/>
        <item x="396"/>
        <item x="728"/>
        <item x="113"/>
        <item x="417"/>
        <item x="456"/>
        <item x="605"/>
        <item x="223"/>
        <item x="590"/>
        <item x="163"/>
        <item x="66"/>
        <item x="637"/>
        <item x="164"/>
        <item x="441"/>
        <item x="265"/>
        <item x="394"/>
        <item x="445"/>
        <item x="574"/>
        <item x="464"/>
        <item x="537"/>
        <item x="59"/>
        <item x="377"/>
        <item x="722"/>
        <item x="106"/>
        <item x="182"/>
        <item x="539"/>
        <item x="661"/>
        <item x="11"/>
        <item x="387"/>
        <item x="153"/>
        <item x="536"/>
        <item x="247"/>
        <item x="315"/>
        <item x="507"/>
        <item x="424"/>
        <item x="453"/>
        <item x="608"/>
        <item x="227"/>
        <item x="26"/>
        <item x="115"/>
        <item x="531"/>
        <item x="385"/>
        <item x="511"/>
        <item x="609"/>
        <item x="383"/>
        <item x="558"/>
        <item x="663"/>
        <item x="540"/>
        <item x="546"/>
        <item x="483"/>
        <item x="543"/>
        <item x="593"/>
        <item x="499"/>
        <item x="71"/>
        <item x="192"/>
        <item x="616"/>
        <item x="241"/>
        <item x="360"/>
        <item x="452"/>
        <item x="727"/>
        <item x="91"/>
        <item x="13"/>
        <item x="10"/>
        <item x="585"/>
        <item x="512"/>
        <item x="125"/>
        <item x="17"/>
        <item x="426"/>
        <item x="384"/>
        <item x="438"/>
        <item x="475"/>
        <item x="647"/>
        <item x="276"/>
        <item x="514"/>
        <item x="23"/>
        <item x="399"/>
        <item x="379"/>
        <item x="611"/>
        <item x="420"/>
        <item x="74"/>
        <item x="133"/>
        <item x="248"/>
        <item x="252"/>
        <item x="447"/>
        <item x="718"/>
        <item x="454"/>
        <item x="579"/>
        <item x="313"/>
        <item x="446"/>
        <item x="30"/>
        <item x="405"/>
        <item x="476"/>
        <item x="692"/>
        <item x="429"/>
        <item x="130"/>
        <item x="37"/>
        <item x="443"/>
        <item x="685"/>
        <item x="22"/>
        <item x="444"/>
        <item x="382"/>
        <item x="239"/>
        <item x="595"/>
        <item x="655"/>
        <item x="332"/>
        <item x="624"/>
        <item x="578"/>
        <item x="659"/>
        <item x="111"/>
        <item x="684"/>
        <item x="373"/>
        <item x="180"/>
        <item x="367"/>
        <item x="565"/>
        <item x="598"/>
        <item x="580"/>
        <item x="563"/>
        <item x="116"/>
        <item x="222"/>
        <item x="176"/>
        <item x="622"/>
        <item x="541"/>
        <item x="204"/>
        <item x="671"/>
        <item x="498"/>
        <item x="492"/>
        <item x="79"/>
        <item x="701"/>
        <item x="8"/>
        <item x="716"/>
        <item x="316"/>
        <item x="299"/>
        <item x="503"/>
        <item x="104"/>
        <item x="156"/>
        <item x="632"/>
        <item x="262"/>
        <item x="27"/>
        <item x="398"/>
        <item x="561"/>
        <item x="35"/>
        <item x="640"/>
        <item x="380"/>
        <item x="428"/>
        <item x="235"/>
        <item x="191"/>
        <item x="409"/>
        <item x="400"/>
        <item x="195"/>
        <item x="321"/>
        <item x="466"/>
        <item x="102"/>
        <item x="34"/>
        <item x="2"/>
        <item x="308"/>
        <item x="477"/>
        <item x="547"/>
        <item x="550"/>
        <item x="336"/>
        <item x="353"/>
        <item x="723"/>
        <item x="549"/>
        <item x="378"/>
        <item x="493"/>
        <item x="635"/>
        <item x="721"/>
        <item x="310"/>
        <item x="211"/>
        <item x="202"/>
        <item x="642"/>
        <item x="430"/>
        <item x="189"/>
        <item x="232"/>
        <item x="365"/>
        <item x="359"/>
        <item x="559"/>
        <item x="132"/>
        <item x="213"/>
        <item x="668"/>
        <item x="199"/>
        <item x="76"/>
        <item x="391"/>
        <item x="220"/>
        <item x="695"/>
        <item x="101"/>
        <item x="524"/>
        <item x="282"/>
        <item x="656"/>
        <item x="305"/>
        <item x="535"/>
        <item x="525"/>
        <item x="160"/>
        <item x="390"/>
        <item x="529"/>
        <item x="362"/>
        <item x="500"/>
        <item x="200"/>
        <item x="64"/>
        <item x="687"/>
        <item x="261"/>
        <item x="389"/>
        <item x="206"/>
        <item x="504"/>
        <item x="714"/>
        <item x="50"/>
        <item x="184"/>
        <item x="617"/>
        <item x="678"/>
        <item x="425"/>
        <item x="216"/>
        <item x="253"/>
        <item x="168"/>
        <item x="451"/>
        <item x="80"/>
        <item x="515"/>
        <item x="264"/>
        <item x="323"/>
        <item x="623"/>
        <item x="402"/>
        <item x="296"/>
        <item x="19"/>
        <item x="416"/>
        <item x="325"/>
        <item x="233"/>
        <item x="57"/>
        <item x="633"/>
        <item x="291"/>
        <item x="717"/>
        <item x="459"/>
        <item x="689"/>
        <item x="343"/>
        <item x="334"/>
        <item x="679"/>
        <item x="410"/>
        <item x="586"/>
        <item x="47"/>
        <item x="293"/>
        <item x="594"/>
        <item x="381"/>
        <item x="154"/>
        <item x="653"/>
        <item x="131"/>
        <item x="95"/>
        <item x="627"/>
        <item x="198"/>
        <item x="18"/>
        <item x="562"/>
        <item x="431"/>
        <item x="117"/>
        <item x="698"/>
        <item x="20"/>
        <item x="109"/>
        <item x="138"/>
        <item x="440"/>
        <item x="127"/>
        <item x="567"/>
        <item x="589"/>
        <item x="645"/>
        <item x="485"/>
        <item x="55"/>
        <item x="474"/>
        <item x="433"/>
        <item x="401"/>
        <item x="9"/>
        <item x="421"/>
        <item x="228"/>
        <item x="521"/>
        <item x="542"/>
        <item x="141"/>
        <item x="694"/>
        <item x="98"/>
        <item x="705"/>
        <item x="523"/>
        <item x="584"/>
        <item x="186"/>
        <item x="570"/>
        <item x="724"/>
        <item x="693"/>
        <item x="479"/>
        <item x="159"/>
        <item x="392"/>
        <item x="348"/>
        <item x="482"/>
        <item x="626"/>
        <item x="56"/>
        <item x="105"/>
        <item x="551"/>
        <item x="167"/>
        <item x="318"/>
        <item x="312"/>
        <item x="89"/>
        <item x="162"/>
        <item x="54"/>
        <item x="704"/>
        <item x="341"/>
        <item x="715"/>
        <item x="185"/>
        <item x="259"/>
        <item x="518"/>
        <item x="46"/>
        <item x="165"/>
        <item x="372"/>
        <item x="553"/>
        <item x="181"/>
        <item x="501"/>
        <item x="660"/>
        <item x="288"/>
        <item x="108"/>
        <item x="403"/>
        <item x="275"/>
        <item x="242"/>
        <item x="267"/>
        <item x="351"/>
        <item x="371"/>
        <item x="284"/>
        <item x="356"/>
        <item x="236"/>
        <item x="5"/>
        <item x="508"/>
        <item x="67"/>
        <item x="666"/>
        <item x="638"/>
        <item x="680"/>
        <item x="631"/>
        <item x="568"/>
        <item x="225"/>
        <item x="670"/>
        <item x="510"/>
        <item x="644"/>
        <item x="330"/>
        <item x="99"/>
        <item x="395"/>
        <item x="246"/>
        <item x="335"/>
        <item x="317"/>
        <item x="557"/>
        <item x="548"/>
        <item x="337"/>
        <item x="51"/>
        <item x="256"/>
        <item x="83"/>
        <item x="630"/>
        <item x="42"/>
        <item x="560"/>
        <item x="643"/>
        <item x="85"/>
        <item x="134"/>
        <item x="171"/>
        <item x="650"/>
        <item x="82"/>
        <item x="352"/>
        <item x="0"/>
        <item x="38"/>
        <item x="155"/>
        <item x="505"/>
        <item x="461"/>
        <item x="121"/>
        <item x="78"/>
        <item x="245"/>
        <item x="48"/>
        <item x="713"/>
        <item x="460"/>
        <item x="411"/>
        <item x="268"/>
        <item x="604"/>
        <item x="408"/>
        <item x="516"/>
        <item x="243"/>
        <item x="719"/>
        <item x="270"/>
        <item x="120"/>
        <item x="328"/>
        <item x="350"/>
        <item x="473"/>
        <item x="682"/>
        <item x="273"/>
        <item x="538"/>
        <item x="406"/>
        <item x="280"/>
        <item x="555"/>
        <item x="302"/>
        <item x="44"/>
        <item x="103"/>
        <item x="599"/>
        <item x="212"/>
        <item x="260"/>
        <item x="436"/>
        <item x="448"/>
        <item x="676"/>
        <item x="657"/>
        <item x="77"/>
        <item x="497"/>
        <item x="664"/>
        <item x="527"/>
        <item x="720"/>
        <item x="646"/>
        <item x="157"/>
        <item x="142"/>
        <item x="412"/>
        <item x="53"/>
        <item x="554"/>
        <item x="172"/>
        <item x="641"/>
        <item x="397"/>
        <item x="697"/>
        <item x="374"/>
        <item x="36"/>
        <item x="300"/>
        <item x="217"/>
        <item x="700"/>
        <item x="179"/>
        <item x="152"/>
        <item x="49"/>
        <item x="324"/>
        <item x="137"/>
        <item x="690"/>
        <item x="230"/>
        <item x="517"/>
        <item x="375"/>
        <item x="566"/>
        <item x="458"/>
        <item x="304"/>
        <item x="32"/>
        <item x="205"/>
        <item x="369"/>
        <item x="266"/>
        <item x="522"/>
        <item x="3"/>
        <item x="301"/>
        <item x="333"/>
        <item x="488"/>
        <item x="314"/>
        <item x="92"/>
        <item x="468"/>
        <item x="28"/>
        <item x="177"/>
        <item x="490"/>
        <item x="652"/>
        <item x="158"/>
        <item x="146"/>
        <item x="651"/>
        <item x="294"/>
        <item x="726"/>
        <item x="263"/>
        <item x="292"/>
        <item x="62"/>
        <item x="196"/>
        <item x="21"/>
        <item x="587"/>
        <item x="467"/>
        <item x="250"/>
        <item x="110"/>
        <item x="388"/>
        <item x="331"/>
        <item x="442"/>
        <item x="496"/>
        <item x="688"/>
        <item x="386"/>
        <item x="667"/>
        <item x="674"/>
        <item x="669"/>
        <item x="307"/>
        <item x="114"/>
        <item x="329"/>
        <item x="597"/>
        <item x="639"/>
        <item x="449"/>
        <item x="175"/>
        <item x="665"/>
        <item x="311"/>
        <item x="603"/>
        <item x="434"/>
        <item x="97"/>
        <item x="207"/>
        <item x="502"/>
        <item x="544"/>
        <item x="649"/>
        <item x="238"/>
        <item x="40"/>
        <item x="81"/>
        <item x="706"/>
        <item x="193"/>
        <item x="100"/>
        <item x="576"/>
        <item x="357"/>
        <item x="588"/>
        <item x="86"/>
        <item x="342"/>
        <item x="370"/>
        <item x="94"/>
        <item x="437"/>
        <item x="306"/>
        <item x="257"/>
        <item x="363"/>
        <item x="68"/>
        <item x="29"/>
        <item x="226"/>
        <item x="520"/>
        <item x="187"/>
        <item x="681"/>
        <item x="422"/>
        <item x="494"/>
        <item x="136"/>
        <item x="509"/>
        <item x="677"/>
        <item x="710"/>
        <item x="432"/>
        <item x="573"/>
        <item x="349"/>
        <item x="469"/>
        <item x="338"/>
        <item x="93"/>
        <item x="419"/>
        <item x="240"/>
        <item x="255"/>
        <item x="60"/>
        <item x="118"/>
        <item x="439"/>
        <item x="4"/>
        <item x="147"/>
        <item x="269"/>
        <item x="12"/>
        <item x="583"/>
        <item x="326"/>
        <item x="435"/>
        <item x="686"/>
        <item x="258"/>
        <item x="427"/>
        <item x="709"/>
        <item x="309"/>
        <item x="471"/>
        <item x="376"/>
        <item x="209"/>
        <item x="144"/>
        <item x="418"/>
        <item x="218"/>
        <item x="149"/>
        <item x="145"/>
        <item x="148"/>
        <item x="219"/>
        <item x="16"/>
        <item x="457"/>
        <item x="711"/>
        <item x="404"/>
        <item x="178"/>
        <item x="52"/>
        <item x="672"/>
        <item x="519"/>
        <item x="577"/>
        <item x="702"/>
        <item x="618"/>
        <item x="73"/>
        <item x="70"/>
        <item x="90"/>
        <item x="201"/>
        <item x="606"/>
        <item x="72"/>
        <item x="355"/>
        <item x="84"/>
        <item x="601"/>
        <item x="556"/>
        <item t="default"/>
      </items>
    </pivotField>
    <pivotField showAll="0"/>
    <pivotField showAll="0"/>
    <pivotField showAll="0">
      <items count="6">
        <item x="1"/>
        <item x="0"/>
        <item x="4"/>
        <item x="2"/>
        <item x="3"/>
        <item t="default"/>
      </items>
    </pivotField>
    <pivotField axis="axisRow" showAll="0" measureFilter="1">
      <items count="51">
        <item x="37"/>
        <item x="29"/>
        <item x="15"/>
        <item x="11"/>
        <item x="24"/>
        <item x="42"/>
        <item x="46"/>
        <item x="47"/>
        <item x="27"/>
        <item x="10"/>
        <item x="16"/>
        <item x="0"/>
        <item x="48"/>
        <item x="36"/>
        <item x="39"/>
        <item x="35"/>
        <item x="40"/>
        <item x="38"/>
        <item x="43"/>
        <item x="49"/>
        <item x="33"/>
        <item x="31"/>
        <item x="13"/>
        <item x="9"/>
        <item x="45"/>
        <item x="17"/>
        <item x="23"/>
        <item x="34"/>
        <item x="32"/>
        <item x="8"/>
        <item x="4"/>
        <item x="18"/>
        <item x="44"/>
        <item x="41"/>
        <item x="7"/>
        <item x="20"/>
        <item x="26"/>
        <item x="21"/>
        <item x="12"/>
        <item x="19"/>
        <item x="1"/>
        <item x="6"/>
        <item x="14"/>
        <item x="25"/>
        <item x="28"/>
        <item x="2"/>
        <item x="22"/>
        <item x="3"/>
        <item x="30"/>
        <item x="5"/>
        <item t="default"/>
      </items>
    </pivotField>
    <pivotField showAll="0">
      <items count="51">
        <item x="37"/>
        <item x="10"/>
        <item x="16"/>
        <item x="0"/>
        <item x="48"/>
        <item x="36"/>
        <item x="39"/>
        <item x="35"/>
        <item x="40"/>
        <item x="38"/>
        <item x="43"/>
        <item x="29"/>
        <item x="49"/>
        <item x="33"/>
        <item x="31"/>
        <item x="13"/>
        <item x="9"/>
        <item x="45"/>
        <item x="17"/>
        <item x="23"/>
        <item x="34"/>
        <item x="32"/>
        <item x="15"/>
        <item x="8"/>
        <item x="4"/>
        <item x="18"/>
        <item x="44"/>
        <item x="41"/>
        <item x="7"/>
        <item x="20"/>
        <item x="26"/>
        <item x="21"/>
        <item x="12"/>
        <item x="11"/>
        <item x="19"/>
        <item x="1"/>
        <item x="6"/>
        <item x="14"/>
        <item x="25"/>
        <item x="28"/>
        <item x="2"/>
        <item x="22"/>
        <item x="3"/>
        <item x="30"/>
        <item x="24"/>
        <item x="5"/>
        <item x="42"/>
        <item x="46"/>
        <item x="47"/>
        <item x="27"/>
        <item t="default"/>
      </items>
    </pivotField>
    <pivotField showAll="0">
      <items count="6">
        <item x="1"/>
        <item x="2"/>
        <item x="4"/>
        <item x="3"/>
        <item x="0"/>
        <item t="default"/>
      </items>
    </pivotField>
    <pivotField showAll="0"/>
    <pivotField numFmtId="44" showAll="0"/>
    <pivotField dataField="1" numFmtId="44" showAll="0"/>
    <pivotField showAll="0" defaultSubtotal="0"/>
    <pivotField showAll="0" defaultSubtotal="0"/>
    <pivotField showAll="0" defaultSubtotal="0">
      <items count="5">
        <item x="0"/>
        <item x="1"/>
        <item x="2"/>
        <item x="3"/>
        <item x="4"/>
      </items>
    </pivotField>
  </pivotFields>
  <rowFields count="1">
    <field x="5"/>
  </rowFields>
  <rowItems count="11">
    <i>
      <x v="15"/>
    </i>
    <i>
      <x v="16"/>
    </i>
    <i>
      <x v="19"/>
    </i>
    <i>
      <x v="20"/>
    </i>
    <i>
      <x v="27"/>
    </i>
    <i>
      <x v="29"/>
    </i>
    <i>
      <x v="35"/>
    </i>
    <i>
      <x v="37"/>
    </i>
    <i>
      <x v="39"/>
    </i>
    <i>
      <x v="45"/>
    </i>
    <i t="grand">
      <x/>
    </i>
  </rowItems>
  <colItems count="1">
    <i/>
  </colItems>
  <dataFields count="1">
    <dataField name="Sum of Revenue" fld="10"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CA3077-BD8C-1245-811C-04BB7C145C96}" name="PivotTable1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1:E62" firstHeaderRow="1" firstDataRow="1" firstDataCol="1"/>
  <pivotFields count="14">
    <pivotField showAll="0"/>
    <pivotField numFmtId="14" showAll="0">
      <items count="731">
        <item x="347"/>
        <item x="63"/>
        <item x="470"/>
        <item x="636"/>
        <item x="346"/>
        <item x="183"/>
        <item x="244"/>
        <item x="278"/>
        <item x="39"/>
        <item x="289"/>
        <item x="14"/>
        <item x="358"/>
        <item x="88"/>
        <item x="484"/>
        <item x="629"/>
        <item x="41"/>
        <item x="272"/>
        <item x="708"/>
        <item x="345"/>
        <item x="621"/>
        <item x="208"/>
        <item x="140"/>
        <item x="612"/>
        <item x="31"/>
        <item x="139"/>
        <item x="487"/>
        <item x="528"/>
        <item x="75"/>
        <item x="610"/>
        <item x="281"/>
        <item x="648"/>
        <item x="210"/>
        <item x="572"/>
        <item x="465"/>
        <item x="602"/>
        <item x="287"/>
        <item x="303"/>
        <item x="129"/>
        <item x="729"/>
        <item x="1"/>
        <item x="194"/>
        <item x="450"/>
        <item x="673"/>
        <item x="170"/>
        <item x="513"/>
        <item x="161"/>
        <item x="251"/>
        <item x="24"/>
        <item x="237"/>
        <item x="224"/>
        <item x="534"/>
        <item x="600"/>
        <item x="506"/>
        <item x="478"/>
        <item x="532"/>
        <item x="286"/>
        <item x="274"/>
        <item x="703"/>
        <item x="415"/>
        <item x="298"/>
        <item x="33"/>
        <item x="249"/>
        <item x="124"/>
        <item x="135"/>
        <item x="173"/>
        <item x="340"/>
        <item x="271"/>
        <item x="591"/>
        <item x="675"/>
        <item x="254"/>
        <item x="366"/>
        <item x="214"/>
        <item x="150"/>
        <item x="480"/>
        <item x="174"/>
        <item x="61"/>
        <item x="592"/>
        <item x="393"/>
        <item x="564"/>
        <item x="462"/>
        <item x="712"/>
        <item x="25"/>
        <item x="122"/>
        <item x="107"/>
        <item x="582"/>
        <item x="215"/>
        <item x="530"/>
        <item x="455"/>
        <item x="277"/>
        <item x="615"/>
        <item x="112"/>
        <item x="526"/>
        <item x="552"/>
        <item x="339"/>
        <item x="613"/>
        <item x="297"/>
        <item x="166"/>
        <item x="614"/>
        <item x="596"/>
        <item x="279"/>
        <item x="491"/>
        <item x="634"/>
        <item x="119"/>
        <item x="15"/>
        <item x="620"/>
        <item x="691"/>
        <item x="344"/>
        <item x="322"/>
        <item x="495"/>
        <item x="203"/>
        <item x="65"/>
        <item x="575"/>
        <item x="481"/>
        <item x="126"/>
        <item x="607"/>
        <item x="43"/>
        <item x="581"/>
        <item x="58"/>
        <item x="123"/>
        <item x="619"/>
        <item x="229"/>
        <item x="327"/>
        <item x="463"/>
        <item x="533"/>
        <item x="489"/>
        <item x="319"/>
        <item x="545"/>
        <item x="569"/>
        <item x="190"/>
        <item x="151"/>
        <item x="69"/>
        <item x="683"/>
        <item x="285"/>
        <item x="699"/>
        <item x="486"/>
        <item x="407"/>
        <item x="7"/>
        <item x="361"/>
        <item x="169"/>
        <item x="413"/>
        <item x="571"/>
        <item x="707"/>
        <item x="234"/>
        <item x="414"/>
        <item x="658"/>
        <item x="320"/>
        <item x="354"/>
        <item x="662"/>
        <item x="696"/>
        <item x="472"/>
        <item x="197"/>
        <item x="654"/>
        <item x="231"/>
        <item x="364"/>
        <item x="290"/>
        <item x="45"/>
        <item x="188"/>
        <item x="96"/>
        <item x="423"/>
        <item x="283"/>
        <item x="368"/>
        <item x="87"/>
        <item x="625"/>
        <item x="221"/>
        <item x="6"/>
        <item x="295"/>
        <item x="628"/>
        <item x="725"/>
        <item x="128"/>
        <item x="143"/>
        <item x="396"/>
        <item x="728"/>
        <item x="113"/>
        <item x="417"/>
        <item x="456"/>
        <item x="605"/>
        <item x="223"/>
        <item x="590"/>
        <item x="163"/>
        <item x="66"/>
        <item x="637"/>
        <item x="164"/>
        <item x="441"/>
        <item x="265"/>
        <item x="394"/>
        <item x="445"/>
        <item x="574"/>
        <item x="464"/>
        <item x="537"/>
        <item x="59"/>
        <item x="377"/>
        <item x="722"/>
        <item x="106"/>
        <item x="182"/>
        <item x="539"/>
        <item x="661"/>
        <item x="11"/>
        <item x="387"/>
        <item x="153"/>
        <item x="536"/>
        <item x="247"/>
        <item x="315"/>
        <item x="507"/>
        <item x="424"/>
        <item x="453"/>
        <item x="608"/>
        <item x="227"/>
        <item x="26"/>
        <item x="115"/>
        <item x="531"/>
        <item x="385"/>
        <item x="511"/>
        <item x="609"/>
        <item x="383"/>
        <item x="558"/>
        <item x="663"/>
        <item x="540"/>
        <item x="546"/>
        <item x="483"/>
        <item x="543"/>
        <item x="593"/>
        <item x="499"/>
        <item x="71"/>
        <item x="192"/>
        <item x="616"/>
        <item x="241"/>
        <item x="360"/>
        <item x="452"/>
        <item x="727"/>
        <item x="91"/>
        <item x="13"/>
        <item x="10"/>
        <item x="585"/>
        <item x="512"/>
        <item x="125"/>
        <item x="17"/>
        <item x="426"/>
        <item x="384"/>
        <item x="438"/>
        <item x="475"/>
        <item x="647"/>
        <item x="276"/>
        <item x="514"/>
        <item x="23"/>
        <item x="399"/>
        <item x="379"/>
        <item x="611"/>
        <item x="420"/>
        <item x="74"/>
        <item x="133"/>
        <item x="248"/>
        <item x="252"/>
        <item x="447"/>
        <item x="718"/>
        <item x="454"/>
        <item x="579"/>
        <item x="313"/>
        <item x="446"/>
        <item x="30"/>
        <item x="405"/>
        <item x="476"/>
        <item x="692"/>
        <item x="429"/>
        <item x="130"/>
        <item x="37"/>
        <item x="443"/>
        <item x="685"/>
        <item x="22"/>
        <item x="444"/>
        <item x="382"/>
        <item x="239"/>
        <item x="595"/>
        <item x="655"/>
        <item x="332"/>
        <item x="624"/>
        <item x="578"/>
        <item x="659"/>
        <item x="111"/>
        <item x="684"/>
        <item x="373"/>
        <item x="180"/>
        <item x="367"/>
        <item x="565"/>
        <item x="598"/>
        <item x="580"/>
        <item x="563"/>
        <item x="116"/>
        <item x="222"/>
        <item x="176"/>
        <item x="622"/>
        <item x="541"/>
        <item x="204"/>
        <item x="671"/>
        <item x="498"/>
        <item x="492"/>
        <item x="79"/>
        <item x="701"/>
        <item x="8"/>
        <item x="716"/>
        <item x="316"/>
        <item x="299"/>
        <item x="503"/>
        <item x="104"/>
        <item x="156"/>
        <item x="632"/>
        <item x="262"/>
        <item x="27"/>
        <item x="398"/>
        <item x="561"/>
        <item x="35"/>
        <item x="640"/>
        <item x="380"/>
        <item x="428"/>
        <item x="235"/>
        <item x="191"/>
        <item x="409"/>
        <item x="400"/>
        <item x="195"/>
        <item x="321"/>
        <item x="466"/>
        <item x="102"/>
        <item x="34"/>
        <item x="2"/>
        <item x="308"/>
        <item x="477"/>
        <item x="547"/>
        <item x="550"/>
        <item x="336"/>
        <item x="353"/>
        <item x="723"/>
        <item x="549"/>
        <item x="378"/>
        <item x="493"/>
        <item x="635"/>
        <item x="721"/>
        <item x="310"/>
        <item x="211"/>
        <item x="202"/>
        <item x="642"/>
        <item x="430"/>
        <item x="189"/>
        <item x="232"/>
        <item x="365"/>
        <item x="359"/>
        <item x="559"/>
        <item x="132"/>
        <item x="213"/>
        <item x="668"/>
        <item x="199"/>
        <item x="76"/>
        <item x="391"/>
        <item x="220"/>
        <item x="695"/>
        <item x="101"/>
        <item x="524"/>
        <item x="282"/>
        <item x="656"/>
        <item x="305"/>
        <item x="535"/>
        <item x="525"/>
        <item x="160"/>
        <item x="390"/>
        <item x="529"/>
        <item x="362"/>
        <item x="500"/>
        <item x="200"/>
        <item x="64"/>
        <item x="687"/>
        <item x="261"/>
        <item x="389"/>
        <item x="206"/>
        <item x="504"/>
        <item x="714"/>
        <item x="50"/>
        <item x="184"/>
        <item x="617"/>
        <item x="678"/>
        <item x="425"/>
        <item x="216"/>
        <item x="253"/>
        <item x="168"/>
        <item x="451"/>
        <item x="80"/>
        <item x="515"/>
        <item x="264"/>
        <item x="323"/>
        <item x="623"/>
        <item x="402"/>
        <item x="296"/>
        <item x="19"/>
        <item x="416"/>
        <item x="325"/>
        <item x="233"/>
        <item x="57"/>
        <item x="633"/>
        <item x="291"/>
        <item x="717"/>
        <item x="459"/>
        <item x="689"/>
        <item x="343"/>
        <item x="334"/>
        <item x="679"/>
        <item x="410"/>
        <item x="586"/>
        <item x="47"/>
        <item x="293"/>
        <item x="594"/>
        <item x="381"/>
        <item x="154"/>
        <item x="653"/>
        <item x="131"/>
        <item x="95"/>
        <item x="627"/>
        <item x="198"/>
        <item x="18"/>
        <item x="562"/>
        <item x="431"/>
        <item x="117"/>
        <item x="698"/>
        <item x="20"/>
        <item x="109"/>
        <item x="138"/>
        <item x="440"/>
        <item x="127"/>
        <item x="567"/>
        <item x="589"/>
        <item x="645"/>
        <item x="485"/>
        <item x="55"/>
        <item x="474"/>
        <item x="433"/>
        <item x="401"/>
        <item x="9"/>
        <item x="421"/>
        <item x="228"/>
        <item x="521"/>
        <item x="542"/>
        <item x="141"/>
        <item x="694"/>
        <item x="98"/>
        <item x="705"/>
        <item x="523"/>
        <item x="584"/>
        <item x="186"/>
        <item x="570"/>
        <item x="724"/>
        <item x="693"/>
        <item x="479"/>
        <item x="159"/>
        <item x="392"/>
        <item x="348"/>
        <item x="482"/>
        <item x="626"/>
        <item x="56"/>
        <item x="105"/>
        <item x="551"/>
        <item x="167"/>
        <item x="318"/>
        <item x="312"/>
        <item x="89"/>
        <item x="162"/>
        <item x="54"/>
        <item x="704"/>
        <item x="341"/>
        <item x="715"/>
        <item x="185"/>
        <item x="259"/>
        <item x="518"/>
        <item x="46"/>
        <item x="165"/>
        <item x="372"/>
        <item x="553"/>
        <item x="181"/>
        <item x="501"/>
        <item x="660"/>
        <item x="288"/>
        <item x="108"/>
        <item x="403"/>
        <item x="275"/>
        <item x="242"/>
        <item x="267"/>
        <item x="351"/>
        <item x="371"/>
        <item x="284"/>
        <item x="356"/>
        <item x="236"/>
        <item x="5"/>
        <item x="508"/>
        <item x="67"/>
        <item x="666"/>
        <item x="638"/>
        <item x="680"/>
        <item x="631"/>
        <item x="568"/>
        <item x="225"/>
        <item x="670"/>
        <item x="510"/>
        <item x="644"/>
        <item x="330"/>
        <item x="99"/>
        <item x="395"/>
        <item x="246"/>
        <item x="335"/>
        <item x="317"/>
        <item x="557"/>
        <item x="548"/>
        <item x="337"/>
        <item x="51"/>
        <item x="256"/>
        <item x="83"/>
        <item x="630"/>
        <item x="42"/>
        <item x="560"/>
        <item x="643"/>
        <item x="85"/>
        <item x="134"/>
        <item x="171"/>
        <item x="650"/>
        <item x="82"/>
        <item x="352"/>
        <item x="0"/>
        <item x="38"/>
        <item x="155"/>
        <item x="505"/>
        <item x="461"/>
        <item x="121"/>
        <item x="78"/>
        <item x="245"/>
        <item x="48"/>
        <item x="713"/>
        <item x="460"/>
        <item x="411"/>
        <item x="268"/>
        <item x="604"/>
        <item x="408"/>
        <item x="516"/>
        <item x="243"/>
        <item x="719"/>
        <item x="270"/>
        <item x="120"/>
        <item x="328"/>
        <item x="350"/>
        <item x="473"/>
        <item x="682"/>
        <item x="273"/>
        <item x="538"/>
        <item x="406"/>
        <item x="280"/>
        <item x="555"/>
        <item x="302"/>
        <item x="44"/>
        <item x="103"/>
        <item x="599"/>
        <item x="212"/>
        <item x="260"/>
        <item x="436"/>
        <item x="448"/>
        <item x="676"/>
        <item x="657"/>
        <item x="77"/>
        <item x="497"/>
        <item x="664"/>
        <item x="527"/>
        <item x="720"/>
        <item x="646"/>
        <item x="157"/>
        <item x="142"/>
        <item x="412"/>
        <item x="53"/>
        <item x="554"/>
        <item x="172"/>
        <item x="641"/>
        <item x="397"/>
        <item x="697"/>
        <item x="374"/>
        <item x="36"/>
        <item x="300"/>
        <item x="217"/>
        <item x="700"/>
        <item x="179"/>
        <item x="152"/>
        <item x="49"/>
        <item x="324"/>
        <item x="137"/>
        <item x="690"/>
        <item x="230"/>
        <item x="517"/>
        <item x="375"/>
        <item x="566"/>
        <item x="458"/>
        <item x="304"/>
        <item x="32"/>
        <item x="205"/>
        <item x="369"/>
        <item x="266"/>
        <item x="522"/>
        <item x="3"/>
        <item x="301"/>
        <item x="333"/>
        <item x="488"/>
        <item x="314"/>
        <item x="92"/>
        <item x="468"/>
        <item x="28"/>
        <item x="177"/>
        <item x="490"/>
        <item x="652"/>
        <item x="158"/>
        <item x="146"/>
        <item x="651"/>
        <item x="294"/>
        <item x="726"/>
        <item x="263"/>
        <item x="292"/>
        <item x="62"/>
        <item x="196"/>
        <item x="21"/>
        <item x="587"/>
        <item x="467"/>
        <item x="250"/>
        <item x="110"/>
        <item x="388"/>
        <item x="331"/>
        <item x="442"/>
        <item x="496"/>
        <item x="688"/>
        <item x="386"/>
        <item x="667"/>
        <item x="674"/>
        <item x="669"/>
        <item x="307"/>
        <item x="114"/>
        <item x="329"/>
        <item x="597"/>
        <item x="639"/>
        <item x="449"/>
        <item x="175"/>
        <item x="665"/>
        <item x="311"/>
        <item x="603"/>
        <item x="434"/>
        <item x="97"/>
        <item x="207"/>
        <item x="502"/>
        <item x="544"/>
        <item x="649"/>
        <item x="238"/>
        <item x="40"/>
        <item x="81"/>
        <item x="706"/>
        <item x="193"/>
        <item x="100"/>
        <item x="576"/>
        <item x="357"/>
        <item x="588"/>
        <item x="86"/>
        <item x="342"/>
        <item x="370"/>
        <item x="94"/>
        <item x="437"/>
        <item x="306"/>
        <item x="257"/>
        <item x="363"/>
        <item x="68"/>
        <item x="29"/>
        <item x="226"/>
        <item x="520"/>
        <item x="187"/>
        <item x="681"/>
        <item x="422"/>
        <item x="494"/>
        <item x="136"/>
        <item x="509"/>
        <item x="677"/>
        <item x="710"/>
        <item x="432"/>
        <item x="573"/>
        <item x="349"/>
        <item x="469"/>
        <item x="338"/>
        <item x="93"/>
        <item x="419"/>
        <item x="240"/>
        <item x="255"/>
        <item x="60"/>
        <item x="118"/>
        <item x="439"/>
        <item x="4"/>
        <item x="147"/>
        <item x="269"/>
        <item x="12"/>
        <item x="583"/>
        <item x="326"/>
        <item x="435"/>
        <item x="686"/>
        <item x="258"/>
        <item x="427"/>
        <item x="709"/>
        <item x="309"/>
        <item x="471"/>
        <item x="376"/>
        <item x="209"/>
        <item x="144"/>
        <item x="418"/>
        <item x="218"/>
        <item x="149"/>
        <item x="145"/>
        <item x="148"/>
        <item x="219"/>
        <item x="16"/>
        <item x="457"/>
        <item x="711"/>
        <item x="404"/>
        <item x="178"/>
        <item x="52"/>
        <item x="672"/>
        <item x="519"/>
        <item x="577"/>
        <item x="702"/>
        <item x="618"/>
        <item x="73"/>
        <item x="70"/>
        <item x="90"/>
        <item x="201"/>
        <item x="606"/>
        <item x="72"/>
        <item x="355"/>
        <item x="84"/>
        <item x="601"/>
        <item x="556"/>
        <item t="default"/>
      </items>
    </pivotField>
    <pivotField showAll="0"/>
    <pivotField showAll="0"/>
    <pivotField showAll="0">
      <items count="6">
        <item x="1"/>
        <item x="0"/>
        <item x="4"/>
        <item x="2"/>
        <item x="3"/>
        <item t="default"/>
      </items>
    </pivotField>
    <pivotField showAll="0">
      <items count="51">
        <item x="37"/>
        <item x="29"/>
        <item x="15"/>
        <item x="11"/>
        <item x="24"/>
        <item x="42"/>
        <item x="46"/>
        <item x="47"/>
        <item x="27"/>
        <item x="10"/>
        <item x="16"/>
        <item x="0"/>
        <item x="48"/>
        <item x="36"/>
        <item x="39"/>
        <item x="35"/>
        <item x="40"/>
        <item x="38"/>
        <item x="43"/>
        <item x="49"/>
        <item x="33"/>
        <item x="31"/>
        <item x="13"/>
        <item x="9"/>
        <item x="45"/>
        <item x="17"/>
        <item x="23"/>
        <item x="34"/>
        <item x="32"/>
        <item x="8"/>
        <item x="4"/>
        <item x="18"/>
        <item x="44"/>
        <item x="41"/>
        <item x="7"/>
        <item x="20"/>
        <item x="26"/>
        <item x="21"/>
        <item x="12"/>
        <item x="19"/>
        <item x="1"/>
        <item x="6"/>
        <item x="14"/>
        <item x="25"/>
        <item x="28"/>
        <item x="2"/>
        <item x="22"/>
        <item x="3"/>
        <item x="30"/>
        <item x="5"/>
        <item t="default"/>
      </items>
    </pivotField>
    <pivotField axis="axisRow" showAll="0">
      <items count="51">
        <item x="37"/>
        <item x="10"/>
        <item x="16"/>
        <item x="0"/>
        <item x="48"/>
        <item x="36"/>
        <item x="39"/>
        <item x="35"/>
        <item x="40"/>
        <item x="38"/>
        <item x="43"/>
        <item x="29"/>
        <item x="49"/>
        <item x="33"/>
        <item x="31"/>
        <item x="13"/>
        <item x="9"/>
        <item x="45"/>
        <item x="17"/>
        <item x="23"/>
        <item x="34"/>
        <item x="32"/>
        <item x="15"/>
        <item x="8"/>
        <item x="4"/>
        <item x="18"/>
        <item x="44"/>
        <item x="41"/>
        <item x="7"/>
        <item x="20"/>
        <item x="26"/>
        <item x="21"/>
        <item x="12"/>
        <item x="11"/>
        <item x="19"/>
        <item x="1"/>
        <item x="6"/>
        <item x="14"/>
        <item x="25"/>
        <item x="28"/>
        <item x="2"/>
        <item x="22"/>
        <item x="3"/>
        <item x="30"/>
        <item x="24"/>
        <item x="5"/>
        <item x="42"/>
        <item x="46"/>
        <item x="47"/>
        <item x="27"/>
        <item t="default"/>
      </items>
    </pivotField>
    <pivotField showAll="0">
      <items count="6">
        <item x="1"/>
        <item x="2"/>
        <item x="4"/>
        <item x="3"/>
        <item x="0"/>
        <item t="default"/>
      </items>
    </pivotField>
    <pivotField dataField="1" showAll="0">
      <items count="4878">
        <item x="3859"/>
        <item x="392"/>
        <item x="3334"/>
        <item x="2851"/>
        <item x="1039"/>
        <item x="1058"/>
        <item x="3163"/>
        <item x="3077"/>
        <item x="3053"/>
        <item x="4761"/>
        <item x="3220"/>
        <item x="4107"/>
        <item x="4215"/>
        <item x="1728"/>
        <item x="795"/>
        <item x="1910"/>
        <item x="1920"/>
        <item x="752"/>
        <item x="3360"/>
        <item x="2262"/>
        <item x="2976"/>
        <item x="2826"/>
        <item x="4216"/>
        <item x="706"/>
        <item x="2499"/>
        <item x="1795"/>
        <item x="1010"/>
        <item x="2159"/>
        <item x="311"/>
        <item x="3827"/>
        <item x="1385"/>
        <item x="1274"/>
        <item x="804"/>
        <item x="4367"/>
        <item x="1572"/>
        <item x="1286"/>
        <item x="2508"/>
        <item x="3472"/>
        <item x="3263"/>
        <item x="729"/>
        <item x="3020"/>
        <item x="1730"/>
        <item x="2489"/>
        <item x="1519"/>
        <item x="1895"/>
        <item x="3260"/>
        <item x="2326"/>
        <item x="3245"/>
        <item x="198"/>
        <item x="3888"/>
        <item x="4280"/>
        <item x="2612"/>
        <item x="1919"/>
        <item x="2925"/>
        <item x="1738"/>
        <item x="1815"/>
        <item x="949"/>
        <item x="3914"/>
        <item x="3526"/>
        <item x="1943"/>
        <item x="3107"/>
        <item x="2998"/>
        <item x="476"/>
        <item x="1589"/>
        <item x="2765"/>
        <item x="449"/>
        <item x="2478"/>
        <item x="2869"/>
        <item x="1585"/>
        <item x="2907"/>
        <item x="687"/>
        <item x="864"/>
        <item x="2433"/>
        <item x="319"/>
        <item x="3723"/>
        <item x="89"/>
        <item x="130"/>
        <item x="1530"/>
        <item x="3032"/>
        <item x="4874"/>
        <item x="4747"/>
        <item x="3137"/>
        <item x="505"/>
        <item x="1445"/>
        <item x="650"/>
        <item x="4689"/>
        <item x="1619"/>
        <item x="4777"/>
        <item x="4771"/>
        <item x="2625"/>
        <item x="3327"/>
        <item x="1932"/>
        <item x="472"/>
        <item x="4571"/>
        <item x="1"/>
        <item x="3091"/>
        <item x="4498"/>
        <item x="4227"/>
        <item x="515"/>
        <item x="1865"/>
        <item x="2494"/>
        <item x="86"/>
        <item x="2718"/>
        <item x="2493"/>
        <item x="3617"/>
        <item x="3842"/>
        <item x="431"/>
        <item x="890"/>
        <item x="2455"/>
        <item x="3861"/>
        <item x="3129"/>
        <item x="1007"/>
        <item x="2291"/>
        <item x="1517"/>
        <item x="3651"/>
        <item x="39"/>
        <item x="1616"/>
        <item x="3974"/>
        <item x="423"/>
        <item x="2203"/>
        <item x="1686"/>
        <item x="978"/>
        <item x="2735"/>
        <item x="4467"/>
        <item x="2095"/>
        <item x="1184"/>
        <item x="1887"/>
        <item x="3388"/>
        <item x="4683"/>
        <item x="1830"/>
        <item x="3345"/>
        <item x="2142"/>
        <item x="2960"/>
        <item x="4830"/>
        <item x="2813"/>
        <item x="1174"/>
        <item x="4439"/>
        <item x="269"/>
        <item x="4433"/>
        <item x="238"/>
        <item x="2067"/>
        <item x="3564"/>
        <item x="4275"/>
        <item x="2897"/>
        <item x="635"/>
        <item x="1437"/>
        <item x="1169"/>
        <item x="620"/>
        <item x="3843"/>
        <item x="2160"/>
        <item x="619"/>
        <item x="2364"/>
        <item x="1985"/>
        <item x="3152"/>
        <item x="733"/>
        <item x="1647"/>
        <item x="1663"/>
        <item x="1041"/>
        <item x="4418"/>
        <item x="2986"/>
        <item x="2028"/>
        <item x="4613"/>
        <item x="1595"/>
        <item x="2447"/>
        <item x="3610"/>
        <item x="532"/>
        <item x="4091"/>
        <item x="3199"/>
        <item x="996"/>
        <item x="587"/>
        <item x="3840"/>
        <item x="447"/>
        <item x="4650"/>
        <item x="4586"/>
        <item x="1817"/>
        <item x="300"/>
        <item x="2464"/>
        <item x="973"/>
        <item x="2338"/>
        <item x="4725"/>
        <item x="1475"/>
        <item x="3056"/>
        <item x="2541"/>
        <item x="4619"/>
        <item x="407"/>
        <item x="1545"/>
        <item x="2503"/>
        <item x="70"/>
        <item x="353"/>
        <item x="1415"/>
        <item x="4458"/>
        <item x="378"/>
        <item x="180"/>
        <item x="133"/>
        <item x="602"/>
        <item x="2561"/>
        <item x="3586"/>
        <item x="4640"/>
        <item x="2134"/>
        <item x="226"/>
        <item x="1256"/>
        <item x="4707"/>
        <item x="1569"/>
        <item x="947"/>
        <item x="2277"/>
        <item x="3872"/>
        <item x="4750"/>
        <item x="446"/>
        <item x="4798"/>
        <item x="1424"/>
        <item x="2544"/>
        <item x="4841"/>
        <item x="4321"/>
        <item x="157"/>
        <item x="3811"/>
        <item x="1090"/>
        <item x="2611"/>
        <item x="1220"/>
        <item x="1470"/>
        <item x="4414"/>
        <item x="228"/>
        <item x="4135"/>
        <item x="2528"/>
        <item x="4384"/>
        <item x="1189"/>
        <item x="1362"/>
        <item x="4500"/>
        <item x="2103"/>
        <item x="4034"/>
        <item x="3501"/>
        <item x="2491"/>
        <item x="3918"/>
        <item x="715"/>
        <item x="731"/>
        <item x="3379"/>
        <item x="109"/>
        <item x="209"/>
        <item x="1266"/>
        <item x="548"/>
        <item x="1401"/>
        <item x="4539"/>
        <item x="3703"/>
        <item x="2701"/>
        <item x="526"/>
        <item x="1677"/>
        <item x="1986"/>
        <item x="1781"/>
        <item x="1699"/>
        <item x="197"/>
        <item x="2743"/>
        <item x="3520"/>
        <item x="3257"/>
        <item x="4282"/>
        <item x="2543"/>
        <item x="1222"/>
        <item x="102"/>
        <item x="652"/>
        <item x="714"/>
        <item x="1251"/>
        <item x="755"/>
        <item x="1766"/>
        <item x="2399"/>
        <item x="1375"/>
        <item x="522"/>
        <item x="4646"/>
        <item x="4351"/>
        <item x="4565"/>
        <item x="3153"/>
        <item x="2615"/>
        <item x="3278"/>
        <item x="1506"/>
        <item x="2316"/>
        <item x="1279"/>
        <item x="1059"/>
        <item x="111"/>
        <item x="626"/>
        <item x="233"/>
        <item x="322"/>
        <item x="1042"/>
        <item x="4308"/>
        <item x="4297"/>
        <item x="3404"/>
        <item x="2461"/>
        <item x="557"/>
        <item x="885"/>
        <item x="3386"/>
        <item x="4800"/>
        <item x="4863"/>
        <item x="4011"/>
        <item x="1322"/>
        <item x="932"/>
        <item x="877"/>
        <item x="1651"/>
        <item x="780"/>
        <item x="1384"/>
        <item x="3783"/>
        <item x="3799"/>
        <item x="3583"/>
        <item x="1135"/>
        <item x="4675"/>
        <item x="3508"/>
        <item x="1372"/>
        <item x="1960"/>
        <item x="3670"/>
        <item x="1601"/>
        <item x="4700"/>
        <item x="1410"/>
        <item x="3738"/>
        <item x="4337"/>
        <item x="3989"/>
        <item x="3078"/>
        <item x="3469"/>
        <item x="3802"/>
        <item x="4517"/>
        <item x="1242"/>
        <item x="1928"/>
        <item x="146"/>
        <item x="2581"/>
        <item x="3829"/>
        <item x="837"/>
        <item x="4039"/>
        <item x="3387"/>
        <item x="2381"/>
        <item x="1182"/>
        <item x="74"/>
        <item x="2412"/>
        <item x="2434"/>
        <item x="3299"/>
        <item x="4159"/>
        <item x="3445"/>
        <item x="1473"/>
        <item x="3602"/>
        <item x="112"/>
        <item x="4407"/>
        <item x="4173"/>
        <item x="499"/>
        <item x="3975"/>
        <item x="2914"/>
        <item x="2191"/>
        <item x="3101"/>
        <item x="2090"/>
        <item x="1038"/>
        <item x="3400"/>
        <item x="1853"/>
        <item x="3346"/>
        <item x="4449"/>
        <item x="1930"/>
        <item x="673"/>
        <item x="1166"/>
        <item x="1669"/>
        <item x="4603"/>
        <item x="1826"/>
        <item x="4352"/>
        <item x="4222"/>
        <item x="2271"/>
        <item x="3671"/>
        <item x="598"/>
        <item x="618"/>
        <item x="4172"/>
        <item x="3241"/>
        <item x="4516"/>
        <item x="1915"/>
        <item x="4239"/>
        <item x="3029"/>
        <item x="779"/>
        <item x="2204"/>
        <item x="2804"/>
        <item x="1891"/>
        <item x="1798"/>
        <item x="2393"/>
        <item x="443"/>
        <item x="2787"/>
        <item x="460"/>
        <item x="3627"/>
        <item x="4037"/>
        <item x="4095"/>
        <item x="1988"/>
        <item x="2803"/>
        <item x="2548"/>
        <item x="946"/>
        <item x="594"/>
        <item x="1011"/>
        <item x="4811"/>
        <item x="2227"/>
        <item x="4684"/>
        <item x="183"/>
        <item x="1749"/>
        <item x="3266"/>
        <item x="3173"/>
        <item x="3960"/>
        <item x="3036"/>
        <item x="701"/>
        <item x="2133"/>
        <item x="550"/>
        <item x="3930"/>
        <item x="4612"/>
        <item x="1731"/>
        <item x="3751"/>
        <item x="4093"/>
        <item x="1468"/>
        <item x="36"/>
        <item x="2151"/>
        <item x="3463"/>
        <item x="416"/>
        <item x="61"/>
        <item x="1958"/>
        <item x="2496"/>
        <item x="4118"/>
        <item x="1838"/>
        <item x="438"/>
        <item x="3088"/>
        <item x="2071"/>
        <item x="3343"/>
        <item x="3366"/>
        <item x="1366"/>
        <item x="2219"/>
        <item x="3238"/>
        <item x="3025"/>
        <item x="3239"/>
        <item x="2794"/>
        <item x="2965"/>
        <item x="217"/>
        <item x="605"/>
        <item x="4651"/>
        <item x="1600"/>
        <item x="2537"/>
        <item x="4848"/>
        <item x="677"/>
        <item x="4714"/>
        <item x="3690"/>
        <item x="3875"/>
        <item x="2672"/>
        <item x="3934"/>
        <item x="2853"/>
        <item x="1052"/>
        <item x="2"/>
        <item x="2390"/>
        <item x="2483"/>
        <item x="936"/>
        <item x="251"/>
        <item x="3012"/>
        <item x="2446"/>
        <item x="1259"/>
        <item x="3342"/>
        <item x="4087"/>
        <item x="4080"/>
        <item x="2552"/>
        <item x="1674"/>
        <item x="2161"/>
        <item x="2776"/>
        <item x="1782"/>
        <item x="1012"/>
        <item x="3433"/>
        <item x="3521"/>
        <item x="1137"/>
        <item x="787"/>
        <item x="4673"/>
        <item x="3464"/>
        <item x="954"/>
        <item x="2035"/>
        <item x="4456"/>
        <item x="521"/>
        <item x="32"/>
        <item x="3033"/>
        <item x="2363"/>
        <item x="3126"/>
        <item x="4444"/>
        <item x="454"/>
        <item x="1998"/>
        <item x="2108"/>
        <item x="1753"/>
        <item x="362"/>
        <item x="241"/>
        <item x="234"/>
        <item x="2620"/>
        <item x="577"/>
        <item x="2915"/>
        <item x="4032"/>
        <item x="1194"/>
        <item x="163"/>
        <item x="3543"/>
        <item x="4824"/>
        <item x="1658"/>
        <item x="3273"/>
        <item x="3271"/>
        <item x="4813"/>
        <item x="25"/>
        <item x="4307"/>
        <item x="1714"/>
        <item x="1390"/>
        <item x="750"/>
        <item x="581"/>
        <item x="4420"/>
        <item x="1344"/>
        <item x="4404"/>
        <item x="631"/>
        <item x="3740"/>
        <item x="1429"/>
        <item x="3418"/>
        <item x="2119"/>
        <item x="724"/>
        <item x="2149"/>
        <item x="4849"/>
        <item x="4065"/>
        <item x="1072"/>
        <item x="1706"/>
        <item x="1205"/>
        <item x="3465"/>
        <item x="1831"/>
        <item x="2301"/>
        <item x="3786"/>
        <item x="3249"/>
        <item x="4256"/>
        <item x="1152"/>
        <item x="3965"/>
        <item x="1692"/>
        <item x="3136"/>
        <item x="921"/>
        <item x="346"/>
        <item x="1456"/>
        <item x="3794"/>
        <item x="806"/>
        <item x="4705"/>
        <item x="998"/>
        <item x="3798"/>
        <item x="3937"/>
        <item x="2573"/>
        <item x="1245"/>
        <item x="868"/>
        <item x="3208"/>
        <item x="1455"/>
        <item x="4598"/>
        <item x="4060"/>
        <item x="2577"/>
        <item x="3996"/>
        <item x="3113"/>
        <item x="1451"/>
        <item x="749"/>
        <item x="1299"/>
        <item x="2610"/>
        <item x="567"/>
        <item x="2617"/>
        <item x="2354"/>
        <item x="254"/>
        <item x="2861"/>
        <item x="2259"/>
        <item x="4445"/>
        <item x="2306"/>
        <item x="3141"/>
        <item x="4016"/>
        <item x="4200"/>
        <item x="1337"/>
        <item x="3396"/>
        <item x="1606"/>
        <item x="1439"/>
        <item x="873"/>
        <item x="1331"/>
        <item x="3636"/>
        <item x="3114"/>
        <item x="105"/>
        <item x="1334"/>
        <item x="2698"/>
        <item x="1185"/>
        <item x="4102"/>
        <item x="1262"/>
        <item x="1559"/>
        <item x="4326"/>
        <item x="1020"/>
        <item x="3017"/>
        <item x="1640"/>
        <item x="2222"/>
        <item x="3954"/>
        <item x="2805"/>
        <item x="448"/>
        <item x="3416"/>
        <item x="4865"/>
        <item x="1346"/>
        <item x="2425"/>
        <item x="1492"/>
        <item x="2647"/>
        <item x="1594"/>
        <item x="4548"/>
        <item x="1172"/>
        <item x="1630"/>
        <item x="185"/>
        <item x="2302"/>
        <item x="1486"/>
        <item x="3679"/>
        <item x="166"/>
        <item x="3462"/>
        <item x="1056"/>
        <item x="4007"/>
        <item x="3734"/>
        <item x="846"/>
        <item x="4180"/>
        <item x="756"/>
        <item x="916"/>
        <item x="3215"/>
        <item x="2282"/>
        <item x="4531"/>
        <item x="4599"/>
        <item x="1900"/>
        <item x="4154"/>
        <item x="3368"/>
        <item x="4479"/>
        <item x="2442"/>
        <item x="2402"/>
        <item x="395"/>
        <item x="4628"/>
        <item x="3409"/>
        <item x="2994"/>
        <item x="4763"/>
        <item x="119"/>
        <item x="2281"/>
        <item x="2356"/>
        <item x="1066"/>
        <item x="999"/>
        <item x="4610"/>
        <item x="2064"/>
        <item x="4221"/>
        <item x="4194"/>
        <item x="2266"/>
        <item x="1081"/>
        <item x="3706"/>
        <item x="2485"/>
        <item x="1343"/>
        <item x="2135"/>
        <item x="3563"/>
        <item x="3325"/>
        <item x="3482"/>
        <item x="218"/>
        <item x="2368"/>
        <item x="4794"/>
        <item x="3191"/>
        <item x="1561"/>
        <item x="3900"/>
        <item x="394"/>
        <item x="1953"/>
        <item x="2207"/>
        <item x="2896"/>
        <item x="1083"/>
        <item x="4257"/>
        <item x="1890"/>
        <item x="2887"/>
        <item x="3261"/>
        <item x="3692"/>
        <item x="3296"/>
        <item x="2863"/>
        <item x="2655"/>
        <item x="2342"/>
        <item x="4069"/>
        <item x="3159"/>
        <item x="4378"/>
        <item x="4405"/>
        <item x="1836"/>
        <item x="3096"/>
        <item x="1215"/>
        <item x="4068"/>
        <item x="2719"/>
        <item x="2858"/>
        <item x="3506"/>
        <item x="3825"/>
        <item x="1788"/>
        <item x="1654"/>
        <item x="1480"/>
        <item x="3258"/>
        <item x="1799"/>
        <item x="746"/>
        <item x="3248"/>
        <item x="2054"/>
        <item x="4073"/>
        <item x="744"/>
        <item x="2186"/>
        <item x="3539"/>
        <item x="1980"/>
        <item x="1676"/>
        <item x="4847"/>
        <item x="1209"/>
        <item x="3487"/>
        <item x="1352"/>
        <item x="1762"/>
        <item x="4196"/>
        <item x="2209"/>
        <item x="1892"/>
        <item x="4827"/>
        <item x="713"/>
        <item x="614"/>
        <item x="1103"/>
        <item x="832"/>
        <item x="280"/>
        <item x="3905"/>
        <item x="2852"/>
        <item x="2505"/>
        <item x="24"/>
        <item x="135"/>
        <item x="3361"/>
        <item x="560"/>
        <item x="1705"/>
        <item x="1593"/>
        <item x="1557"/>
        <item x="1201"/>
        <item x="2092"/>
        <item x="3196"/>
        <item x="900"/>
        <item x="1414"/>
        <item x="2996"/>
        <item x="2665"/>
        <item x="3412"/>
        <item x="3793"/>
        <item x="2550"/>
        <item x="1001"/>
        <item x="2953"/>
        <item x="3964"/>
        <item x="3865"/>
        <item x="2511"/>
        <item x="1183"/>
        <item x="2007"/>
        <item x="433"/>
        <item x="2859"/>
        <item x="2348"/>
        <item x="3547"/>
        <item x="2062"/>
        <item x="3853"/>
        <item x="3339"/>
        <item x="3336"/>
        <item x="194"/>
        <item x="534"/>
        <item x="2405"/>
        <item x="2087"/>
        <item x="30"/>
        <item x="3637"/>
        <item x="555"/>
        <item x="1313"/>
        <item x="43"/>
        <item x="799"/>
        <item x="922"/>
        <item x="4719"/>
        <item x="2086"/>
        <item x="1443"/>
        <item x="1679"/>
        <item x="737"/>
        <item x="4558"/>
        <item x="1261"/>
        <item x="776"/>
        <item x="3555"/>
        <item x="2927"/>
        <item x="3998"/>
        <item x="4818"/>
        <item x="3384"/>
        <item x="4026"/>
        <item x="2165"/>
        <item x="1681"/>
        <item x="760"/>
        <item x="1240"/>
        <item x="110"/>
        <item x="3933"/>
        <item x="4062"/>
        <item x="4050"/>
        <item x="1369"/>
        <item x="3023"/>
        <item x="1305"/>
        <item x="4408"/>
        <item x="204"/>
        <item x="1508"/>
        <item x="580"/>
        <item x="4204"/>
        <item x="4158"/>
        <item x="2708"/>
        <item x="3037"/>
        <item x="2579"/>
        <item x="1761"/>
        <item x="324"/>
        <item x="3896"/>
        <item x="1610"/>
        <item x="3880"/>
        <item x="672"/>
        <item x="3649"/>
        <item x="148"/>
        <item x="4578"/>
        <item x="3787"/>
        <item x="3230"/>
        <item x="3235"/>
        <item x="4553"/>
        <item x="2816"/>
        <item x="576"/>
        <item x="3419"/>
        <item x="3269"/>
        <item x="1586"/>
        <item x="2538"/>
        <item x="3852"/>
        <item x="720"/>
        <item x="2648"/>
        <item x="3370"/>
        <item x="2902"/>
        <item x="4336"/>
        <item x="3350"/>
        <item x="794"/>
        <item x="2926"/>
        <item x="1502"/>
        <item x="530"/>
        <item x="3536"/>
        <item x="2264"/>
        <item x="1234"/>
        <item x="2939"/>
        <item x="165"/>
        <item x="3837"/>
        <item x="767"/>
        <item x="2564"/>
        <item x="2361"/>
        <item x="3737"/>
        <item x="4583"/>
        <item x="3486"/>
        <item x="2459"/>
        <item x="536"/>
        <item x="1213"/>
        <item x="143"/>
        <item x="1098"/>
        <item x="2621"/>
        <item x="2287"/>
        <item x="4660"/>
        <item x="162"/>
        <item x="3620"/>
        <item x="1925"/>
        <item x="1707"/>
        <item x="402"/>
        <item x="4569"/>
        <item x="422"/>
        <item x="425"/>
        <item x="1282"/>
        <item x="2874"/>
        <item x="274"/>
        <item x="4396"/>
        <item x="4304"/>
        <item x="1597"/>
        <item x="886"/>
        <item x="2656"/>
        <item x="674"/>
        <item x="772"/>
        <item x="2844"/>
        <item x="1351"/>
        <item x="4609"/>
        <item x="2982"/>
        <item x="839"/>
        <item x="2242"/>
        <item x="3530"/>
        <item x="188"/>
        <item x="1162"/>
        <item x="385"/>
        <item x="3906"/>
        <item x="3652"/>
        <item x="4005"/>
        <item x="334"/>
        <item x="2585"/>
        <item x="115"/>
        <item x="3353"/>
        <item x="2516"/>
        <item x="2824"/>
        <item x="4397"/>
        <item x="1107"/>
        <item x="1837"/>
        <item x="683"/>
        <item x="4637"/>
        <item x="4742"/>
        <item x="3071"/>
        <item x="3537"/>
        <item x="1092"/>
        <item x="3697"/>
        <item x="2616"/>
        <item x="1694"/>
        <item x="333"/>
        <item x="272"/>
        <item x="291"/>
        <item x="3988"/>
        <item x="3330"/>
        <item x="273"/>
        <item x="2962"/>
        <item x="1535"/>
        <item x="1357"/>
        <item x="4511"/>
        <item x="1859"/>
        <item x="428"/>
        <item x="2766"/>
        <item x="2286"/>
        <item x="1459"/>
        <item x="4579"/>
        <item x="266"/>
        <item x="3172"/>
        <item x="2122"/>
        <item x="2635"/>
        <item x="3889"/>
        <item x="4313"/>
        <item x="2667"/>
        <item x="2008"/>
        <item x="69"/>
        <item x="3435"/>
        <item x="4324"/>
        <item x="1243"/>
        <item x="1106"/>
        <item x="2420"/>
        <item x="1860"/>
        <item x="3991"/>
        <item x="1613"/>
        <item x="1027"/>
        <item x="4344"/>
        <item x="3291"/>
        <item x="4223"/>
        <item x="3768"/>
        <item x="2102"/>
        <item x="3870"/>
        <item x="3869"/>
        <item x="4338"/>
        <item x="2300"/>
        <item x="4576"/>
        <item x="430"/>
        <item x="275"/>
        <item x="3792"/>
        <item x="872"/>
        <item x="4166"/>
        <item x="1211"/>
        <item x="477"/>
        <item x="4355"/>
        <item x="4856"/>
        <item x="1288"/>
        <item x="2679"/>
        <item x="2358"/>
        <item x="3915"/>
        <item x="4356"/>
        <item x="3778"/>
        <item x="2908"/>
        <item x="1752"/>
        <item x="988"/>
        <item x="4389"/>
        <item x="1518"/>
        <item x="3993"/>
        <item x="2862"/>
        <item x="1650"/>
        <item x="603"/>
        <item x="248"/>
        <item x="3009"/>
        <item x="2213"/>
        <item x="3158"/>
        <item x="4042"/>
        <item x="1065"/>
        <item x="2959"/>
        <item x="1190"/>
        <item x="4690"/>
        <item x="45"/>
        <item x="4067"/>
        <item x="955"/>
        <item x="3950"/>
        <item x="3211"/>
        <item x="3912"/>
        <item x="3712"/>
        <item x="4566"/>
        <item x="3920"/>
        <item x="3165"/>
        <item x="2540"/>
        <item x="2311"/>
        <item x="3662"/>
        <item x="2253"/>
        <item x="4292"/>
        <item x="3475"/>
        <item x="3854"/>
        <item x="1405"/>
        <item x="2305"/>
        <item x="1648"/>
        <item x="435"/>
        <item x="3347"/>
        <item x="3515"/>
        <item x="3150"/>
        <item x="2085"/>
        <item x="302"/>
        <item x="1525"/>
        <item x="1171"/>
        <item x="943"/>
        <item x="1438"/>
        <item x="3668"/>
        <item x="4745"/>
        <item x="3571"/>
        <item x="2989"/>
        <item x="3814"/>
        <item x="2120"/>
        <item x="4209"/>
        <item x="2833"/>
        <item x="4858"/>
        <item x="769"/>
        <item x="2251"/>
        <item x="2279"/>
        <item x="4286"/>
        <item x="1962"/>
        <item x="1527"/>
        <item x="1173"/>
        <item x="2596"/>
        <item x="2093"/>
        <item x="838"/>
        <item x="4546"/>
        <item x="2829"/>
        <item x="3207"/>
        <item x="3055"/>
        <item x="4875"/>
        <item x="1347"/>
        <item x="2551"/>
        <item x="492"/>
        <item x="3477"/>
        <item x="3035"/>
        <item x="941"/>
        <item x="3997"/>
        <item x="3524"/>
        <item x="1004"/>
        <item x="3821"/>
        <item x="4647"/>
        <item x="1153"/>
        <item x="2013"/>
        <item x="1064"/>
        <item x="4340"/>
        <item x="3801"/>
        <item x="4309"/>
        <item x="2936"/>
        <item x="1880"/>
        <item x="2275"/>
        <item x="3072"/>
        <item x="1780"/>
        <item x="4103"/>
        <item x="3848"/>
        <item x="2827"/>
        <item x="1802"/>
        <item x="1304"/>
        <item x="2770"/>
        <item x="4489"/>
        <item x="1420"/>
        <item x="2814"/>
        <item x="3168"/>
        <item x="1898"/>
        <item x="2591"/>
        <item x="3928"/>
        <item x="1218"/>
        <item x="1813"/>
        <item x="849"/>
        <item x="3201"/>
        <item x="2529"/>
        <item x="3744"/>
        <item x="66"/>
        <item x="4186"/>
        <item x="2839"/>
        <item x="3048"/>
        <item x="3532"/>
        <item x="1769"/>
        <item x="1662"/>
        <item x="3850"/>
        <item x="4105"/>
        <item x="4711"/>
        <item x="3656"/>
        <item x="1500"/>
        <item x="1444"/>
        <item x="2484"/>
        <item x="2891"/>
        <item x="2984"/>
        <item x="2576"/>
        <item x="3689"/>
        <item x="2752"/>
        <item x="3897"/>
        <item x="840"/>
        <item x="1267"/>
        <item x="4471"/>
        <item x="829"/>
        <item x="4020"/>
        <item x="1235"/>
        <item x="1800"/>
        <item x="765"/>
        <item x="969"/>
        <item x="2272"/>
        <item x="2940"/>
        <item x="3073"/>
        <item x="2545"/>
        <item x="3317"/>
        <item x="1195"/>
        <item x="3443"/>
        <item x="4021"/>
        <item x="2052"/>
        <item x="1099"/>
        <item x="2657"/>
        <item x="509"/>
        <item x="2408"/>
        <item x="1217"/>
        <item x="2322"/>
        <item x="176"/>
        <item x="297"/>
        <item x="4614"/>
        <item x="3708"/>
        <item x="2046"/>
        <item x="4772"/>
        <item x="4269"/>
        <item x="1325"/>
        <item x="600"/>
        <item x="3568"/>
        <item x="4424"/>
        <item x="2778"/>
        <item x="3293"/>
        <item x="2467"/>
        <item x="4509"/>
        <item x="2346"/>
        <item x="3193"/>
        <item x="4851"/>
        <item x="663"/>
        <item x="2622"/>
        <item x="2848"/>
        <item x="3349"/>
        <item x="2421"/>
        <item x="4426"/>
        <item x="2831"/>
        <item x="3000"/>
        <item x="195"/>
        <item x="4123"/>
        <item x="4232"/>
        <item x="2583"/>
        <item x="3001"/>
        <item x="3967"/>
        <item x="3745"/>
        <item x="1905"/>
        <item x="4064"/>
        <item x="19"/>
        <item x="2196"/>
        <item x="4520"/>
        <item x="295"/>
        <item x="537"/>
        <item x="2127"/>
        <item x="2951"/>
        <item x="4668"/>
        <item x="2111"/>
        <item x="2176"/>
        <item x="3138"/>
        <item x="3007"/>
        <item x="1127"/>
        <item x="4443"/>
        <item x="2604"/>
        <item x="4530"/>
        <item x="4850"/>
        <item x="4189"/>
        <item x="469"/>
        <item x="1940"/>
        <item x="3558"/>
        <item x="1100"/>
        <item x="1400"/>
        <item x="1077"/>
        <item x="2746"/>
        <item x="1779"/>
        <item x="3815"/>
        <item x="464"/>
        <item x="2241"/>
        <item x="2329"/>
        <item x="3378"/>
        <item x="3614"/>
        <item x="4584"/>
        <item x="1963"/>
        <item x="2317"/>
        <item x="2304"/>
        <item x="3609"/>
        <item x="498"/>
        <item x="2192"/>
        <item x="881"/>
        <item x="824"/>
        <item x="4434"/>
        <item x="3174"/>
        <item x="1867"/>
        <item x="3901"/>
        <item x="2636"/>
        <item x="2988"/>
        <item x="1708"/>
        <item x="4181"/>
        <item x="2692"/>
        <item x="1916"/>
        <item x="12"/>
        <item x="3502"/>
        <item x="1198"/>
        <item x="1623"/>
        <item x="3457"/>
        <item x="2681"/>
        <item x="1158"/>
        <item x="696"/>
        <item x="44"/>
        <item x="4652"/>
        <item x="2789"/>
        <item x="2121"/>
        <item x="574"/>
        <item x="4643"/>
        <item x="981"/>
        <item x="4149"/>
        <item x="4041"/>
        <item x="1933"/>
        <item x="791"/>
        <item x="1156"/>
        <item x="2441"/>
        <item x="4077"/>
        <item x="3351"/>
        <item x="3331"/>
        <item x="2211"/>
        <item x="819"/>
        <item x="3236"/>
        <item x="2101"/>
        <item x="2366"/>
        <item x="2912"/>
        <item x="1528"/>
        <item x="1801"/>
        <item x="2840"/>
        <item x="411"/>
        <item x="4299"/>
        <item x="51"/>
        <item x="3687"/>
        <item x="2153"/>
        <item x="777"/>
        <item x="3369"/>
        <item x="4740"/>
        <item x="3791"/>
        <item x="4783"/>
        <item x="424"/>
        <item x="139"/>
        <item x="693"/>
        <item x="287"/>
        <item x="3621"/>
        <item x="4556"/>
        <item x="301"/>
        <item x="3749"/>
        <item x="4170"/>
        <item x="3476"/>
        <item x="462"/>
        <item x="2410"/>
        <item x="3541"/>
        <item x="3355"/>
        <item x="4259"/>
        <item x="1765"/>
        <item x="3203"/>
        <item x="1625"/>
        <item x="1119"/>
        <item x="1276"/>
        <item x="517"/>
        <item x="504"/>
        <item x="3846"/>
        <item x="4473"/>
        <item x="308"/>
        <item x="2177"/>
        <item x="1521"/>
        <item x="4098"/>
        <item x="4823"/>
        <item x="126"/>
        <item x="3592"/>
        <item x="77"/>
        <item x="896"/>
        <item x="2745"/>
        <item x="786"/>
        <item x="848"/>
        <item x="258"/>
        <item x="3006"/>
        <item x="3183"/>
        <item x="2179"/>
        <item x="1736"/>
        <item x="3083"/>
        <item x="2605"/>
        <item x="3251"/>
        <item x="1917"/>
        <item x="2758"/>
        <item x="495"/>
        <item x="1167"/>
        <item x="676"/>
        <item x="3899"/>
        <item x="2029"/>
        <item x="2407"/>
        <item x="2391"/>
        <item x="358"/>
        <item x="1824"/>
        <item x="995"/>
        <item x="1851"/>
        <item x="4399"/>
        <item x="2166"/>
        <item x="2003"/>
        <item x="169"/>
        <item x="585"/>
        <item x="2234"/>
        <item x="525"/>
        <item x="2901"/>
        <item x="175"/>
        <item x="4594"/>
        <item x="3958"/>
        <item x="3816"/>
        <item x="4391"/>
        <item x="3855"/>
        <item x="1888"/>
        <item x="348"/>
        <item x="4488"/>
        <item x="793"/>
        <item x="4801"/>
        <item x="314"/>
        <item x="4224"/>
        <item x="1739"/>
        <item x="2060"/>
        <item x="1627"/>
        <item x="434"/>
        <item x="3229"/>
        <item x="3480"/>
        <item x="527"/>
        <item x="3831"/>
        <item x="3503"/>
        <item x="161"/>
        <item x="4775"/>
        <item x="2392"/>
        <item x="4137"/>
        <item x="1700"/>
        <item x="37"/>
        <item x="3611"/>
        <item x="2058"/>
        <item x="1130"/>
        <item x="784"/>
        <item x="3750"/>
        <item x="4258"/>
        <item x="4401"/>
        <item x="1367"/>
        <item x="3375"/>
        <item x="1809"/>
        <item x="2968"/>
        <item x="940"/>
        <item x="678"/>
        <item x="4770"/>
        <item x="4710"/>
        <item x="3711"/>
        <item x="607"/>
        <item x="2473"/>
        <item x="2882"/>
        <item x="3226"/>
        <item x="4739"/>
        <item x="4752"/>
        <item x="2600"/>
        <item x="2991"/>
        <item x="638"/>
        <item x="2198"/>
        <item x="2357"/>
        <item x="1493"/>
        <item x="3753"/>
        <item x="4862"/>
        <item x="1406"/>
        <item x="2254"/>
        <item x="2155"/>
        <item x="1812"/>
        <item x="2987"/>
        <item x="845"/>
        <item x="668"/>
        <item x="3951"/>
        <item x="4139"/>
        <item x="1918"/>
        <item x="2216"/>
        <item x="2838"/>
        <item x="65"/>
        <item x="4330"/>
        <item x="4717"/>
        <item x="1014"/>
        <item x="888"/>
        <item x="2653"/>
        <item x="3833"/>
        <item x="2375"/>
        <item x="4804"/>
        <item x="1484"/>
        <item x="2757"/>
        <item x="558"/>
        <item x="2289"/>
        <item x="1522"/>
        <item x="2116"/>
        <item x="1431"/>
        <item x="2296"/>
        <item x="3510"/>
        <item x="4030"/>
        <item x="2689"/>
        <item x="691"/>
        <item x="3422"/>
        <item x="3994"/>
        <item x="4766"/>
        <item x="709"/>
        <item x="2370"/>
        <item x="909"/>
        <item x="4273"/>
        <item x="439"/>
        <item x="2849"/>
        <item x="178"/>
        <item x="4329"/>
        <item x="2798"/>
        <item x="4207"/>
        <item x="875"/>
        <item x="870"/>
        <item x="4872"/>
        <item x="1703"/>
        <item x="1531"/>
        <item x="31"/>
        <item x="1029"/>
        <item x="259"/>
        <item x="1741"/>
        <item x="1935"/>
        <item x="2290"/>
        <item x="2642"/>
        <item x="1670"/>
        <item x="4362"/>
        <item x="3578"/>
        <item x="1108"/>
        <item x="4423"/>
        <item x="629"/>
        <item x="2487"/>
        <item x="708"/>
        <item x="4866"/>
        <item x="3146"/>
        <item x="4677"/>
        <item x="1345"/>
        <item x="2015"/>
        <item x="4171"/>
        <item x="3714"/>
        <item x="1416"/>
        <item x="4741"/>
        <item x="4774"/>
        <item x="2265"/>
        <item x="3497"/>
        <item x="3022"/>
        <item x="3143"/>
        <item x="695"/>
        <item x="821"/>
        <item x="360"/>
        <item x="4143"/>
        <item x="2522"/>
        <item x="1878"/>
        <item x="1136"/>
        <item x="656"/>
        <item x="3619"/>
        <item x="249"/>
        <item x="3807"/>
        <item x="1216"/>
        <item x="810"/>
        <item x="2492"/>
        <item x="2790"/>
        <item x="3363"/>
        <item x="304"/>
        <item x="1834"/>
        <item x="3722"/>
        <item x="1987"/>
        <item x="2214"/>
        <item x="1005"/>
        <item x="964"/>
        <item x="4699"/>
        <item x="1273"/>
        <item x="1672"/>
        <item x="4335"/>
        <item x="3075"/>
        <item x="4161"/>
        <item x="3016"/>
        <item x="588"/>
        <item x="3597"/>
        <item x="1176"/>
        <item x="2308"/>
        <item x="2128"/>
        <item x="3710"/>
        <item x="3981"/>
        <item x="4387"/>
        <item x="2297"/>
        <item x="2486"/>
        <item x="4552"/>
        <item x="2601"/>
        <item x="3414"/>
        <item x="4047"/>
        <item x="1284"/>
        <item x="2394"/>
        <item x="4028"/>
        <item x="1330"/>
        <item x="94"/>
        <item x="2468"/>
        <item x="3060"/>
        <item x="305"/>
        <item x="4504"/>
        <item x="486"/>
        <item x="3189"/>
        <item x="2181"/>
        <item x="2049"/>
        <item x="4075"/>
        <item x="4836"/>
        <item x="4589"/>
        <item x="843"/>
        <item x="3709"/>
        <item x="1846"/>
        <item x="2836"/>
        <item x="2946"/>
        <item x="4104"/>
        <item x="127"/>
        <item x="1093"/>
        <item x="1544"/>
        <item x="1667"/>
        <item x="1758"/>
        <item x="2365"/>
        <item x="3050"/>
        <item x="1489"/>
        <item x="1733"/>
        <item x="2189"/>
        <item x="219"/>
        <item x="4146"/>
        <item x="3759"/>
        <item x="3365"/>
        <item x="2458"/>
        <item x="2185"/>
        <item x="496"/>
        <item x="1778"/>
        <item x="42"/>
        <item x="814"/>
        <item x="4035"/>
        <item x="4217"/>
        <item x="231"/>
        <item x="2520"/>
        <item x="3098"/>
        <item x="1292"/>
        <item x="3984"/>
        <item x="1006"/>
        <item x="293"/>
        <item x="303"/>
        <item x="4276"/>
        <item x="4162"/>
        <item x="4806"/>
        <item x="208"/>
        <item x="808"/>
        <item x="4654"/>
        <item x="2729"/>
        <item x="993"/>
        <item x="3517"/>
        <item x="92"/>
        <item x="1467"/>
        <item x="2643"/>
        <item x="2457"/>
        <item x="4046"/>
        <item x="3262"/>
        <item x="3775"/>
        <item x="4318"/>
        <item x="2469"/>
        <item x="2938"/>
        <item x="4796"/>
        <item x="874"/>
        <item x="4754"/>
        <item x="2136"/>
        <item x="4205"/>
        <item x="3557"/>
        <item x="1126"/>
        <item x="177"/>
        <item x="2958"/>
        <item x="1789"/>
        <item x="1023"/>
        <item x="4422"/>
        <item x="1070"/>
        <item x="773"/>
        <item x="3297"/>
        <item x="1393"/>
        <item x="1637"/>
        <item x="3629"/>
        <item x="1150"/>
        <item x="2137"/>
        <item x="96"/>
        <item x="4868"/>
        <item x="1870"/>
        <item x="113"/>
        <item x="3739"/>
        <item x="2344"/>
        <item x="2278"/>
        <item x="2582"/>
        <item x="1397"/>
        <item x="2871"/>
        <item x="1115"/>
        <item x="3450"/>
        <item x="2856"/>
        <item x="2518"/>
        <item x="3119"/>
        <item x="4464"/>
        <item x="742"/>
        <item x="2899"/>
        <item x="3094"/>
        <item x="4526"/>
        <item x="1226"/>
        <item x="961"/>
        <item x="4543"/>
        <item x="640"/>
        <item x="4844"/>
        <item x="2990"/>
        <item x="2608"/>
        <item x="931"/>
        <item x="4327"/>
        <item x="1355"/>
        <item x="4409"/>
        <item x="3784"/>
        <item x="4124"/>
        <item x="2558"/>
        <item x="4157"/>
        <item x="2584"/>
        <item x="1301"/>
        <item x="516"/>
        <item x="4635"/>
        <item x="3819"/>
        <item x="2002"/>
        <item x="3233"/>
        <item x="3231"/>
        <item x="2383"/>
        <item x="4574"/>
        <item x="4004"/>
        <item x="2818"/>
        <item x="4676"/>
        <item x="740"/>
        <item x="3887"/>
        <item x="3047"/>
        <item x="1532"/>
        <item x="2239"/>
        <item x="2180"/>
        <item x="4090"/>
        <item x="736"/>
        <item x="2157"/>
        <item x="1102"/>
        <item x="309"/>
        <item x="1181"/>
        <item x="1923"/>
        <item x="114"/>
        <item x="3717"/>
        <item x="2694"/>
        <item x="4429"/>
        <item x="2921"/>
        <item x="4182"/>
        <item x="4345"/>
        <item x="1592"/>
        <item x="4547"/>
        <item x="4361"/>
        <item x="2937"/>
        <item x="265"/>
        <item x="3190"/>
        <item x="2895"/>
        <item x="4837"/>
        <item x="1805"/>
        <item x="1737"/>
        <item x="3430"/>
        <item x="1633"/>
        <item x="296"/>
        <item x="1499"/>
        <item x="1868"/>
        <item x="4317"/>
        <item x="4138"/>
        <item x="1967"/>
        <item x="2932"/>
        <item x="3868"/>
        <item x="2754"/>
        <item x="1315"/>
        <item x="959"/>
        <item x="1155"/>
        <item x="4211"/>
        <item x="3371"/>
        <item x="2252"/>
        <item x="1624"/>
        <item x="2894"/>
        <item x="4323"/>
        <item x="4869"/>
        <item x="2980"/>
        <item x="1709"/>
        <item x="151"/>
        <item x="3766"/>
        <item x="984"/>
        <item x="4169"/>
        <item x="1478"/>
        <item x="1335"/>
        <item x="1783"/>
        <item x="2640"/>
        <item x="4491"/>
        <item x="2713"/>
        <item x="1682"/>
        <item x="4828"/>
        <item x="3444"/>
        <item x="26"/>
        <item x="4153"/>
        <item x="1101"/>
        <item x="60"/>
        <item x="1472"/>
        <item x="1957"/>
        <item x="2589"/>
        <item x="2664"/>
        <item x="4129"/>
        <item x="1392"/>
        <item x="1163"/>
        <item x="3553"/>
        <item x="4532"/>
        <item x="3632"/>
        <item x="2966"/>
        <item x="3938"/>
        <item x="1666"/>
        <item x="1863"/>
        <item x="2690"/>
        <item x="2535"/>
        <item x="87"/>
        <item x="570"/>
        <item x="1461"/>
        <item x="659"/>
        <item x="190"/>
        <item x="260"/>
        <item x="85"/>
        <item x="3058"/>
        <item x="3677"/>
        <item x="1387"/>
        <item x="962"/>
        <item x="2834"/>
        <item x="3030"/>
        <item x="4079"/>
        <item x="3684"/>
        <item x="789"/>
        <item x="599"/>
        <item x="4270"/>
        <item x="1832"/>
        <item x="2870"/>
        <item x="3911"/>
        <item x="3292"/>
        <item x="1873"/>
        <item x="1687"/>
        <item x="3079"/>
        <item x="4421"/>
        <item x="2867"/>
        <item x="1524"/>
        <item x="4755"/>
        <item x="3732"/>
        <item x="684"/>
        <item x="1726"/>
        <item x="3800"/>
        <item x="1395"/>
        <item x="1374"/>
        <item x="3559"/>
        <item x="4538"/>
        <item x="809"/>
        <item x="3990"/>
        <item x="1399"/>
        <item x="4792"/>
        <item x="2310"/>
        <item x="3844"/>
        <item x="3864"/>
        <item x="798"/>
        <item x="2389"/>
        <item x="2651"/>
        <item x="623"/>
        <item x="3983"/>
        <item x="3082"/>
        <item x="2855"/>
        <item x="4092"/>
        <item x="1382"/>
        <item x="903"/>
        <item x="3228"/>
        <item x="3406"/>
        <item x="3428"/>
        <item x="1142"/>
        <item x="206"/>
        <item x="3084"/>
        <item x="3726"/>
        <item x="4687"/>
        <item x="1635"/>
        <item x="306"/>
        <item x="4339"/>
        <item x="2539"/>
        <item x="3038"/>
        <item x="1117"/>
        <item x="2089"/>
        <item x="3785"/>
        <item x="4393"/>
        <item x="2112"/>
        <item x="609"/>
        <item x="852"/>
        <item x="2448"/>
        <item x="3411"/>
        <item x="2215"/>
        <item x="2055"/>
        <item x="3121"/>
        <item x="2929"/>
        <item x="2590"/>
        <item x="1324"/>
        <item x="332"/>
        <item x="2872"/>
        <item x="906"/>
        <item x="624"/>
        <item x="4241"/>
        <item x="1583"/>
        <item x="2323"/>
        <item x="3839"/>
        <item x="561"/>
        <item x="1471"/>
        <item x="937"/>
        <item x="1446"/>
        <item x="3922"/>
        <item x="3658"/>
        <item x="4713"/>
        <item x="1608"/>
        <item x="3424"/>
        <item x="979"/>
        <item x="2168"/>
        <item x="106"/>
        <item x="2942"/>
        <item x="2130"/>
        <item x="3980"/>
        <item x="367"/>
        <item x="1791"/>
        <item x="4773"/>
        <item x="4099"/>
        <item x="4306"/>
        <item x="2595"/>
        <item x="4191"/>
        <item x="4341"/>
        <item x="1113"/>
        <item x="2780"/>
        <item x="856"/>
        <item x="4063"/>
        <item x="4320"/>
        <item x="2502"/>
        <item x="1509"/>
        <item x="11"/>
        <item x="4185"/>
        <item x="3862"/>
        <item x="3438"/>
        <item x="2835"/>
        <item x="4395"/>
        <item x="3417"/>
        <item x="647"/>
        <item x="4590"/>
        <item x="2351"/>
        <item x="46"/>
        <item x="1744"/>
        <item x="3490"/>
        <item x="1138"/>
        <item x="263"/>
        <item x="4437"/>
        <item x="2042"/>
        <item x="3585"/>
        <item x="33"/>
        <item x="1716"/>
        <item x="1398"/>
        <item x="4117"/>
        <item x="586"/>
        <item x="3944"/>
        <item x="2426"/>
        <item x="3946"/>
        <item x="3790"/>
        <item x="339"/>
        <item x="4555"/>
        <item x="4633"/>
        <item x="4665"/>
        <item x="1914"/>
        <item x="3577"/>
        <item x="3295"/>
        <item x="3"/>
        <item x="413"/>
        <item x="108"/>
        <item x="512"/>
        <item x="383"/>
        <item x="4751"/>
        <item x="2106"/>
        <item x="539"/>
        <item x="3045"/>
        <item x="3216"/>
        <item x="3661"/>
        <item x="3953"/>
        <item x="1316"/>
        <item x="2109"/>
        <item x="2919"/>
        <item x="1956"/>
        <item x="2171"/>
        <item x="1207"/>
        <item x="4133"/>
        <item x="3014"/>
        <item x="355"/>
        <item x="3978"/>
        <item x="1278"/>
        <item x="3118"/>
        <item x="3413"/>
        <item x="1200"/>
        <item x="3461"/>
        <item x="3314"/>
        <item x="2312"/>
        <item x="4671"/>
        <item x="689"/>
        <item x="926"/>
        <item x="2948"/>
        <item x="835"/>
        <item x="2767"/>
        <item x="4474"/>
        <item x="933"/>
        <item x="292"/>
        <item x="120"/>
        <item x="13"/>
        <item x="4845"/>
        <item x="3222"/>
        <item x="1872"/>
        <item x="1339"/>
        <item x="4536"/>
        <item x="4787"/>
        <item x="160"/>
        <item x="2639"/>
        <item x="632"/>
        <item x="4663"/>
        <item x="1657"/>
        <item x="1767"/>
        <item x="369"/>
        <item x="1511"/>
        <item x="3966"/>
        <item x="168"/>
        <item x="3525"/>
        <item x="2892"/>
        <item x="2714"/>
        <item x="2456"/>
        <item x="2147"/>
        <item x="4044"/>
        <item x="4348"/>
        <item x="833"/>
        <item x="3354"/>
        <item x="2138"/>
        <item x="1570"/>
        <item x="732"/>
        <item x="1722"/>
        <item x="2700"/>
        <item x="3566"/>
        <item x="4581"/>
        <item x="3264"/>
        <item x="854"/>
        <item x="894"/>
        <item x="3765"/>
        <item x="2884"/>
        <item x="3856"/>
        <item x="2703"/>
        <item x="2050"/>
        <item x="2734"/>
        <item x="1419"/>
        <item x="2979"/>
        <item x="1883"/>
        <item x="4669"/>
        <item x="590"/>
        <item x="1441"/>
        <item x="1510"/>
        <item x="2233"/>
        <item x="1689"/>
        <item x="3719"/>
        <item x="4364"/>
        <item x="4089"/>
        <item x="841"/>
        <item x="2431"/>
        <item x="3340"/>
        <item x="3104"/>
        <item x="382"/>
        <item x="4251"/>
        <item x="2624"/>
        <item x="4625"/>
        <item x="4295"/>
        <item x="1490"/>
        <item x="1285"/>
        <item x="4486"/>
        <item x="2331"/>
        <item x="1991"/>
        <item x="93"/>
        <item x="666"/>
        <item x="1776"/>
        <item x="3917"/>
        <item x="4394"/>
        <item x="2738"/>
        <item x="1968"/>
        <item x="2788"/>
        <item x="3212"/>
        <item x="3109"/>
        <item x="735"/>
        <item x="3886"/>
        <item x="340"/>
        <item x="1407"/>
        <item x="1646"/>
        <item x="1684"/>
        <item x="688"/>
        <item x="2769"/>
        <item x="4731"/>
        <item x="3227"/>
        <item x="915"/>
        <item x="4809"/>
        <item x="4373"/>
        <item x="2935"/>
        <item x="4672"/>
        <item x="2178"/>
        <item x="2678"/>
        <item x="2847"/>
        <item x="2376"/>
        <item x="2228"/>
        <item x="4805"/>
        <item x="277"/>
        <item x="1764"/>
        <item x="2040"/>
        <item x="2983"/>
        <item x="3307"/>
        <item x="925"/>
        <item x="3704"/>
        <item x="3663"/>
        <item x="1112"/>
        <item x="725"/>
        <item x="182"/>
        <item x="3181"/>
        <item x="1448"/>
        <item x="4615"/>
        <item x="387"/>
        <item x="3197"/>
        <item x="1096"/>
        <item x="3634"/>
        <item x="2641"/>
        <item x="4832"/>
        <item x="1680"/>
        <item x="4245"/>
        <item x="415"/>
        <item x="1746"/>
        <item x="3441"/>
        <item x="3128"/>
        <item x="2593"/>
        <item x="1603"/>
        <item x="3054"/>
        <item x="20"/>
        <item x="2384"/>
        <item x="612"/>
        <item x="905"/>
        <item x="4122"/>
        <item x="1808"/>
        <item x="1447"/>
        <item x="2904"/>
        <item x="753"/>
        <item x="1148"/>
        <item x="1454"/>
        <item x="4604"/>
        <item x="4365"/>
        <item x="1819"/>
        <item x="4762"/>
        <item x="2298"/>
        <item x="4078"/>
        <item x="551"/>
        <item x="3224"/>
        <item x="4557"/>
        <item x="4469"/>
        <item x="122"/>
        <item x="1931"/>
        <item x="738"/>
        <item x="4607"/>
        <item x="3065"/>
        <item x="1417"/>
        <item x="867"/>
        <item x="271"/>
        <item x="971"/>
        <item x="785"/>
        <item x="4177"/>
        <item x="2931"/>
        <item x="633"/>
        <item x="3280"/>
        <item x="977"/>
        <item x="3123"/>
        <item x="2143"/>
        <item x="14"/>
        <item x="3252"/>
        <item x="3874"/>
        <item x="3576"/>
        <item x="3982"/>
        <item x="1724"/>
        <item x="1598"/>
        <item x="2630"/>
        <item x="4417"/>
        <item x="2009"/>
        <item x="4592"/>
        <item x="289"/>
        <item x="3818"/>
        <item x="3641"/>
        <item x="2977"/>
        <item x="380"/>
        <item x="3813"/>
        <item x="3479"/>
        <item x="3789"/>
        <item x="1303"/>
        <item x="2404"/>
        <item x="107"/>
        <item x="4346"/>
        <item x="4240"/>
        <item x="2515"/>
        <item x="1577"/>
        <item x="4815"/>
        <item x="3701"/>
        <item x="4525"/>
        <item x="4116"/>
        <item x="1436"/>
        <item x="3826"/>
        <item x="990"/>
        <item x="278"/>
        <item x="4024"/>
        <item x="3698"/>
        <item x="3179"/>
        <item x="4641"/>
        <item x="1551"/>
        <item x="1097"/>
        <item x="3322"/>
        <item x="288"/>
        <item x="1866"/>
        <item x="3456"/>
        <item x="3841"/>
        <item x="485"/>
        <item x="1140"/>
        <item x="3255"/>
        <item x="1814"/>
        <item x="1599"/>
        <item x="2021"/>
        <item x="2066"/>
        <item x="4076"/>
        <item x="2627"/>
        <item x="4008"/>
        <item x="4622"/>
        <item x="2400"/>
        <item x="1328"/>
        <item x="4370"/>
        <item x="1536"/>
        <item x="3590"/>
        <item x="2274"/>
        <item x="294"/>
        <item x="1244"/>
        <item x="1992"/>
        <item x="2235"/>
        <item x="2920"/>
        <item x="4312"/>
        <item x="3923"/>
        <item x="3185"/>
        <item x="4010"/>
        <item x="1907"/>
        <item x="2349"/>
        <item x="1908"/>
        <item x="630"/>
        <item x="2572"/>
        <item x="2280"/>
        <item x="2386"/>
        <item x="2070"/>
        <item x="4019"/>
        <item x="1507"/>
        <item x="4602"/>
        <item x="2711"/>
        <item x="2514"/>
        <item x="372"/>
        <item x="4322"/>
        <item x="1319"/>
        <item x="2995"/>
        <item x="3484"/>
        <item x="2172"/>
        <item x="3654"/>
        <item x="4452"/>
        <item x="3052"/>
        <item x="4381"/>
        <item x="3623"/>
        <item x="3678"/>
        <item x="4791"/>
        <item x="2006"/>
        <item x="3613"/>
        <item x="533"/>
        <item x="2249"/>
        <item x="980"/>
        <item x="3664"/>
        <item x="1208"/>
        <item x="351"/>
        <item x="1123"/>
        <item x="3909"/>
        <item x="2053"/>
        <item x="23"/>
        <item x="3426"/>
        <item x="4131"/>
        <item x="3645"/>
        <item x="1378"/>
        <item x="948"/>
        <item x="685"/>
        <item x="1258"/>
        <item x="3288"/>
        <item x="2586"/>
        <item x="4597"/>
        <item x="2032"/>
        <item x="2796"/>
        <item x="770"/>
        <item x="592"/>
        <item x="2025"/>
        <item x="4048"/>
        <item x="1697"/>
        <item x="3550"/>
        <item x="1884"/>
        <item x="344"/>
        <item x="2928"/>
        <item x="3303"/>
        <item x="2677"/>
        <item x="1146"/>
        <item x="1069"/>
        <item x="1607"/>
        <item x="4621"/>
        <item x="2587"/>
        <item x="1144"/>
        <item x="1425"/>
        <item x="4585"/>
        <item x="520"/>
        <item x="3772"/>
        <item x="2258"/>
        <item x="4756"/>
        <item x="4236"/>
        <item x="1946"/>
        <item x="3337"/>
        <item x="2728"/>
        <item x="335"/>
        <item x="1204"/>
        <item x="4680"/>
        <item x="4174"/>
        <item x="938"/>
        <item x="73"/>
        <item x="4316"/>
        <item x="1427"/>
        <item x="541"/>
        <item x="4831"/>
        <item x="154"/>
        <item x="3992"/>
        <item x="502"/>
        <item x="1248"/>
        <item x="3940"/>
        <item x="4708"/>
        <item x="2126"/>
        <item x="4472"/>
        <item x="2742"/>
        <item x="1053"/>
        <item x="1982"/>
        <item x="3817"/>
        <item x="3809"/>
        <item x="1755"/>
        <item x="1934"/>
        <item x="1698"/>
        <item x="4512"/>
        <item x="4807"/>
        <item x="4055"/>
        <item x="4854"/>
        <item x="506"/>
        <item x="1615"/>
        <item x="4790"/>
        <item x="393"/>
        <item x="3949"/>
        <item x="707"/>
        <item x="2081"/>
        <item x="3968"/>
        <item x="1745"/>
        <item x="3467"/>
        <item x="1784"/>
        <item x="1017"/>
        <item x="1643"/>
        <item x="3470"/>
        <item x="2335"/>
        <item x="675"/>
        <item x="4873"/>
        <item x="3952"/>
        <item x="388"/>
        <item x="658"/>
        <item x="3514"/>
        <item x="3495"/>
        <item x="4691"/>
        <item x="1596"/>
        <item x="3849"/>
        <item x="807"/>
        <item x="2206"/>
        <item x="2943"/>
        <item x="1818"/>
        <item x="2974"/>
        <item x="4072"/>
        <item x="4059"/>
        <item x="2666"/>
        <item x="2725"/>
        <item x="928"/>
        <item x="3493"/>
        <item x="3431"/>
        <item x="2152"/>
        <item x="2504"/>
        <item x="4160"/>
        <item x="1317"/>
        <item x="968"/>
        <item x="2416"/>
        <item x="4782"/>
        <item x="4802"/>
        <item x="2705"/>
        <item x="2470"/>
        <item x="4140"/>
        <item x="3040"/>
        <item x="790"/>
        <item x="3612"/>
        <item x="1971"/>
        <item x="842"/>
        <item x="4454"/>
        <item x="1897"/>
        <item x="1421"/>
        <item x="2430"/>
        <item x="1057"/>
        <item x="2546"/>
        <item x="2141"/>
        <item x="4379"/>
        <item x="2269"/>
        <item x="4325"/>
        <item x="239"/>
        <item x="202"/>
        <item x="427"/>
        <item x="2603"/>
        <item x="253"/>
        <item x="1702"/>
        <item x="1293"/>
        <item x="1157"/>
        <item x="2668"/>
        <item x="3067"/>
        <item x="1277"/>
        <item x="1604"/>
        <item x="2527"/>
        <item x="104"/>
        <item x="1060"/>
        <item x="3633"/>
        <item x="3356"/>
        <item x="643"/>
        <item x="3646"/>
        <item x="4049"/>
        <item x="2432"/>
        <item x="290"/>
        <item x="1614"/>
        <item x="564"/>
        <item x="3329"/>
        <item x="4497"/>
        <item x="3240"/>
        <item x="330"/>
        <item x="2380"/>
        <item x="1231"/>
        <item x="1021"/>
        <item x="4097"/>
        <item x="1159"/>
        <item x="3338"/>
        <item x="3961"/>
        <item x="4357"/>
        <item x="2823"/>
        <item x="2131"/>
        <item x="694"/>
        <item x="989"/>
        <item x="149"/>
        <item x="1973"/>
        <item x="4261"/>
        <item x="2075"/>
        <item x="2061"/>
        <item x="1763"/>
        <item x="4354"/>
        <item x="4228"/>
        <item x="2415"/>
        <item x="3727"/>
        <item x="4411"/>
        <item x="2292"/>
        <item x="3806"/>
        <item x="1149"/>
        <item x="3575"/>
        <item x="805"/>
        <item x="1002"/>
        <item x="4294"/>
        <item x="2125"/>
        <item x="3256"/>
        <item x="21"/>
        <item x="4501"/>
        <item x="3250"/>
        <item x="578"/>
        <item x="3500"/>
        <item x="972"/>
        <item x="2513"/>
        <item x="3002"/>
        <item x="3442"/>
        <item x="4507"/>
        <item x="4242"/>
        <item x="4002"/>
        <item x="887"/>
        <item x="2723"/>
        <item x="4781"/>
        <item x="1458"/>
        <item x="321"/>
        <item x="4506"/>
        <item x="3218"/>
        <item x="763"/>
        <item x="4213"/>
        <item x="4816"/>
        <item x="1847"/>
        <item x="1587"/>
        <item x="2261"/>
        <item x="1855"/>
        <item x="2773"/>
        <item x="2886"/>
        <item x="914"/>
        <item x="754"/>
        <item x="3304"/>
        <item x="1904"/>
        <item x="1655"/>
        <item x="2150"/>
        <item x="3693"/>
        <item x="2295"/>
        <item x="566"/>
        <item x="942"/>
        <item x="4549"/>
        <item x="52"/>
        <item x="2318"/>
        <item x="98"/>
        <item x="3376"/>
        <item x="3672"/>
        <item x="3436"/>
        <item x="1631"/>
        <item x="646"/>
        <item x="1124"/>
        <item x="1634"/>
        <item x="538"/>
        <item x="4085"/>
        <item x="4533"/>
        <item x="1219"/>
        <item x="3588"/>
        <item x="4846"/>
        <item x="2534"/>
        <item x="1984"/>
        <item x="4642"/>
        <item x="1453"/>
        <item x="2985"/>
        <item x="1297"/>
        <item x="3194"/>
        <item x="3498"/>
        <item x="4000"/>
        <item x="1994"/>
        <item x="3522"/>
        <item x="1874"/>
        <item x="3903"/>
        <item x="4088"/>
        <item x="899"/>
        <item x="3161"/>
        <item x="1430"/>
        <item x="3916"/>
        <item x="2307"/>
        <item x="4703"/>
        <item x="4368"/>
        <item x="118"/>
        <item x="2385"/>
        <item x="2812"/>
        <item x="2330"/>
        <item x="3725"/>
        <item x="3103"/>
        <item x="3804"/>
        <item x="4296"/>
        <item x="1618"/>
        <item x="1197"/>
        <item x="1440"/>
        <item x="97"/>
        <item x="766"/>
        <item x="1474"/>
        <item x="191"/>
        <item x="2807"/>
        <item x="4226"/>
        <item x="35"/>
        <item x="2212"/>
        <item x="3764"/>
        <item x="4197"/>
        <item x="1487"/>
        <item x="3593"/>
        <item x="1513"/>
        <item x="3177"/>
        <item x="4237"/>
        <item x="1983"/>
        <item x="1584"/>
        <item x="697"/>
        <item x="919"/>
        <item x="2024"/>
        <item x="3473"/>
        <item x="2355"/>
        <item x="4375"/>
        <item x="4784"/>
        <item x="3776"/>
        <item x="1688"/>
        <item x="2981"/>
        <item x="4110"/>
        <item x="3499"/>
        <item x="4570"/>
        <item x="3015"/>
        <item x="4655"/>
        <item x="698"/>
        <item x="3042"/>
        <item x="1806"/>
        <item x="1701"/>
        <item x="210"/>
        <item x="4573"/>
        <item x="207"/>
        <item x="2906"/>
        <item x="2707"/>
        <item x="1210"/>
        <item x="1636"/>
        <item x="2395"/>
        <item x="4301"/>
        <item x="325"/>
        <item x="2146"/>
        <item x="1693"/>
        <item x="17"/>
        <item x="4045"/>
        <item x="2027"/>
        <item x="1015"/>
        <item x="965"/>
        <item x="4840"/>
        <item x="1696"/>
        <item x="1942"/>
        <item x="4527"/>
        <item x="4260"/>
        <item x="3755"/>
        <item x="4412"/>
        <item x="246"/>
        <item x="3021"/>
        <item x="991"/>
        <item x="4513"/>
        <item x="1582"/>
        <item x="3132"/>
        <item x="4727"/>
        <item x="452"/>
        <item x="1671"/>
        <item x="4377"/>
        <item x="4478"/>
        <item x="2012"/>
        <item x="3206"/>
        <item x="3615"/>
        <item x="4627"/>
        <item x="3929"/>
        <item x="788"/>
        <item x="3733"/>
        <item x="4788"/>
        <item x="3024"/>
        <item x="150"/>
        <item x="1793"/>
        <item x="2900"/>
        <item x="4250"/>
        <item x="3005"/>
        <item x="2226"/>
        <item x="4601"/>
        <item x="4427"/>
        <item x="1566"/>
        <item x="4638"/>
        <item x="2563"/>
        <item x="518"/>
        <item x="3828"/>
        <item x="4753"/>
        <item x="1063"/>
        <item x="3803"/>
        <item x="2845"/>
        <item x="2978"/>
        <item x="368"/>
        <item x="229"/>
        <item x="1711"/>
        <item x="3232"/>
        <item x="2569"/>
        <item x="730"/>
        <item x="1759"/>
        <item x="1380"/>
        <item x="1829"/>
        <item x="2205"/>
        <item x="3247"/>
        <item x="1044"/>
        <item x="3286"/>
        <item x="543"/>
        <item x="2843"/>
        <item x="2808"/>
        <item x="606"/>
        <item x="2521"/>
        <item x="2440"/>
        <item x="1196"/>
        <item x="792"/>
        <item x="2614"/>
        <item x="4870"/>
        <item x="3180"/>
        <item x="4738"/>
        <item x="137"/>
        <item x="4704"/>
        <item x="76"/>
        <item x="4843"/>
        <item x="3705"/>
        <item x="1843"/>
        <item x="1094"/>
        <item x="1948"/>
        <item x="203"/>
        <item x="1796"/>
        <item x="2117"/>
        <item x="3600"/>
        <item x="62"/>
        <item x="1028"/>
        <item x="4311"/>
        <item x="3095"/>
        <item x="4485"/>
        <item x="4649"/>
        <item x="3519"/>
        <item x="347"/>
        <item x="3535"/>
        <item x="1000"/>
        <item x="4695"/>
        <item x="2048"/>
        <item x="986"/>
        <item x="3117"/>
        <item x="2811"/>
        <item x="1359"/>
        <item x="3599"/>
        <item x="2438"/>
        <item x="4132"/>
        <item x="4291"/>
        <item x="480"/>
        <item x="2802"/>
        <item x="4838"/>
        <item x="985"/>
        <item x="440"/>
        <item x="3625"/>
        <item x="9"/>
        <item x="4448"/>
        <item x="4662"/>
        <item x="201"/>
        <item x="1529"/>
        <item x="3099"/>
        <item x="507"/>
        <item x="3890"/>
        <item x="3616"/>
        <item x="4369"/>
        <item x="267"/>
        <item x="4682"/>
        <item x="3531"/>
        <item x="3069"/>
        <item x="589"/>
        <item x="4624"/>
        <item x="4017"/>
        <item x="1376"/>
        <item x="866"/>
        <item x="4243"/>
        <item x="1177"/>
        <item x="2917"/>
        <item x="1271"/>
        <item x="4432"/>
        <item x="4416"/>
        <item x="3039"/>
        <item x="2565"/>
        <item x="328"/>
        <item x="3605"/>
        <item x="4722"/>
        <item x="4810"/>
        <item x="4737"/>
        <item x="4359"/>
        <item x="284"/>
        <item x="1668"/>
        <item x="2474"/>
        <item x="552"/>
        <item x="1323"/>
        <item x="1104"/>
        <item x="1756"/>
        <item x="4278"/>
        <item x="1488"/>
        <item x="4179"/>
        <item x="4252"/>
        <item x="4084"/>
        <item x="4442"/>
        <item x="1089"/>
        <item x="4839"/>
        <item x="616"/>
        <item x="3316"/>
        <item x="1889"/>
        <item x="4290"/>
        <item x="1121"/>
        <item x="4588"/>
        <item x="2782"/>
        <item x="827"/>
        <item x="1665"/>
        <item x="2949"/>
        <item x="2423"/>
        <item x="1298"/>
        <item x="3391"/>
        <item x="3198"/>
        <item x="2285"/>
        <item x="1497"/>
        <item x="3408"/>
        <item x="3565"/>
        <item x="1660"/>
        <item x="2200"/>
        <item x="3904"/>
        <item x="4564"/>
        <item x="3290"/>
        <item x="4349"/>
        <item x="3529"/>
        <item x="3348"/>
        <item x="103"/>
        <item x="4487"/>
        <item x="4013"/>
        <item x="549"/>
        <item x="3110"/>
        <item x="4289"/>
        <item x="4455"/>
        <item x="4492"/>
        <item x="3883"/>
        <item x="2194"/>
        <item x="2606"/>
        <item x="3941"/>
        <item x="2373"/>
        <item x="3031"/>
        <item x="3556"/>
        <item x="2646"/>
        <item x="4518"/>
        <item x="2588"/>
        <item x="3265"/>
        <item x="2762"/>
        <item x="1896"/>
        <item x="1147"/>
        <item x="57"/>
        <item x="1462"/>
        <item x="625"/>
        <item x="323"/>
        <item x="488"/>
        <item x="4136"/>
        <item x="1341"/>
        <item x="2973"/>
        <item x="2525"/>
        <item x="3011"/>
        <item x="1396"/>
        <item x="3534"/>
        <item x="3076"/>
        <item x="4629"/>
        <item x="200"/>
        <item x="2916"/>
        <item x="1993"/>
        <item x="2293"/>
        <item x="2270"/>
        <item x="1514"/>
        <item x="4147"/>
        <item x="3494"/>
        <item x="3838"/>
        <item x="3455"/>
        <item x="58"/>
        <item x="745"/>
        <item x="3683"/>
        <item x="797"/>
        <item x="3485"/>
        <item x="531"/>
        <item x="2972"/>
        <item x="1428"/>
        <item x="1186"/>
        <item x="16"/>
        <item x="3223"/>
        <item x="2038"/>
        <item x="4043"/>
        <item x="2934"/>
        <item x="4686"/>
        <item x="2599"/>
        <item x="513"/>
        <item x="4114"/>
        <item x="3144"/>
        <item x="591"/>
        <item x="1452"/>
        <item x="482"/>
        <item x="341"/>
        <item x="1463"/>
        <item x="686"/>
        <item x="1134"/>
        <item x="3702"/>
        <item x="282"/>
        <item x="247"/>
        <item x="2860"/>
        <item x="4692"/>
        <item x="68"/>
        <item x="2268"/>
        <item x="4562"/>
        <item x="3721"/>
        <item x="4112"/>
        <item x="3655"/>
        <item x="2791"/>
        <item x="2950"/>
        <item x="71"/>
        <item x="3243"/>
        <item x="4201"/>
        <item x="3699"/>
        <item x="2559"/>
        <item x="3496"/>
        <item x="4300"/>
        <item x="2704"/>
        <item x="4450"/>
        <item x="1321"/>
        <item x="3402"/>
        <item x="692"/>
        <item x="4563"/>
        <item x="4656"/>
        <item x="2857"/>
        <item x="802"/>
        <item x="1062"/>
        <item x="4826"/>
        <item x="1936"/>
        <item x="2506"/>
        <item x="559"/>
        <item x="4542"/>
        <item x="2866"/>
        <item x="2702"/>
        <item x="4053"/>
        <item x="1295"/>
        <item x="2004"/>
        <item x="3209"/>
        <item x="4864"/>
        <item x="1332"/>
        <item x="4661"/>
        <item x="3757"/>
        <item x="363"/>
        <item x="2202"/>
        <item x="2532"/>
        <item x="4730"/>
        <item x="3549"/>
        <item x="1742"/>
        <item x="2669"/>
        <item x="3451"/>
        <item x="1976"/>
        <item x="4144"/>
        <item x="4441"/>
        <item x="4793"/>
        <item x="3423"/>
        <item x="3898"/>
        <item x="1568"/>
        <item x="1922"/>
        <item x="3043"/>
        <item x="343"/>
        <item x="432"/>
        <item x="29"/>
        <item x="636"/>
        <item x="3643"/>
        <item x="2890"/>
        <item x="1349"/>
        <item x="3466"/>
        <item x="1363"/>
        <item x="4529"/>
        <item x="3675"/>
        <item x="4481"/>
        <item x="1356"/>
        <item x="2396"/>
        <item x="41"/>
        <item x="3254"/>
        <item x="2283"/>
        <item x="3448"/>
        <item x="1188"/>
        <item x="4577"/>
        <item x="4066"/>
        <item x="2755"/>
        <item x="4769"/>
        <item x="768"/>
        <item x="4630"/>
        <item x="1025"/>
        <item x="1281"/>
        <item x="2043"/>
        <item x="680"/>
        <item x="2480"/>
        <item x="1192"/>
        <item x="2123"/>
        <item x="3064"/>
        <item x="1151"/>
        <item x="4734"/>
        <item x="2841"/>
        <item x="4406"/>
        <item x="3382"/>
        <item x="1254"/>
        <item x="3626"/>
        <item x="2763"/>
        <item x="4023"/>
        <item x="3310"/>
        <item x="3352"/>
        <item x="5"/>
        <item x="4310"/>
        <item x="2865"/>
        <item x="1871"/>
        <item x="1308"/>
        <item x="778"/>
        <item x="3665"/>
        <item x="4082"/>
        <item x="3770"/>
        <item x="3285"/>
        <item x="3170"/>
        <item x="617"/>
        <item x="3187"/>
        <item x="390"/>
        <item x="3777"/>
        <item x="4262"/>
        <item x="1423"/>
        <item x="3489"/>
        <item x="1287"/>
        <item x="3154"/>
        <item x="2659"/>
        <item x="491"/>
        <item x="2686"/>
        <item x="4206"/>
        <item x="3731"/>
        <item x="3439"/>
        <item x="3873"/>
        <item x="2232"/>
        <item x="2726"/>
        <item x="2465"/>
        <item x="406"/>
        <item x="865"/>
        <item x="420"/>
        <item x="1501"/>
        <item x="1929"/>
        <item x="2756"/>
        <item x="381"/>
        <item x="1310"/>
        <item x="1223"/>
        <item x="4799"/>
        <item x="54"/>
        <item x="3545"/>
        <item x="2057"/>
        <item x="568"/>
        <item x="2774"/>
        <item x="1611"/>
        <item x="2197"/>
        <item x="4331"/>
        <item x="1283"/>
        <item x="2184"/>
        <item x="913"/>
        <item x="386"/>
        <item x="4001"/>
        <item x="131"/>
        <item x="703"/>
        <item x="1885"/>
        <item x="79"/>
        <item x="2362"/>
        <item x="1031"/>
        <item x="1673"/>
        <item x="3049"/>
        <item x="3824"/>
        <item x="2741"/>
        <item x="3730"/>
        <item x="2325"/>
        <item x="2885"/>
        <item x="1340"/>
        <item x="2517"/>
        <item x="3272"/>
        <item x="3359"/>
        <item x="1641"/>
        <item x="1003"/>
        <item x="3700"/>
        <item x="1550"/>
        <item x="1394"/>
        <item x="1575"/>
        <item x="1116"/>
        <item x="2954"/>
        <item x="641"/>
        <item x="1526"/>
        <item x="822"/>
        <item x="950"/>
        <item x="414"/>
        <item x="682"/>
        <item x="285"/>
        <item x="4265"/>
        <item x="2594"/>
        <item x="747"/>
        <item x="4453"/>
        <item x="400"/>
        <item x="336"/>
        <item x="3492"/>
        <item x="4121"/>
        <item x="364"/>
        <item x="4267"/>
        <item x="1996"/>
        <item x="4484"/>
        <item x="2880"/>
        <item x="3676"/>
        <item x="8"/>
        <item x="4645"/>
        <item x="1997"/>
        <item x="4580"/>
        <item x="2315"/>
        <item x="3822"/>
        <item x="3995"/>
        <item x="4111"/>
        <item x="3318"/>
        <item x="4510"/>
        <item x="610"/>
        <item x="4808"/>
        <item x="3505"/>
        <item x="4514"/>
        <item x="2016"/>
        <item x="1032"/>
        <item x="2367"/>
        <item x="3932"/>
        <item x="215"/>
        <item x="158"/>
        <item x="982"/>
        <item x="4466"/>
        <item x="1565"/>
        <item x="1534"/>
        <item x="3259"/>
        <item x="1269"/>
        <item x="3913"/>
        <item x="2580"/>
        <item x="262"/>
        <item x="463"/>
        <item x="4475"/>
        <item x="391"/>
        <item x="145"/>
        <item x="690"/>
        <item x="1212"/>
        <item x="3367"/>
        <item x="4248"/>
        <item x="159"/>
        <item x="3399"/>
        <item x="4303"/>
        <item x="604"/>
        <item x="1848"/>
        <item x="3892"/>
        <item x="4540"/>
        <item x="3860"/>
        <item x="3919"/>
        <item x="3696"/>
        <item x="1008"/>
        <item x="4285"/>
        <item x="2476"/>
        <item x="2747"/>
        <item x="2578"/>
        <item x="1320"/>
        <item x="4670"/>
        <item x="1311"/>
        <item x="4861"/>
        <item x="3162"/>
        <item x="1309"/>
        <item x="4819"/>
        <item x="128"/>
        <item x="1239"/>
        <item x="1263"/>
        <item x="529"/>
        <item x="4644"/>
        <item x="4383"/>
        <item x="1294"/>
        <item x="1434"/>
        <item x="1495"/>
        <item x="1221"/>
        <item x="3560"/>
        <item x="417"/>
        <item x="1048"/>
        <item x="2418"/>
        <item x="4014"/>
        <item x="3401"/>
        <item x="3385"/>
        <item x="1408"/>
        <item x="4288"/>
        <item x="562"/>
        <item x="1965"/>
        <item x="627"/>
        <item x="3877"/>
        <item x="3080"/>
        <item x="2014"/>
        <item x="270"/>
        <item x="1291"/>
        <item x="2183"/>
        <item x="1290"/>
        <item x="1921"/>
        <item x="1664"/>
        <item x="1132"/>
        <item x="2208"/>
        <item x="2933"/>
        <item x="3333"/>
        <item x="2422"/>
        <item x="796"/>
        <item x="3685"/>
        <item x="436"/>
        <item x="1924"/>
        <item x="4198"/>
        <item x="3234"/>
        <item x="4499"/>
        <item x="3857"/>
        <item x="2333"/>
        <item x="3108"/>
        <item x="3931"/>
        <item x="213"/>
        <item x="1617"/>
        <item x="1748"/>
        <item x="298"/>
        <item x="3214"/>
        <item x="2156"/>
        <item x="3483"/>
        <item x="2526"/>
        <item x="987"/>
        <item x="1661"/>
        <item x="2246"/>
        <item x="855"/>
        <item x="1314"/>
        <item x="3669"/>
        <item x="453"/>
        <item x="421"/>
        <item x="818"/>
        <item x="3630"/>
        <item x="3810"/>
        <item x="3820"/>
        <item x="1937"/>
        <item x="474"/>
        <item x="1412"/>
        <item x="478"/>
        <item x="1899"/>
        <item x="3879"/>
        <item x="907"/>
        <item x="4271"/>
        <item x="4785"/>
        <item x="4074"/>
        <item x="4218"/>
        <item x="957"/>
        <item x="771"/>
        <item x="4263"/>
        <item x="3410"/>
        <item x="3720"/>
        <item x="365"/>
        <item x="242"/>
        <item x="2868"/>
        <item x="4210"/>
        <item x="934"/>
        <item x="4724"/>
        <item x="1336"/>
        <item x="2114"/>
        <item x="1552"/>
        <item x="2571"/>
        <item x="1224"/>
        <item x="1620"/>
        <item x="944"/>
        <item x="2229"/>
        <item x="4859"/>
        <item x="3882"/>
        <item x="2676"/>
        <item x="84"/>
        <item x="1903"/>
        <item x="1120"/>
        <item x="1656"/>
        <item x="1841"/>
        <item x="1464"/>
        <item x="1386"/>
        <item x="2077"/>
        <item x="1482"/>
        <item x="2403"/>
        <item x="2864"/>
        <item x="3202"/>
        <item x="3093"/>
        <item x="1145"/>
        <item x="1652"/>
        <item x="468"/>
        <item x="3580"/>
        <item x="3081"/>
        <item x="1035"/>
        <item x="1822"/>
        <item x="2720"/>
        <item x="2500"/>
        <item x="2327"/>
        <item x="3788"/>
        <item x="2437"/>
        <item x="3674"/>
        <item x="184"/>
        <item x="2460"/>
        <item x="2427"/>
        <item x="3155"/>
        <item x="3796"/>
        <item x="3134"/>
        <item x="487"/>
        <item x="3736"/>
        <item x="1820"/>
        <item x="2340"/>
        <item x="1342"/>
        <item x="4410"/>
        <item x="4716"/>
        <item x="53"/>
        <item x="4003"/>
        <item x="2051"/>
        <item x="1835"/>
        <item x="1125"/>
        <item x="1327"/>
        <item x="4145"/>
        <item x="565"/>
        <item x="828"/>
        <item x="2706"/>
        <item x="3244"/>
        <item x="3344"/>
        <item x="412"/>
        <item x="4508"/>
        <item x="3335"/>
        <item x="4086"/>
        <item x="717"/>
        <item x="1034"/>
        <item x="3440"/>
        <item x="1178"/>
        <item x="81"/>
        <item x="3068"/>
        <item x="240"/>
        <item x="2104"/>
        <item x="3650"/>
        <item x="2825"/>
        <item x="3572"/>
        <item x="4470"/>
        <item x="1047"/>
        <item x="4400"/>
        <item x="3319"/>
        <item x="2445"/>
        <item x="171"/>
        <item x="484"/>
        <item x="1675"/>
        <item x="2809"/>
        <item x="1720"/>
        <item x="2663"/>
        <item x="147"/>
        <item x="1772"/>
        <item x="2154"/>
        <item x="573"/>
        <item x="1225"/>
        <item x="4350"/>
        <item x="1095"/>
        <item x="1350"/>
        <item x="2889"/>
        <item x="2638"/>
        <item x="230"/>
        <item x="4764"/>
        <item x="1268"/>
        <item x="3166"/>
        <item x="34"/>
        <item x="4199"/>
        <item x="377"/>
        <item x="3164"/>
        <item x="3100"/>
        <item x="3452"/>
        <item x="3300"/>
        <item x="4360"/>
        <item x="2671"/>
        <item x="3306"/>
        <item x="2124"/>
        <item x="4616"/>
        <item x="2619"/>
        <item x="917"/>
        <item x="1515"/>
        <item x="1950"/>
        <item x="268"/>
        <item x="4768"/>
        <item x="3635"/>
        <item x="3085"/>
        <item x="1450"/>
        <item x="2645"/>
        <item x="455"/>
        <item x="762"/>
        <item x="490"/>
        <item x="3041"/>
        <item x="3268"/>
        <item x="2733"/>
        <item x="220"/>
        <item x="889"/>
        <item x="4736"/>
        <item x="3106"/>
        <item x="2801"/>
        <item x="1911"/>
        <item x="2971"/>
        <item x="1939"/>
        <item x="3584"/>
        <item x="2000"/>
        <item x="2490"/>
        <item x="1938"/>
        <item x="4447"/>
        <item x="3728"/>
        <item x="1645"/>
        <item x="2073"/>
        <item x="56"/>
        <item x="4051"/>
        <item x="384"/>
        <item x="3648"/>
        <item x="4167"/>
        <item x="508"/>
        <item x="4347"/>
        <item x="2299"/>
        <item x="4674"/>
        <item x="2749"/>
        <item x="4398"/>
        <item x="4244"/>
        <item x="4460"/>
        <item x="1949"/>
        <item x="4626"/>
        <item x="451"/>
        <item x="3341"/>
        <item x="4694"/>
        <item x="27"/>
        <item x="3210"/>
        <item x="540"/>
        <item x="2097"/>
        <item x="4274"/>
        <item x="1974"/>
        <item x="569"/>
        <item x="3847"/>
        <item x="2662"/>
        <item x="1203"/>
        <item x="3659"/>
        <item x="2110"/>
        <item x="1710"/>
        <item x="1061"/>
        <item x="4728"/>
        <item x="4634"/>
        <item x="4230"/>
        <item x="1621"/>
        <item x="1825"/>
        <item x="1257"/>
        <item x="4776"/>
        <item x="857"/>
        <item x="359"/>
        <item x="2846"/>
        <item x="4255"/>
        <item x="4163"/>
        <item x="63"/>
        <item x="250"/>
        <item x="2158"/>
        <item x="657"/>
        <item x="596"/>
        <item x="2144"/>
        <item x="3111"/>
        <item x="2997"/>
        <item x="3598"/>
        <item x="2256"/>
        <item x="1894"/>
        <item x="1727"/>
        <item x="0"/>
        <item x="2822"/>
        <item x="3003"/>
        <item x="654"/>
        <item x="3881"/>
        <item x="3302"/>
        <item x="2670"/>
        <item x="2903"/>
        <item x="4721"/>
        <item x="1712"/>
        <item x="2167"/>
        <item x="1091"/>
        <item x="2555"/>
        <item x="2566"/>
        <item x="4636"/>
        <item x="817"/>
        <item x="1154"/>
        <item x="2910"/>
        <item x="2722"/>
        <item x="1740"/>
        <item x="1348"/>
        <item x="891"/>
        <item x="376"/>
        <item x="3570"/>
        <item x="4015"/>
        <item x="3509"/>
        <item x="1718"/>
        <item x="1457"/>
        <item x="1247"/>
        <item x="1312"/>
        <item x="75"/>
        <item x="2065"/>
        <item x="2245"/>
        <item x="2113"/>
        <item x="2010"/>
        <item x="3895"/>
        <item x="2777"/>
        <item x="317"/>
        <item x="466"/>
        <item x="2336"/>
        <item x="3642"/>
        <item x="4733"/>
        <item x="3432"/>
        <item x="199"/>
        <item x="256"/>
        <item x="1270"/>
        <item x="628"/>
        <item x="528"/>
        <item x="3548"/>
        <item x="3695"/>
        <item x="882"/>
        <item x="47"/>
        <item x="3246"/>
        <item x="3130"/>
        <item x="4392"/>
        <item x="653"/>
        <item x="2875"/>
        <item x="2148"/>
        <item x="1300"/>
        <item x="3398"/>
        <item x="312"/>
        <item x="3481"/>
        <item x="812"/>
        <item x="1901"/>
        <item x="1541"/>
        <item x="4765"/>
        <item x="3225"/>
        <item x="1481"/>
        <item x="313"/>
        <item x="3924"/>
        <item x="2359"/>
        <item x="4480"/>
        <item x="1747"/>
        <item x="337"/>
        <item x="563"/>
        <item x="3051"/>
        <item x="1160"/>
        <item x="4165"/>
        <item x="4537"/>
        <item x="3540"/>
        <item x="1816"/>
        <item x="3533"/>
        <item x="3066"/>
        <item x="923"/>
        <item x="4623"/>
        <item x="2830"/>
        <item x="3963"/>
        <item x="2026"/>
        <item x="4130"/>
        <item x="2078"/>
        <item x="4071"/>
        <item x="4193"/>
        <item x="3383"/>
        <item x="2598"/>
        <item x="2413"/>
        <item x="2023"/>
        <item x="1371"/>
        <item x="2828"/>
        <item x="3504"/>
        <item x="1906"/>
        <item x="3657"/>
        <item x="2337"/>
        <item x="1729"/>
        <item x="2098"/>
        <item x="615"/>
        <item x="611"/>
        <item x="3415"/>
        <item x="4701"/>
        <item x="726"/>
        <item x="1306"/>
        <item x="3836"/>
        <item x="1426"/>
        <item x="4203"/>
        <item x="3707"/>
        <item x="963"/>
        <item x="4749"/>
        <item x="3959"/>
        <item x="3471"/>
        <item x="764"/>
        <item x="475"/>
        <item x="2687"/>
        <item x="3761"/>
        <item x="1238"/>
        <item x="1659"/>
        <item x="2079"/>
        <item x="2345"/>
        <item x="4376"/>
        <item x="1280"/>
        <item x="1886"/>
        <item x="924"/>
        <item x="2507"/>
        <item x="3421"/>
        <item x="4591"/>
        <item x="3127"/>
        <item x="1990"/>
        <item x="55"/>
        <item x="2930"/>
        <item x="470"/>
        <item x="1202"/>
        <item x="1228"/>
        <item x="2574"/>
        <item x="3748"/>
        <item x="1046"/>
        <item x="4238"/>
        <item x="2800"/>
        <item x="751"/>
        <item x="3061"/>
        <item x="782"/>
        <item x="4596"/>
        <item x="2761"/>
        <item x="3393"/>
        <item x="2697"/>
        <item x="901"/>
        <item x="3538"/>
        <item x="4314"/>
        <item x="935"/>
        <item x="2173"/>
        <item x="1612"/>
        <item x="1750"/>
        <item x="50"/>
        <item x="4187"/>
        <item x="583"/>
        <item x="1131"/>
        <item x="1118"/>
        <item x="1751"/>
        <item x="1227"/>
        <item x="1909"/>
        <item x="2909"/>
        <item x="4748"/>
        <item x="1856"/>
        <item x="1411"/>
        <item x="711"/>
        <item x="1882"/>
        <item x="2140"/>
        <item x="702"/>
        <item x="2324"/>
        <item x="3124"/>
        <item x="1260"/>
        <item x="211"/>
        <item x="1955"/>
        <item x="4332"/>
        <item x="879"/>
        <item x="2217"/>
        <item x="1807"/>
        <item x="3608"/>
        <item x="2352"/>
        <item x="748"/>
        <item x="902"/>
        <item x="4141"/>
        <item x="2785"/>
        <item x="6"/>
        <item x="1839"/>
        <item x="3628"/>
        <item x="2034"/>
        <item x="2820"/>
        <item x="2406"/>
        <item x="3434"/>
        <item x="389"/>
        <item x="1496"/>
        <item x="4648"/>
        <item x="48"/>
        <item x="2477"/>
        <item x="4829"/>
        <item x="1022"/>
        <item x="4233"/>
        <item x="1558"/>
        <item x="2740"/>
        <item x="3691"/>
        <item x="2398"/>
        <item x="310"/>
        <item x="671"/>
        <item x="2260"/>
        <item x="1591"/>
        <item x="1777"/>
        <item x="1413"/>
        <item x="3640"/>
        <item x="187"/>
        <item x="2237"/>
        <item x="3752"/>
        <item x="1715"/>
        <item x="3425"/>
        <item x="4419"/>
        <item x="4283"/>
        <item x="1199"/>
        <item x="4343"/>
        <item x="3762"/>
        <item x="172"/>
        <item x="3122"/>
        <item x="892"/>
        <item x="939"/>
        <item x="2444"/>
        <item x="1571"/>
        <item x="4482"/>
        <item x="1653"/>
        <item x="621"/>
        <item x="2660"/>
        <item x="49"/>
        <item x="2575"/>
        <item x="2783"/>
        <item x="1465"/>
        <item x="4825"/>
        <item x="3716"/>
        <item x="2313"/>
        <item x="4746"/>
        <item x="3603"/>
        <item x="1214"/>
        <item x="2115"/>
        <item x="4503"/>
        <item x="3125"/>
        <item x="4459"/>
        <item x="257"/>
        <item x="237"/>
        <item x="4696"/>
        <item x="1389"/>
        <item x="4168"/>
        <item x="3607"/>
        <item x="1377"/>
        <item x="4465"/>
        <item x="2005"/>
        <item x="299"/>
        <item x="2607"/>
        <item x="2771"/>
        <item x="2017"/>
        <item x="850"/>
        <item x="3808"/>
        <item x="929"/>
        <item x="712"/>
        <item x="189"/>
        <item x="156"/>
        <item x="994"/>
        <item x="494"/>
        <item x="681"/>
        <item x="1122"/>
        <item x="910"/>
        <item x="803"/>
        <item x="1476"/>
        <item x="3270"/>
        <item x="1977"/>
        <item x="2547"/>
        <item x="2519"/>
        <item x="1774"/>
        <item x="2220"/>
        <item x="3131"/>
        <item x="1241"/>
        <item x="3955"/>
        <item x="2592"/>
        <item x="2736"/>
        <item x="1479"/>
        <item x="3149"/>
        <item x="3743"/>
        <item x="820"/>
        <item x="4184"/>
        <item x="956"/>
        <item x="3420"/>
        <item x="3059"/>
        <item x="699"/>
        <item x="4572"/>
        <item x="2797"/>
        <item x="1360"/>
        <item x="2462"/>
        <item x="1229"/>
        <item x="3812"/>
        <item x="3372"/>
        <item x="3102"/>
        <item x="3647"/>
        <item x="2727"/>
        <item x="2353"/>
        <item x="2750"/>
        <item x="3884"/>
        <item x="4685"/>
        <item x="1272"/>
        <item x="3018"/>
        <item x="2068"/>
        <item x="1876"/>
        <item x="3971"/>
        <item x="4109"/>
        <item x="117"/>
        <item x="350"/>
        <item x="4587"/>
        <item x="2011"/>
        <item x="4413"/>
        <item x="2626"/>
        <item x="1358"/>
        <item x="1785"/>
        <item x="1787"/>
        <item x="4502"/>
        <item x="4142"/>
        <item x="1538"/>
        <item x="356"/>
        <item x="2449"/>
        <item x="2036"/>
        <item x="3026"/>
        <item x="2328"/>
        <item x="129"/>
        <item x="1893"/>
        <item x="2094"/>
        <item x="3057"/>
        <item x="2481"/>
        <item x="4560"/>
        <item x="3767"/>
        <item x="546"/>
        <item x="3429"/>
        <item x="2969"/>
        <item x="4298"/>
        <item x="329"/>
        <item x="3019"/>
        <item x="320"/>
        <item x="3624"/>
        <item x="2613"/>
        <item x="2712"/>
        <item x="811"/>
        <item x="235"/>
        <item x="1833"/>
        <item x="1556"/>
        <item x="3957"/>
        <item x="2224"/>
        <item x="124"/>
        <item x="4451"/>
        <item x="3795"/>
        <item x="572"/>
        <item x="2842"/>
        <item x="2084"/>
        <item x="2244"/>
        <item x="501"/>
        <item x="545"/>
        <item x="1804"/>
        <item x="214"/>
        <item x="1995"/>
        <item x="960"/>
        <item x="174"/>
        <item x="2319"/>
        <item x="140"/>
        <item x="2309"/>
        <item x="1580"/>
        <item x="2556"/>
        <item x="3279"/>
        <item x="2419"/>
        <item x="2379"/>
        <item x="3046"/>
        <item x="1329"/>
        <item x="3907"/>
        <item x="2509"/>
        <item x="138"/>
        <item x="3894"/>
        <item x="1723"/>
        <item x="2471"/>
        <item x="3298"/>
        <item x="4522"/>
        <item x="2387"/>
        <item x="1302"/>
        <item x="3667"/>
        <item x="3947"/>
        <item x="1978"/>
        <item x="2321"/>
        <item x="3851"/>
        <item x="4855"/>
        <item x="3682"/>
        <item x="895"/>
        <item x="1111"/>
        <item x="535"/>
        <item x="4519"/>
        <item x="734"/>
        <item x="1037"/>
        <item x="3876"/>
        <item x="2602"/>
        <item x="3581"/>
        <item x="4541"/>
        <item x="3973"/>
        <item x="4795"/>
        <item x="2924"/>
        <item x="3956"/>
        <item x="1735"/>
        <item x="4083"/>
        <item x="2688"/>
        <item x="4208"/>
        <item x="276"/>
        <item x="3769"/>
        <item x="2716"/>
        <item x="4688"/>
        <item x="2454"/>
        <item x="4125"/>
        <item x="2567"/>
        <item x="2751"/>
        <item x="2533"/>
        <item x="4779"/>
        <item x="4496"/>
        <item x="2388"/>
        <item x="860"/>
        <item x="844"/>
        <item x="4342"/>
        <item x="1170"/>
        <item x="4515"/>
        <item x="595"/>
        <item x="1105"/>
        <item x="2731"/>
        <item x="862"/>
        <item x="3478"/>
        <item x="3320"/>
        <item x="1849"/>
        <item x="4617"/>
        <item x="4551"/>
        <item x="584"/>
        <item x="554"/>
        <item x="1082"/>
        <item x="181"/>
        <item x="461"/>
        <item x="2737"/>
        <item x="2091"/>
        <item x="3754"/>
        <item x="327"/>
        <item x="1881"/>
        <item x="4757"/>
        <item x="1250"/>
        <item x="3321"/>
        <item x="1875"/>
        <item x="1786"/>
        <item x="3774"/>
        <item x="544"/>
        <item x="281"/>
        <item x="2033"/>
        <item x="893"/>
        <item x="876"/>
        <item x="3062"/>
        <item x="3116"/>
        <item x="374"/>
        <item x="3986"/>
        <item x="4812"/>
        <item x="1579"/>
        <item x="4334"/>
        <item x="2772"/>
        <item x="4293"/>
        <item x="4315"/>
        <item x="1179"/>
        <item x="4025"/>
        <item x="1811"/>
        <item x="2999"/>
        <item x="497"/>
        <item x="4057"/>
        <item x="59"/>
        <item x="4235"/>
        <item x="4268"/>
        <item x="1504"/>
        <item x="173"/>
        <item x="4264"/>
        <item x="2793"/>
        <item x="4134"/>
        <item x="1945"/>
        <item x="1912"/>
        <item x="3182"/>
        <item x="3835"/>
        <item x="125"/>
        <item x="1602"/>
        <item x="639"/>
        <item x="316"/>
        <item x="3010"/>
        <item x="1364"/>
        <item x="4328"/>
        <item x="1128"/>
        <item x="4128"/>
        <item x="2082"/>
        <item x="326"/>
        <item x="83"/>
        <item x="3358"/>
        <item x="4435"/>
        <item x="3090"/>
        <item x="1560"/>
        <item x="479"/>
        <item x="3622"/>
        <item x="223"/>
        <item x="186"/>
        <item x="3544"/>
        <item x="2691"/>
        <item x="3156"/>
        <item x="3142"/>
        <item x="4867"/>
        <item x="3747"/>
        <item x="3644"/>
        <item x="3729"/>
        <item x="757"/>
        <item x="4277"/>
        <item x="136"/>
        <item x="4744"/>
        <item x="1941"/>
        <item x="4052"/>
        <item x="4871"/>
        <item x="4693"/>
        <item x="1230"/>
        <item x="1013"/>
        <item x="4302"/>
        <item x="3394"/>
        <item x="2652"/>
        <item x="2371"/>
        <item x="904"/>
        <item x="2918"/>
        <item x="3392"/>
        <item x="4582"/>
        <item x="2512"/>
        <item x="1383"/>
        <item x="244"/>
        <item x="2922"/>
        <item x="2435"/>
        <item x="2795"/>
        <item x="132"/>
        <item x="3805"/>
        <item x="410"/>
        <item x="3157"/>
        <item x="481"/>
        <item x="4229"/>
        <item x="236"/>
        <item x="1725"/>
        <item x="123"/>
        <item x="3381"/>
        <item x="2748"/>
        <item x="4817"/>
        <item x="179"/>
        <item x="3139"/>
        <item x="3561"/>
        <item x="3673"/>
        <item x="3373"/>
        <item x="3028"/>
        <item x="2817"/>
        <item x="2466"/>
        <item x="2945"/>
        <item x="4036"/>
        <item x="3115"/>
        <item x="2139"/>
        <item x="2030"/>
        <item x="542"/>
        <item x="3595"/>
        <item x="286"/>
        <item x="3718"/>
        <item x="1828"/>
        <item x="1622"/>
        <item x="705"/>
        <item x="418"/>
        <item x="3027"/>
        <item x="2341"/>
        <item x="3204"/>
        <item x="1979"/>
        <item x="441"/>
        <item x="4528"/>
        <item x="721"/>
        <item x="192"/>
        <item x="1460"/>
        <item x="349"/>
        <item x="4483"/>
        <item x="2815"/>
        <item x="1403"/>
        <item x="1381"/>
        <item x="1353"/>
        <item x="2175"/>
        <item x="2273"/>
        <item x="3715"/>
        <item x="1373"/>
        <item x="3267"/>
        <item x="3276"/>
        <item x="1080"/>
        <item x="3527"/>
        <item x="3591"/>
        <item x="2495"/>
        <item x="1999"/>
        <item x="3552"/>
        <item x="3962"/>
        <item x="212"/>
        <item x="1307"/>
        <item x="1075"/>
        <item x="4567"/>
        <item x="2806"/>
        <item x="4156"/>
        <item x="1318"/>
        <item x="3567"/>
        <item x="354"/>
        <item x="101"/>
        <item x="2673"/>
        <item x="2199"/>
        <item x="4038"/>
        <item x="3328"/>
        <item x="4119"/>
        <item x="1792"/>
        <item x="1191"/>
        <item x="4758"/>
        <item x="1110"/>
        <item x="4550"/>
        <item x="4279"/>
        <item x="976"/>
        <item x="1547"/>
        <item x="3582"/>
        <item x="196"/>
        <item x="1639"/>
        <item x="1542"/>
        <item x="4702"/>
        <item x="4009"/>
        <item x="2284"/>
        <item x="3221"/>
        <item x="3562"/>
        <item x="4195"/>
        <item x="669"/>
        <item x="3523"/>
        <item x="997"/>
        <item x="100"/>
        <item x="1734"/>
        <item x="2753"/>
        <item x="3283"/>
        <item x="3312"/>
        <item x="2031"/>
        <item x="3513"/>
        <item x="2905"/>
        <item x="648"/>
        <item x="4718"/>
        <item x="2682"/>
        <item x="608"/>
        <item x="3926"/>
        <item x="4249"/>
        <item x="4234"/>
        <item x="1523"/>
        <item x="1567"/>
        <item x="331"/>
        <item x="1574"/>
        <item x="3357"/>
        <item x="1927"/>
        <item x="974"/>
        <item x="4388"/>
        <item x="667"/>
        <item x="4743"/>
        <item x="4333"/>
        <item x="4620"/>
        <item x="4611"/>
        <item x="3468"/>
        <item x="1253"/>
        <item x="2163"/>
        <item x="3013"/>
        <item x="783"/>
        <item x="3176"/>
        <item x="227"/>
        <item x="1642"/>
        <item x="1854"/>
        <item x="853"/>
        <item x="2819"/>
        <item x="1050"/>
        <item x="759"/>
        <item x="1827"/>
        <item x="3885"/>
        <item x="660"/>
        <item x="4027"/>
        <item x="3569"/>
        <item x="2187"/>
        <item x="3403"/>
        <item x="3542"/>
        <item x="813"/>
        <item x="2623"/>
        <item x="1049"/>
        <item x="2372"/>
        <item x="3200"/>
        <item x="2784"/>
        <item x="4679"/>
        <item x="519"/>
        <item x="3323"/>
        <item x="3120"/>
        <item x="3999"/>
        <item x="2524"/>
        <item x="1975"/>
        <item x="1404"/>
        <item x="3305"/>
        <item x="3151"/>
        <item x="2888"/>
        <item x="884"/>
        <item x="4653"/>
        <item x="3188"/>
        <item x="3528"/>
        <item x="4106"/>
        <item x="1902"/>
        <item x="3936"/>
        <item x="571"/>
        <item x="1683"/>
        <item x="2347"/>
        <item x="3927"/>
        <item x="3604"/>
        <item x="1187"/>
        <item x="1088"/>
        <item x="2854"/>
        <item x="2369"/>
        <item x="2637"/>
        <item x="1133"/>
        <item x="3579"/>
        <item x="1952"/>
        <item x="4287"/>
        <item x="3311"/>
        <item x="1821"/>
        <item x="3315"/>
        <item x="4666"/>
        <item x="4029"/>
        <item x="3893"/>
        <item x="3780"/>
        <item x="2876"/>
        <item x="3389"/>
        <item x="2100"/>
        <item x="1180"/>
        <item x="1370"/>
        <item x="3681"/>
        <item x="3453"/>
        <item x="1085"/>
        <item x="1537"/>
        <item x="450"/>
        <item x="3594"/>
        <item x="222"/>
        <item x="2650"/>
        <item x="1649"/>
        <item x="4101"/>
        <item x="3277"/>
        <item x="2975"/>
        <item x="1770"/>
        <item x="3178"/>
        <item x="465"/>
        <item x="2303"/>
        <item x="1326"/>
        <item x="80"/>
        <item x="3460"/>
        <item x="4463"/>
        <item x="4608"/>
        <item x="4545"/>
        <item x="1845"/>
        <item x="3653"/>
        <item x="2169"/>
        <item x="716"/>
        <item x="152"/>
        <item x="4462"/>
        <item x="2810"/>
        <item x="983"/>
        <item x="719"/>
        <item x="1947"/>
        <item x="1232"/>
        <item x="2451"/>
        <item x="1576"/>
        <item x="645"/>
        <item x="2631"/>
        <item x="1632"/>
        <item x="2629"/>
        <item x="3281"/>
        <item x="4"/>
        <item x="3390"/>
        <item x="2063"/>
        <item x="72"/>
        <item x="2424"/>
        <item x="3237"/>
        <item x="225"/>
        <item x="3274"/>
        <item x="3326"/>
        <item x="1129"/>
        <item x="1757"/>
        <item x="3034"/>
        <item x="2775"/>
        <item x="2105"/>
        <item x="823"/>
        <item x="2377"/>
        <item x="3105"/>
        <item x="1055"/>
        <item x="3596"/>
        <item x="1685"/>
        <item x="4018"/>
        <item x="1045"/>
        <item x="2162"/>
        <item x="4523"/>
        <item x="40"/>
        <item x="357"/>
        <item x="3374"/>
        <item x="4022"/>
        <item x="2360"/>
        <item x="95"/>
        <item x="2417"/>
        <item x="510"/>
        <item x="4363"/>
        <item x="4715"/>
        <item x="2911"/>
        <item x="2238"/>
        <item x="815"/>
        <item x="2350"/>
        <item x="2597"/>
        <item x="2218"/>
        <item x="1503"/>
        <item x="22"/>
        <item x="3574"/>
        <item x="883"/>
        <item x="2074"/>
        <item x="3660"/>
        <item x="15"/>
        <item x="3377"/>
        <item x="1981"/>
        <item x="2530"/>
        <item x="1505"/>
        <item x="4494"/>
        <item x="3089"/>
        <item x="1019"/>
        <item x="4012"/>
        <item x="4476"/>
        <item x="1086"/>
        <item x="2170"/>
        <item x="4127"/>
        <item x="3275"/>
        <item x="2710"/>
        <item x="4178"/>
        <item x="2837"/>
        <item x="2250"/>
        <item x="361"/>
        <item x="2832"/>
        <item x="834"/>
        <item x="1520"/>
        <item x="419"/>
        <item x="4284"/>
        <item x="2083"/>
        <item x="4457"/>
        <item x="3823"/>
        <item x="2193"/>
        <item x="800"/>
        <item x="4606"/>
        <item x="966"/>
        <item x="458"/>
        <item x="4521"/>
        <item x="155"/>
        <item x="1255"/>
        <item x="1850"/>
        <item x="3512"/>
        <item x="426"/>
        <item x="3587"/>
        <item x="1775"/>
        <item x="1206"/>
        <item x="4281"/>
        <item x="2276"/>
        <item x="4070"/>
        <item x="4605"/>
        <item x="78"/>
        <item x="4490"/>
        <item x="4789"/>
        <item x="710"/>
        <item x="2952"/>
        <item x="473"/>
        <item x="3688"/>
        <item x="1578"/>
        <item x="2961"/>
        <item x="3763"/>
        <item x="4436"/>
        <item x="4575"/>
        <item x="1771"/>
        <item x="3910"/>
        <item x="1040"/>
        <item x="4835"/>
        <item x="2022"/>
        <item x="144"/>
        <item x="1858"/>
        <item x="4120"/>
        <item x="4780"/>
        <item x="2195"/>
        <item x="4667"/>
        <item x="945"/>
        <item x="1024"/>
        <item x="1913"/>
        <item x="4735"/>
        <item x="1233"/>
        <item x="992"/>
        <item x="1143"/>
        <item x="1422"/>
        <item x="3832"/>
        <item x="4709"/>
        <item x="2970"/>
        <item x="10"/>
        <item x="2080"/>
        <item x="3301"/>
        <item x="1141"/>
        <item x="4639"/>
        <item x="1719"/>
        <item x="1442"/>
        <item x="758"/>
        <item x="1333"/>
        <item x="4595"/>
        <item x="3863"/>
        <item x="4151"/>
        <item x="2967"/>
        <item x="1078"/>
        <item x="4176"/>
        <item x="2721"/>
        <item x="4253"/>
        <item x="1944"/>
        <item x="4461"/>
        <item x="2568"/>
        <item x="3871"/>
        <item x="1296"/>
        <item x="1691"/>
        <item x="1543"/>
        <item x="2255"/>
        <item x="514"/>
        <item x="655"/>
        <item x="2764"/>
        <item x="2893"/>
        <item x="442"/>
        <item x="164"/>
        <item x="134"/>
        <item x="4814"/>
        <item x="4659"/>
        <item x="2557"/>
        <item x="4632"/>
        <item x="664"/>
        <item x="7"/>
        <item x="3282"/>
        <item x="2450"/>
        <item x="1485"/>
        <item x="582"/>
        <item x="307"/>
        <item x="4031"/>
        <item x="3097"/>
        <item x="437"/>
        <item x="4272"/>
        <item x="2881"/>
        <item x="1073"/>
        <item x="1581"/>
        <item x="2542"/>
        <item x="704"/>
        <item x="3878"/>
        <item x="483"/>
        <item x="1961"/>
        <item x="4212"/>
        <item x="28"/>
        <item x="2759"/>
        <item x="1678"/>
        <item x="4386"/>
        <item x="2001"/>
        <item x="4833"/>
        <item x="3380"/>
        <item x="1114"/>
        <item x="869"/>
        <item x="2964"/>
        <item x="4431"/>
        <item x="1797"/>
        <item x="3845"/>
        <item x="3217"/>
        <item x="830"/>
        <item x="3589"/>
        <item x="3573"/>
        <item x="1869"/>
        <item x="1548"/>
        <item x="3925"/>
        <item x="2221"/>
        <item x="2223"/>
        <item x="1773"/>
        <item x="3447"/>
        <item x="1951"/>
        <item x="3507"/>
        <item x="4726"/>
        <item x="2549"/>
        <item x="99"/>
        <item x="2314"/>
        <item x="500"/>
        <item x="4108"/>
        <item x="3474"/>
        <item x="2877"/>
        <item x="3395"/>
        <item x="3866"/>
        <item x="4876"/>
        <item x="3242"/>
        <item x="3133"/>
        <item x="3713"/>
        <item x="2210"/>
        <item x="858"/>
        <item x="38"/>
        <item x="1857"/>
        <item x="4040"/>
        <item x="1989"/>
        <item x="64"/>
        <item x="3219"/>
        <item x="4175"/>
        <item x="2883"/>
        <item x="1165"/>
        <item x="1051"/>
        <item x="4834"/>
        <item x="82"/>
        <item x="826"/>
        <item x="3782"/>
        <item x="4720"/>
        <item x="1549"/>
        <item x="927"/>
        <item x="3638"/>
        <item x="1628"/>
        <item x="4164"/>
        <item x="1076"/>
        <item x="1368"/>
        <item x="2786"/>
        <item x="1842"/>
        <item x="2634"/>
        <item x="851"/>
        <item x="4797"/>
        <item x="459"/>
        <item x="399"/>
        <item x="4778"/>
        <item x="1754"/>
        <item x="342"/>
        <item x="1074"/>
        <item x="88"/>
        <item x="775"/>
        <item x="3135"/>
        <item x="967"/>
        <item x="3459"/>
        <item x="2898"/>
        <item x="3195"/>
        <item x="142"/>
        <item x="4706"/>
        <item x="958"/>
        <item x="3184"/>
        <item x="4231"/>
        <item x="2644"/>
        <item x="2409"/>
        <item x="1768"/>
        <item x="1553"/>
        <item x="1068"/>
        <item x="970"/>
        <item x="1498"/>
        <item x="4561"/>
        <item x="4822"/>
        <item x="3008"/>
        <item x="761"/>
        <item x="3324"/>
        <item x="1516"/>
        <item x="861"/>
        <item x="141"/>
        <item x="3779"/>
        <item x="1018"/>
        <item x="503"/>
        <item x="4505"/>
        <item x="524"/>
        <item x="4712"/>
        <item x="232"/>
        <item x="2878"/>
        <item x="3781"/>
        <item x="2047"/>
        <item x="953"/>
        <item x="2145"/>
        <item x="371"/>
        <item x="3797"/>
        <item x="2382"/>
        <item x="1760"/>
        <item x="2069"/>
        <item x="634"/>
        <item x="3686"/>
        <item x="2334"/>
        <item x="2225"/>
        <item x="3309"/>
        <item x="2132"/>
        <item x="4678"/>
        <item x="4225"/>
        <item x="3405"/>
        <item x="3694"/>
        <item x="404"/>
        <item x="3063"/>
        <item x="1852"/>
        <item x="700"/>
        <item x="2963"/>
        <item x="4305"/>
        <item x="4319"/>
        <item x="4094"/>
        <item x="4803"/>
        <item x="1175"/>
        <item x="2099"/>
        <item x="2560"/>
        <item x="1717"/>
        <item x="4697"/>
        <item x="2609"/>
        <item x="2510"/>
        <item x="4374"/>
        <item x="3140"/>
        <item x="1626"/>
        <item x="4524"/>
        <item x="2414"/>
        <item x="4681"/>
        <item x="1139"/>
        <item x="153"/>
        <item x="2041"/>
        <item x="4148"/>
        <item x="3313"/>
        <item x="1861"/>
        <item x="4188"/>
        <item x="2955"/>
        <item x="4593"/>
        <item x="67"/>
        <item x="4403"/>
        <item x="4033"/>
        <item x="2947"/>
        <item x="205"/>
        <item x="601"/>
        <item x="3253"/>
        <item x="1354"/>
        <item x="4056"/>
        <item x="91"/>
        <item x="4438"/>
        <item x="1249"/>
        <item x="880"/>
        <item x="2472"/>
        <item x="489"/>
        <item x="781"/>
        <item x="2076"/>
        <item x="3948"/>
        <item x="2821"/>
        <item x="1252"/>
        <item x="4664"/>
        <item x="2247"/>
        <item x="338"/>
        <item x="1573"/>
        <item x="847"/>
        <item x="408"/>
        <item x="2107"/>
        <item x="224"/>
        <item x="2056"/>
        <item x="471"/>
        <item x="170"/>
        <item x="3289"/>
        <item x="3834"/>
        <item x="375"/>
        <item x="4495"/>
        <item x="1790"/>
        <item x="3397"/>
        <item x="2059"/>
        <item x="3364"/>
        <item x="1265"/>
        <item x="2436"/>
        <item x="1494"/>
        <item x="2739"/>
        <item x="2020"/>
        <item x="18"/>
        <item x="2628"/>
        <item x="1388"/>
        <item x="816"/>
        <item x="2792"/>
        <item x="2562"/>
        <item x="2428"/>
        <item x="2452"/>
        <item x="1361"/>
        <item x="741"/>
        <item x="4382"/>
        <item x="2992"/>
        <item x="4493"/>
        <item x="4631"/>
        <item x="4353"/>
        <item x="4852"/>
        <item x="264"/>
        <item x="243"/>
        <item x="3680"/>
        <item x="193"/>
        <item x="3746"/>
        <item x="1533"/>
        <item x="2240"/>
        <item x="409"/>
        <item x="1743"/>
        <item x="728"/>
        <item x="1435"/>
        <item x="3985"/>
        <item x="3943"/>
        <item x="2685"/>
        <item x="723"/>
        <item x="3169"/>
        <item x="739"/>
        <item x="2498"/>
        <item x="2941"/>
        <item x="3970"/>
        <item x="2482"/>
        <item x="1959"/>
        <item x="3758"/>
        <item x="665"/>
        <item x="4246"/>
        <item x="1365"/>
        <item x="1844"/>
        <item x="2230"/>
        <item x="2553"/>
        <item x="3070"/>
        <item x="952"/>
        <item x="245"/>
        <item x="637"/>
        <item x="2744"/>
        <item x="863"/>
        <item x="553"/>
        <item x="3972"/>
        <item x="116"/>
        <item x="836"/>
        <item x="2231"/>
        <item x="4371"/>
        <item x="2913"/>
        <item x="2320"/>
        <item x="3074"/>
        <item x="2429"/>
        <item x="2267"/>
        <item x="1067"/>
        <item x="4568"/>
        <item x="405"/>
        <item x="4657"/>
        <item x="3308"/>
        <item x="3437"/>
        <item x="722"/>
        <item x="3546"/>
        <item x="897"/>
        <item x="4366"/>
        <item x="2523"/>
        <item x="2257"/>
        <item x="898"/>
        <item x="2693"/>
        <item x="727"/>
        <item x="4006"/>
        <item x="2699"/>
        <item x="4729"/>
        <item x="1546"/>
        <item x="2044"/>
        <item x="2709"/>
        <item x="1713"/>
        <item x="221"/>
        <item x="1926"/>
        <item x="3771"/>
        <item x="1862"/>
        <item x="1418"/>
        <item x="352"/>
        <item x="4247"/>
        <item x="1564"/>
        <item x="2993"/>
        <item x="2453"/>
        <item x="1483"/>
        <item x="4767"/>
        <item x="3631"/>
        <item x="2294"/>
        <item x="4372"/>
        <item x="523"/>
        <item x="3458"/>
        <item x="2715"/>
        <item x="3891"/>
        <item x="918"/>
        <item x="1512"/>
        <item x="318"/>
        <item x="4732"/>
        <item x="2768"/>
        <item x="1629"/>
        <item x="613"/>
        <item x="2531"/>
        <item x="1879"/>
        <item x="3945"/>
        <item x="3977"/>
        <item x="1954"/>
        <item x="4760"/>
        <item x="3969"/>
        <item x="366"/>
        <item x="4385"/>
        <item x="403"/>
        <item x="3086"/>
        <item x="4477"/>
        <item x="3186"/>
        <item x="2732"/>
        <item x="261"/>
        <item x="1972"/>
        <item x="1466"/>
        <item x="2799"/>
        <item x="1054"/>
        <item x="2675"/>
        <item x="3976"/>
        <item x="3741"/>
        <item x="4152"/>
        <item x="1966"/>
        <item x="2680"/>
        <item x="556"/>
        <item x="3601"/>
        <item x="975"/>
        <item x="2401"/>
        <item x="2039"/>
        <item x="2684"/>
        <item x="2045"/>
        <item x="2378"/>
        <item x="3858"/>
        <item x="4380"/>
        <item x="2475"/>
        <item x="1704"/>
        <item x="1469"/>
        <item x="912"/>
        <item x="3148"/>
        <item x="4219"/>
        <item x="2661"/>
        <item x="2263"/>
        <item x="2443"/>
        <item x="3092"/>
        <item x="315"/>
        <item x="1840"/>
        <item x="2730"/>
        <item x="1609"/>
        <item x="1379"/>
        <item x="4254"/>
        <item x="1433"/>
        <item x="2497"/>
        <item x="1036"/>
        <item x="2717"/>
        <item x="1391"/>
        <item x="3488"/>
        <item x="2479"/>
        <item x="1161"/>
        <item x="1810"/>
        <item x="4534"/>
        <item x="774"/>
        <item x="3192"/>
        <item x="2288"/>
        <item x="3044"/>
        <item x="3294"/>
        <item x="649"/>
        <item x="2019"/>
        <item x="2397"/>
        <item x="951"/>
        <item x="90"/>
        <item x="2236"/>
        <item x="3004"/>
        <item x="878"/>
        <item x="3147"/>
        <item x="1638"/>
        <item x="2488"/>
        <item x="401"/>
        <item x="2463"/>
        <item x="1030"/>
        <item x="2696"/>
        <item x="4820"/>
        <item x="2554"/>
        <item x="1864"/>
        <item x="4155"/>
        <item x="457"/>
        <item x="279"/>
        <item x="2724"/>
        <item x="4600"/>
        <item x="3112"/>
        <item x="4618"/>
        <item x="3287"/>
        <item x="4440"/>
        <item x="1563"/>
        <item x="2088"/>
        <item x="3407"/>
        <item x="3939"/>
        <item x="1289"/>
        <item x="2779"/>
        <item x="3446"/>
        <item x="4150"/>
        <item x="3454"/>
        <item x="4821"/>
        <item x="2879"/>
        <item x="679"/>
        <item x="345"/>
        <item x="2873"/>
        <item x="1539"/>
        <item x="1969"/>
        <item x="4266"/>
        <item x="4857"/>
        <item x="597"/>
        <item x="467"/>
        <item x="2760"/>
        <item x="661"/>
        <item x="1264"/>
        <item x="575"/>
        <item x="3666"/>
        <item x="2182"/>
        <item x="1409"/>
        <item x="2632"/>
        <item x="252"/>
        <item x="2118"/>
        <item x="801"/>
        <item x="4860"/>
        <item x="2096"/>
        <item x="283"/>
        <item x="3491"/>
        <item x="4126"/>
        <item x="3756"/>
        <item x="871"/>
        <item x="2683"/>
        <item x="3511"/>
        <item x="2439"/>
        <item x="4190"/>
        <item x="379"/>
        <item x="1033"/>
        <item x="493"/>
        <item x="4054"/>
        <item x="3639"/>
        <item x="1970"/>
        <item x="1246"/>
        <item x="3979"/>
        <item x="3205"/>
        <item x="445"/>
        <item x="1562"/>
        <item x="2781"/>
        <item x="1644"/>
        <item x="1168"/>
        <item x="1237"/>
        <item x="3830"/>
        <item x="4096"/>
        <item x="511"/>
        <item x="1084"/>
        <item x="4192"/>
        <item x="1540"/>
        <item x="429"/>
        <item x="1554"/>
        <item x="3935"/>
        <item x="825"/>
        <item x="3735"/>
        <item x="2339"/>
        <item x="2332"/>
        <item x="4081"/>
        <item x="908"/>
        <item x="3516"/>
        <item x="579"/>
        <item x="121"/>
        <item x="4113"/>
        <item x="1079"/>
        <item x="3618"/>
        <item x="4698"/>
        <item x="3160"/>
        <item x="1588"/>
        <item x="1402"/>
        <item x="1193"/>
        <item x="2633"/>
        <item x="373"/>
        <item x="4658"/>
        <item x="4723"/>
        <item x="651"/>
        <item x="1555"/>
        <item x="1164"/>
        <item x="2658"/>
        <item x="2944"/>
        <item x="1087"/>
        <item x="1590"/>
        <item x="2674"/>
        <item x="4544"/>
        <item x="3908"/>
        <item x="2695"/>
        <item x="4425"/>
        <item x="3449"/>
        <item x="3902"/>
        <item x="547"/>
        <item x="1491"/>
        <item x="3167"/>
        <item x="2018"/>
        <item x="4115"/>
        <item x="3867"/>
        <item x="2243"/>
        <item x="3551"/>
        <item x="3332"/>
        <item x="2374"/>
        <item x="3921"/>
        <item x="859"/>
        <item x="4759"/>
        <item x="444"/>
        <item x="3518"/>
        <item x="216"/>
        <item x="4786"/>
        <item x="2618"/>
        <item x="743"/>
        <item x="398"/>
        <item x="2411"/>
        <item x="4100"/>
        <item x="4415"/>
        <item x="670"/>
        <item x="1109"/>
        <item x="1009"/>
        <item x="1026"/>
        <item x="920"/>
        <item x="2850"/>
        <item x="1964"/>
        <item x="4058"/>
        <item x="4202"/>
        <item x="2248"/>
        <item x="1877"/>
        <item x="2129"/>
        <item x="1721"/>
        <item x="3773"/>
        <item x="3742"/>
        <item x="2536"/>
        <item x="396"/>
        <item x="1803"/>
        <item x="2957"/>
        <item x="4061"/>
        <item x="2570"/>
        <item x="1236"/>
        <item x="3724"/>
        <item x="1794"/>
        <item x="1695"/>
        <item x="3606"/>
        <item x="3213"/>
        <item x="3175"/>
        <item x="1823"/>
        <item x="593"/>
        <item x="2501"/>
        <item x="3554"/>
        <item x="644"/>
        <item x="456"/>
        <item x="831"/>
        <item x="3427"/>
        <item x="4430"/>
        <item x="3284"/>
        <item x="1605"/>
        <item x="1016"/>
        <item x="255"/>
        <item x="2343"/>
        <item x="4402"/>
        <item x="4535"/>
        <item x="2956"/>
        <item x="1449"/>
        <item x="3942"/>
        <item x="622"/>
        <item x="642"/>
        <item x="930"/>
        <item x="4853"/>
        <item x="2037"/>
        <item x="1690"/>
        <item x="397"/>
        <item x="370"/>
        <item x="3145"/>
        <item x="1338"/>
        <item x="2174"/>
        <item x="1071"/>
        <item x="2164"/>
        <item x="2923"/>
        <item x="3760"/>
        <item x="4220"/>
        <item x="2649"/>
        <item x="1732"/>
        <item x="2188"/>
        <item x="4446"/>
        <item x="3987"/>
        <item x="167"/>
        <item x="2201"/>
        <item x="1043"/>
        <item x="1275"/>
        <item x="662"/>
        <item x="4559"/>
        <item x="4428"/>
        <item x="1432"/>
        <item x="4468"/>
        <item x="4842"/>
        <item x="4554"/>
        <item x="2190"/>
        <item x="1477"/>
        <item x="3362"/>
        <item x="4358"/>
        <item x="718"/>
        <item x="911"/>
        <item x="2654"/>
        <item x="4183"/>
        <item x="4390"/>
        <item x="2072"/>
        <item x="4214"/>
        <item x="3171"/>
        <item x="3087"/>
        <item t="default"/>
      </items>
    </pivotField>
    <pivotField numFmtId="44" showAll="0"/>
    <pivotField numFmtId="44" showAll="0"/>
    <pivotField showAll="0" defaultSubtotal="0"/>
    <pivotField showAll="0" defaultSubtotal="0"/>
    <pivotField showAll="0" defaultSubtotal="0">
      <items count="5">
        <item x="0"/>
        <item x="1"/>
        <item x="2"/>
        <item x="3"/>
        <item x="4"/>
      </items>
    </pivotField>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Average of Quantity" fld="8"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195D47-E8C4-A148-A7F9-D13EF4BB54CA}" name="PivotTable1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4:K75" firstHeaderRow="1" firstDataRow="1" firstDataCol="1"/>
  <pivotFields count="14">
    <pivotField showAll="0"/>
    <pivotField numFmtId="14" showAll="0">
      <items count="731">
        <item x="347"/>
        <item x="63"/>
        <item x="470"/>
        <item x="636"/>
        <item x="346"/>
        <item x="183"/>
        <item x="244"/>
        <item x="278"/>
        <item x="39"/>
        <item x="289"/>
        <item x="14"/>
        <item x="358"/>
        <item x="88"/>
        <item x="484"/>
        <item x="629"/>
        <item x="41"/>
        <item x="272"/>
        <item x="708"/>
        <item x="345"/>
        <item x="621"/>
        <item x="208"/>
        <item x="140"/>
        <item x="612"/>
        <item x="31"/>
        <item x="139"/>
        <item x="487"/>
        <item x="528"/>
        <item x="75"/>
        <item x="610"/>
        <item x="281"/>
        <item x="648"/>
        <item x="210"/>
        <item x="572"/>
        <item x="465"/>
        <item x="602"/>
        <item x="287"/>
        <item x="303"/>
        <item x="129"/>
        <item x="729"/>
        <item x="1"/>
        <item x="194"/>
        <item x="450"/>
        <item x="673"/>
        <item x="170"/>
        <item x="513"/>
        <item x="161"/>
        <item x="251"/>
        <item x="24"/>
        <item x="237"/>
        <item x="224"/>
        <item x="534"/>
        <item x="600"/>
        <item x="506"/>
        <item x="478"/>
        <item x="532"/>
        <item x="286"/>
        <item x="274"/>
        <item x="703"/>
        <item x="415"/>
        <item x="298"/>
        <item x="33"/>
        <item x="249"/>
        <item x="124"/>
        <item x="135"/>
        <item x="173"/>
        <item x="340"/>
        <item x="271"/>
        <item x="591"/>
        <item x="675"/>
        <item x="254"/>
        <item x="366"/>
        <item x="214"/>
        <item x="150"/>
        <item x="480"/>
        <item x="174"/>
        <item x="61"/>
        <item x="592"/>
        <item x="393"/>
        <item x="564"/>
        <item x="462"/>
        <item x="712"/>
        <item x="25"/>
        <item x="122"/>
        <item x="107"/>
        <item x="582"/>
        <item x="215"/>
        <item x="530"/>
        <item x="455"/>
        <item x="277"/>
        <item x="615"/>
        <item x="112"/>
        <item x="526"/>
        <item x="552"/>
        <item x="339"/>
        <item x="613"/>
        <item x="297"/>
        <item x="166"/>
        <item x="614"/>
        <item x="596"/>
        <item x="279"/>
        <item x="491"/>
        <item x="634"/>
        <item x="119"/>
        <item x="15"/>
        <item x="620"/>
        <item x="691"/>
        <item x="344"/>
        <item x="322"/>
        <item x="495"/>
        <item x="203"/>
        <item x="65"/>
        <item x="575"/>
        <item x="481"/>
        <item x="126"/>
        <item x="607"/>
        <item x="43"/>
        <item x="581"/>
        <item x="58"/>
        <item x="123"/>
        <item x="619"/>
        <item x="229"/>
        <item x="327"/>
        <item x="463"/>
        <item x="533"/>
        <item x="489"/>
        <item x="319"/>
        <item x="545"/>
        <item x="569"/>
        <item x="190"/>
        <item x="151"/>
        <item x="69"/>
        <item x="683"/>
        <item x="285"/>
        <item x="699"/>
        <item x="486"/>
        <item x="407"/>
        <item x="7"/>
        <item x="361"/>
        <item x="169"/>
        <item x="413"/>
        <item x="571"/>
        <item x="707"/>
        <item x="234"/>
        <item x="414"/>
        <item x="658"/>
        <item x="320"/>
        <item x="354"/>
        <item x="662"/>
        <item x="696"/>
        <item x="472"/>
        <item x="197"/>
        <item x="654"/>
        <item x="231"/>
        <item x="364"/>
        <item x="290"/>
        <item x="45"/>
        <item x="188"/>
        <item x="96"/>
        <item x="423"/>
        <item x="283"/>
        <item x="368"/>
        <item x="87"/>
        <item x="625"/>
        <item x="221"/>
        <item x="6"/>
        <item x="295"/>
        <item x="628"/>
        <item x="725"/>
        <item x="128"/>
        <item x="143"/>
        <item x="396"/>
        <item x="728"/>
        <item x="113"/>
        <item x="417"/>
        <item x="456"/>
        <item x="605"/>
        <item x="223"/>
        <item x="590"/>
        <item x="163"/>
        <item x="66"/>
        <item x="637"/>
        <item x="164"/>
        <item x="441"/>
        <item x="265"/>
        <item x="394"/>
        <item x="445"/>
        <item x="574"/>
        <item x="464"/>
        <item x="537"/>
        <item x="59"/>
        <item x="377"/>
        <item x="722"/>
        <item x="106"/>
        <item x="182"/>
        <item x="539"/>
        <item x="661"/>
        <item x="11"/>
        <item x="387"/>
        <item x="153"/>
        <item x="536"/>
        <item x="247"/>
        <item x="315"/>
        <item x="507"/>
        <item x="424"/>
        <item x="453"/>
        <item x="608"/>
        <item x="227"/>
        <item x="26"/>
        <item x="115"/>
        <item x="531"/>
        <item x="385"/>
        <item x="511"/>
        <item x="609"/>
        <item x="383"/>
        <item x="558"/>
        <item x="663"/>
        <item x="540"/>
        <item x="546"/>
        <item x="483"/>
        <item x="543"/>
        <item x="593"/>
        <item x="499"/>
        <item x="71"/>
        <item x="192"/>
        <item x="616"/>
        <item x="241"/>
        <item x="360"/>
        <item x="452"/>
        <item x="727"/>
        <item x="91"/>
        <item x="13"/>
        <item x="10"/>
        <item x="585"/>
        <item x="512"/>
        <item x="125"/>
        <item x="17"/>
        <item x="426"/>
        <item x="384"/>
        <item x="438"/>
        <item x="475"/>
        <item x="647"/>
        <item x="276"/>
        <item x="514"/>
        <item x="23"/>
        <item x="399"/>
        <item x="379"/>
        <item x="611"/>
        <item x="420"/>
        <item x="74"/>
        <item x="133"/>
        <item x="248"/>
        <item x="252"/>
        <item x="447"/>
        <item x="718"/>
        <item x="454"/>
        <item x="579"/>
        <item x="313"/>
        <item x="446"/>
        <item x="30"/>
        <item x="405"/>
        <item x="476"/>
        <item x="692"/>
        <item x="429"/>
        <item x="130"/>
        <item x="37"/>
        <item x="443"/>
        <item x="685"/>
        <item x="22"/>
        <item x="444"/>
        <item x="382"/>
        <item x="239"/>
        <item x="595"/>
        <item x="655"/>
        <item x="332"/>
        <item x="624"/>
        <item x="578"/>
        <item x="659"/>
        <item x="111"/>
        <item x="684"/>
        <item x="373"/>
        <item x="180"/>
        <item x="367"/>
        <item x="565"/>
        <item x="598"/>
        <item x="580"/>
        <item x="563"/>
        <item x="116"/>
        <item x="222"/>
        <item x="176"/>
        <item x="622"/>
        <item x="541"/>
        <item x="204"/>
        <item x="671"/>
        <item x="498"/>
        <item x="492"/>
        <item x="79"/>
        <item x="701"/>
        <item x="8"/>
        <item x="716"/>
        <item x="316"/>
        <item x="299"/>
        <item x="503"/>
        <item x="104"/>
        <item x="156"/>
        <item x="632"/>
        <item x="262"/>
        <item x="27"/>
        <item x="398"/>
        <item x="561"/>
        <item x="35"/>
        <item x="640"/>
        <item x="380"/>
        <item x="428"/>
        <item x="235"/>
        <item x="191"/>
        <item x="409"/>
        <item x="400"/>
        <item x="195"/>
        <item x="321"/>
        <item x="466"/>
        <item x="102"/>
        <item x="34"/>
        <item x="2"/>
        <item x="308"/>
        <item x="477"/>
        <item x="547"/>
        <item x="550"/>
        <item x="336"/>
        <item x="353"/>
        <item x="723"/>
        <item x="549"/>
        <item x="378"/>
        <item x="493"/>
        <item x="635"/>
        <item x="721"/>
        <item x="310"/>
        <item x="211"/>
        <item x="202"/>
        <item x="642"/>
        <item x="430"/>
        <item x="189"/>
        <item x="232"/>
        <item x="365"/>
        <item x="359"/>
        <item x="559"/>
        <item x="132"/>
        <item x="213"/>
        <item x="668"/>
        <item x="199"/>
        <item x="76"/>
        <item x="391"/>
        <item x="220"/>
        <item x="695"/>
        <item x="101"/>
        <item x="524"/>
        <item x="282"/>
        <item x="656"/>
        <item x="305"/>
        <item x="535"/>
        <item x="525"/>
        <item x="160"/>
        <item x="390"/>
        <item x="529"/>
        <item x="362"/>
        <item x="500"/>
        <item x="200"/>
        <item x="64"/>
        <item x="687"/>
        <item x="261"/>
        <item x="389"/>
        <item x="206"/>
        <item x="504"/>
        <item x="714"/>
        <item x="50"/>
        <item x="184"/>
        <item x="617"/>
        <item x="678"/>
        <item x="425"/>
        <item x="216"/>
        <item x="253"/>
        <item x="168"/>
        <item x="451"/>
        <item x="80"/>
        <item x="515"/>
        <item x="264"/>
        <item x="323"/>
        <item x="623"/>
        <item x="402"/>
        <item x="296"/>
        <item x="19"/>
        <item x="416"/>
        <item x="325"/>
        <item x="233"/>
        <item x="57"/>
        <item x="633"/>
        <item x="291"/>
        <item x="717"/>
        <item x="459"/>
        <item x="689"/>
        <item x="343"/>
        <item x="334"/>
        <item x="679"/>
        <item x="410"/>
        <item x="586"/>
        <item x="47"/>
        <item x="293"/>
        <item x="594"/>
        <item x="381"/>
        <item x="154"/>
        <item x="653"/>
        <item x="131"/>
        <item x="95"/>
        <item x="627"/>
        <item x="198"/>
        <item x="18"/>
        <item x="562"/>
        <item x="431"/>
        <item x="117"/>
        <item x="698"/>
        <item x="20"/>
        <item x="109"/>
        <item x="138"/>
        <item x="440"/>
        <item x="127"/>
        <item x="567"/>
        <item x="589"/>
        <item x="645"/>
        <item x="485"/>
        <item x="55"/>
        <item x="474"/>
        <item x="433"/>
        <item x="401"/>
        <item x="9"/>
        <item x="421"/>
        <item x="228"/>
        <item x="521"/>
        <item x="542"/>
        <item x="141"/>
        <item x="694"/>
        <item x="98"/>
        <item x="705"/>
        <item x="523"/>
        <item x="584"/>
        <item x="186"/>
        <item x="570"/>
        <item x="724"/>
        <item x="693"/>
        <item x="479"/>
        <item x="159"/>
        <item x="392"/>
        <item x="348"/>
        <item x="482"/>
        <item x="626"/>
        <item x="56"/>
        <item x="105"/>
        <item x="551"/>
        <item x="167"/>
        <item x="318"/>
        <item x="312"/>
        <item x="89"/>
        <item x="162"/>
        <item x="54"/>
        <item x="704"/>
        <item x="341"/>
        <item x="715"/>
        <item x="185"/>
        <item x="259"/>
        <item x="518"/>
        <item x="46"/>
        <item x="165"/>
        <item x="372"/>
        <item x="553"/>
        <item x="181"/>
        <item x="501"/>
        <item x="660"/>
        <item x="288"/>
        <item x="108"/>
        <item x="403"/>
        <item x="275"/>
        <item x="242"/>
        <item x="267"/>
        <item x="351"/>
        <item x="371"/>
        <item x="284"/>
        <item x="356"/>
        <item x="236"/>
        <item x="5"/>
        <item x="508"/>
        <item x="67"/>
        <item x="666"/>
        <item x="638"/>
        <item x="680"/>
        <item x="631"/>
        <item x="568"/>
        <item x="225"/>
        <item x="670"/>
        <item x="510"/>
        <item x="644"/>
        <item x="330"/>
        <item x="99"/>
        <item x="395"/>
        <item x="246"/>
        <item x="335"/>
        <item x="317"/>
        <item x="557"/>
        <item x="548"/>
        <item x="337"/>
        <item x="51"/>
        <item x="256"/>
        <item x="83"/>
        <item x="630"/>
        <item x="42"/>
        <item x="560"/>
        <item x="643"/>
        <item x="85"/>
        <item x="134"/>
        <item x="171"/>
        <item x="650"/>
        <item x="82"/>
        <item x="352"/>
        <item x="0"/>
        <item x="38"/>
        <item x="155"/>
        <item x="505"/>
        <item x="461"/>
        <item x="121"/>
        <item x="78"/>
        <item x="245"/>
        <item x="48"/>
        <item x="713"/>
        <item x="460"/>
        <item x="411"/>
        <item x="268"/>
        <item x="604"/>
        <item x="408"/>
        <item x="516"/>
        <item x="243"/>
        <item x="719"/>
        <item x="270"/>
        <item x="120"/>
        <item x="328"/>
        <item x="350"/>
        <item x="473"/>
        <item x="682"/>
        <item x="273"/>
        <item x="538"/>
        <item x="406"/>
        <item x="280"/>
        <item x="555"/>
        <item x="302"/>
        <item x="44"/>
        <item x="103"/>
        <item x="599"/>
        <item x="212"/>
        <item x="260"/>
        <item x="436"/>
        <item x="448"/>
        <item x="676"/>
        <item x="657"/>
        <item x="77"/>
        <item x="497"/>
        <item x="664"/>
        <item x="527"/>
        <item x="720"/>
        <item x="646"/>
        <item x="157"/>
        <item x="142"/>
        <item x="412"/>
        <item x="53"/>
        <item x="554"/>
        <item x="172"/>
        <item x="641"/>
        <item x="397"/>
        <item x="697"/>
        <item x="374"/>
        <item x="36"/>
        <item x="300"/>
        <item x="217"/>
        <item x="700"/>
        <item x="179"/>
        <item x="152"/>
        <item x="49"/>
        <item x="324"/>
        <item x="137"/>
        <item x="690"/>
        <item x="230"/>
        <item x="517"/>
        <item x="375"/>
        <item x="566"/>
        <item x="458"/>
        <item x="304"/>
        <item x="32"/>
        <item x="205"/>
        <item x="369"/>
        <item x="266"/>
        <item x="522"/>
        <item x="3"/>
        <item x="301"/>
        <item x="333"/>
        <item x="488"/>
        <item x="314"/>
        <item x="92"/>
        <item x="468"/>
        <item x="28"/>
        <item x="177"/>
        <item x="490"/>
        <item x="652"/>
        <item x="158"/>
        <item x="146"/>
        <item x="651"/>
        <item x="294"/>
        <item x="726"/>
        <item x="263"/>
        <item x="292"/>
        <item x="62"/>
        <item x="196"/>
        <item x="21"/>
        <item x="587"/>
        <item x="467"/>
        <item x="250"/>
        <item x="110"/>
        <item x="388"/>
        <item x="331"/>
        <item x="442"/>
        <item x="496"/>
        <item x="688"/>
        <item x="386"/>
        <item x="667"/>
        <item x="674"/>
        <item x="669"/>
        <item x="307"/>
        <item x="114"/>
        <item x="329"/>
        <item x="597"/>
        <item x="639"/>
        <item x="449"/>
        <item x="175"/>
        <item x="665"/>
        <item x="311"/>
        <item x="603"/>
        <item x="434"/>
        <item x="97"/>
        <item x="207"/>
        <item x="502"/>
        <item x="544"/>
        <item x="649"/>
        <item x="238"/>
        <item x="40"/>
        <item x="81"/>
        <item x="706"/>
        <item x="193"/>
        <item x="100"/>
        <item x="576"/>
        <item x="357"/>
        <item x="588"/>
        <item x="86"/>
        <item x="342"/>
        <item x="370"/>
        <item x="94"/>
        <item x="437"/>
        <item x="306"/>
        <item x="257"/>
        <item x="363"/>
        <item x="68"/>
        <item x="29"/>
        <item x="226"/>
        <item x="520"/>
        <item x="187"/>
        <item x="681"/>
        <item x="422"/>
        <item x="494"/>
        <item x="136"/>
        <item x="509"/>
        <item x="677"/>
        <item x="710"/>
        <item x="432"/>
        <item x="573"/>
        <item x="349"/>
        <item x="469"/>
        <item x="338"/>
        <item x="93"/>
        <item x="419"/>
        <item x="240"/>
        <item x="255"/>
        <item x="60"/>
        <item x="118"/>
        <item x="439"/>
        <item x="4"/>
        <item x="147"/>
        <item x="269"/>
        <item x="12"/>
        <item x="583"/>
        <item x="326"/>
        <item x="435"/>
        <item x="686"/>
        <item x="258"/>
        <item x="427"/>
        <item x="709"/>
        <item x="309"/>
        <item x="471"/>
        <item x="376"/>
        <item x="209"/>
        <item x="144"/>
        <item x="418"/>
        <item x="218"/>
        <item x="149"/>
        <item x="145"/>
        <item x="148"/>
        <item x="219"/>
        <item x="16"/>
        <item x="457"/>
        <item x="711"/>
        <item x="404"/>
        <item x="178"/>
        <item x="52"/>
        <item x="672"/>
        <item x="519"/>
        <item x="577"/>
        <item x="702"/>
        <item x="618"/>
        <item x="73"/>
        <item x="70"/>
        <item x="90"/>
        <item x="201"/>
        <item x="606"/>
        <item x="72"/>
        <item x="355"/>
        <item x="84"/>
        <item x="601"/>
        <item x="556"/>
        <item t="default"/>
      </items>
    </pivotField>
    <pivotField showAll="0"/>
    <pivotField showAll="0"/>
    <pivotField showAll="0">
      <items count="6">
        <item x="1"/>
        <item x="0"/>
        <item x="4"/>
        <item x="2"/>
        <item x="3"/>
        <item t="default"/>
      </items>
    </pivotField>
    <pivotField showAll="0">
      <items count="51">
        <item x="37"/>
        <item x="29"/>
        <item x="15"/>
        <item x="11"/>
        <item x="24"/>
        <item x="42"/>
        <item x="46"/>
        <item x="47"/>
        <item x="27"/>
        <item x="10"/>
        <item x="16"/>
        <item x="0"/>
        <item x="48"/>
        <item x="36"/>
        <item x="39"/>
        <item x="35"/>
        <item x="40"/>
        <item x="38"/>
        <item x="43"/>
        <item x="49"/>
        <item x="33"/>
        <item x="31"/>
        <item x="13"/>
        <item x="9"/>
        <item x="45"/>
        <item x="17"/>
        <item x="23"/>
        <item x="34"/>
        <item x="32"/>
        <item x="8"/>
        <item x="4"/>
        <item x="18"/>
        <item x="44"/>
        <item x="41"/>
        <item x="7"/>
        <item x="20"/>
        <item x="26"/>
        <item x="21"/>
        <item x="12"/>
        <item x="19"/>
        <item x="1"/>
        <item x="6"/>
        <item x="14"/>
        <item x="25"/>
        <item x="28"/>
        <item x="2"/>
        <item x="22"/>
        <item x="3"/>
        <item x="30"/>
        <item x="5"/>
        <item t="default"/>
      </items>
    </pivotField>
    <pivotField axis="axisRow" showAll="0">
      <items count="51">
        <item x="37"/>
        <item x="10"/>
        <item x="16"/>
        <item x="0"/>
        <item x="48"/>
        <item x="36"/>
        <item x="39"/>
        <item x="35"/>
        <item x="40"/>
        <item x="38"/>
        <item x="43"/>
        <item x="29"/>
        <item x="49"/>
        <item x="33"/>
        <item x="31"/>
        <item x="13"/>
        <item x="9"/>
        <item x="45"/>
        <item x="17"/>
        <item x="23"/>
        <item x="34"/>
        <item x="32"/>
        <item x="15"/>
        <item x="8"/>
        <item x="4"/>
        <item x="18"/>
        <item x="44"/>
        <item x="41"/>
        <item x="7"/>
        <item x="20"/>
        <item x="26"/>
        <item x="21"/>
        <item x="12"/>
        <item x="11"/>
        <item x="19"/>
        <item x="1"/>
        <item x="6"/>
        <item x="14"/>
        <item x="25"/>
        <item x="28"/>
        <item x="2"/>
        <item x="22"/>
        <item x="3"/>
        <item x="30"/>
        <item x="24"/>
        <item x="5"/>
        <item x="42"/>
        <item x="46"/>
        <item x="47"/>
        <item x="27"/>
        <item t="default"/>
      </items>
    </pivotField>
    <pivotField showAll="0">
      <items count="6">
        <item x="1"/>
        <item x="2"/>
        <item x="4"/>
        <item x="3"/>
        <item x="0"/>
        <item t="default"/>
      </items>
    </pivotField>
    <pivotField showAll="0"/>
    <pivotField numFmtId="44" showAll="0"/>
    <pivotField dataField="1" numFmtId="44" showAll="0"/>
    <pivotField showAll="0" defaultSubtotal="0"/>
    <pivotField showAll="0" defaultSubtotal="0"/>
    <pivotField showAll="0" defaultSubtotal="0">
      <items count="5">
        <item x="0"/>
        <item x="1"/>
        <item x="2"/>
        <item x="3"/>
        <item x="4"/>
      </items>
    </pivotField>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Revenue" fld="10"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4FFBBE-2B19-FE42-88E6-0BAE0CEB7C22}" name="PivotTable1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11:O42" firstHeaderRow="1" firstDataRow="1" firstDataCol="1"/>
  <pivotFields count="14">
    <pivotField showAll="0"/>
    <pivotField numFmtId="14" showAll="0">
      <items count="731">
        <item x="347"/>
        <item x="63"/>
        <item x="470"/>
        <item x="636"/>
        <item x="346"/>
        <item x="183"/>
        <item x="244"/>
        <item x="278"/>
        <item x="39"/>
        <item x="289"/>
        <item x="14"/>
        <item x="358"/>
        <item x="88"/>
        <item x="484"/>
        <item x="629"/>
        <item x="41"/>
        <item x="272"/>
        <item x="708"/>
        <item x="345"/>
        <item x="621"/>
        <item x="208"/>
        <item x="140"/>
        <item x="612"/>
        <item x="31"/>
        <item x="139"/>
        <item x="487"/>
        <item x="528"/>
        <item x="75"/>
        <item x="610"/>
        <item x="281"/>
        <item x="648"/>
        <item x="210"/>
        <item x="572"/>
        <item x="465"/>
        <item x="602"/>
        <item x="287"/>
        <item x="303"/>
        <item x="129"/>
        <item x="729"/>
        <item x="1"/>
        <item x="194"/>
        <item x="450"/>
        <item x="673"/>
        <item x="170"/>
        <item x="513"/>
        <item x="161"/>
        <item x="251"/>
        <item x="24"/>
        <item x="237"/>
        <item x="224"/>
        <item x="534"/>
        <item x="600"/>
        <item x="506"/>
        <item x="478"/>
        <item x="532"/>
        <item x="286"/>
        <item x="274"/>
        <item x="703"/>
        <item x="415"/>
        <item x="298"/>
        <item x="33"/>
        <item x="249"/>
        <item x="124"/>
        <item x="135"/>
        <item x="173"/>
        <item x="340"/>
        <item x="271"/>
        <item x="591"/>
        <item x="675"/>
        <item x="254"/>
        <item x="366"/>
        <item x="214"/>
        <item x="150"/>
        <item x="480"/>
        <item x="174"/>
        <item x="61"/>
        <item x="592"/>
        <item x="393"/>
        <item x="564"/>
        <item x="462"/>
        <item x="712"/>
        <item x="25"/>
        <item x="122"/>
        <item x="107"/>
        <item x="582"/>
        <item x="215"/>
        <item x="530"/>
        <item x="455"/>
        <item x="277"/>
        <item x="615"/>
        <item x="112"/>
        <item x="526"/>
        <item x="552"/>
        <item x="339"/>
        <item x="613"/>
        <item x="297"/>
        <item x="166"/>
        <item x="614"/>
        <item x="596"/>
        <item x="279"/>
        <item x="491"/>
        <item x="634"/>
        <item x="119"/>
        <item x="15"/>
        <item x="620"/>
        <item x="691"/>
        <item x="344"/>
        <item x="322"/>
        <item x="495"/>
        <item x="203"/>
        <item x="65"/>
        <item x="575"/>
        <item x="481"/>
        <item x="126"/>
        <item x="607"/>
        <item x="43"/>
        <item x="581"/>
        <item x="58"/>
        <item x="123"/>
        <item x="619"/>
        <item x="229"/>
        <item x="327"/>
        <item x="463"/>
        <item x="533"/>
        <item x="489"/>
        <item x="319"/>
        <item x="545"/>
        <item x="569"/>
        <item x="190"/>
        <item x="151"/>
        <item x="69"/>
        <item x="683"/>
        <item x="285"/>
        <item x="699"/>
        <item x="486"/>
        <item x="407"/>
        <item x="7"/>
        <item x="361"/>
        <item x="169"/>
        <item x="413"/>
        <item x="571"/>
        <item x="707"/>
        <item x="234"/>
        <item x="414"/>
        <item x="658"/>
        <item x="320"/>
        <item x="354"/>
        <item x="662"/>
        <item x="696"/>
        <item x="472"/>
        <item x="197"/>
        <item x="654"/>
        <item x="231"/>
        <item x="364"/>
        <item x="290"/>
        <item x="45"/>
        <item x="188"/>
        <item x="96"/>
        <item x="423"/>
        <item x="283"/>
        <item x="368"/>
        <item x="87"/>
        <item x="625"/>
        <item x="221"/>
        <item x="6"/>
        <item x="295"/>
        <item x="628"/>
        <item x="725"/>
        <item x="128"/>
        <item x="143"/>
        <item x="396"/>
        <item x="728"/>
        <item x="113"/>
        <item x="417"/>
        <item x="456"/>
        <item x="605"/>
        <item x="223"/>
        <item x="590"/>
        <item x="163"/>
        <item x="66"/>
        <item x="637"/>
        <item x="164"/>
        <item x="441"/>
        <item x="265"/>
        <item x="394"/>
        <item x="445"/>
        <item x="574"/>
        <item x="464"/>
        <item x="537"/>
        <item x="59"/>
        <item x="377"/>
        <item x="722"/>
        <item x="106"/>
        <item x="182"/>
        <item x="539"/>
        <item x="661"/>
        <item x="11"/>
        <item x="387"/>
        <item x="153"/>
        <item x="536"/>
        <item x="247"/>
        <item x="315"/>
        <item x="507"/>
        <item x="424"/>
        <item x="453"/>
        <item x="608"/>
        <item x="227"/>
        <item x="26"/>
        <item x="115"/>
        <item x="531"/>
        <item x="385"/>
        <item x="511"/>
        <item x="609"/>
        <item x="383"/>
        <item x="558"/>
        <item x="663"/>
        <item x="540"/>
        <item x="546"/>
        <item x="483"/>
        <item x="543"/>
        <item x="593"/>
        <item x="499"/>
        <item x="71"/>
        <item x="192"/>
        <item x="616"/>
        <item x="241"/>
        <item x="360"/>
        <item x="452"/>
        <item x="727"/>
        <item x="91"/>
        <item x="13"/>
        <item x="10"/>
        <item x="585"/>
        <item x="512"/>
        <item x="125"/>
        <item x="17"/>
        <item x="426"/>
        <item x="384"/>
        <item x="438"/>
        <item x="475"/>
        <item x="647"/>
        <item x="276"/>
        <item x="514"/>
        <item x="23"/>
        <item x="399"/>
        <item x="379"/>
        <item x="611"/>
        <item x="420"/>
        <item x="74"/>
        <item x="133"/>
        <item x="248"/>
        <item x="252"/>
        <item x="447"/>
        <item x="718"/>
        <item x="454"/>
        <item x="579"/>
        <item x="313"/>
        <item x="446"/>
        <item x="30"/>
        <item x="405"/>
        <item x="476"/>
        <item x="692"/>
        <item x="429"/>
        <item x="130"/>
        <item x="37"/>
        <item x="443"/>
        <item x="685"/>
        <item x="22"/>
        <item x="444"/>
        <item x="382"/>
        <item x="239"/>
        <item x="595"/>
        <item x="655"/>
        <item x="332"/>
        <item x="624"/>
        <item x="578"/>
        <item x="659"/>
        <item x="111"/>
        <item x="684"/>
        <item x="373"/>
        <item x="180"/>
        <item x="367"/>
        <item x="565"/>
        <item x="598"/>
        <item x="580"/>
        <item x="563"/>
        <item x="116"/>
        <item x="222"/>
        <item x="176"/>
        <item x="622"/>
        <item x="541"/>
        <item x="204"/>
        <item x="671"/>
        <item x="498"/>
        <item x="492"/>
        <item x="79"/>
        <item x="701"/>
        <item x="8"/>
        <item x="716"/>
        <item x="316"/>
        <item x="299"/>
        <item x="503"/>
        <item x="104"/>
        <item x="156"/>
        <item x="632"/>
        <item x="262"/>
        <item x="27"/>
        <item x="398"/>
        <item x="561"/>
        <item x="35"/>
        <item x="640"/>
        <item x="380"/>
        <item x="428"/>
        <item x="235"/>
        <item x="191"/>
        <item x="409"/>
        <item x="400"/>
        <item x="195"/>
        <item x="321"/>
        <item x="466"/>
        <item x="102"/>
        <item x="34"/>
        <item x="2"/>
        <item x="308"/>
        <item x="477"/>
        <item x="547"/>
        <item x="550"/>
        <item x="336"/>
        <item x="353"/>
        <item x="723"/>
        <item x="549"/>
        <item x="378"/>
        <item x="493"/>
        <item x="635"/>
        <item x="721"/>
        <item x="310"/>
        <item x="211"/>
        <item x="202"/>
        <item x="642"/>
        <item x="430"/>
        <item x="189"/>
        <item x="232"/>
        <item x="365"/>
        <item x="359"/>
        <item x="559"/>
        <item x="132"/>
        <item x="213"/>
        <item x="668"/>
        <item x="199"/>
        <item x="76"/>
        <item x="391"/>
        <item x="220"/>
        <item x="695"/>
        <item x="101"/>
        <item x="524"/>
        <item x="282"/>
        <item x="656"/>
        <item x="305"/>
        <item x="535"/>
        <item x="525"/>
        <item x="160"/>
        <item x="390"/>
        <item x="529"/>
        <item x="362"/>
        <item x="500"/>
        <item x="200"/>
        <item x="64"/>
        <item x="687"/>
        <item x="261"/>
        <item x="389"/>
        <item x="206"/>
        <item x="504"/>
        <item x="714"/>
        <item x="50"/>
        <item x="184"/>
        <item x="617"/>
        <item x="678"/>
        <item x="425"/>
        <item x="216"/>
        <item x="253"/>
        <item x="168"/>
        <item x="451"/>
        <item x="80"/>
        <item x="515"/>
        <item x="264"/>
        <item x="323"/>
        <item x="623"/>
        <item x="402"/>
        <item x="296"/>
        <item x="19"/>
        <item x="416"/>
        <item x="325"/>
        <item x="233"/>
        <item x="57"/>
        <item x="633"/>
        <item x="291"/>
        <item x="717"/>
        <item x="459"/>
        <item x="689"/>
        <item x="343"/>
        <item x="334"/>
        <item x="679"/>
        <item x="410"/>
        <item x="586"/>
        <item x="47"/>
        <item x="293"/>
        <item x="594"/>
        <item x="381"/>
        <item x="154"/>
        <item x="653"/>
        <item x="131"/>
        <item x="95"/>
        <item x="627"/>
        <item x="198"/>
        <item x="18"/>
        <item x="562"/>
        <item x="431"/>
        <item x="117"/>
        <item x="698"/>
        <item x="20"/>
        <item x="109"/>
        <item x="138"/>
        <item x="440"/>
        <item x="127"/>
        <item x="567"/>
        <item x="589"/>
        <item x="645"/>
        <item x="485"/>
        <item x="55"/>
        <item x="474"/>
        <item x="433"/>
        <item x="401"/>
        <item x="9"/>
        <item x="421"/>
        <item x="228"/>
        <item x="521"/>
        <item x="542"/>
        <item x="141"/>
        <item x="694"/>
        <item x="98"/>
        <item x="705"/>
        <item x="523"/>
        <item x="584"/>
        <item x="186"/>
        <item x="570"/>
        <item x="724"/>
        <item x="693"/>
        <item x="479"/>
        <item x="159"/>
        <item x="392"/>
        <item x="348"/>
        <item x="482"/>
        <item x="626"/>
        <item x="56"/>
        <item x="105"/>
        <item x="551"/>
        <item x="167"/>
        <item x="318"/>
        <item x="312"/>
        <item x="89"/>
        <item x="162"/>
        <item x="54"/>
        <item x="704"/>
        <item x="341"/>
        <item x="715"/>
        <item x="185"/>
        <item x="259"/>
        <item x="518"/>
        <item x="46"/>
        <item x="165"/>
        <item x="372"/>
        <item x="553"/>
        <item x="181"/>
        <item x="501"/>
        <item x="660"/>
        <item x="288"/>
        <item x="108"/>
        <item x="403"/>
        <item x="275"/>
        <item x="242"/>
        <item x="267"/>
        <item x="351"/>
        <item x="371"/>
        <item x="284"/>
        <item x="356"/>
        <item x="236"/>
        <item x="5"/>
        <item x="508"/>
        <item x="67"/>
        <item x="666"/>
        <item x="638"/>
        <item x="680"/>
        <item x="631"/>
        <item x="568"/>
        <item x="225"/>
        <item x="670"/>
        <item x="510"/>
        <item x="644"/>
        <item x="330"/>
        <item x="99"/>
        <item x="395"/>
        <item x="246"/>
        <item x="335"/>
        <item x="317"/>
        <item x="557"/>
        <item x="548"/>
        <item x="337"/>
        <item x="51"/>
        <item x="256"/>
        <item x="83"/>
        <item x="630"/>
        <item x="42"/>
        <item x="560"/>
        <item x="643"/>
        <item x="85"/>
        <item x="134"/>
        <item x="171"/>
        <item x="650"/>
        <item x="82"/>
        <item x="352"/>
        <item x="0"/>
        <item x="38"/>
        <item x="155"/>
        <item x="505"/>
        <item x="461"/>
        <item x="121"/>
        <item x="78"/>
        <item x="245"/>
        <item x="48"/>
        <item x="713"/>
        <item x="460"/>
        <item x="411"/>
        <item x="268"/>
        <item x="604"/>
        <item x="408"/>
        <item x="516"/>
        <item x="243"/>
        <item x="719"/>
        <item x="270"/>
        <item x="120"/>
        <item x="328"/>
        <item x="350"/>
        <item x="473"/>
        <item x="682"/>
        <item x="273"/>
        <item x="538"/>
        <item x="406"/>
        <item x="280"/>
        <item x="555"/>
        <item x="302"/>
        <item x="44"/>
        <item x="103"/>
        <item x="599"/>
        <item x="212"/>
        <item x="260"/>
        <item x="436"/>
        <item x="448"/>
        <item x="676"/>
        <item x="657"/>
        <item x="77"/>
        <item x="497"/>
        <item x="664"/>
        <item x="527"/>
        <item x="720"/>
        <item x="646"/>
        <item x="157"/>
        <item x="142"/>
        <item x="412"/>
        <item x="53"/>
        <item x="554"/>
        <item x="172"/>
        <item x="641"/>
        <item x="397"/>
        <item x="697"/>
        <item x="374"/>
        <item x="36"/>
        <item x="300"/>
        <item x="217"/>
        <item x="700"/>
        <item x="179"/>
        <item x="152"/>
        <item x="49"/>
        <item x="324"/>
        <item x="137"/>
        <item x="690"/>
        <item x="230"/>
        <item x="517"/>
        <item x="375"/>
        <item x="566"/>
        <item x="458"/>
        <item x="304"/>
        <item x="32"/>
        <item x="205"/>
        <item x="369"/>
        <item x="266"/>
        <item x="522"/>
        <item x="3"/>
        <item x="301"/>
        <item x="333"/>
        <item x="488"/>
        <item x="314"/>
        <item x="92"/>
        <item x="468"/>
        <item x="28"/>
        <item x="177"/>
        <item x="490"/>
        <item x="652"/>
        <item x="158"/>
        <item x="146"/>
        <item x="651"/>
        <item x="294"/>
        <item x="726"/>
        <item x="263"/>
        <item x="292"/>
        <item x="62"/>
        <item x="196"/>
        <item x="21"/>
        <item x="587"/>
        <item x="467"/>
        <item x="250"/>
        <item x="110"/>
        <item x="388"/>
        <item x="331"/>
        <item x="442"/>
        <item x="496"/>
        <item x="688"/>
        <item x="386"/>
        <item x="667"/>
        <item x="674"/>
        <item x="669"/>
        <item x="307"/>
        <item x="114"/>
        <item x="329"/>
        <item x="597"/>
        <item x="639"/>
        <item x="449"/>
        <item x="175"/>
        <item x="665"/>
        <item x="311"/>
        <item x="603"/>
        <item x="434"/>
        <item x="97"/>
        <item x="207"/>
        <item x="502"/>
        <item x="544"/>
        <item x="649"/>
        <item x="238"/>
        <item x="40"/>
        <item x="81"/>
        <item x="706"/>
        <item x="193"/>
        <item x="100"/>
        <item x="576"/>
        <item x="357"/>
        <item x="588"/>
        <item x="86"/>
        <item x="342"/>
        <item x="370"/>
        <item x="94"/>
        <item x="437"/>
        <item x="306"/>
        <item x="257"/>
        <item x="363"/>
        <item x="68"/>
        <item x="29"/>
        <item x="226"/>
        <item x="520"/>
        <item x="187"/>
        <item x="681"/>
        <item x="422"/>
        <item x="494"/>
        <item x="136"/>
        <item x="509"/>
        <item x="677"/>
        <item x="710"/>
        <item x="432"/>
        <item x="573"/>
        <item x="349"/>
        <item x="469"/>
        <item x="338"/>
        <item x="93"/>
        <item x="419"/>
        <item x="240"/>
        <item x="255"/>
        <item x="60"/>
        <item x="118"/>
        <item x="439"/>
        <item x="4"/>
        <item x="147"/>
        <item x="269"/>
        <item x="12"/>
        <item x="583"/>
        <item x="326"/>
        <item x="435"/>
        <item x="686"/>
        <item x="258"/>
        <item x="427"/>
        <item x="709"/>
        <item x="309"/>
        <item x="471"/>
        <item x="376"/>
        <item x="209"/>
        <item x="144"/>
        <item x="418"/>
        <item x="218"/>
        <item x="149"/>
        <item x="145"/>
        <item x="148"/>
        <item x="219"/>
        <item x="16"/>
        <item x="457"/>
        <item x="711"/>
        <item x="404"/>
        <item x="178"/>
        <item x="52"/>
        <item x="672"/>
        <item x="519"/>
        <item x="577"/>
        <item x="702"/>
        <item x="618"/>
        <item x="73"/>
        <item x="70"/>
        <item x="90"/>
        <item x="201"/>
        <item x="606"/>
        <item x="72"/>
        <item x="355"/>
        <item x="84"/>
        <item x="601"/>
        <item x="556"/>
        <item t="default"/>
      </items>
    </pivotField>
    <pivotField showAll="0"/>
    <pivotField showAll="0">
      <items count="501">
        <item x="488"/>
        <item x="220"/>
        <item x="39"/>
        <item x="120"/>
        <item x="20"/>
        <item x="226"/>
        <item x="21"/>
        <item x="386"/>
        <item x="492"/>
        <item x="324"/>
        <item x="310"/>
        <item x="78"/>
        <item x="28"/>
        <item x="114"/>
        <item x="286"/>
        <item x="77"/>
        <item x="442"/>
        <item x="370"/>
        <item x="224"/>
        <item x="323"/>
        <item x="441"/>
        <item x="74"/>
        <item x="122"/>
        <item x="412"/>
        <item x="445"/>
        <item x="8"/>
        <item x="297"/>
        <item x="284"/>
        <item x="54"/>
        <item x="473"/>
        <item x="424"/>
        <item x="180"/>
        <item x="361"/>
        <item x="334"/>
        <item x="84"/>
        <item x="192"/>
        <item x="449"/>
        <item x="250"/>
        <item x="71"/>
        <item x="107"/>
        <item x="67"/>
        <item x="428"/>
        <item x="182"/>
        <item x="251"/>
        <item x="385"/>
        <item x="134"/>
        <item x="393"/>
        <item x="438"/>
        <item x="254"/>
        <item x="448"/>
        <item x="470"/>
        <item x="94"/>
        <item x="37"/>
        <item x="308"/>
        <item x="365"/>
        <item x="430"/>
        <item x="18"/>
        <item x="356"/>
        <item x="328"/>
        <item x="121"/>
        <item x="271"/>
        <item x="496"/>
        <item x="407"/>
        <item x="27"/>
        <item x="327"/>
        <item x="117"/>
        <item x="243"/>
        <item x="170"/>
        <item x="481"/>
        <item x="169"/>
        <item x="344"/>
        <item x="275"/>
        <item x="340"/>
        <item x="219"/>
        <item x="491"/>
        <item x="404"/>
        <item x="285"/>
        <item x="375"/>
        <item x="139"/>
        <item x="493"/>
        <item x="423"/>
        <item x="207"/>
        <item x="342"/>
        <item x="26"/>
        <item x="29"/>
        <item x="469"/>
        <item x="183"/>
        <item x="245"/>
        <item x="377"/>
        <item x="332"/>
        <item x="200"/>
        <item x="93"/>
        <item x="159"/>
        <item x="89"/>
        <item x="125"/>
        <item x="241"/>
        <item x="306"/>
        <item x="108"/>
        <item x="138"/>
        <item x="253"/>
        <item x="88"/>
        <item x="346"/>
        <item x="186"/>
        <item x="154"/>
        <item x="127"/>
        <item x="106"/>
        <item x="85"/>
        <item x="1"/>
        <item x="437"/>
        <item x="0"/>
        <item x="419"/>
        <item x="314"/>
        <item x="80"/>
        <item x="119"/>
        <item x="359"/>
        <item x="400"/>
        <item x="403"/>
        <item x="240"/>
        <item x="490"/>
        <item x="401"/>
        <item x="352"/>
        <item x="53"/>
        <item x="409"/>
        <item x="333"/>
        <item x="247"/>
        <item x="24"/>
        <item x="90"/>
        <item x="283"/>
        <item x="463"/>
        <item x="459"/>
        <item x="47"/>
        <item x="145"/>
        <item x="263"/>
        <item x="43"/>
        <item x="303"/>
        <item x="157"/>
        <item x="176"/>
        <item x="453"/>
        <item x="358"/>
        <item x="147"/>
        <item x="34"/>
        <item x="51"/>
        <item x="278"/>
        <item x="69"/>
        <item x="46"/>
        <item x="304"/>
        <item x="465"/>
        <item x="315"/>
        <item x="75"/>
        <item x="173"/>
        <item x="406"/>
        <item x="199"/>
        <item x="25"/>
        <item x="482"/>
        <item x="450"/>
        <item x="12"/>
        <item x="487"/>
        <item x="218"/>
        <item x="457"/>
        <item x="264"/>
        <item x="353"/>
        <item x="259"/>
        <item x="137"/>
        <item x="480"/>
        <item x="433"/>
        <item x="392"/>
        <item x="347"/>
        <item x="396"/>
        <item x="64"/>
        <item x="142"/>
        <item x="111"/>
        <item x="379"/>
        <item x="431"/>
        <item x="143"/>
        <item x="397"/>
        <item x="281"/>
        <item x="276"/>
        <item x="36"/>
        <item x="221"/>
        <item x="153"/>
        <item x="390"/>
        <item x="123"/>
        <item x="432"/>
        <item x="65"/>
        <item x="382"/>
        <item x="99"/>
        <item x="172"/>
        <item x="313"/>
        <item x="320"/>
        <item x="289"/>
        <item x="391"/>
        <item x="4"/>
        <item x="98"/>
        <item x="185"/>
        <item x="461"/>
        <item x="126"/>
        <item x="360"/>
        <item x="158"/>
        <item x="227"/>
        <item x="270"/>
        <item x="151"/>
        <item x="244"/>
        <item x="317"/>
        <item x="290"/>
        <item x="478"/>
        <item x="287"/>
        <item x="421"/>
        <item x="116"/>
        <item x="228"/>
        <item x="177"/>
        <item x="408"/>
        <item x="30"/>
        <item x="336"/>
        <item x="198"/>
        <item x="268"/>
        <item x="372"/>
        <item x="484"/>
        <item x="485"/>
        <item x="321"/>
        <item x="49"/>
        <item x="349"/>
        <item x="252"/>
        <item x="133"/>
        <item x="468"/>
        <item x="204"/>
        <item x="418"/>
        <item x="166"/>
        <item x="262"/>
        <item x="381"/>
        <item x="101"/>
        <item x="274"/>
        <item x="318"/>
        <item x="149"/>
        <item x="440"/>
        <item x="296"/>
        <item x="467"/>
        <item x="128"/>
        <item x="231"/>
        <item x="350"/>
        <item x="10"/>
        <item x="132"/>
        <item x="495"/>
        <item x="211"/>
        <item x="235"/>
        <item x="210"/>
        <item x="234"/>
        <item x="257"/>
        <item x="455"/>
        <item x="238"/>
        <item x="343"/>
        <item x="208"/>
        <item x="414"/>
        <item x="209"/>
        <item x="368"/>
        <item x="335"/>
        <item x="388"/>
        <item x="150"/>
        <item x="48"/>
        <item x="167"/>
        <item x="242"/>
        <item x="189"/>
        <item x="135"/>
        <item x="402"/>
        <item x="239"/>
        <item x="483"/>
        <item x="197"/>
        <item x="330"/>
        <item x="19"/>
        <item x="444"/>
        <item x="104"/>
        <item x="258"/>
        <item x="229"/>
        <item x="307"/>
        <item x="15"/>
        <item x="171"/>
        <item x="476"/>
        <item x="413"/>
        <item x="316"/>
        <item x="325"/>
        <item x="280"/>
        <item x="422"/>
        <item x="162"/>
        <item x="472"/>
        <item x="97"/>
        <item x="81"/>
        <item x="416"/>
        <item x="357"/>
        <item x="311"/>
        <item x="31"/>
        <item x="40"/>
        <item x="92"/>
        <item x="62"/>
        <item x="9"/>
        <item x="72"/>
        <item x="398"/>
        <item x="155"/>
        <item x="447"/>
        <item x="337"/>
        <item x="7"/>
        <item x="464"/>
        <item x="255"/>
        <item x="486"/>
        <item x="355"/>
        <item x="217"/>
        <item x="435"/>
        <item x="399"/>
        <item x="305"/>
        <item x="35"/>
        <item x="165"/>
        <item x="216"/>
        <item x="494"/>
        <item x="452"/>
        <item x="193"/>
        <item x="113"/>
        <item x="136"/>
        <item x="232"/>
        <item x="187"/>
        <item x="309"/>
        <item x="272"/>
        <item x="52"/>
        <item x="191"/>
        <item x="394"/>
        <item x="188"/>
        <item x="233"/>
        <item x="425"/>
        <item x="383"/>
        <item x="5"/>
        <item x="213"/>
        <item x="261"/>
        <item x="427"/>
        <item x="95"/>
        <item x="63"/>
        <item x="194"/>
        <item x="181"/>
        <item x="300"/>
        <item x="376"/>
        <item x="179"/>
        <item x="16"/>
        <item x="59"/>
        <item x="378"/>
        <item x="230"/>
        <item x="50"/>
        <item x="70"/>
        <item x="45"/>
        <item x="466"/>
        <item x="389"/>
        <item x="326"/>
        <item x="2"/>
        <item x="22"/>
        <item x="298"/>
        <item x="341"/>
        <item x="152"/>
        <item x="451"/>
        <item x="417"/>
        <item x="246"/>
        <item x="156"/>
        <item x="175"/>
        <item x="11"/>
        <item x="110"/>
        <item x="415"/>
        <item x="288"/>
        <item x="57"/>
        <item x="144"/>
        <item x="163"/>
        <item x="293"/>
        <item x="260"/>
        <item x="474"/>
        <item x="499"/>
        <item x="363"/>
        <item x="367"/>
        <item x="14"/>
        <item x="322"/>
        <item x="266"/>
        <item x="60"/>
        <item x="443"/>
        <item x="195"/>
        <item x="475"/>
        <item x="489"/>
        <item x="202"/>
        <item x="73"/>
        <item x="115"/>
        <item x="205"/>
        <item x="105"/>
        <item x="6"/>
        <item x="248"/>
        <item x="371"/>
        <item x="146"/>
        <item x="434"/>
        <item x="277"/>
        <item x="174"/>
        <item x="429"/>
        <item x="225"/>
        <item x="148"/>
        <item x="168"/>
        <item x="345"/>
        <item x="366"/>
        <item x="338"/>
        <item x="196"/>
        <item x="103"/>
        <item x="295"/>
        <item x="446"/>
        <item x="17"/>
        <item x="164"/>
        <item x="477"/>
        <item x="61"/>
        <item x="118"/>
        <item x="140"/>
        <item x="23"/>
        <item x="131"/>
        <item x="76"/>
        <item x="498"/>
        <item x="497"/>
        <item x="190"/>
        <item x="160"/>
        <item x="3"/>
        <item x="102"/>
        <item x="203"/>
        <item x="33"/>
        <item x="201"/>
        <item x="87"/>
        <item x="269"/>
        <item x="58"/>
        <item x="411"/>
        <item x="331"/>
        <item x="56"/>
        <item x="369"/>
        <item x="214"/>
        <item x="124"/>
        <item x="374"/>
        <item x="339"/>
        <item x="436"/>
        <item x="312"/>
        <item x="184"/>
        <item x="384"/>
        <item x="141"/>
        <item x="32"/>
        <item x="299"/>
        <item x="354"/>
        <item x="267"/>
        <item x="348"/>
        <item x="82"/>
        <item x="215"/>
        <item x="68"/>
        <item x="100"/>
        <item x="373"/>
        <item x="351"/>
        <item x="86"/>
        <item x="66"/>
        <item x="212"/>
        <item x="294"/>
        <item x="129"/>
        <item x="301"/>
        <item x="273"/>
        <item x="161"/>
        <item x="479"/>
        <item x="256"/>
        <item x="319"/>
        <item x="420"/>
        <item x="178"/>
        <item x="38"/>
        <item x="282"/>
        <item x="387"/>
        <item x="13"/>
        <item x="237"/>
        <item x="109"/>
        <item x="112"/>
        <item x="410"/>
        <item x="471"/>
        <item x="249"/>
        <item x="279"/>
        <item x="265"/>
        <item x="395"/>
        <item x="329"/>
        <item x="460"/>
        <item x="206"/>
        <item x="426"/>
        <item x="41"/>
        <item x="439"/>
        <item x="96"/>
        <item x="222"/>
        <item x="456"/>
        <item x="462"/>
        <item x="130"/>
        <item x="291"/>
        <item x="223"/>
        <item x="362"/>
        <item x="44"/>
        <item x="83"/>
        <item x="79"/>
        <item x="42"/>
        <item x="380"/>
        <item x="458"/>
        <item x="405"/>
        <item x="292"/>
        <item x="55"/>
        <item x="236"/>
        <item x="454"/>
        <item x="91"/>
        <item x="364"/>
        <item x="302"/>
        <item t="default"/>
      </items>
    </pivotField>
    <pivotField axis="axisRow" showAll="0">
      <items count="6">
        <item x="1"/>
        <item x="0"/>
        <item x="4"/>
        <item x="2"/>
        <item x="3"/>
        <item t="default"/>
      </items>
    </pivotField>
    <pivotField showAll="0">
      <items count="51">
        <item x="37"/>
        <item x="29"/>
        <item x="15"/>
        <item x="11"/>
        <item x="24"/>
        <item x="42"/>
        <item x="46"/>
        <item x="47"/>
        <item x="27"/>
        <item x="10"/>
        <item x="16"/>
        <item x="0"/>
        <item x="48"/>
        <item x="36"/>
        <item x="39"/>
        <item x="35"/>
        <item x="40"/>
        <item x="38"/>
        <item x="43"/>
        <item x="49"/>
        <item x="33"/>
        <item x="31"/>
        <item x="13"/>
        <item x="9"/>
        <item x="45"/>
        <item x="17"/>
        <item x="23"/>
        <item x="34"/>
        <item x="32"/>
        <item x="8"/>
        <item x="4"/>
        <item x="18"/>
        <item x="44"/>
        <item x="41"/>
        <item x="7"/>
        <item x="20"/>
        <item x="26"/>
        <item x="21"/>
        <item x="12"/>
        <item x="19"/>
        <item x="1"/>
        <item x="6"/>
        <item x="14"/>
        <item x="25"/>
        <item x="28"/>
        <item x="2"/>
        <item x="22"/>
        <item x="3"/>
        <item x="30"/>
        <item x="5"/>
        <item t="default"/>
      </items>
    </pivotField>
    <pivotField showAll="0">
      <items count="51">
        <item x="37"/>
        <item x="10"/>
        <item x="16"/>
        <item x="0"/>
        <item x="48"/>
        <item x="36"/>
        <item x="39"/>
        <item x="35"/>
        <item x="40"/>
        <item x="38"/>
        <item x="43"/>
        <item x="29"/>
        <item x="49"/>
        <item x="33"/>
        <item x="31"/>
        <item x="13"/>
        <item x="9"/>
        <item x="45"/>
        <item x="17"/>
        <item x="23"/>
        <item x="34"/>
        <item x="32"/>
        <item x="15"/>
        <item x="8"/>
        <item x="4"/>
        <item x="18"/>
        <item x="44"/>
        <item x="41"/>
        <item x="7"/>
        <item x="20"/>
        <item x="26"/>
        <item x="21"/>
        <item x="12"/>
        <item x="11"/>
        <item x="19"/>
        <item x="1"/>
        <item x="6"/>
        <item x="14"/>
        <item x="25"/>
        <item x="28"/>
        <item x="2"/>
        <item x="22"/>
        <item x="3"/>
        <item x="30"/>
        <item x="24"/>
        <item x="5"/>
        <item x="42"/>
        <item x="46"/>
        <item x="47"/>
        <item x="27"/>
        <item t="default"/>
      </items>
    </pivotField>
    <pivotField axis="axisRow" showAll="0">
      <items count="6">
        <item x="1"/>
        <item x="2"/>
        <item x="4"/>
        <item x="3"/>
        <item x="0"/>
        <item t="default"/>
      </items>
    </pivotField>
    <pivotField showAll="0"/>
    <pivotField numFmtId="44" showAll="0"/>
    <pivotField dataField="1" numFmtId="44" showAll="0"/>
    <pivotField showAll="0" defaultSubtotal="0"/>
    <pivotField showAll="0" defaultSubtotal="0"/>
    <pivotField showAll="0" defaultSubtotal="0">
      <items count="5">
        <item x="0"/>
        <item x="1"/>
        <item x="2"/>
        <item x="3"/>
        <item x="4"/>
      </items>
    </pivotField>
  </pivotFields>
  <rowFields count="2">
    <field x="7"/>
    <field x="4"/>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Average of Revenue" fld="10" subtotal="average"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062D90-9579-DE49-A5DE-7BD94B8787D9}" name="PivotTable1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11:K32" firstHeaderRow="1" firstDataRow="1" firstDataCol="1"/>
  <pivotFields count="14">
    <pivotField showAll="0"/>
    <pivotField numFmtId="14" showAll="0">
      <items count="731">
        <item x="347"/>
        <item x="63"/>
        <item x="470"/>
        <item x="636"/>
        <item x="346"/>
        <item x="183"/>
        <item x="244"/>
        <item x="278"/>
        <item x="39"/>
        <item x="289"/>
        <item x="14"/>
        <item x="358"/>
        <item x="88"/>
        <item x="484"/>
        <item x="629"/>
        <item x="41"/>
        <item x="272"/>
        <item x="708"/>
        <item x="345"/>
        <item x="621"/>
        <item x="208"/>
        <item x="140"/>
        <item x="612"/>
        <item x="31"/>
        <item x="139"/>
        <item x="487"/>
        <item x="528"/>
        <item x="75"/>
        <item x="610"/>
        <item x="281"/>
        <item x="648"/>
        <item x="210"/>
        <item x="572"/>
        <item x="465"/>
        <item x="602"/>
        <item x="287"/>
        <item x="303"/>
        <item x="129"/>
        <item x="729"/>
        <item x="1"/>
        <item x="194"/>
        <item x="450"/>
        <item x="673"/>
        <item x="170"/>
        <item x="513"/>
        <item x="161"/>
        <item x="251"/>
        <item x="24"/>
        <item x="237"/>
        <item x="224"/>
        <item x="534"/>
        <item x="600"/>
        <item x="506"/>
        <item x="478"/>
        <item x="532"/>
        <item x="286"/>
        <item x="274"/>
        <item x="703"/>
        <item x="415"/>
        <item x="298"/>
        <item x="33"/>
        <item x="249"/>
        <item x="124"/>
        <item x="135"/>
        <item x="173"/>
        <item x="340"/>
        <item x="271"/>
        <item x="591"/>
        <item x="675"/>
        <item x="254"/>
        <item x="366"/>
        <item x="214"/>
        <item x="150"/>
        <item x="480"/>
        <item x="174"/>
        <item x="61"/>
        <item x="592"/>
        <item x="393"/>
        <item x="564"/>
        <item x="462"/>
        <item x="712"/>
        <item x="25"/>
        <item x="122"/>
        <item x="107"/>
        <item x="582"/>
        <item x="215"/>
        <item x="530"/>
        <item x="455"/>
        <item x="277"/>
        <item x="615"/>
        <item x="112"/>
        <item x="526"/>
        <item x="552"/>
        <item x="339"/>
        <item x="613"/>
        <item x="297"/>
        <item x="166"/>
        <item x="614"/>
        <item x="596"/>
        <item x="279"/>
        <item x="491"/>
        <item x="634"/>
        <item x="119"/>
        <item x="15"/>
        <item x="620"/>
        <item x="691"/>
        <item x="344"/>
        <item x="322"/>
        <item x="495"/>
        <item x="203"/>
        <item x="65"/>
        <item x="575"/>
        <item x="481"/>
        <item x="126"/>
        <item x="607"/>
        <item x="43"/>
        <item x="581"/>
        <item x="58"/>
        <item x="123"/>
        <item x="619"/>
        <item x="229"/>
        <item x="327"/>
        <item x="463"/>
        <item x="533"/>
        <item x="489"/>
        <item x="319"/>
        <item x="545"/>
        <item x="569"/>
        <item x="190"/>
        <item x="151"/>
        <item x="69"/>
        <item x="683"/>
        <item x="285"/>
        <item x="699"/>
        <item x="486"/>
        <item x="407"/>
        <item x="7"/>
        <item x="361"/>
        <item x="169"/>
        <item x="413"/>
        <item x="571"/>
        <item x="707"/>
        <item x="234"/>
        <item x="414"/>
        <item x="658"/>
        <item x="320"/>
        <item x="354"/>
        <item x="662"/>
        <item x="696"/>
        <item x="472"/>
        <item x="197"/>
        <item x="654"/>
        <item x="231"/>
        <item x="364"/>
        <item x="290"/>
        <item x="45"/>
        <item x="188"/>
        <item x="96"/>
        <item x="423"/>
        <item x="283"/>
        <item x="368"/>
        <item x="87"/>
        <item x="625"/>
        <item x="221"/>
        <item x="6"/>
        <item x="295"/>
        <item x="628"/>
        <item x="725"/>
        <item x="128"/>
        <item x="143"/>
        <item x="396"/>
        <item x="728"/>
        <item x="113"/>
        <item x="417"/>
        <item x="456"/>
        <item x="605"/>
        <item x="223"/>
        <item x="590"/>
        <item x="163"/>
        <item x="66"/>
        <item x="637"/>
        <item x="164"/>
        <item x="441"/>
        <item x="265"/>
        <item x="394"/>
        <item x="445"/>
        <item x="574"/>
        <item x="464"/>
        <item x="537"/>
        <item x="59"/>
        <item x="377"/>
        <item x="722"/>
        <item x="106"/>
        <item x="182"/>
        <item x="539"/>
        <item x="661"/>
        <item x="11"/>
        <item x="387"/>
        <item x="153"/>
        <item x="536"/>
        <item x="247"/>
        <item x="315"/>
        <item x="507"/>
        <item x="424"/>
        <item x="453"/>
        <item x="608"/>
        <item x="227"/>
        <item x="26"/>
        <item x="115"/>
        <item x="531"/>
        <item x="385"/>
        <item x="511"/>
        <item x="609"/>
        <item x="383"/>
        <item x="558"/>
        <item x="663"/>
        <item x="540"/>
        <item x="546"/>
        <item x="483"/>
        <item x="543"/>
        <item x="593"/>
        <item x="499"/>
        <item x="71"/>
        <item x="192"/>
        <item x="616"/>
        <item x="241"/>
        <item x="360"/>
        <item x="452"/>
        <item x="727"/>
        <item x="91"/>
        <item x="13"/>
        <item x="10"/>
        <item x="585"/>
        <item x="512"/>
        <item x="125"/>
        <item x="17"/>
        <item x="426"/>
        <item x="384"/>
        <item x="438"/>
        <item x="475"/>
        <item x="647"/>
        <item x="276"/>
        <item x="514"/>
        <item x="23"/>
        <item x="399"/>
        <item x="379"/>
        <item x="611"/>
        <item x="420"/>
        <item x="74"/>
        <item x="133"/>
        <item x="248"/>
        <item x="252"/>
        <item x="447"/>
        <item x="718"/>
        <item x="454"/>
        <item x="579"/>
        <item x="313"/>
        <item x="446"/>
        <item x="30"/>
        <item x="405"/>
        <item x="476"/>
        <item x="692"/>
        <item x="429"/>
        <item x="130"/>
        <item x="37"/>
        <item x="443"/>
        <item x="685"/>
        <item x="22"/>
        <item x="444"/>
        <item x="382"/>
        <item x="239"/>
        <item x="595"/>
        <item x="655"/>
        <item x="332"/>
        <item x="624"/>
        <item x="578"/>
        <item x="659"/>
        <item x="111"/>
        <item x="684"/>
        <item x="373"/>
        <item x="180"/>
        <item x="367"/>
        <item x="565"/>
        <item x="598"/>
        <item x="580"/>
        <item x="563"/>
        <item x="116"/>
        <item x="222"/>
        <item x="176"/>
        <item x="622"/>
        <item x="541"/>
        <item x="204"/>
        <item x="671"/>
        <item x="498"/>
        <item x="492"/>
        <item x="79"/>
        <item x="701"/>
        <item x="8"/>
        <item x="716"/>
        <item x="316"/>
        <item x="299"/>
        <item x="503"/>
        <item x="104"/>
        <item x="156"/>
        <item x="632"/>
        <item x="262"/>
        <item x="27"/>
        <item x="398"/>
        <item x="561"/>
        <item x="35"/>
        <item x="640"/>
        <item x="380"/>
        <item x="428"/>
        <item x="235"/>
        <item x="191"/>
        <item x="409"/>
        <item x="400"/>
        <item x="195"/>
        <item x="321"/>
        <item x="466"/>
        <item x="102"/>
        <item x="34"/>
        <item x="2"/>
        <item x="308"/>
        <item x="477"/>
        <item x="547"/>
        <item x="550"/>
        <item x="336"/>
        <item x="353"/>
        <item x="723"/>
        <item x="549"/>
        <item x="378"/>
        <item x="493"/>
        <item x="635"/>
        <item x="721"/>
        <item x="310"/>
        <item x="211"/>
        <item x="202"/>
        <item x="642"/>
        <item x="430"/>
        <item x="189"/>
        <item x="232"/>
        <item x="365"/>
        <item x="359"/>
        <item x="559"/>
        <item x="132"/>
        <item x="213"/>
        <item x="668"/>
        <item x="199"/>
        <item x="76"/>
        <item x="391"/>
        <item x="220"/>
        <item x="695"/>
        <item x="101"/>
        <item x="524"/>
        <item x="282"/>
        <item x="656"/>
        <item x="305"/>
        <item x="535"/>
        <item x="525"/>
        <item x="160"/>
        <item x="390"/>
        <item x="529"/>
        <item x="362"/>
        <item x="500"/>
        <item x="200"/>
        <item x="64"/>
        <item x="687"/>
        <item x="261"/>
        <item x="389"/>
        <item x="206"/>
        <item x="504"/>
        <item x="714"/>
        <item x="50"/>
        <item x="184"/>
        <item x="617"/>
        <item x="678"/>
        <item x="425"/>
        <item x="216"/>
        <item x="253"/>
        <item x="168"/>
        <item x="451"/>
        <item x="80"/>
        <item x="515"/>
        <item x="264"/>
        <item x="323"/>
        <item x="623"/>
        <item x="402"/>
        <item x="296"/>
        <item x="19"/>
        <item x="416"/>
        <item x="325"/>
        <item x="233"/>
        <item x="57"/>
        <item x="633"/>
        <item x="291"/>
        <item x="717"/>
        <item x="459"/>
        <item x="689"/>
        <item x="343"/>
        <item x="334"/>
        <item x="679"/>
        <item x="410"/>
        <item x="586"/>
        <item x="47"/>
        <item x="293"/>
        <item x="594"/>
        <item x="381"/>
        <item x="154"/>
        <item x="653"/>
        <item x="131"/>
        <item x="95"/>
        <item x="627"/>
        <item x="198"/>
        <item x="18"/>
        <item x="562"/>
        <item x="431"/>
        <item x="117"/>
        <item x="698"/>
        <item x="20"/>
        <item x="109"/>
        <item x="138"/>
        <item x="440"/>
        <item x="127"/>
        <item x="567"/>
        <item x="589"/>
        <item x="645"/>
        <item x="485"/>
        <item x="55"/>
        <item x="474"/>
        <item x="433"/>
        <item x="401"/>
        <item x="9"/>
        <item x="421"/>
        <item x="228"/>
        <item x="521"/>
        <item x="542"/>
        <item x="141"/>
        <item x="694"/>
        <item x="98"/>
        <item x="705"/>
        <item x="523"/>
        <item x="584"/>
        <item x="186"/>
        <item x="570"/>
        <item x="724"/>
        <item x="693"/>
        <item x="479"/>
        <item x="159"/>
        <item x="392"/>
        <item x="348"/>
        <item x="482"/>
        <item x="626"/>
        <item x="56"/>
        <item x="105"/>
        <item x="551"/>
        <item x="167"/>
        <item x="318"/>
        <item x="312"/>
        <item x="89"/>
        <item x="162"/>
        <item x="54"/>
        <item x="704"/>
        <item x="341"/>
        <item x="715"/>
        <item x="185"/>
        <item x="259"/>
        <item x="518"/>
        <item x="46"/>
        <item x="165"/>
        <item x="372"/>
        <item x="553"/>
        <item x="181"/>
        <item x="501"/>
        <item x="660"/>
        <item x="288"/>
        <item x="108"/>
        <item x="403"/>
        <item x="275"/>
        <item x="242"/>
        <item x="267"/>
        <item x="351"/>
        <item x="371"/>
        <item x="284"/>
        <item x="356"/>
        <item x="236"/>
        <item x="5"/>
        <item x="508"/>
        <item x="67"/>
        <item x="666"/>
        <item x="638"/>
        <item x="680"/>
        <item x="631"/>
        <item x="568"/>
        <item x="225"/>
        <item x="670"/>
        <item x="510"/>
        <item x="644"/>
        <item x="330"/>
        <item x="99"/>
        <item x="395"/>
        <item x="246"/>
        <item x="335"/>
        <item x="317"/>
        <item x="557"/>
        <item x="548"/>
        <item x="337"/>
        <item x="51"/>
        <item x="256"/>
        <item x="83"/>
        <item x="630"/>
        <item x="42"/>
        <item x="560"/>
        <item x="643"/>
        <item x="85"/>
        <item x="134"/>
        <item x="171"/>
        <item x="650"/>
        <item x="82"/>
        <item x="352"/>
        <item x="0"/>
        <item x="38"/>
        <item x="155"/>
        <item x="505"/>
        <item x="461"/>
        <item x="121"/>
        <item x="78"/>
        <item x="245"/>
        <item x="48"/>
        <item x="713"/>
        <item x="460"/>
        <item x="411"/>
        <item x="268"/>
        <item x="604"/>
        <item x="408"/>
        <item x="516"/>
        <item x="243"/>
        <item x="719"/>
        <item x="270"/>
        <item x="120"/>
        <item x="328"/>
        <item x="350"/>
        <item x="473"/>
        <item x="682"/>
        <item x="273"/>
        <item x="538"/>
        <item x="406"/>
        <item x="280"/>
        <item x="555"/>
        <item x="302"/>
        <item x="44"/>
        <item x="103"/>
        <item x="599"/>
        <item x="212"/>
        <item x="260"/>
        <item x="436"/>
        <item x="448"/>
        <item x="676"/>
        <item x="657"/>
        <item x="77"/>
        <item x="497"/>
        <item x="664"/>
        <item x="527"/>
        <item x="720"/>
        <item x="646"/>
        <item x="157"/>
        <item x="142"/>
        <item x="412"/>
        <item x="53"/>
        <item x="554"/>
        <item x="172"/>
        <item x="641"/>
        <item x="397"/>
        <item x="697"/>
        <item x="374"/>
        <item x="36"/>
        <item x="300"/>
        <item x="217"/>
        <item x="700"/>
        <item x="179"/>
        <item x="152"/>
        <item x="49"/>
        <item x="324"/>
        <item x="137"/>
        <item x="690"/>
        <item x="230"/>
        <item x="517"/>
        <item x="375"/>
        <item x="566"/>
        <item x="458"/>
        <item x="304"/>
        <item x="32"/>
        <item x="205"/>
        <item x="369"/>
        <item x="266"/>
        <item x="522"/>
        <item x="3"/>
        <item x="301"/>
        <item x="333"/>
        <item x="488"/>
        <item x="314"/>
        <item x="92"/>
        <item x="468"/>
        <item x="28"/>
        <item x="177"/>
        <item x="490"/>
        <item x="652"/>
        <item x="158"/>
        <item x="146"/>
        <item x="651"/>
        <item x="294"/>
        <item x="726"/>
        <item x="263"/>
        <item x="292"/>
        <item x="62"/>
        <item x="196"/>
        <item x="21"/>
        <item x="587"/>
        <item x="467"/>
        <item x="250"/>
        <item x="110"/>
        <item x="388"/>
        <item x="331"/>
        <item x="442"/>
        <item x="496"/>
        <item x="688"/>
        <item x="386"/>
        <item x="667"/>
        <item x="674"/>
        <item x="669"/>
        <item x="307"/>
        <item x="114"/>
        <item x="329"/>
        <item x="597"/>
        <item x="639"/>
        <item x="449"/>
        <item x="175"/>
        <item x="665"/>
        <item x="311"/>
        <item x="603"/>
        <item x="434"/>
        <item x="97"/>
        <item x="207"/>
        <item x="502"/>
        <item x="544"/>
        <item x="649"/>
        <item x="238"/>
        <item x="40"/>
        <item x="81"/>
        <item x="706"/>
        <item x="193"/>
        <item x="100"/>
        <item x="576"/>
        <item x="357"/>
        <item x="588"/>
        <item x="86"/>
        <item x="342"/>
        <item x="370"/>
        <item x="94"/>
        <item x="437"/>
        <item x="306"/>
        <item x="257"/>
        <item x="363"/>
        <item x="68"/>
        <item x="29"/>
        <item x="226"/>
        <item x="520"/>
        <item x="187"/>
        <item x="681"/>
        <item x="422"/>
        <item x="494"/>
        <item x="136"/>
        <item x="509"/>
        <item x="677"/>
        <item x="710"/>
        <item x="432"/>
        <item x="573"/>
        <item x="349"/>
        <item x="469"/>
        <item x="338"/>
        <item x="93"/>
        <item x="419"/>
        <item x="240"/>
        <item x="255"/>
        <item x="60"/>
        <item x="118"/>
        <item x="439"/>
        <item x="4"/>
        <item x="147"/>
        <item x="269"/>
        <item x="12"/>
        <item x="583"/>
        <item x="326"/>
        <item x="435"/>
        <item x="686"/>
        <item x="258"/>
        <item x="427"/>
        <item x="709"/>
        <item x="309"/>
        <item x="471"/>
        <item x="376"/>
        <item x="209"/>
        <item x="144"/>
        <item x="418"/>
        <item x="218"/>
        <item x="149"/>
        <item x="145"/>
        <item x="148"/>
        <item x="219"/>
        <item x="16"/>
        <item x="457"/>
        <item x="711"/>
        <item x="404"/>
        <item x="178"/>
        <item x="52"/>
        <item x="672"/>
        <item x="519"/>
        <item x="577"/>
        <item x="702"/>
        <item x="618"/>
        <item x="73"/>
        <item x="70"/>
        <item x="90"/>
        <item x="201"/>
        <item x="606"/>
        <item x="72"/>
        <item x="355"/>
        <item x="84"/>
        <item x="601"/>
        <item x="556"/>
        <item t="default"/>
      </items>
    </pivotField>
    <pivotField showAll="0"/>
    <pivotField axis="axisRow" showAll="0" measureFilter="1">
      <items count="501">
        <item x="488"/>
        <item x="220"/>
        <item x="39"/>
        <item x="120"/>
        <item x="20"/>
        <item x="226"/>
        <item x="21"/>
        <item x="386"/>
        <item x="492"/>
        <item x="324"/>
        <item x="310"/>
        <item x="78"/>
        <item x="28"/>
        <item x="114"/>
        <item x="286"/>
        <item x="77"/>
        <item x="442"/>
        <item x="370"/>
        <item x="224"/>
        <item x="323"/>
        <item x="441"/>
        <item x="74"/>
        <item x="122"/>
        <item x="412"/>
        <item x="445"/>
        <item x="8"/>
        <item x="297"/>
        <item x="284"/>
        <item x="54"/>
        <item x="473"/>
        <item x="424"/>
        <item x="180"/>
        <item x="361"/>
        <item x="334"/>
        <item x="84"/>
        <item x="192"/>
        <item x="449"/>
        <item x="250"/>
        <item x="71"/>
        <item x="107"/>
        <item x="67"/>
        <item x="428"/>
        <item x="182"/>
        <item x="251"/>
        <item x="385"/>
        <item x="134"/>
        <item x="393"/>
        <item x="438"/>
        <item x="254"/>
        <item x="448"/>
        <item x="470"/>
        <item x="94"/>
        <item x="37"/>
        <item x="308"/>
        <item x="365"/>
        <item x="430"/>
        <item x="18"/>
        <item x="356"/>
        <item x="328"/>
        <item x="121"/>
        <item x="271"/>
        <item x="496"/>
        <item x="407"/>
        <item x="27"/>
        <item x="327"/>
        <item x="117"/>
        <item x="243"/>
        <item x="170"/>
        <item x="481"/>
        <item x="169"/>
        <item x="344"/>
        <item x="275"/>
        <item x="340"/>
        <item x="219"/>
        <item x="491"/>
        <item x="404"/>
        <item x="285"/>
        <item x="375"/>
        <item x="139"/>
        <item x="493"/>
        <item x="423"/>
        <item x="207"/>
        <item x="342"/>
        <item x="26"/>
        <item x="29"/>
        <item x="469"/>
        <item x="183"/>
        <item x="245"/>
        <item x="377"/>
        <item x="332"/>
        <item x="200"/>
        <item x="93"/>
        <item x="159"/>
        <item x="89"/>
        <item x="125"/>
        <item x="241"/>
        <item x="306"/>
        <item x="108"/>
        <item x="138"/>
        <item x="253"/>
        <item x="88"/>
        <item x="346"/>
        <item x="186"/>
        <item x="154"/>
        <item x="127"/>
        <item x="106"/>
        <item x="85"/>
        <item x="1"/>
        <item x="437"/>
        <item x="0"/>
        <item x="419"/>
        <item x="314"/>
        <item x="80"/>
        <item x="119"/>
        <item x="359"/>
        <item x="400"/>
        <item x="403"/>
        <item x="240"/>
        <item x="490"/>
        <item x="401"/>
        <item x="352"/>
        <item x="53"/>
        <item x="409"/>
        <item x="333"/>
        <item x="247"/>
        <item x="24"/>
        <item x="90"/>
        <item x="283"/>
        <item x="463"/>
        <item x="459"/>
        <item x="47"/>
        <item x="145"/>
        <item x="263"/>
        <item x="43"/>
        <item x="303"/>
        <item x="157"/>
        <item x="176"/>
        <item x="453"/>
        <item x="358"/>
        <item x="147"/>
        <item x="34"/>
        <item x="51"/>
        <item x="278"/>
        <item x="69"/>
        <item x="46"/>
        <item x="304"/>
        <item x="465"/>
        <item x="315"/>
        <item x="75"/>
        <item x="173"/>
        <item x="406"/>
        <item x="199"/>
        <item x="25"/>
        <item x="482"/>
        <item x="450"/>
        <item x="12"/>
        <item x="487"/>
        <item x="218"/>
        <item x="457"/>
        <item x="264"/>
        <item x="353"/>
        <item x="259"/>
        <item x="137"/>
        <item x="480"/>
        <item x="433"/>
        <item x="392"/>
        <item x="347"/>
        <item x="396"/>
        <item x="64"/>
        <item x="142"/>
        <item x="111"/>
        <item x="379"/>
        <item x="431"/>
        <item x="143"/>
        <item x="397"/>
        <item x="281"/>
        <item x="276"/>
        <item x="36"/>
        <item x="221"/>
        <item x="153"/>
        <item x="390"/>
        <item x="123"/>
        <item x="432"/>
        <item x="65"/>
        <item x="382"/>
        <item x="99"/>
        <item x="172"/>
        <item x="313"/>
        <item x="320"/>
        <item x="289"/>
        <item x="391"/>
        <item x="4"/>
        <item x="98"/>
        <item x="185"/>
        <item x="461"/>
        <item x="126"/>
        <item x="360"/>
        <item x="158"/>
        <item x="227"/>
        <item x="270"/>
        <item x="151"/>
        <item x="244"/>
        <item x="317"/>
        <item x="290"/>
        <item x="478"/>
        <item x="287"/>
        <item x="421"/>
        <item x="116"/>
        <item x="228"/>
        <item x="177"/>
        <item x="408"/>
        <item x="30"/>
        <item x="336"/>
        <item x="198"/>
        <item x="268"/>
        <item x="372"/>
        <item x="484"/>
        <item x="485"/>
        <item x="321"/>
        <item x="49"/>
        <item x="349"/>
        <item x="252"/>
        <item x="133"/>
        <item x="468"/>
        <item x="204"/>
        <item x="418"/>
        <item x="166"/>
        <item x="262"/>
        <item x="381"/>
        <item x="101"/>
        <item x="274"/>
        <item x="318"/>
        <item x="149"/>
        <item x="440"/>
        <item x="296"/>
        <item x="467"/>
        <item x="128"/>
        <item x="231"/>
        <item x="350"/>
        <item x="10"/>
        <item x="132"/>
        <item x="495"/>
        <item x="211"/>
        <item x="235"/>
        <item x="210"/>
        <item x="234"/>
        <item x="257"/>
        <item x="455"/>
        <item x="238"/>
        <item x="343"/>
        <item x="208"/>
        <item x="414"/>
        <item x="209"/>
        <item x="368"/>
        <item x="335"/>
        <item x="388"/>
        <item x="150"/>
        <item x="48"/>
        <item x="167"/>
        <item x="242"/>
        <item x="189"/>
        <item x="135"/>
        <item x="402"/>
        <item x="239"/>
        <item x="483"/>
        <item x="197"/>
        <item x="330"/>
        <item x="19"/>
        <item x="444"/>
        <item x="104"/>
        <item x="258"/>
        <item x="229"/>
        <item x="307"/>
        <item x="15"/>
        <item x="171"/>
        <item x="476"/>
        <item x="413"/>
        <item x="316"/>
        <item x="325"/>
        <item x="280"/>
        <item x="422"/>
        <item x="162"/>
        <item x="472"/>
        <item x="97"/>
        <item x="81"/>
        <item x="416"/>
        <item x="357"/>
        <item x="311"/>
        <item x="31"/>
        <item x="40"/>
        <item x="92"/>
        <item x="62"/>
        <item x="9"/>
        <item x="72"/>
        <item x="398"/>
        <item x="155"/>
        <item x="447"/>
        <item x="337"/>
        <item x="7"/>
        <item x="464"/>
        <item x="255"/>
        <item x="486"/>
        <item x="355"/>
        <item x="217"/>
        <item x="435"/>
        <item x="399"/>
        <item x="305"/>
        <item x="35"/>
        <item x="165"/>
        <item x="216"/>
        <item x="494"/>
        <item x="452"/>
        <item x="193"/>
        <item x="113"/>
        <item x="136"/>
        <item x="232"/>
        <item x="187"/>
        <item x="309"/>
        <item x="272"/>
        <item x="52"/>
        <item x="191"/>
        <item x="394"/>
        <item x="188"/>
        <item x="233"/>
        <item x="425"/>
        <item x="383"/>
        <item x="5"/>
        <item x="213"/>
        <item x="261"/>
        <item x="427"/>
        <item x="95"/>
        <item x="63"/>
        <item x="194"/>
        <item x="181"/>
        <item x="300"/>
        <item x="376"/>
        <item x="179"/>
        <item x="16"/>
        <item x="59"/>
        <item x="378"/>
        <item x="230"/>
        <item x="50"/>
        <item x="70"/>
        <item x="45"/>
        <item x="466"/>
        <item x="389"/>
        <item x="326"/>
        <item x="2"/>
        <item x="22"/>
        <item x="298"/>
        <item x="341"/>
        <item x="152"/>
        <item x="451"/>
        <item x="417"/>
        <item x="246"/>
        <item x="156"/>
        <item x="175"/>
        <item x="11"/>
        <item x="110"/>
        <item x="415"/>
        <item x="288"/>
        <item x="57"/>
        <item x="144"/>
        <item x="163"/>
        <item x="293"/>
        <item x="260"/>
        <item x="474"/>
        <item x="499"/>
        <item x="363"/>
        <item x="367"/>
        <item x="14"/>
        <item x="322"/>
        <item x="266"/>
        <item x="60"/>
        <item x="443"/>
        <item x="195"/>
        <item x="475"/>
        <item x="489"/>
        <item x="202"/>
        <item x="73"/>
        <item x="115"/>
        <item x="205"/>
        <item x="105"/>
        <item x="6"/>
        <item x="248"/>
        <item x="371"/>
        <item x="146"/>
        <item x="434"/>
        <item x="277"/>
        <item x="174"/>
        <item x="429"/>
        <item x="225"/>
        <item x="148"/>
        <item x="168"/>
        <item x="345"/>
        <item x="366"/>
        <item x="338"/>
        <item x="196"/>
        <item x="103"/>
        <item x="295"/>
        <item x="446"/>
        <item x="17"/>
        <item x="164"/>
        <item x="477"/>
        <item x="61"/>
        <item x="118"/>
        <item x="140"/>
        <item x="23"/>
        <item x="131"/>
        <item x="76"/>
        <item x="498"/>
        <item x="497"/>
        <item x="190"/>
        <item x="160"/>
        <item x="3"/>
        <item x="102"/>
        <item x="203"/>
        <item x="33"/>
        <item x="201"/>
        <item x="87"/>
        <item x="269"/>
        <item x="58"/>
        <item x="411"/>
        <item x="331"/>
        <item x="56"/>
        <item x="369"/>
        <item x="214"/>
        <item x="124"/>
        <item x="374"/>
        <item x="339"/>
        <item x="436"/>
        <item x="312"/>
        <item x="184"/>
        <item x="384"/>
        <item x="141"/>
        <item x="32"/>
        <item x="299"/>
        <item x="354"/>
        <item x="267"/>
        <item x="348"/>
        <item x="82"/>
        <item x="215"/>
        <item x="68"/>
        <item x="100"/>
        <item x="373"/>
        <item x="351"/>
        <item x="86"/>
        <item x="66"/>
        <item x="212"/>
        <item x="294"/>
        <item x="129"/>
        <item x="301"/>
        <item x="273"/>
        <item x="161"/>
        <item x="479"/>
        <item x="256"/>
        <item x="319"/>
        <item x="420"/>
        <item x="178"/>
        <item x="38"/>
        <item x="282"/>
        <item x="387"/>
        <item x="13"/>
        <item x="237"/>
        <item x="109"/>
        <item x="112"/>
        <item x="410"/>
        <item x="471"/>
        <item x="249"/>
        <item x="279"/>
        <item x="265"/>
        <item x="395"/>
        <item x="329"/>
        <item x="460"/>
        <item x="206"/>
        <item x="426"/>
        <item x="41"/>
        <item x="439"/>
        <item x="96"/>
        <item x="222"/>
        <item x="456"/>
        <item x="462"/>
        <item x="130"/>
        <item x="291"/>
        <item x="223"/>
        <item x="362"/>
        <item x="44"/>
        <item x="83"/>
        <item x="79"/>
        <item x="42"/>
        <item x="380"/>
        <item x="458"/>
        <item x="405"/>
        <item x="292"/>
        <item x="55"/>
        <item x="236"/>
        <item x="454"/>
        <item x="91"/>
        <item x="364"/>
        <item x="302"/>
        <item t="default"/>
      </items>
    </pivotField>
    <pivotField showAll="0">
      <items count="6">
        <item x="1"/>
        <item x="0"/>
        <item x="4"/>
        <item x="2"/>
        <item x="3"/>
        <item t="default"/>
      </items>
    </pivotField>
    <pivotField showAll="0">
      <items count="51">
        <item x="37"/>
        <item x="29"/>
        <item x="15"/>
        <item x="11"/>
        <item x="24"/>
        <item x="42"/>
        <item x="46"/>
        <item x="47"/>
        <item x="27"/>
        <item x="10"/>
        <item x="16"/>
        <item x="0"/>
        <item x="48"/>
        <item x="36"/>
        <item x="39"/>
        <item x="35"/>
        <item x="40"/>
        <item x="38"/>
        <item x="43"/>
        <item x="49"/>
        <item x="33"/>
        <item x="31"/>
        <item x="13"/>
        <item x="9"/>
        <item x="45"/>
        <item x="17"/>
        <item x="23"/>
        <item x="34"/>
        <item x="32"/>
        <item x="8"/>
        <item x="4"/>
        <item x="18"/>
        <item x="44"/>
        <item x="41"/>
        <item x="7"/>
        <item x="20"/>
        <item x="26"/>
        <item x="21"/>
        <item x="12"/>
        <item x="19"/>
        <item x="1"/>
        <item x="6"/>
        <item x="14"/>
        <item x="25"/>
        <item x="28"/>
        <item x="2"/>
        <item x="22"/>
        <item x="3"/>
        <item x="30"/>
        <item x="5"/>
        <item t="default"/>
      </items>
    </pivotField>
    <pivotField showAll="0">
      <items count="51">
        <item x="37"/>
        <item x="10"/>
        <item x="16"/>
        <item x="0"/>
        <item x="48"/>
        <item x="36"/>
        <item x="39"/>
        <item x="35"/>
        <item x="40"/>
        <item x="38"/>
        <item x="43"/>
        <item x="29"/>
        <item x="49"/>
        <item x="33"/>
        <item x="31"/>
        <item x="13"/>
        <item x="9"/>
        <item x="45"/>
        <item x="17"/>
        <item x="23"/>
        <item x="34"/>
        <item x="32"/>
        <item x="15"/>
        <item x="8"/>
        <item x="4"/>
        <item x="18"/>
        <item x="44"/>
        <item x="41"/>
        <item x="7"/>
        <item x="20"/>
        <item x="26"/>
        <item x="21"/>
        <item x="12"/>
        <item x="11"/>
        <item x="19"/>
        <item x="1"/>
        <item x="6"/>
        <item x="14"/>
        <item x="25"/>
        <item x="28"/>
        <item x="2"/>
        <item x="22"/>
        <item x="3"/>
        <item x="30"/>
        <item x="24"/>
        <item x="5"/>
        <item x="42"/>
        <item x="46"/>
        <item x="47"/>
        <item x="27"/>
        <item t="default"/>
      </items>
    </pivotField>
    <pivotField showAll="0">
      <items count="6">
        <item x="1"/>
        <item x="2"/>
        <item x="4"/>
        <item x="3"/>
        <item x="0"/>
        <item t="default"/>
      </items>
    </pivotField>
    <pivotField showAll="0"/>
    <pivotField numFmtId="44" showAll="0"/>
    <pivotField dataField="1" numFmtId="44" showAll="0"/>
    <pivotField showAll="0" defaultSubtotal="0"/>
    <pivotField showAll="0" defaultSubtotal="0"/>
    <pivotField showAll="0" defaultSubtotal="0">
      <items count="5">
        <item x="0"/>
        <item x="1"/>
        <item x="2"/>
        <item x="3"/>
        <item x="4"/>
      </items>
    </pivotField>
  </pivotFields>
  <rowFields count="1">
    <field x="3"/>
  </rowFields>
  <rowItems count="21">
    <i>
      <x v="51"/>
    </i>
    <i>
      <x v="86"/>
    </i>
    <i>
      <x v="97"/>
    </i>
    <i>
      <x v="98"/>
    </i>
    <i>
      <x v="99"/>
    </i>
    <i>
      <x v="127"/>
    </i>
    <i>
      <x v="159"/>
    </i>
    <i>
      <x v="186"/>
    </i>
    <i>
      <x v="197"/>
    </i>
    <i>
      <x v="218"/>
    </i>
    <i>
      <x v="266"/>
    </i>
    <i>
      <x v="338"/>
    </i>
    <i>
      <x v="383"/>
    </i>
    <i>
      <x v="397"/>
    </i>
    <i>
      <x v="398"/>
    </i>
    <i>
      <x v="412"/>
    </i>
    <i>
      <x v="414"/>
    </i>
    <i>
      <x v="419"/>
    </i>
    <i>
      <x v="420"/>
    </i>
    <i>
      <x v="475"/>
    </i>
    <i t="grand">
      <x/>
    </i>
  </rowItems>
  <colItems count="1">
    <i/>
  </colItems>
  <dataFields count="1">
    <dataField name="Sum of Revenue" fld="10"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6412B8-0C3A-424E-8CC9-D39A59CCEE49}" name="PivotTable1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6:E12" firstHeaderRow="1" firstDataRow="1" firstDataCol="1"/>
  <pivotFields count="14">
    <pivotField showAll="0"/>
    <pivotField numFmtId="14" showAll="0">
      <items count="731">
        <item x="347"/>
        <item x="63"/>
        <item x="470"/>
        <item x="636"/>
        <item x="346"/>
        <item x="183"/>
        <item x="244"/>
        <item x="278"/>
        <item x="39"/>
        <item x="289"/>
        <item x="14"/>
        <item x="358"/>
        <item x="88"/>
        <item x="484"/>
        <item x="629"/>
        <item x="41"/>
        <item x="272"/>
        <item x="708"/>
        <item x="345"/>
        <item x="621"/>
        <item x="208"/>
        <item x="140"/>
        <item x="612"/>
        <item x="31"/>
        <item x="139"/>
        <item x="487"/>
        <item x="528"/>
        <item x="75"/>
        <item x="610"/>
        <item x="281"/>
        <item x="648"/>
        <item x="210"/>
        <item x="572"/>
        <item x="465"/>
        <item x="602"/>
        <item x="287"/>
        <item x="303"/>
        <item x="129"/>
        <item x="729"/>
        <item x="1"/>
        <item x="194"/>
        <item x="450"/>
        <item x="673"/>
        <item x="170"/>
        <item x="513"/>
        <item x="161"/>
        <item x="251"/>
        <item x="24"/>
        <item x="237"/>
        <item x="224"/>
        <item x="534"/>
        <item x="600"/>
        <item x="506"/>
        <item x="478"/>
        <item x="532"/>
        <item x="286"/>
        <item x="274"/>
        <item x="703"/>
        <item x="415"/>
        <item x="298"/>
        <item x="33"/>
        <item x="249"/>
        <item x="124"/>
        <item x="135"/>
        <item x="173"/>
        <item x="340"/>
        <item x="271"/>
        <item x="591"/>
        <item x="675"/>
        <item x="254"/>
        <item x="366"/>
        <item x="214"/>
        <item x="150"/>
        <item x="480"/>
        <item x="174"/>
        <item x="61"/>
        <item x="592"/>
        <item x="393"/>
        <item x="564"/>
        <item x="462"/>
        <item x="712"/>
        <item x="25"/>
        <item x="122"/>
        <item x="107"/>
        <item x="582"/>
        <item x="215"/>
        <item x="530"/>
        <item x="455"/>
        <item x="277"/>
        <item x="615"/>
        <item x="112"/>
        <item x="526"/>
        <item x="552"/>
        <item x="339"/>
        <item x="613"/>
        <item x="297"/>
        <item x="166"/>
        <item x="614"/>
        <item x="596"/>
        <item x="279"/>
        <item x="491"/>
        <item x="634"/>
        <item x="119"/>
        <item x="15"/>
        <item x="620"/>
        <item x="691"/>
        <item x="344"/>
        <item x="322"/>
        <item x="495"/>
        <item x="203"/>
        <item x="65"/>
        <item x="575"/>
        <item x="481"/>
        <item x="126"/>
        <item x="607"/>
        <item x="43"/>
        <item x="581"/>
        <item x="58"/>
        <item x="123"/>
        <item x="619"/>
        <item x="229"/>
        <item x="327"/>
        <item x="463"/>
        <item x="533"/>
        <item x="489"/>
        <item x="319"/>
        <item x="545"/>
        <item x="569"/>
        <item x="190"/>
        <item x="151"/>
        <item x="69"/>
        <item x="683"/>
        <item x="285"/>
        <item x="699"/>
        <item x="486"/>
        <item x="407"/>
        <item x="7"/>
        <item x="361"/>
        <item x="169"/>
        <item x="413"/>
        <item x="571"/>
        <item x="707"/>
        <item x="234"/>
        <item x="414"/>
        <item x="658"/>
        <item x="320"/>
        <item x="354"/>
        <item x="662"/>
        <item x="696"/>
        <item x="472"/>
        <item x="197"/>
        <item x="654"/>
        <item x="231"/>
        <item x="364"/>
        <item x="290"/>
        <item x="45"/>
        <item x="188"/>
        <item x="96"/>
        <item x="423"/>
        <item x="283"/>
        <item x="368"/>
        <item x="87"/>
        <item x="625"/>
        <item x="221"/>
        <item x="6"/>
        <item x="295"/>
        <item x="628"/>
        <item x="725"/>
        <item x="128"/>
        <item x="143"/>
        <item x="396"/>
        <item x="728"/>
        <item x="113"/>
        <item x="417"/>
        <item x="456"/>
        <item x="605"/>
        <item x="223"/>
        <item x="590"/>
        <item x="163"/>
        <item x="66"/>
        <item x="637"/>
        <item x="164"/>
        <item x="441"/>
        <item x="265"/>
        <item x="394"/>
        <item x="445"/>
        <item x="574"/>
        <item x="464"/>
        <item x="537"/>
        <item x="59"/>
        <item x="377"/>
        <item x="722"/>
        <item x="106"/>
        <item x="182"/>
        <item x="539"/>
        <item x="661"/>
        <item x="11"/>
        <item x="387"/>
        <item x="153"/>
        <item x="536"/>
        <item x="247"/>
        <item x="315"/>
        <item x="507"/>
        <item x="424"/>
        <item x="453"/>
        <item x="608"/>
        <item x="227"/>
        <item x="26"/>
        <item x="115"/>
        <item x="531"/>
        <item x="385"/>
        <item x="511"/>
        <item x="609"/>
        <item x="383"/>
        <item x="558"/>
        <item x="663"/>
        <item x="540"/>
        <item x="546"/>
        <item x="483"/>
        <item x="543"/>
        <item x="593"/>
        <item x="499"/>
        <item x="71"/>
        <item x="192"/>
        <item x="616"/>
        <item x="241"/>
        <item x="360"/>
        <item x="452"/>
        <item x="727"/>
        <item x="91"/>
        <item x="13"/>
        <item x="10"/>
        <item x="585"/>
        <item x="512"/>
        <item x="125"/>
        <item x="17"/>
        <item x="426"/>
        <item x="384"/>
        <item x="438"/>
        <item x="475"/>
        <item x="647"/>
        <item x="276"/>
        <item x="514"/>
        <item x="23"/>
        <item x="399"/>
        <item x="379"/>
        <item x="611"/>
        <item x="420"/>
        <item x="74"/>
        <item x="133"/>
        <item x="248"/>
        <item x="252"/>
        <item x="447"/>
        <item x="718"/>
        <item x="454"/>
        <item x="579"/>
        <item x="313"/>
        <item x="446"/>
        <item x="30"/>
        <item x="405"/>
        <item x="476"/>
        <item x="692"/>
        <item x="429"/>
        <item x="130"/>
        <item x="37"/>
        <item x="443"/>
        <item x="685"/>
        <item x="22"/>
        <item x="444"/>
        <item x="382"/>
        <item x="239"/>
        <item x="595"/>
        <item x="655"/>
        <item x="332"/>
        <item x="624"/>
        <item x="578"/>
        <item x="659"/>
        <item x="111"/>
        <item x="684"/>
        <item x="373"/>
        <item x="180"/>
        <item x="367"/>
        <item x="565"/>
        <item x="598"/>
        <item x="580"/>
        <item x="563"/>
        <item x="116"/>
        <item x="222"/>
        <item x="176"/>
        <item x="622"/>
        <item x="541"/>
        <item x="204"/>
        <item x="671"/>
        <item x="498"/>
        <item x="492"/>
        <item x="79"/>
        <item x="701"/>
        <item x="8"/>
        <item x="716"/>
        <item x="316"/>
        <item x="299"/>
        <item x="503"/>
        <item x="104"/>
        <item x="156"/>
        <item x="632"/>
        <item x="262"/>
        <item x="27"/>
        <item x="398"/>
        <item x="561"/>
        <item x="35"/>
        <item x="640"/>
        <item x="380"/>
        <item x="428"/>
        <item x="235"/>
        <item x="191"/>
        <item x="409"/>
        <item x="400"/>
        <item x="195"/>
        <item x="321"/>
        <item x="466"/>
        <item x="102"/>
        <item x="34"/>
        <item x="2"/>
        <item x="308"/>
        <item x="477"/>
        <item x="547"/>
        <item x="550"/>
        <item x="336"/>
        <item x="353"/>
        <item x="723"/>
        <item x="549"/>
        <item x="378"/>
        <item x="493"/>
        <item x="635"/>
        <item x="721"/>
        <item x="310"/>
        <item x="211"/>
        <item x="202"/>
        <item x="642"/>
        <item x="430"/>
        <item x="189"/>
        <item x="232"/>
        <item x="365"/>
        <item x="359"/>
        <item x="559"/>
        <item x="132"/>
        <item x="213"/>
        <item x="668"/>
        <item x="199"/>
        <item x="76"/>
        <item x="391"/>
        <item x="220"/>
        <item x="695"/>
        <item x="101"/>
        <item x="524"/>
        <item x="282"/>
        <item x="656"/>
        <item x="305"/>
        <item x="535"/>
        <item x="525"/>
        <item x="160"/>
        <item x="390"/>
        <item x="529"/>
        <item x="362"/>
        <item x="500"/>
        <item x="200"/>
        <item x="64"/>
        <item x="687"/>
        <item x="261"/>
        <item x="389"/>
        <item x="206"/>
        <item x="504"/>
        <item x="714"/>
        <item x="50"/>
        <item x="184"/>
        <item x="617"/>
        <item x="678"/>
        <item x="425"/>
        <item x="216"/>
        <item x="253"/>
        <item x="168"/>
        <item x="451"/>
        <item x="80"/>
        <item x="515"/>
        <item x="264"/>
        <item x="323"/>
        <item x="623"/>
        <item x="402"/>
        <item x="296"/>
        <item x="19"/>
        <item x="416"/>
        <item x="325"/>
        <item x="233"/>
        <item x="57"/>
        <item x="633"/>
        <item x="291"/>
        <item x="717"/>
        <item x="459"/>
        <item x="689"/>
        <item x="343"/>
        <item x="334"/>
        <item x="679"/>
        <item x="410"/>
        <item x="586"/>
        <item x="47"/>
        <item x="293"/>
        <item x="594"/>
        <item x="381"/>
        <item x="154"/>
        <item x="653"/>
        <item x="131"/>
        <item x="95"/>
        <item x="627"/>
        <item x="198"/>
        <item x="18"/>
        <item x="562"/>
        <item x="431"/>
        <item x="117"/>
        <item x="698"/>
        <item x="20"/>
        <item x="109"/>
        <item x="138"/>
        <item x="440"/>
        <item x="127"/>
        <item x="567"/>
        <item x="589"/>
        <item x="645"/>
        <item x="485"/>
        <item x="55"/>
        <item x="474"/>
        <item x="433"/>
        <item x="401"/>
        <item x="9"/>
        <item x="421"/>
        <item x="228"/>
        <item x="521"/>
        <item x="542"/>
        <item x="141"/>
        <item x="694"/>
        <item x="98"/>
        <item x="705"/>
        <item x="523"/>
        <item x="584"/>
        <item x="186"/>
        <item x="570"/>
        <item x="724"/>
        <item x="693"/>
        <item x="479"/>
        <item x="159"/>
        <item x="392"/>
        <item x="348"/>
        <item x="482"/>
        <item x="626"/>
        <item x="56"/>
        <item x="105"/>
        <item x="551"/>
        <item x="167"/>
        <item x="318"/>
        <item x="312"/>
        <item x="89"/>
        <item x="162"/>
        <item x="54"/>
        <item x="704"/>
        <item x="341"/>
        <item x="715"/>
        <item x="185"/>
        <item x="259"/>
        <item x="518"/>
        <item x="46"/>
        <item x="165"/>
        <item x="372"/>
        <item x="553"/>
        <item x="181"/>
        <item x="501"/>
        <item x="660"/>
        <item x="288"/>
        <item x="108"/>
        <item x="403"/>
        <item x="275"/>
        <item x="242"/>
        <item x="267"/>
        <item x="351"/>
        <item x="371"/>
        <item x="284"/>
        <item x="356"/>
        <item x="236"/>
        <item x="5"/>
        <item x="508"/>
        <item x="67"/>
        <item x="666"/>
        <item x="638"/>
        <item x="680"/>
        <item x="631"/>
        <item x="568"/>
        <item x="225"/>
        <item x="670"/>
        <item x="510"/>
        <item x="644"/>
        <item x="330"/>
        <item x="99"/>
        <item x="395"/>
        <item x="246"/>
        <item x="335"/>
        <item x="317"/>
        <item x="557"/>
        <item x="548"/>
        <item x="337"/>
        <item x="51"/>
        <item x="256"/>
        <item x="83"/>
        <item x="630"/>
        <item x="42"/>
        <item x="560"/>
        <item x="643"/>
        <item x="85"/>
        <item x="134"/>
        <item x="171"/>
        <item x="650"/>
        <item x="82"/>
        <item x="352"/>
        <item x="0"/>
        <item x="38"/>
        <item x="155"/>
        <item x="505"/>
        <item x="461"/>
        <item x="121"/>
        <item x="78"/>
        <item x="245"/>
        <item x="48"/>
        <item x="713"/>
        <item x="460"/>
        <item x="411"/>
        <item x="268"/>
        <item x="604"/>
        <item x="408"/>
        <item x="516"/>
        <item x="243"/>
        <item x="719"/>
        <item x="270"/>
        <item x="120"/>
        <item x="328"/>
        <item x="350"/>
        <item x="473"/>
        <item x="682"/>
        <item x="273"/>
        <item x="538"/>
        <item x="406"/>
        <item x="280"/>
        <item x="555"/>
        <item x="302"/>
        <item x="44"/>
        <item x="103"/>
        <item x="599"/>
        <item x="212"/>
        <item x="260"/>
        <item x="436"/>
        <item x="448"/>
        <item x="676"/>
        <item x="657"/>
        <item x="77"/>
        <item x="497"/>
        <item x="664"/>
        <item x="527"/>
        <item x="720"/>
        <item x="646"/>
        <item x="157"/>
        <item x="142"/>
        <item x="412"/>
        <item x="53"/>
        <item x="554"/>
        <item x="172"/>
        <item x="641"/>
        <item x="397"/>
        <item x="697"/>
        <item x="374"/>
        <item x="36"/>
        <item x="300"/>
        <item x="217"/>
        <item x="700"/>
        <item x="179"/>
        <item x="152"/>
        <item x="49"/>
        <item x="324"/>
        <item x="137"/>
        <item x="690"/>
        <item x="230"/>
        <item x="517"/>
        <item x="375"/>
        <item x="566"/>
        <item x="458"/>
        <item x="304"/>
        <item x="32"/>
        <item x="205"/>
        <item x="369"/>
        <item x="266"/>
        <item x="522"/>
        <item x="3"/>
        <item x="301"/>
        <item x="333"/>
        <item x="488"/>
        <item x="314"/>
        <item x="92"/>
        <item x="468"/>
        <item x="28"/>
        <item x="177"/>
        <item x="490"/>
        <item x="652"/>
        <item x="158"/>
        <item x="146"/>
        <item x="651"/>
        <item x="294"/>
        <item x="726"/>
        <item x="263"/>
        <item x="292"/>
        <item x="62"/>
        <item x="196"/>
        <item x="21"/>
        <item x="587"/>
        <item x="467"/>
        <item x="250"/>
        <item x="110"/>
        <item x="388"/>
        <item x="331"/>
        <item x="442"/>
        <item x="496"/>
        <item x="688"/>
        <item x="386"/>
        <item x="667"/>
        <item x="674"/>
        <item x="669"/>
        <item x="307"/>
        <item x="114"/>
        <item x="329"/>
        <item x="597"/>
        <item x="639"/>
        <item x="449"/>
        <item x="175"/>
        <item x="665"/>
        <item x="311"/>
        <item x="603"/>
        <item x="434"/>
        <item x="97"/>
        <item x="207"/>
        <item x="502"/>
        <item x="544"/>
        <item x="649"/>
        <item x="238"/>
        <item x="40"/>
        <item x="81"/>
        <item x="706"/>
        <item x="193"/>
        <item x="100"/>
        <item x="576"/>
        <item x="357"/>
        <item x="588"/>
        <item x="86"/>
        <item x="342"/>
        <item x="370"/>
        <item x="94"/>
        <item x="437"/>
        <item x="306"/>
        <item x="257"/>
        <item x="363"/>
        <item x="68"/>
        <item x="29"/>
        <item x="226"/>
        <item x="520"/>
        <item x="187"/>
        <item x="681"/>
        <item x="422"/>
        <item x="494"/>
        <item x="136"/>
        <item x="509"/>
        <item x="677"/>
        <item x="710"/>
        <item x="432"/>
        <item x="573"/>
        <item x="349"/>
        <item x="469"/>
        <item x="338"/>
        <item x="93"/>
        <item x="419"/>
        <item x="240"/>
        <item x="255"/>
        <item x="60"/>
        <item x="118"/>
        <item x="439"/>
        <item x="4"/>
        <item x="147"/>
        <item x="269"/>
        <item x="12"/>
        <item x="583"/>
        <item x="326"/>
        <item x="435"/>
        <item x="686"/>
        <item x="258"/>
        <item x="427"/>
        <item x="709"/>
        <item x="309"/>
        <item x="471"/>
        <item x="376"/>
        <item x="209"/>
        <item x="144"/>
        <item x="418"/>
        <item x="218"/>
        <item x="149"/>
        <item x="145"/>
        <item x="148"/>
        <item x="219"/>
        <item x="16"/>
        <item x="457"/>
        <item x="711"/>
        <item x="404"/>
        <item x="178"/>
        <item x="52"/>
        <item x="672"/>
        <item x="519"/>
        <item x="577"/>
        <item x="702"/>
        <item x="618"/>
        <item x="73"/>
        <item x="70"/>
        <item x="90"/>
        <item x="201"/>
        <item x="606"/>
        <item x="72"/>
        <item x="355"/>
        <item x="84"/>
        <item x="601"/>
        <item x="556"/>
        <item t="default"/>
      </items>
    </pivotField>
    <pivotField showAll="0"/>
    <pivotField dataField="1" showAll="0">
      <items count="501">
        <item x="488"/>
        <item x="220"/>
        <item x="39"/>
        <item x="120"/>
        <item x="20"/>
        <item x="226"/>
        <item x="21"/>
        <item x="386"/>
        <item x="492"/>
        <item x="324"/>
        <item x="310"/>
        <item x="78"/>
        <item x="28"/>
        <item x="114"/>
        <item x="286"/>
        <item x="77"/>
        <item x="442"/>
        <item x="370"/>
        <item x="224"/>
        <item x="323"/>
        <item x="441"/>
        <item x="74"/>
        <item x="122"/>
        <item x="412"/>
        <item x="445"/>
        <item x="8"/>
        <item x="297"/>
        <item x="284"/>
        <item x="54"/>
        <item x="473"/>
        <item x="424"/>
        <item x="180"/>
        <item x="361"/>
        <item x="334"/>
        <item x="84"/>
        <item x="192"/>
        <item x="449"/>
        <item x="250"/>
        <item x="71"/>
        <item x="107"/>
        <item x="67"/>
        <item x="428"/>
        <item x="182"/>
        <item x="251"/>
        <item x="385"/>
        <item x="134"/>
        <item x="393"/>
        <item x="438"/>
        <item x="254"/>
        <item x="448"/>
        <item x="470"/>
        <item x="94"/>
        <item x="37"/>
        <item x="308"/>
        <item x="365"/>
        <item x="430"/>
        <item x="18"/>
        <item x="356"/>
        <item x="328"/>
        <item x="121"/>
        <item x="271"/>
        <item x="496"/>
        <item x="407"/>
        <item x="27"/>
        <item x="327"/>
        <item x="117"/>
        <item x="243"/>
        <item x="170"/>
        <item x="481"/>
        <item x="169"/>
        <item x="344"/>
        <item x="275"/>
        <item x="340"/>
        <item x="219"/>
        <item x="491"/>
        <item x="404"/>
        <item x="285"/>
        <item x="375"/>
        <item x="139"/>
        <item x="493"/>
        <item x="423"/>
        <item x="207"/>
        <item x="342"/>
        <item x="26"/>
        <item x="29"/>
        <item x="469"/>
        <item x="183"/>
        <item x="245"/>
        <item x="377"/>
        <item x="332"/>
        <item x="200"/>
        <item x="93"/>
        <item x="159"/>
        <item x="89"/>
        <item x="125"/>
        <item x="241"/>
        <item x="306"/>
        <item x="108"/>
        <item x="138"/>
        <item x="253"/>
        <item x="88"/>
        <item x="346"/>
        <item x="186"/>
        <item x="154"/>
        <item x="127"/>
        <item x="106"/>
        <item x="85"/>
        <item x="1"/>
        <item x="437"/>
        <item x="0"/>
        <item x="419"/>
        <item x="314"/>
        <item x="80"/>
        <item x="119"/>
        <item x="359"/>
        <item x="400"/>
        <item x="403"/>
        <item x="240"/>
        <item x="490"/>
        <item x="401"/>
        <item x="352"/>
        <item x="53"/>
        <item x="409"/>
        <item x="333"/>
        <item x="247"/>
        <item x="24"/>
        <item x="90"/>
        <item x="283"/>
        <item x="463"/>
        <item x="459"/>
        <item x="47"/>
        <item x="145"/>
        <item x="263"/>
        <item x="43"/>
        <item x="303"/>
        <item x="157"/>
        <item x="176"/>
        <item x="453"/>
        <item x="358"/>
        <item x="147"/>
        <item x="34"/>
        <item x="51"/>
        <item x="278"/>
        <item x="69"/>
        <item x="46"/>
        <item x="304"/>
        <item x="465"/>
        <item x="315"/>
        <item x="75"/>
        <item x="173"/>
        <item x="406"/>
        <item x="199"/>
        <item x="25"/>
        <item x="482"/>
        <item x="450"/>
        <item x="12"/>
        <item x="487"/>
        <item x="218"/>
        <item x="457"/>
        <item x="264"/>
        <item x="353"/>
        <item x="259"/>
        <item x="137"/>
        <item x="480"/>
        <item x="433"/>
        <item x="392"/>
        <item x="347"/>
        <item x="396"/>
        <item x="64"/>
        <item x="142"/>
        <item x="111"/>
        <item x="379"/>
        <item x="431"/>
        <item x="143"/>
        <item x="397"/>
        <item x="281"/>
        <item x="276"/>
        <item x="36"/>
        <item x="221"/>
        <item x="153"/>
        <item x="390"/>
        <item x="123"/>
        <item x="432"/>
        <item x="65"/>
        <item x="382"/>
        <item x="99"/>
        <item x="172"/>
        <item x="313"/>
        <item x="320"/>
        <item x="289"/>
        <item x="391"/>
        <item x="4"/>
        <item x="98"/>
        <item x="185"/>
        <item x="461"/>
        <item x="126"/>
        <item x="360"/>
        <item x="158"/>
        <item x="227"/>
        <item x="270"/>
        <item x="151"/>
        <item x="244"/>
        <item x="317"/>
        <item x="290"/>
        <item x="478"/>
        <item x="287"/>
        <item x="421"/>
        <item x="116"/>
        <item x="228"/>
        <item x="177"/>
        <item x="408"/>
        <item x="30"/>
        <item x="336"/>
        <item x="198"/>
        <item x="268"/>
        <item x="372"/>
        <item x="484"/>
        <item x="485"/>
        <item x="321"/>
        <item x="49"/>
        <item x="349"/>
        <item x="252"/>
        <item x="133"/>
        <item x="468"/>
        <item x="204"/>
        <item x="418"/>
        <item x="166"/>
        <item x="262"/>
        <item x="381"/>
        <item x="101"/>
        <item x="274"/>
        <item x="318"/>
        <item x="149"/>
        <item x="440"/>
        <item x="296"/>
        <item x="467"/>
        <item x="128"/>
        <item x="231"/>
        <item x="350"/>
        <item x="10"/>
        <item x="132"/>
        <item x="495"/>
        <item x="211"/>
        <item x="235"/>
        <item x="210"/>
        <item x="234"/>
        <item x="257"/>
        <item x="455"/>
        <item x="238"/>
        <item x="343"/>
        <item x="208"/>
        <item x="414"/>
        <item x="209"/>
        <item x="368"/>
        <item x="335"/>
        <item x="388"/>
        <item x="150"/>
        <item x="48"/>
        <item x="167"/>
        <item x="242"/>
        <item x="189"/>
        <item x="135"/>
        <item x="402"/>
        <item x="239"/>
        <item x="483"/>
        <item x="197"/>
        <item x="330"/>
        <item x="19"/>
        <item x="444"/>
        <item x="104"/>
        <item x="258"/>
        <item x="229"/>
        <item x="307"/>
        <item x="15"/>
        <item x="171"/>
        <item x="476"/>
        <item x="413"/>
        <item x="316"/>
        <item x="325"/>
        <item x="280"/>
        <item x="422"/>
        <item x="162"/>
        <item x="472"/>
        <item x="97"/>
        <item x="81"/>
        <item x="416"/>
        <item x="357"/>
        <item x="311"/>
        <item x="31"/>
        <item x="40"/>
        <item x="92"/>
        <item x="62"/>
        <item x="9"/>
        <item x="72"/>
        <item x="398"/>
        <item x="155"/>
        <item x="447"/>
        <item x="337"/>
        <item x="7"/>
        <item x="464"/>
        <item x="255"/>
        <item x="486"/>
        <item x="355"/>
        <item x="217"/>
        <item x="435"/>
        <item x="399"/>
        <item x="305"/>
        <item x="35"/>
        <item x="165"/>
        <item x="216"/>
        <item x="494"/>
        <item x="452"/>
        <item x="193"/>
        <item x="113"/>
        <item x="136"/>
        <item x="232"/>
        <item x="187"/>
        <item x="309"/>
        <item x="272"/>
        <item x="52"/>
        <item x="191"/>
        <item x="394"/>
        <item x="188"/>
        <item x="233"/>
        <item x="425"/>
        <item x="383"/>
        <item x="5"/>
        <item x="213"/>
        <item x="261"/>
        <item x="427"/>
        <item x="95"/>
        <item x="63"/>
        <item x="194"/>
        <item x="181"/>
        <item x="300"/>
        <item x="376"/>
        <item x="179"/>
        <item x="16"/>
        <item x="59"/>
        <item x="378"/>
        <item x="230"/>
        <item x="50"/>
        <item x="70"/>
        <item x="45"/>
        <item x="466"/>
        <item x="389"/>
        <item x="326"/>
        <item x="2"/>
        <item x="22"/>
        <item x="298"/>
        <item x="341"/>
        <item x="152"/>
        <item x="451"/>
        <item x="417"/>
        <item x="246"/>
        <item x="156"/>
        <item x="175"/>
        <item x="11"/>
        <item x="110"/>
        <item x="415"/>
        <item x="288"/>
        <item x="57"/>
        <item x="144"/>
        <item x="163"/>
        <item x="293"/>
        <item x="260"/>
        <item x="474"/>
        <item x="499"/>
        <item x="363"/>
        <item x="367"/>
        <item x="14"/>
        <item x="322"/>
        <item x="266"/>
        <item x="60"/>
        <item x="443"/>
        <item x="195"/>
        <item x="475"/>
        <item x="489"/>
        <item x="202"/>
        <item x="73"/>
        <item x="115"/>
        <item x="205"/>
        <item x="105"/>
        <item x="6"/>
        <item x="248"/>
        <item x="371"/>
        <item x="146"/>
        <item x="434"/>
        <item x="277"/>
        <item x="174"/>
        <item x="429"/>
        <item x="225"/>
        <item x="148"/>
        <item x="168"/>
        <item x="345"/>
        <item x="366"/>
        <item x="338"/>
        <item x="196"/>
        <item x="103"/>
        <item x="295"/>
        <item x="446"/>
        <item x="17"/>
        <item x="164"/>
        <item x="477"/>
        <item x="61"/>
        <item x="118"/>
        <item x="140"/>
        <item x="23"/>
        <item x="131"/>
        <item x="76"/>
        <item x="498"/>
        <item x="497"/>
        <item x="190"/>
        <item x="160"/>
        <item x="3"/>
        <item x="102"/>
        <item x="203"/>
        <item x="33"/>
        <item x="201"/>
        <item x="87"/>
        <item x="269"/>
        <item x="58"/>
        <item x="411"/>
        <item x="331"/>
        <item x="56"/>
        <item x="369"/>
        <item x="214"/>
        <item x="124"/>
        <item x="374"/>
        <item x="339"/>
        <item x="436"/>
        <item x="312"/>
        <item x="184"/>
        <item x="384"/>
        <item x="141"/>
        <item x="32"/>
        <item x="299"/>
        <item x="354"/>
        <item x="267"/>
        <item x="348"/>
        <item x="82"/>
        <item x="215"/>
        <item x="68"/>
        <item x="100"/>
        <item x="373"/>
        <item x="351"/>
        <item x="86"/>
        <item x="66"/>
        <item x="212"/>
        <item x="294"/>
        <item x="129"/>
        <item x="301"/>
        <item x="273"/>
        <item x="161"/>
        <item x="479"/>
        <item x="256"/>
        <item x="319"/>
        <item x="420"/>
        <item x="178"/>
        <item x="38"/>
        <item x="282"/>
        <item x="387"/>
        <item x="13"/>
        <item x="237"/>
        <item x="109"/>
        <item x="112"/>
        <item x="410"/>
        <item x="471"/>
        <item x="249"/>
        <item x="279"/>
        <item x="265"/>
        <item x="395"/>
        <item x="329"/>
        <item x="460"/>
        <item x="206"/>
        <item x="426"/>
        <item x="41"/>
        <item x="439"/>
        <item x="96"/>
        <item x="222"/>
        <item x="456"/>
        <item x="462"/>
        <item x="130"/>
        <item x="291"/>
        <item x="223"/>
        <item x="362"/>
        <item x="44"/>
        <item x="83"/>
        <item x="79"/>
        <item x="42"/>
        <item x="380"/>
        <item x="458"/>
        <item x="405"/>
        <item x="292"/>
        <item x="55"/>
        <item x="236"/>
        <item x="454"/>
        <item x="91"/>
        <item x="364"/>
        <item x="302"/>
        <item t="default"/>
      </items>
    </pivotField>
    <pivotField axis="axisRow" showAll="0">
      <items count="6">
        <item x="1"/>
        <item x="0"/>
        <item x="4"/>
        <item x="2"/>
        <item x="3"/>
        <item t="default"/>
      </items>
    </pivotField>
    <pivotField showAll="0">
      <items count="51">
        <item x="37"/>
        <item x="29"/>
        <item x="15"/>
        <item x="11"/>
        <item x="24"/>
        <item x="42"/>
        <item x="46"/>
        <item x="47"/>
        <item x="27"/>
        <item x="10"/>
        <item x="16"/>
        <item x="0"/>
        <item x="48"/>
        <item x="36"/>
        <item x="39"/>
        <item x="35"/>
        <item x="40"/>
        <item x="38"/>
        <item x="43"/>
        <item x="49"/>
        <item x="33"/>
        <item x="31"/>
        <item x="13"/>
        <item x="9"/>
        <item x="45"/>
        <item x="17"/>
        <item x="23"/>
        <item x="34"/>
        <item x="32"/>
        <item x="8"/>
        <item x="4"/>
        <item x="18"/>
        <item x="44"/>
        <item x="41"/>
        <item x="7"/>
        <item x="20"/>
        <item x="26"/>
        <item x="21"/>
        <item x="12"/>
        <item x="19"/>
        <item x="1"/>
        <item x="6"/>
        <item x="14"/>
        <item x="25"/>
        <item x="28"/>
        <item x="2"/>
        <item x="22"/>
        <item x="3"/>
        <item x="30"/>
        <item x="5"/>
        <item t="default"/>
      </items>
    </pivotField>
    <pivotField showAll="0">
      <items count="51">
        <item x="37"/>
        <item x="10"/>
        <item x="16"/>
        <item x="0"/>
        <item x="48"/>
        <item x="36"/>
        <item x="39"/>
        <item x="35"/>
        <item x="40"/>
        <item x="38"/>
        <item x="43"/>
        <item x="29"/>
        <item x="49"/>
        <item x="33"/>
        <item x="31"/>
        <item x="13"/>
        <item x="9"/>
        <item x="45"/>
        <item x="17"/>
        <item x="23"/>
        <item x="34"/>
        <item x="32"/>
        <item x="15"/>
        <item x="8"/>
        <item x="4"/>
        <item x="18"/>
        <item x="44"/>
        <item x="41"/>
        <item x="7"/>
        <item x="20"/>
        <item x="26"/>
        <item x="21"/>
        <item x="12"/>
        <item x="11"/>
        <item x="19"/>
        <item x="1"/>
        <item x="6"/>
        <item x="14"/>
        <item x="25"/>
        <item x="28"/>
        <item x="2"/>
        <item x="22"/>
        <item x="3"/>
        <item x="30"/>
        <item x="24"/>
        <item x="5"/>
        <item x="42"/>
        <item x="46"/>
        <item x="47"/>
        <item x="27"/>
        <item t="default"/>
      </items>
    </pivotField>
    <pivotField showAll="0">
      <items count="6">
        <item x="1"/>
        <item x="2"/>
        <item x="4"/>
        <item x="3"/>
        <item x="0"/>
        <item t="default"/>
      </items>
    </pivotField>
    <pivotField showAll="0"/>
    <pivotField numFmtId="44" showAll="0"/>
    <pivotField numFmtId="44" showAll="0"/>
    <pivotField showAll="0" defaultSubtotal="0"/>
    <pivotField showAll="0" defaultSubtotal="0"/>
    <pivotField showAll="0" defaultSubtotal="0">
      <items count="5">
        <item x="0"/>
        <item x="1"/>
        <item x="2"/>
        <item x="3"/>
        <item x="4"/>
      </items>
    </pivotField>
  </pivotFields>
  <rowFields count="1">
    <field x="4"/>
  </rowFields>
  <rowItems count="6">
    <i>
      <x/>
    </i>
    <i>
      <x v="1"/>
    </i>
    <i>
      <x v="2"/>
    </i>
    <i>
      <x v="3"/>
    </i>
    <i>
      <x v="4"/>
    </i>
    <i t="grand">
      <x/>
    </i>
  </rowItems>
  <colItems count="1">
    <i/>
  </colItems>
  <dataFields count="1">
    <dataField name="Count of Customer_Name" fld="3"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6A382D-FB2E-F749-89AC-4DBF3110E27E}" name="PivotTable10"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6:C37" firstHeaderRow="1" firstDataRow="1" firstDataCol="1"/>
  <pivotFields count="14">
    <pivotField showAll="0"/>
    <pivotField numFmtId="14" showAll="0">
      <items count="731">
        <item x="347"/>
        <item x="63"/>
        <item x="470"/>
        <item x="636"/>
        <item x="346"/>
        <item x="183"/>
        <item x="244"/>
        <item x="278"/>
        <item x="39"/>
        <item x="289"/>
        <item x="14"/>
        <item x="358"/>
        <item x="88"/>
        <item x="484"/>
        <item x="629"/>
        <item x="41"/>
        <item x="272"/>
        <item x="708"/>
        <item x="345"/>
        <item x="621"/>
        <item x="208"/>
        <item x="140"/>
        <item x="612"/>
        <item x="31"/>
        <item x="139"/>
        <item x="487"/>
        <item x="528"/>
        <item x="75"/>
        <item x="610"/>
        <item x="281"/>
        <item x="648"/>
        <item x="210"/>
        <item x="572"/>
        <item x="465"/>
        <item x="602"/>
        <item x="287"/>
        <item x="303"/>
        <item x="129"/>
        <item x="729"/>
        <item x="1"/>
        <item x="194"/>
        <item x="450"/>
        <item x="673"/>
        <item x="170"/>
        <item x="513"/>
        <item x="161"/>
        <item x="251"/>
        <item x="24"/>
        <item x="237"/>
        <item x="224"/>
        <item x="534"/>
        <item x="600"/>
        <item x="506"/>
        <item x="478"/>
        <item x="532"/>
        <item x="286"/>
        <item x="274"/>
        <item x="703"/>
        <item x="415"/>
        <item x="298"/>
        <item x="33"/>
        <item x="249"/>
        <item x="124"/>
        <item x="135"/>
        <item x="173"/>
        <item x="340"/>
        <item x="271"/>
        <item x="591"/>
        <item x="675"/>
        <item x="254"/>
        <item x="366"/>
        <item x="214"/>
        <item x="150"/>
        <item x="480"/>
        <item x="174"/>
        <item x="61"/>
        <item x="592"/>
        <item x="393"/>
        <item x="564"/>
        <item x="462"/>
        <item x="712"/>
        <item x="25"/>
        <item x="122"/>
        <item x="107"/>
        <item x="582"/>
        <item x="215"/>
        <item x="530"/>
        <item x="455"/>
        <item x="277"/>
        <item x="615"/>
        <item x="112"/>
        <item x="526"/>
        <item x="552"/>
        <item x="339"/>
        <item x="613"/>
        <item x="297"/>
        <item x="166"/>
        <item x="614"/>
        <item x="596"/>
        <item x="279"/>
        <item x="491"/>
        <item x="634"/>
        <item x="119"/>
        <item x="15"/>
        <item x="620"/>
        <item x="691"/>
        <item x="344"/>
        <item x="322"/>
        <item x="495"/>
        <item x="203"/>
        <item x="65"/>
        <item x="575"/>
        <item x="481"/>
        <item x="126"/>
        <item x="607"/>
        <item x="43"/>
        <item x="581"/>
        <item x="58"/>
        <item x="123"/>
        <item x="619"/>
        <item x="229"/>
        <item x="327"/>
        <item x="463"/>
        <item x="533"/>
        <item x="489"/>
        <item x="319"/>
        <item x="545"/>
        <item x="569"/>
        <item x="190"/>
        <item x="151"/>
        <item x="69"/>
        <item x="683"/>
        <item x="285"/>
        <item x="699"/>
        <item x="486"/>
        <item x="407"/>
        <item x="7"/>
        <item x="361"/>
        <item x="169"/>
        <item x="413"/>
        <item x="571"/>
        <item x="707"/>
        <item x="234"/>
        <item x="414"/>
        <item x="658"/>
        <item x="320"/>
        <item x="354"/>
        <item x="662"/>
        <item x="696"/>
        <item x="472"/>
        <item x="197"/>
        <item x="654"/>
        <item x="231"/>
        <item x="364"/>
        <item x="290"/>
        <item x="45"/>
        <item x="188"/>
        <item x="96"/>
        <item x="423"/>
        <item x="283"/>
        <item x="368"/>
        <item x="87"/>
        <item x="625"/>
        <item x="221"/>
        <item x="6"/>
        <item x="295"/>
        <item x="628"/>
        <item x="725"/>
        <item x="128"/>
        <item x="143"/>
        <item x="396"/>
        <item x="728"/>
        <item x="113"/>
        <item x="417"/>
        <item x="456"/>
        <item x="605"/>
        <item x="223"/>
        <item x="590"/>
        <item x="163"/>
        <item x="66"/>
        <item x="637"/>
        <item x="164"/>
        <item x="441"/>
        <item x="265"/>
        <item x="394"/>
        <item x="445"/>
        <item x="574"/>
        <item x="464"/>
        <item x="537"/>
        <item x="59"/>
        <item x="377"/>
        <item x="722"/>
        <item x="106"/>
        <item x="182"/>
        <item x="539"/>
        <item x="661"/>
        <item x="11"/>
        <item x="387"/>
        <item x="153"/>
        <item x="536"/>
        <item x="247"/>
        <item x="315"/>
        <item x="507"/>
        <item x="424"/>
        <item x="453"/>
        <item x="608"/>
        <item x="227"/>
        <item x="26"/>
        <item x="115"/>
        <item x="531"/>
        <item x="385"/>
        <item x="511"/>
        <item x="609"/>
        <item x="383"/>
        <item x="558"/>
        <item x="663"/>
        <item x="540"/>
        <item x="546"/>
        <item x="483"/>
        <item x="543"/>
        <item x="593"/>
        <item x="499"/>
        <item x="71"/>
        <item x="192"/>
        <item x="616"/>
        <item x="241"/>
        <item x="360"/>
        <item x="452"/>
        <item x="727"/>
        <item x="91"/>
        <item x="13"/>
        <item x="10"/>
        <item x="585"/>
        <item x="512"/>
        <item x="125"/>
        <item x="17"/>
        <item x="426"/>
        <item x="384"/>
        <item x="438"/>
        <item x="475"/>
        <item x="647"/>
        <item x="276"/>
        <item x="514"/>
        <item x="23"/>
        <item x="399"/>
        <item x="379"/>
        <item x="611"/>
        <item x="420"/>
        <item x="74"/>
        <item x="133"/>
        <item x="248"/>
        <item x="252"/>
        <item x="447"/>
        <item x="718"/>
        <item x="454"/>
        <item x="579"/>
        <item x="313"/>
        <item x="446"/>
        <item x="30"/>
        <item x="405"/>
        <item x="476"/>
        <item x="692"/>
        <item x="429"/>
        <item x="130"/>
        <item x="37"/>
        <item x="443"/>
        <item x="685"/>
        <item x="22"/>
        <item x="444"/>
        <item x="382"/>
        <item x="239"/>
        <item x="595"/>
        <item x="655"/>
        <item x="332"/>
        <item x="624"/>
        <item x="578"/>
        <item x="659"/>
        <item x="111"/>
        <item x="684"/>
        <item x="373"/>
        <item x="180"/>
        <item x="367"/>
        <item x="565"/>
        <item x="598"/>
        <item x="580"/>
        <item x="563"/>
        <item x="116"/>
        <item x="222"/>
        <item x="176"/>
        <item x="622"/>
        <item x="541"/>
        <item x="204"/>
        <item x="671"/>
        <item x="498"/>
        <item x="492"/>
        <item x="79"/>
        <item x="701"/>
        <item x="8"/>
        <item x="716"/>
        <item x="316"/>
        <item x="299"/>
        <item x="503"/>
        <item x="104"/>
        <item x="156"/>
        <item x="632"/>
        <item x="262"/>
        <item x="27"/>
        <item x="398"/>
        <item x="561"/>
        <item x="35"/>
        <item x="640"/>
        <item x="380"/>
        <item x="428"/>
        <item x="235"/>
        <item x="191"/>
        <item x="409"/>
        <item x="400"/>
        <item x="195"/>
        <item x="321"/>
        <item x="466"/>
        <item x="102"/>
        <item x="34"/>
        <item x="2"/>
        <item x="308"/>
        <item x="477"/>
        <item x="547"/>
        <item x="550"/>
        <item x="336"/>
        <item x="353"/>
        <item x="723"/>
        <item x="549"/>
        <item x="378"/>
        <item x="493"/>
        <item x="635"/>
        <item x="721"/>
        <item x="310"/>
        <item x="211"/>
        <item x="202"/>
        <item x="642"/>
        <item x="430"/>
        <item x="189"/>
        <item x="232"/>
        <item x="365"/>
        <item x="359"/>
        <item x="559"/>
        <item x="132"/>
        <item x="213"/>
        <item x="668"/>
        <item x="199"/>
        <item x="76"/>
        <item x="391"/>
        <item x="220"/>
        <item x="695"/>
        <item x="101"/>
        <item x="524"/>
        <item x="282"/>
        <item x="656"/>
        <item x="305"/>
        <item x="535"/>
        <item x="525"/>
        <item x="160"/>
        <item x="390"/>
        <item x="529"/>
        <item x="362"/>
        <item x="500"/>
        <item x="200"/>
        <item x="64"/>
        <item x="687"/>
        <item x="261"/>
        <item x="389"/>
        <item x="206"/>
        <item x="504"/>
        <item x="714"/>
        <item x="50"/>
        <item x="184"/>
        <item x="617"/>
        <item x="678"/>
        <item x="425"/>
        <item x="216"/>
        <item x="253"/>
        <item x="168"/>
        <item x="451"/>
        <item x="80"/>
        <item x="515"/>
        <item x="264"/>
        <item x="323"/>
        <item x="623"/>
        <item x="402"/>
        <item x="296"/>
        <item x="19"/>
        <item x="416"/>
        <item x="325"/>
        <item x="233"/>
        <item x="57"/>
        <item x="633"/>
        <item x="291"/>
        <item x="717"/>
        <item x="459"/>
        <item x="689"/>
        <item x="343"/>
        <item x="334"/>
        <item x="679"/>
        <item x="410"/>
        <item x="586"/>
        <item x="47"/>
        <item x="293"/>
        <item x="594"/>
        <item x="381"/>
        <item x="154"/>
        <item x="653"/>
        <item x="131"/>
        <item x="95"/>
        <item x="627"/>
        <item x="198"/>
        <item x="18"/>
        <item x="562"/>
        <item x="431"/>
        <item x="117"/>
        <item x="698"/>
        <item x="20"/>
        <item x="109"/>
        <item x="138"/>
        <item x="440"/>
        <item x="127"/>
        <item x="567"/>
        <item x="589"/>
        <item x="645"/>
        <item x="485"/>
        <item x="55"/>
        <item x="474"/>
        <item x="433"/>
        <item x="401"/>
        <item x="9"/>
        <item x="421"/>
        <item x="228"/>
        <item x="521"/>
        <item x="542"/>
        <item x="141"/>
        <item x="694"/>
        <item x="98"/>
        <item x="705"/>
        <item x="523"/>
        <item x="584"/>
        <item x="186"/>
        <item x="570"/>
        <item x="724"/>
        <item x="693"/>
        <item x="479"/>
        <item x="159"/>
        <item x="392"/>
        <item x="348"/>
        <item x="482"/>
        <item x="626"/>
        <item x="56"/>
        <item x="105"/>
        <item x="551"/>
        <item x="167"/>
        <item x="318"/>
        <item x="312"/>
        <item x="89"/>
        <item x="162"/>
        <item x="54"/>
        <item x="704"/>
        <item x="341"/>
        <item x="715"/>
        <item x="185"/>
        <item x="259"/>
        <item x="518"/>
        <item x="46"/>
        <item x="165"/>
        <item x="372"/>
        <item x="553"/>
        <item x="181"/>
        <item x="501"/>
        <item x="660"/>
        <item x="288"/>
        <item x="108"/>
        <item x="403"/>
        <item x="275"/>
        <item x="242"/>
        <item x="267"/>
        <item x="351"/>
        <item x="371"/>
        <item x="284"/>
        <item x="356"/>
        <item x="236"/>
        <item x="5"/>
        <item x="508"/>
        <item x="67"/>
        <item x="666"/>
        <item x="638"/>
        <item x="680"/>
        <item x="631"/>
        <item x="568"/>
        <item x="225"/>
        <item x="670"/>
        <item x="510"/>
        <item x="644"/>
        <item x="330"/>
        <item x="99"/>
        <item x="395"/>
        <item x="246"/>
        <item x="335"/>
        <item x="317"/>
        <item x="557"/>
        <item x="548"/>
        <item x="337"/>
        <item x="51"/>
        <item x="256"/>
        <item x="83"/>
        <item x="630"/>
        <item x="42"/>
        <item x="560"/>
        <item x="643"/>
        <item x="85"/>
        <item x="134"/>
        <item x="171"/>
        <item x="650"/>
        <item x="82"/>
        <item x="352"/>
        <item x="0"/>
        <item x="38"/>
        <item x="155"/>
        <item x="505"/>
        <item x="461"/>
        <item x="121"/>
        <item x="78"/>
        <item x="245"/>
        <item x="48"/>
        <item x="713"/>
        <item x="460"/>
        <item x="411"/>
        <item x="268"/>
        <item x="604"/>
        <item x="408"/>
        <item x="516"/>
        <item x="243"/>
        <item x="719"/>
        <item x="270"/>
        <item x="120"/>
        <item x="328"/>
        <item x="350"/>
        <item x="473"/>
        <item x="682"/>
        <item x="273"/>
        <item x="538"/>
        <item x="406"/>
        <item x="280"/>
        <item x="555"/>
        <item x="302"/>
        <item x="44"/>
        <item x="103"/>
        <item x="599"/>
        <item x="212"/>
        <item x="260"/>
        <item x="436"/>
        <item x="448"/>
        <item x="676"/>
        <item x="657"/>
        <item x="77"/>
        <item x="497"/>
        <item x="664"/>
        <item x="527"/>
        <item x="720"/>
        <item x="646"/>
        <item x="157"/>
        <item x="142"/>
        <item x="412"/>
        <item x="53"/>
        <item x="554"/>
        <item x="172"/>
        <item x="641"/>
        <item x="397"/>
        <item x="697"/>
        <item x="374"/>
        <item x="36"/>
        <item x="300"/>
        <item x="217"/>
        <item x="700"/>
        <item x="179"/>
        <item x="152"/>
        <item x="49"/>
        <item x="324"/>
        <item x="137"/>
        <item x="690"/>
        <item x="230"/>
        <item x="517"/>
        <item x="375"/>
        <item x="566"/>
        <item x="458"/>
        <item x="304"/>
        <item x="32"/>
        <item x="205"/>
        <item x="369"/>
        <item x="266"/>
        <item x="522"/>
        <item x="3"/>
        <item x="301"/>
        <item x="333"/>
        <item x="488"/>
        <item x="314"/>
        <item x="92"/>
        <item x="468"/>
        <item x="28"/>
        <item x="177"/>
        <item x="490"/>
        <item x="652"/>
        <item x="158"/>
        <item x="146"/>
        <item x="651"/>
        <item x="294"/>
        <item x="726"/>
        <item x="263"/>
        <item x="292"/>
        <item x="62"/>
        <item x="196"/>
        <item x="21"/>
        <item x="587"/>
        <item x="467"/>
        <item x="250"/>
        <item x="110"/>
        <item x="388"/>
        <item x="331"/>
        <item x="442"/>
        <item x="496"/>
        <item x="688"/>
        <item x="386"/>
        <item x="667"/>
        <item x="674"/>
        <item x="669"/>
        <item x="307"/>
        <item x="114"/>
        <item x="329"/>
        <item x="597"/>
        <item x="639"/>
        <item x="449"/>
        <item x="175"/>
        <item x="665"/>
        <item x="311"/>
        <item x="603"/>
        <item x="434"/>
        <item x="97"/>
        <item x="207"/>
        <item x="502"/>
        <item x="544"/>
        <item x="649"/>
        <item x="238"/>
        <item x="40"/>
        <item x="81"/>
        <item x="706"/>
        <item x="193"/>
        <item x="100"/>
        <item x="576"/>
        <item x="357"/>
        <item x="588"/>
        <item x="86"/>
        <item x="342"/>
        <item x="370"/>
        <item x="94"/>
        <item x="437"/>
        <item x="306"/>
        <item x="257"/>
        <item x="363"/>
        <item x="68"/>
        <item x="29"/>
        <item x="226"/>
        <item x="520"/>
        <item x="187"/>
        <item x="681"/>
        <item x="422"/>
        <item x="494"/>
        <item x="136"/>
        <item x="509"/>
        <item x="677"/>
        <item x="710"/>
        <item x="432"/>
        <item x="573"/>
        <item x="349"/>
        <item x="469"/>
        <item x="338"/>
        <item x="93"/>
        <item x="419"/>
        <item x="240"/>
        <item x="255"/>
        <item x="60"/>
        <item x="118"/>
        <item x="439"/>
        <item x="4"/>
        <item x="147"/>
        <item x="269"/>
        <item x="12"/>
        <item x="583"/>
        <item x="326"/>
        <item x="435"/>
        <item x="686"/>
        <item x="258"/>
        <item x="427"/>
        <item x="709"/>
        <item x="309"/>
        <item x="471"/>
        <item x="376"/>
        <item x="209"/>
        <item x="144"/>
        <item x="418"/>
        <item x="218"/>
        <item x="149"/>
        <item x="145"/>
        <item x="148"/>
        <item x="219"/>
        <item x="16"/>
        <item x="457"/>
        <item x="711"/>
        <item x="404"/>
        <item x="178"/>
        <item x="52"/>
        <item x="672"/>
        <item x="519"/>
        <item x="577"/>
        <item x="702"/>
        <item x="618"/>
        <item x="73"/>
        <item x="70"/>
        <item x="90"/>
        <item x="201"/>
        <item x="606"/>
        <item x="72"/>
        <item x="355"/>
        <item x="84"/>
        <item x="601"/>
        <item x="556"/>
        <item t="default"/>
      </items>
    </pivotField>
    <pivotField showAll="0"/>
    <pivotField showAll="0"/>
    <pivotField showAll="0">
      <items count="6">
        <item x="1"/>
        <item x="0"/>
        <item x="4"/>
        <item x="2"/>
        <item x="3"/>
        <item t="default"/>
      </items>
    </pivotField>
    <pivotField showAll="0">
      <items count="51">
        <item x="37"/>
        <item x="29"/>
        <item x="15"/>
        <item x="11"/>
        <item x="24"/>
        <item x="42"/>
        <item x="46"/>
        <item x="47"/>
        <item x="27"/>
        <item x="10"/>
        <item x="16"/>
        <item x="0"/>
        <item x="48"/>
        <item x="36"/>
        <item x="39"/>
        <item x="35"/>
        <item x="40"/>
        <item x="38"/>
        <item x="43"/>
        <item x="49"/>
        <item x="33"/>
        <item x="31"/>
        <item x="13"/>
        <item x="9"/>
        <item x="45"/>
        <item x="17"/>
        <item x="23"/>
        <item x="34"/>
        <item x="32"/>
        <item x="8"/>
        <item x="4"/>
        <item x="18"/>
        <item x="44"/>
        <item x="41"/>
        <item x="7"/>
        <item x="20"/>
        <item x="26"/>
        <item x="21"/>
        <item x="12"/>
        <item x="19"/>
        <item x="1"/>
        <item x="6"/>
        <item x="14"/>
        <item x="25"/>
        <item x="28"/>
        <item x="2"/>
        <item x="22"/>
        <item x="3"/>
        <item x="30"/>
        <item x="5"/>
        <item t="default"/>
      </items>
    </pivotField>
    <pivotField axis="axisRow" showAll="0" measureFilter="1">
      <items count="51">
        <item x="37"/>
        <item x="10"/>
        <item x="16"/>
        <item x="0"/>
        <item x="48"/>
        <item x="36"/>
        <item x="39"/>
        <item x="35"/>
        <item x="40"/>
        <item x="38"/>
        <item x="43"/>
        <item x="29"/>
        <item x="49"/>
        <item x="33"/>
        <item x="31"/>
        <item x="13"/>
        <item x="9"/>
        <item x="45"/>
        <item x="17"/>
        <item x="23"/>
        <item x="34"/>
        <item x="32"/>
        <item x="15"/>
        <item x="8"/>
        <item x="4"/>
        <item x="18"/>
        <item x="44"/>
        <item x="41"/>
        <item x="7"/>
        <item x="20"/>
        <item x="26"/>
        <item x="21"/>
        <item x="12"/>
        <item x="11"/>
        <item x="19"/>
        <item x="1"/>
        <item x="6"/>
        <item x="14"/>
        <item x="25"/>
        <item x="28"/>
        <item x="2"/>
        <item x="22"/>
        <item x="3"/>
        <item x="30"/>
        <item x="24"/>
        <item x="5"/>
        <item x="42"/>
        <item x="46"/>
        <item x="47"/>
        <item x="27"/>
        <item t="default"/>
      </items>
    </pivotField>
    <pivotField showAll="0">
      <items count="6">
        <item x="1"/>
        <item x="2"/>
        <item x="4"/>
        <item x="3"/>
        <item x="0"/>
        <item t="default"/>
      </items>
    </pivotField>
    <pivotField showAll="0"/>
    <pivotField numFmtId="44" showAll="0"/>
    <pivotField dataField="1" numFmtId="44" showAll="0"/>
    <pivotField showAll="0" defaultSubtotal="0"/>
    <pivotField showAll="0" defaultSubtotal="0">
      <items count="6">
        <item x="0"/>
        <item x="1"/>
        <item x="2"/>
        <item x="3"/>
        <item x="4"/>
        <item x="5"/>
      </items>
    </pivotField>
    <pivotField showAll="0" defaultSubtotal="0">
      <items count="5">
        <item x="0"/>
        <item x="1"/>
        <item x="2"/>
        <item x="3"/>
        <item x="4"/>
      </items>
    </pivotField>
  </pivotFields>
  <rowFields count="1">
    <field x="6"/>
  </rowFields>
  <rowItems count="11">
    <i>
      <x v="7"/>
    </i>
    <i>
      <x v="8"/>
    </i>
    <i>
      <x v="12"/>
    </i>
    <i>
      <x v="13"/>
    </i>
    <i>
      <x v="20"/>
    </i>
    <i>
      <x v="23"/>
    </i>
    <i>
      <x v="29"/>
    </i>
    <i>
      <x v="31"/>
    </i>
    <i>
      <x v="34"/>
    </i>
    <i>
      <x v="40"/>
    </i>
    <i t="grand">
      <x/>
    </i>
  </rowItems>
  <colItems count="1">
    <i/>
  </colItems>
  <dataFields count="1">
    <dataField name="Sum of Revenue" fld="10" baseField="0" baseItem="0" numFmtId="4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50D58D-2BAB-B646-BF21-8BF0C3BD8B0F}" name="PivotTable9" cacheId="4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J40:K51" firstHeaderRow="1" firstDataRow="1" firstDataCol="1"/>
  <pivotFields count="14">
    <pivotField showAll="0"/>
    <pivotField numFmtId="14" showAll="0">
      <items count="731">
        <item x="347"/>
        <item x="63"/>
        <item x="470"/>
        <item x="636"/>
        <item x="346"/>
        <item x="183"/>
        <item x="244"/>
        <item x="278"/>
        <item x="39"/>
        <item x="289"/>
        <item x="14"/>
        <item x="358"/>
        <item x="88"/>
        <item x="484"/>
        <item x="629"/>
        <item x="41"/>
        <item x="272"/>
        <item x="708"/>
        <item x="345"/>
        <item x="621"/>
        <item x="208"/>
        <item x="140"/>
        <item x="612"/>
        <item x="31"/>
        <item x="139"/>
        <item x="487"/>
        <item x="528"/>
        <item x="75"/>
        <item x="610"/>
        <item x="281"/>
        <item x="648"/>
        <item x="210"/>
        <item x="572"/>
        <item x="465"/>
        <item x="602"/>
        <item x="287"/>
        <item x="303"/>
        <item x="129"/>
        <item x="729"/>
        <item x="1"/>
        <item x="194"/>
        <item x="450"/>
        <item x="673"/>
        <item x="170"/>
        <item x="513"/>
        <item x="161"/>
        <item x="251"/>
        <item x="24"/>
        <item x="237"/>
        <item x="224"/>
        <item x="534"/>
        <item x="600"/>
        <item x="506"/>
        <item x="478"/>
        <item x="532"/>
        <item x="286"/>
        <item x="274"/>
        <item x="703"/>
        <item x="415"/>
        <item x="298"/>
        <item x="33"/>
        <item x="249"/>
        <item x="124"/>
        <item x="135"/>
        <item x="173"/>
        <item x="340"/>
        <item x="271"/>
        <item x="591"/>
        <item x="675"/>
        <item x="254"/>
        <item x="366"/>
        <item x="214"/>
        <item x="150"/>
        <item x="480"/>
        <item x="174"/>
        <item x="61"/>
        <item x="592"/>
        <item x="393"/>
        <item x="564"/>
        <item x="462"/>
        <item x="712"/>
        <item x="25"/>
        <item x="122"/>
        <item x="107"/>
        <item x="582"/>
        <item x="215"/>
        <item x="530"/>
        <item x="455"/>
        <item x="277"/>
        <item x="615"/>
        <item x="112"/>
        <item x="526"/>
        <item x="552"/>
        <item x="339"/>
        <item x="613"/>
        <item x="297"/>
        <item x="166"/>
        <item x="614"/>
        <item x="596"/>
        <item x="279"/>
        <item x="491"/>
        <item x="634"/>
        <item x="119"/>
        <item x="15"/>
        <item x="620"/>
        <item x="691"/>
        <item x="344"/>
        <item x="322"/>
        <item x="495"/>
        <item x="203"/>
        <item x="65"/>
        <item x="575"/>
        <item x="481"/>
        <item x="126"/>
        <item x="607"/>
        <item x="43"/>
        <item x="581"/>
        <item x="58"/>
        <item x="123"/>
        <item x="619"/>
        <item x="229"/>
        <item x="327"/>
        <item x="463"/>
        <item x="533"/>
        <item x="489"/>
        <item x="319"/>
        <item x="545"/>
        <item x="569"/>
        <item x="190"/>
        <item x="151"/>
        <item x="69"/>
        <item x="683"/>
        <item x="285"/>
        <item x="699"/>
        <item x="486"/>
        <item x="407"/>
        <item x="7"/>
        <item x="361"/>
        <item x="169"/>
        <item x="413"/>
        <item x="571"/>
        <item x="707"/>
        <item x="234"/>
        <item x="414"/>
        <item x="658"/>
        <item x="320"/>
        <item x="354"/>
        <item x="662"/>
        <item x="696"/>
        <item x="472"/>
        <item x="197"/>
        <item x="654"/>
        <item x="231"/>
        <item x="364"/>
        <item x="290"/>
        <item x="45"/>
        <item x="188"/>
        <item x="96"/>
        <item x="423"/>
        <item x="283"/>
        <item x="368"/>
        <item x="87"/>
        <item x="625"/>
        <item x="221"/>
        <item x="6"/>
        <item x="295"/>
        <item x="628"/>
        <item x="725"/>
        <item x="128"/>
        <item x="143"/>
        <item x="396"/>
        <item x="728"/>
        <item x="113"/>
        <item x="417"/>
        <item x="456"/>
        <item x="605"/>
        <item x="223"/>
        <item x="590"/>
        <item x="163"/>
        <item x="66"/>
        <item x="637"/>
        <item x="164"/>
        <item x="441"/>
        <item x="265"/>
        <item x="394"/>
        <item x="445"/>
        <item x="574"/>
        <item x="464"/>
        <item x="537"/>
        <item x="59"/>
        <item x="377"/>
        <item x="722"/>
        <item x="106"/>
        <item x="182"/>
        <item x="539"/>
        <item x="661"/>
        <item x="11"/>
        <item x="387"/>
        <item x="153"/>
        <item x="536"/>
        <item x="247"/>
        <item x="315"/>
        <item x="507"/>
        <item x="424"/>
        <item x="453"/>
        <item x="608"/>
        <item x="227"/>
        <item x="26"/>
        <item x="115"/>
        <item x="531"/>
        <item x="385"/>
        <item x="511"/>
        <item x="609"/>
        <item x="383"/>
        <item x="558"/>
        <item x="663"/>
        <item x="540"/>
        <item x="546"/>
        <item x="483"/>
        <item x="543"/>
        <item x="593"/>
        <item x="499"/>
        <item x="71"/>
        <item x="192"/>
        <item x="616"/>
        <item x="241"/>
        <item x="360"/>
        <item x="452"/>
        <item x="727"/>
        <item x="91"/>
        <item x="13"/>
        <item x="10"/>
        <item x="585"/>
        <item x="512"/>
        <item x="125"/>
        <item x="17"/>
        <item x="426"/>
        <item x="384"/>
        <item x="438"/>
        <item x="475"/>
        <item x="647"/>
        <item x="276"/>
        <item x="514"/>
        <item x="23"/>
        <item x="399"/>
        <item x="379"/>
        <item x="611"/>
        <item x="420"/>
        <item x="74"/>
        <item x="133"/>
        <item x="248"/>
        <item x="252"/>
        <item x="447"/>
        <item x="718"/>
        <item x="454"/>
        <item x="579"/>
        <item x="313"/>
        <item x="446"/>
        <item x="30"/>
        <item x="405"/>
        <item x="476"/>
        <item x="692"/>
        <item x="429"/>
        <item x="130"/>
        <item x="37"/>
        <item x="443"/>
        <item x="685"/>
        <item x="22"/>
        <item x="444"/>
        <item x="382"/>
        <item x="239"/>
        <item x="595"/>
        <item x="655"/>
        <item x="332"/>
        <item x="624"/>
        <item x="578"/>
        <item x="659"/>
        <item x="111"/>
        <item x="684"/>
        <item x="373"/>
        <item x="180"/>
        <item x="367"/>
        <item x="565"/>
        <item x="598"/>
        <item x="580"/>
        <item x="563"/>
        <item x="116"/>
        <item x="222"/>
        <item x="176"/>
        <item x="622"/>
        <item x="541"/>
        <item x="204"/>
        <item x="671"/>
        <item x="498"/>
        <item x="492"/>
        <item x="79"/>
        <item x="701"/>
        <item x="8"/>
        <item x="716"/>
        <item x="316"/>
        <item x="299"/>
        <item x="503"/>
        <item x="104"/>
        <item x="156"/>
        <item x="632"/>
        <item x="262"/>
        <item x="27"/>
        <item x="398"/>
        <item x="561"/>
        <item x="35"/>
        <item x="640"/>
        <item x="380"/>
        <item x="428"/>
        <item x="235"/>
        <item x="191"/>
        <item x="409"/>
        <item x="400"/>
        <item x="195"/>
        <item x="321"/>
        <item x="466"/>
        <item x="102"/>
        <item x="34"/>
        <item x="2"/>
        <item x="308"/>
        <item x="477"/>
        <item x="547"/>
        <item x="550"/>
        <item x="336"/>
        <item x="353"/>
        <item x="723"/>
        <item x="549"/>
        <item x="378"/>
        <item x="493"/>
        <item x="635"/>
        <item x="721"/>
        <item x="310"/>
        <item x="211"/>
        <item x="202"/>
        <item x="642"/>
        <item x="430"/>
        <item x="189"/>
        <item x="232"/>
        <item x="365"/>
        <item x="359"/>
        <item x="559"/>
        <item x="132"/>
        <item x="213"/>
        <item x="668"/>
        <item x="199"/>
        <item x="76"/>
        <item x="391"/>
        <item x="220"/>
        <item x="695"/>
        <item x="101"/>
        <item x="524"/>
        <item x="282"/>
        <item x="656"/>
        <item x="305"/>
        <item x="535"/>
        <item x="525"/>
        <item x="160"/>
        <item x="390"/>
        <item x="529"/>
        <item x="362"/>
        <item x="500"/>
        <item x="200"/>
        <item x="64"/>
        <item x="687"/>
        <item x="261"/>
        <item x="389"/>
        <item x="206"/>
        <item x="504"/>
        <item x="714"/>
        <item x="50"/>
        <item x="184"/>
        <item x="617"/>
        <item x="678"/>
        <item x="425"/>
        <item x="216"/>
        <item x="253"/>
        <item x="168"/>
        <item x="451"/>
        <item x="80"/>
        <item x="515"/>
        <item x="264"/>
        <item x="323"/>
        <item x="623"/>
        <item x="402"/>
        <item x="296"/>
        <item x="19"/>
        <item x="416"/>
        <item x="325"/>
        <item x="233"/>
        <item x="57"/>
        <item x="633"/>
        <item x="291"/>
        <item x="717"/>
        <item x="459"/>
        <item x="689"/>
        <item x="343"/>
        <item x="334"/>
        <item x="679"/>
        <item x="410"/>
        <item x="586"/>
        <item x="47"/>
        <item x="293"/>
        <item x="594"/>
        <item x="381"/>
        <item x="154"/>
        <item x="653"/>
        <item x="131"/>
        <item x="95"/>
        <item x="627"/>
        <item x="198"/>
        <item x="18"/>
        <item x="562"/>
        <item x="431"/>
        <item x="117"/>
        <item x="698"/>
        <item x="20"/>
        <item x="109"/>
        <item x="138"/>
        <item x="440"/>
        <item x="127"/>
        <item x="567"/>
        <item x="589"/>
        <item x="645"/>
        <item x="485"/>
        <item x="55"/>
        <item x="474"/>
        <item x="433"/>
        <item x="401"/>
        <item x="9"/>
        <item x="421"/>
        <item x="228"/>
        <item x="521"/>
        <item x="542"/>
        <item x="141"/>
        <item x="694"/>
        <item x="98"/>
        <item x="705"/>
        <item x="523"/>
        <item x="584"/>
        <item x="186"/>
        <item x="570"/>
        <item x="724"/>
        <item x="693"/>
        <item x="479"/>
        <item x="159"/>
        <item x="392"/>
        <item x="348"/>
        <item x="482"/>
        <item x="626"/>
        <item x="56"/>
        <item x="105"/>
        <item x="551"/>
        <item x="167"/>
        <item x="318"/>
        <item x="312"/>
        <item x="89"/>
        <item x="162"/>
        <item x="54"/>
        <item x="704"/>
        <item x="341"/>
        <item x="715"/>
        <item x="185"/>
        <item x="259"/>
        <item x="518"/>
        <item x="46"/>
        <item x="165"/>
        <item x="372"/>
        <item x="553"/>
        <item x="181"/>
        <item x="501"/>
        <item x="660"/>
        <item x="288"/>
        <item x="108"/>
        <item x="403"/>
        <item x="275"/>
        <item x="242"/>
        <item x="267"/>
        <item x="351"/>
        <item x="371"/>
        <item x="284"/>
        <item x="356"/>
        <item x="236"/>
        <item x="5"/>
        <item x="508"/>
        <item x="67"/>
        <item x="666"/>
        <item x="638"/>
        <item x="680"/>
        <item x="631"/>
        <item x="568"/>
        <item x="225"/>
        <item x="670"/>
        <item x="510"/>
        <item x="644"/>
        <item x="330"/>
        <item x="99"/>
        <item x="395"/>
        <item x="246"/>
        <item x="335"/>
        <item x="317"/>
        <item x="557"/>
        <item x="548"/>
        <item x="337"/>
        <item x="51"/>
        <item x="256"/>
        <item x="83"/>
        <item x="630"/>
        <item x="42"/>
        <item x="560"/>
        <item x="643"/>
        <item x="85"/>
        <item x="134"/>
        <item x="171"/>
        <item x="650"/>
        <item x="82"/>
        <item x="352"/>
        <item x="0"/>
        <item x="38"/>
        <item x="155"/>
        <item x="505"/>
        <item x="461"/>
        <item x="121"/>
        <item x="78"/>
        <item x="245"/>
        <item x="48"/>
        <item x="713"/>
        <item x="460"/>
        <item x="411"/>
        <item x="268"/>
        <item x="604"/>
        <item x="408"/>
        <item x="516"/>
        <item x="243"/>
        <item x="719"/>
        <item x="270"/>
        <item x="120"/>
        <item x="328"/>
        <item x="350"/>
        <item x="473"/>
        <item x="682"/>
        <item x="273"/>
        <item x="538"/>
        <item x="406"/>
        <item x="280"/>
        <item x="555"/>
        <item x="302"/>
        <item x="44"/>
        <item x="103"/>
        <item x="599"/>
        <item x="212"/>
        <item x="260"/>
        <item x="436"/>
        <item x="448"/>
        <item x="676"/>
        <item x="657"/>
        <item x="77"/>
        <item x="497"/>
        <item x="664"/>
        <item x="527"/>
        <item x="720"/>
        <item x="646"/>
        <item x="157"/>
        <item x="142"/>
        <item x="412"/>
        <item x="53"/>
        <item x="554"/>
        <item x="172"/>
        <item x="641"/>
        <item x="397"/>
        <item x="697"/>
        <item x="374"/>
        <item x="36"/>
        <item x="300"/>
        <item x="217"/>
        <item x="700"/>
        <item x="179"/>
        <item x="152"/>
        <item x="49"/>
        <item x="324"/>
        <item x="137"/>
        <item x="690"/>
        <item x="230"/>
        <item x="517"/>
        <item x="375"/>
        <item x="566"/>
        <item x="458"/>
        <item x="304"/>
        <item x="32"/>
        <item x="205"/>
        <item x="369"/>
        <item x="266"/>
        <item x="522"/>
        <item x="3"/>
        <item x="301"/>
        <item x="333"/>
        <item x="488"/>
        <item x="314"/>
        <item x="92"/>
        <item x="468"/>
        <item x="28"/>
        <item x="177"/>
        <item x="490"/>
        <item x="652"/>
        <item x="158"/>
        <item x="146"/>
        <item x="651"/>
        <item x="294"/>
        <item x="726"/>
        <item x="263"/>
        <item x="292"/>
        <item x="62"/>
        <item x="196"/>
        <item x="21"/>
        <item x="587"/>
        <item x="467"/>
        <item x="250"/>
        <item x="110"/>
        <item x="388"/>
        <item x="331"/>
        <item x="442"/>
        <item x="496"/>
        <item x="688"/>
        <item x="386"/>
        <item x="667"/>
        <item x="674"/>
        <item x="669"/>
        <item x="307"/>
        <item x="114"/>
        <item x="329"/>
        <item x="597"/>
        <item x="639"/>
        <item x="449"/>
        <item x="175"/>
        <item x="665"/>
        <item x="311"/>
        <item x="603"/>
        <item x="434"/>
        <item x="97"/>
        <item x="207"/>
        <item x="502"/>
        <item x="544"/>
        <item x="649"/>
        <item x="238"/>
        <item x="40"/>
        <item x="81"/>
        <item x="706"/>
        <item x="193"/>
        <item x="100"/>
        <item x="576"/>
        <item x="357"/>
        <item x="588"/>
        <item x="86"/>
        <item x="342"/>
        <item x="370"/>
        <item x="94"/>
        <item x="437"/>
        <item x="306"/>
        <item x="257"/>
        <item x="363"/>
        <item x="68"/>
        <item x="29"/>
        <item x="226"/>
        <item x="520"/>
        <item x="187"/>
        <item x="681"/>
        <item x="422"/>
        <item x="494"/>
        <item x="136"/>
        <item x="509"/>
        <item x="677"/>
        <item x="710"/>
        <item x="432"/>
        <item x="573"/>
        <item x="349"/>
        <item x="469"/>
        <item x="338"/>
        <item x="93"/>
        <item x="419"/>
        <item x="240"/>
        <item x="255"/>
        <item x="60"/>
        <item x="118"/>
        <item x="439"/>
        <item x="4"/>
        <item x="147"/>
        <item x="269"/>
        <item x="12"/>
        <item x="583"/>
        <item x="326"/>
        <item x="435"/>
        <item x="686"/>
        <item x="258"/>
        <item x="427"/>
        <item x="709"/>
        <item x="309"/>
        <item x="471"/>
        <item x="376"/>
        <item x="209"/>
        <item x="144"/>
        <item x="418"/>
        <item x="218"/>
        <item x="149"/>
        <item x="145"/>
        <item x="148"/>
        <item x="219"/>
        <item x="16"/>
        <item x="457"/>
        <item x="711"/>
        <item x="404"/>
        <item x="178"/>
        <item x="52"/>
        <item x="672"/>
        <item x="519"/>
        <item x="577"/>
        <item x="702"/>
        <item x="618"/>
        <item x="73"/>
        <item x="70"/>
        <item x="90"/>
        <item x="201"/>
        <item x="606"/>
        <item x="72"/>
        <item x="355"/>
        <item x="84"/>
        <item x="601"/>
        <item x="556"/>
        <item t="default"/>
      </items>
    </pivotField>
    <pivotField showAll="0"/>
    <pivotField axis="axisRow" showAll="0" measureFilter="1">
      <items count="501">
        <item x="488"/>
        <item x="220"/>
        <item x="39"/>
        <item x="120"/>
        <item x="20"/>
        <item x="226"/>
        <item x="21"/>
        <item x="386"/>
        <item x="492"/>
        <item x="324"/>
        <item x="310"/>
        <item x="78"/>
        <item x="28"/>
        <item x="114"/>
        <item x="286"/>
        <item x="77"/>
        <item x="442"/>
        <item x="370"/>
        <item x="224"/>
        <item x="323"/>
        <item x="441"/>
        <item x="74"/>
        <item x="122"/>
        <item x="412"/>
        <item x="445"/>
        <item x="8"/>
        <item x="297"/>
        <item x="284"/>
        <item x="54"/>
        <item x="473"/>
        <item x="424"/>
        <item x="180"/>
        <item x="361"/>
        <item x="334"/>
        <item x="84"/>
        <item x="192"/>
        <item x="449"/>
        <item x="250"/>
        <item x="71"/>
        <item x="107"/>
        <item x="67"/>
        <item x="428"/>
        <item x="182"/>
        <item x="251"/>
        <item x="385"/>
        <item x="134"/>
        <item x="393"/>
        <item x="438"/>
        <item x="254"/>
        <item x="448"/>
        <item x="470"/>
        <item x="94"/>
        <item x="37"/>
        <item x="308"/>
        <item x="365"/>
        <item x="430"/>
        <item x="18"/>
        <item x="356"/>
        <item x="328"/>
        <item x="121"/>
        <item x="271"/>
        <item x="496"/>
        <item x="407"/>
        <item x="27"/>
        <item x="327"/>
        <item x="117"/>
        <item x="243"/>
        <item x="170"/>
        <item x="481"/>
        <item x="169"/>
        <item x="344"/>
        <item x="275"/>
        <item x="340"/>
        <item x="219"/>
        <item x="491"/>
        <item x="404"/>
        <item x="285"/>
        <item x="375"/>
        <item x="139"/>
        <item x="493"/>
        <item x="423"/>
        <item x="207"/>
        <item x="342"/>
        <item x="26"/>
        <item x="29"/>
        <item x="469"/>
        <item x="183"/>
        <item x="245"/>
        <item x="377"/>
        <item x="332"/>
        <item x="200"/>
        <item x="93"/>
        <item x="159"/>
        <item x="89"/>
        <item x="125"/>
        <item x="241"/>
        <item x="306"/>
        <item x="108"/>
        <item x="138"/>
        <item x="253"/>
        <item x="88"/>
        <item x="346"/>
        <item x="186"/>
        <item x="154"/>
        <item x="127"/>
        <item x="106"/>
        <item x="85"/>
        <item x="1"/>
        <item x="437"/>
        <item x="0"/>
        <item x="419"/>
        <item x="314"/>
        <item x="80"/>
        <item x="119"/>
        <item x="359"/>
        <item x="400"/>
        <item x="403"/>
        <item x="240"/>
        <item x="490"/>
        <item x="401"/>
        <item x="352"/>
        <item x="53"/>
        <item x="409"/>
        <item x="333"/>
        <item x="247"/>
        <item x="24"/>
        <item x="90"/>
        <item x="283"/>
        <item x="463"/>
        <item x="459"/>
        <item x="47"/>
        <item x="145"/>
        <item x="263"/>
        <item x="43"/>
        <item x="303"/>
        <item x="157"/>
        <item x="176"/>
        <item x="453"/>
        <item x="358"/>
        <item x="147"/>
        <item x="34"/>
        <item x="51"/>
        <item x="278"/>
        <item x="69"/>
        <item x="46"/>
        <item x="304"/>
        <item x="465"/>
        <item x="315"/>
        <item x="75"/>
        <item x="173"/>
        <item x="406"/>
        <item x="199"/>
        <item x="25"/>
        <item x="482"/>
        <item x="450"/>
        <item x="12"/>
        <item x="487"/>
        <item x="218"/>
        <item x="457"/>
        <item x="264"/>
        <item x="353"/>
        <item x="259"/>
        <item x="137"/>
        <item x="480"/>
        <item x="433"/>
        <item x="392"/>
        <item x="347"/>
        <item x="396"/>
        <item x="64"/>
        <item x="142"/>
        <item x="111"/>
        <item x="379"/>
        <item x="431"/>
        <item x="143"/>
        <item x="397"/>
        <item x="281"/>
        <item x="276"/>
        <item x="36"/>
        <item x="221"/>
        <item x="153"/>
        <item x="390"/>
        <item x="123"/>
        <item x="432"/>
        <item x="65"/>
        <item x="382"/>
        <item x="99"/>
        <item x="172"/>
        <item x="313"/>
        <item x="320"/>
        <item x="289"/>
        <item x="391"/>
        <item x="4"/>
        <item x="98"/>
        <item x="185"/>
        <item x="461"/>
        <item x="126"/>
        <item x="360"/>
        <item x="158"/>
        <item x="227"/>
        <item x="270"/>
        <item x="151"/>
        <item x="244"/>
        <item x="317"/>
        <item x="290"/>
        <item x="478"/>
        <item x="287"/>
        <item x="421"/>
        <item x="116"/>
        <item x="228"/>
        <item x="177"/>
        <item x="408"/>
        <item x="30"/>
        <item x="336"/>
        <item x="198"/>
        <item x="268"/>
        <item x="372"/>
        <item x="484"/>
        <item x="485"/>
        <item x="321"/>
        <item x="49"/>
        <item x="349"/>
        <item x="252"/>
        <item x="133"/>
        <item x="468"/>
        <item x="204"/>
        <item x="418"/>
        <item x="166"/>
        <item x="262"/>
        <item x="381"/>
        <item x="101"/>
        <item x="274"/>
        <item x="318"/>
        <item x="149"/>
        <item x="440"/>
        <item x="296"/>
        <item x="467"/>
        <item x="128"/>
        <item x="231"/>
        <item x="350"/>
        <item x="10"/>
        <item x="132"/>
        <item x="495"/>
        <item x="211"/>
        <item x="235"/>
        <item x="210"/>
        <item x="234"/>
        <item x="257"/>
        <item x="455"/>
        <item x="238"/>
        <item x="343"/>
        <item x="208"/>
        <item x="414"/>
        <item x="209"/>
        <item x="368"/>
        <item x="335"/>
        <item x="388"/>
        <item x="150"/>
        <item x="48"/>
        <item x="167"/>
        <item x="242"/>
        <item x="189"/>
        <item x="135"/>
        <item x="402"/>
        <item x="239"/>
        <item x="483"/>
        <item x="197"/>
        <item x="330"/>
        <item x="19"/>
        <item x="444"/>
        <item x="104"/>
        <item x="258"/>
        <item x="229"/>
        <item x="307"/>
        <item x="15"/>
        <item x="171"/>
        <item x="476"/>
        <item x="413"/>
        <item x="316"/>
        <item x="325"/>
        <item x="280"/>
        <item x="422"/>
        <item x="162"/>
        <item x="472"/>
        <item x="97"/>
        <item x="81"/>
        <item x="416"/>
        <item x="357"/>
        <item x="311"/>
        <item x="31"/>
        <item x="40"/>
        <item x="92"/>
        <item x="62"/>
        <item x="9"/>
        <item x="72"/>
        <item x="398"/>
        <item x="155"/>
        <item x="447"/>
        <item x="337"/>
        <item x="7"/>
        <item x="464"/>
        <item x="255"/>
        <item x="486"/>
        <item x="355"/>
        <item x="217"/>
        <item x="435"/>
        <item x="399"/>
        <item x="305"/>
        <item x="35"/>
        <item x="165"/>
        <item x="216"/>
        <item x="494"/>
        <item x="452"/>
        <item x="193"/>
        <item x="113"/>
        <item x="136"/>
        <item x="232"/>
        <item x="187"/>
        <item x="309"/>
        <item x="272"/>
        <item x="52"/>
        <item x="191"/>
        <item x="394"/>
        <item x="188"/>
        <item x="233"/>
        <item x="425"/>
        <item x="383"/>
        <item x="5"/>
        <item x="213"/>
        <item x="261"/>
        <item x="427"/>
        <item x="95"/>
        <item x="63"/>
        <item x="194"/>
        <item x="181"/>
        <item x="300"/>
        <item x="376"/>
        <item x="179"/>
        <item x="16"/>
        <item x="59"/>
        <item x="378"/>
        <item x="230"/>
        <item x="50"/>
        <item x="70"/>
        <item x="45"/>
        <item x="466"/>
        <item x="389"/>
        <item x="326"/>
        <item x="2"/>
        <item x="22"/>
        <item x="298"/>
        <item x="341"/>
        <item x="152"/>
        <item x="451"/>
        <item x="417"/>
        <item x="246"/>
        <item x="156"/>
        <item x="175"/>
        <item x="11"/>
        <item x="110"/>
        <item x="415"/>
        <item x="288"/>
        <item x="57"/>
        <item x="144"/>
        <item x="163"/>
        <item x="293"/>
        <item x="260"/>
        <item x="474"/>
        <item x="499"/>
        <item x="363"/>
        <item x="367"/>
        <item x="14"/>
        <item x="322"/>
        <item x="266"/>
        <item x="60"/>
        <item x="443"/>
        <item x="195"/>
        <item x="475"/>
        <item x="489"/>
        <item x="202"/>
        <item x="73"/>
        <item x="115"/>
        <item x="205"/>
        <item x="105"/>
        <item x="6"/>
        <item x="248"/>
        <item x="371"/>
        <item x="146"/>
        <item x="434"/>
        <item x="277"/>
        <item x="174"/>
        <item x="429"/>
        <item x="225"/>
        <item x="148"/>
        <item x="168"/>
        <item x="345"/>
        <item x="366"/>
        <item x="338"/>
        <item x="196"/>
        <item x="103"/>
        <item x="295"/>
        <item x="446"/>
        <item x="17"/>
        <item x="164"/>
        <item x="477"/>
        <item x="61"/>
        <item x="118"/>
        <item x="140"/>
        <item x="23"/>
        <item x="131"/>
        <item x="76"/>
        <item x="498"/>
        <item x="497"/>
        <item x="190"/>
        <item x="160"/>
        <item x="3"/>
        <item x="102"/>
        <item x="203"/>
        <item x="33"/>
        <item x="201"/>
        <item x="87"/>
        <item x="269"/>
        <item x="58"/>
        <item x="411"/>
        <item x="331"/>
        <item x="56"/>
        <item x="369"/>
        <item x="214"/>
        <item x="124"/>
        <item x="374"/>
        <item x="339"/>
        <item x="436"/>
        <item x="312"/>
        <item x="184"/>
        <item x="384"/>
        <item x="141"/>
        <item x="32"/>
        <item x="299"/>
        <item x="354"/>
        <item x="267"/>
        <item x="348"/>
        <item x="82"/>
        <item x="215"/>
        <item x="68"/>
        <item x="100"/>
        <item x="373"/>
        <item x="351"/>
        <item x="86"/>
        <item x="66"/>
        <item x="212"/>
        <item x="294"/>
        <item x="129"/>
        <item x="301"/>
        <item x="273"/>
        <item x="161"/>
        <item x="479"/>
        <item x="256"/>
        <item x="319"/>
        <item x="420"/>
        <item x="178"/>
        <item x="38"/>
        <item x="282"/>
        <item x="387"/>
        <item x="13"/>
        <item x="237"/>
        <item x="109"/>
        <item x="112"/>
        <item x="410"/>
        <item x="471"/>
        <item x="249"/>
        <item x="279"/>
        <item x="265"/>
        <item x="395"/>
        <item x="329"/>
        <item x="460"/>
        <item x="206"/>
        <item x="426"/>
        <item x="41"/>
        <item x="439"/>
        <item x="96"/>
        <item x="222"/>
        <item x="456"/>
        <item x="462"/>
        <item x="130"/>
        <item x="291"/>
        <item x="223"/>
        <item x="362"/>
        <item x="44"/>
        <item x="83"/>
        <item x="79"/>
        <item x="42"/>
        <item x="380"/>
        <item x="458"/>
        <item x="405"/>
        <item x="292"/>
        <item x="55"/>
        <item x="236"/>
        <item x="454"/>
        <item x="91"/>
        <item x="364"/>
        <item x="302"/>
        <item t="default"/>
      </items>
    </pivotField>
    <pivotField showAll="0">
      <items count="6">
        <item x="1"/>
        <item x="0"/>
        <item x="4"/>
        <item x="2"/>
        <item x="3"/>
        <item t="default"/>
      </items>
    </pivotField>
    <pivotField showAll="0">
      <items count="51">
        <item x="37"/>
        <item x="29"/>
        <item x="15"/>
        <item x="11"/>
        <item x="24"/>
        <item x="42"/>
        <item x="46"/>
        <item x="47"/>
        <item x="27"/>
        <item x="10"/>
        <item x="16"/>
        <item x="0"/>
        <item x="48"/>
        <item x="36"/>
        <item x="39"/>
        <item x="35"/>
        <item x="40"/>
        <item x="38"/>
        <item x="43"/>
        <item x="49"/>
        <item x="33"/>
        <item x="31"/>
        <item x="13"/>
        <item x="9"/>
        <item x="45"/>
        <item x="17"/>
        <item x="23"/>
        <item x="34"/>
        <item x="32"/>
        <item x="8"/>
        <item x="4"/>
        <item x="18"/>
        <item x="44"/>
        <item x="41"/>
        <item x="7"/>
        <item x="20"/>
        <item x="26"/>
        <item x="21"/>
        <item x="12"/>
        <item x="19"/>
        <item x="1"/>
        <item x="6"/>
        <item x="14"/>
        <item x="25"/>
        <item x="28"/>
        <item x="2"/>
        <item x="22"/>
        <item x="3"/>
        <item x="30"/>
        <item x="5"/>
        <item t="default"/>
      </items>
    </pivotField>
    <pivotField showAll="0">
      <items count="51">
        <item x="37"/>
        <item x="10"/>
        <item x="16"/>
        <item x="0"/>
        <item x="48"/>
        <item x="36"/>
        <item x="39"/>
        <item x="35"/>
        <item x="40"/>
        <item x="38"/>
        <item x="43"/>
        <item x="29"/>
        <item x="49"/>
        <item x="33"/>
        <item x="31"/>
        <item x="13"/>
        <item x="9"/>
        <item x="45"/>
        <item x="17"/>
        <item x="23"/>
        <item x="34"/>
        <item x="32"/>
        <item x="15"/>
        <item x="8"/>
        <item x="4"/>
        <item x="18"/>
        <item x="44"/>
        <item x="41"/>
        <item x="7"/>
        <item x="20"/>
        <item x="26"/>
        <item x="21"/>
        <item x="12"/>
        <item x="11"/>
        <item x="19"/>
        <item x="1"/>
        <item x="6"/>
        <item x="14"/>
        <item x="25"/>
        <item x="28"/>
        <item x="2"/>
        <item x="22"/>
        <item x="3"/>
        <item x="30"/>
        <item x="24"/>
        <item x="5"/>
        <item x="42"/>
        <item x="46"/>
        <item x="47"/>
        <item x="27"/>
        <item t="default"/>
      </items>
    </pivotField>
    <pivotField showAll="0">
      <items count="6">
        <item x="1"/>
        <item x="2"/>
        <item x="4"/>
        <item x="3"/>
        <item x="0"/>
        <item t="default"/>
      </items>
    </pivotField>
    <pivotField showAll="0"/>
    <pivotField numFmtId="44" showAll="0"/>
    <pivotField dataField="1" numFmtId="44" showAll="0"/>
    <pivotField showAll="0" defaultSubtota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11">
    <i>
      <x v="86"/>
    </i>
    <i>
      <x v="97"/>
    </i>
    <i>
      <x v="98"/>
    </i>
    <i>
      <x v="99"/>
    </i>
    <i>
      <x v="127"/>
    </i>
    <i>
      <x v="186"/>
    </i>
    <i>
      <x v="266"/>
    </i>
    <i>
      <x v="397"/>
    </i>
    <i>
      <x v="414"/>
    </i>
    <i>
      <x v="475"/>
    </i>
    <i t="grand">
      <x/>
    </i>
  </rowItems>
  <colItems count="1">
    <i/>
  </colItems>
  <dataFields count="1">
    <dataField name="Sum of Revenue" fld="10" baseField="0" baseItem="0" numFmtId="44"/>
  </dataField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FA48ED-A0B1-FF4B-899D-8004F2F94587}" name="PivotTable8" cacheId="4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N36:O42" firstHeaderRow="1" firstDataRow="1" firstDataCol="1"/>
  <pivotFields count="14">
    <pivotField showAll="0"/>
    <pivotField numFmtId="14" showAll="0">
      <items count="731">
        <item x="347"/>
        <item x="63"/>
        <item x="470"/>
        <item x="636"/>
        <item x="346"/>
        <item x="183"/>
        <item x="244"/>
        <item x="278"/>
        <item x="39"/>
        <item x="289"/>
        <item x="14"/>
        <item x="358"/>
        <item x="88"/>
        <item x="484"/>
        <item x="629"/>
        <item x="41"/>
        <item x="272"/>
        <item x="708"/>
        <item x="345"/>
        <item x="621"/>
        <item x="208"/>
        <item x="140"/>
        <item x="612"/>
        <item x="31"/>
        <item x="139"/>
        <item x="487"/>
        <item x="528"/>
        <item x="75"/>
        <item x="610"/>
        <item x="281"/>
        <item x="648"/>
        <item x="210"/>
        <item x="572"/>
        <item x="465"/>
        <item x="602"/>
        <item x="287"/>
        <item x="303"/>
        <item x="129"/>
        <item x="729"/>
        <item x="1"/>
        <item x="194"/>
        <item x="450"/>
        <item x="673"/>
        <item x="170"/>
        <item x="513"/>
        <item x="161"/>
        <item x="251"/>
        <item x="24"/>
        <item x="237"/>
        <item x="224"/>
        <item x="534"/>
        <item x="600"/>
        <item x="506"/>
        <item x="478"/>
        <item x="532"/>
        <item x="286"/>
        <item x="274"/>
        <item x="703"/>
        <item x="415"/>
        <item x="298"/>
        <item x="33"/>
        <item x="249"/>
        <item x="124"/>
        <item x="135"/>
        <item x="173"/>
        <item x="340"/>
        <item x="271"/>
        <item x="591"/>
        <item x="675"/>
        <item x="254"/>
        <item x="366"/>
        <item x="214"/>
        <item x="150"/>
        <item x="480"/>
        <item x="174"/>
        <item x="61"/>
        <item x="592"/>
        <item x="393"/>
        <item x="564"/>
        <item x="462"/>
        <item x="712"/>
        <item x="25"/>
        <item x="122"/>
        <item x="107"/>
        <item x="582"/>
        <item x="215"/>
        <item x="530"/>
        <item x="455"/>
        <item x="277"/>
        <item x="615"/>
        <item x="112"/>
        <item x="526"/>
        <item x="552"/>
        <item x="339"/>
        <item x="613"/>
        <item x="297"/>
        <item x="166"/>
        <item x="614"/>
        <item x="596"/>
        <item x="279"/>
        <item x="491"/>
        <item x="634"/>
        <item x="119"/>
        <item x="15"/>
        <item x="620"/>
        <item x="691"/>
        <item x="344"/>
        <item x="322"/>
        <item x="495"/>
        <item x="203"/>
        <item x="65"/>
        <item x="575"/>
        <item x="481"/>
        <item x="126"/>
        <item x="607"/>
        <item x="43"/>
        <item x="581"/>
        <item x="58"/>
        <item x="123"/>
        <item x="619"/>
        <item x="229"/>
        <item x="327"/>
        <item x="463"/>
        <item x="533"/>
        <item x="489"/>
        <item x="319"/>
        <item x="545"/>
        <item x="569"/>
        <item x="190"/>
        <item x="151"/>
        <item x="69"/>
        <item x="683"/>
        <item x="285"/>
        <item x="699"/>
        <item x="486"/>
        <item x="407"/>
        <item x="7"/>
        <item x="361"/>
        <item x="169"/>
        <item x="413"/>
        <item x="571"/>
        <item x="707"/>
        <item x="234"/>
        <item x="414"/>
        <item x="658"/>
        <item x="320"/>
        <item x="354"/>
        <item x="662"/>
        <item x="696"/>
        <item x="472"/>
        <item x="197"/>
        <item x="654"/>
        <item x="231"/>
        <item x="364"/>
        <item x="290"/>
        <item x="45"/>
        <item x="188"/>
        <item x="96"/>
        <item x="423"/>
        <item x="283"/>
        <item x="368"/>
        <item x="87"/>
        <item x="625"/>
        <item x="221"/>
        <item x="6"/>
        <item x="295"/>
        <item x="628"/>
        <item x="725"/>
        <item x="128"/>
        <item x="143"/>
        <item x="396"/>
        <item x="728"/>
        <item x="113"/>
        <item x="417"/>
        <item x="456"/>
        <item x="605"/>
        <item x="223"/>
        <item x="590"/>
        <item x="163"/>
        <item x="66"/>
        <item x="637"/>
        <item x="164"/>
        <item x="441"/>
        <item x="265"/>
        <item x="394"/>
        <item x="445"/>
        <item x="574"/>
        <item x="464"/>
        <item x="537"/>
        <item x="59"/>
        <item x="377"/>
        <item x="722"/>
        <item x="106"/>
        <item x="182"/>
        <item x="539"/>
        <item x="661"/>
        <item x="11"/>
        <item x="387"/>
        <item x="153"/>
        <item x="536"/>
        <item x="247"/>
        <item x="315"/>
        <item x="507"/>
        <item x="424"/>
        <item x="453"/>
        <item x="608"/>
        <item x="227"/>
        <item x="26"/>
        <item x="115"/>
        <item x="531"/>
        <item x="385"/>
        <item x="511"/>
        <item x="609"/>
        <item x="383"/>
        <item x="558"/>
        <item x="663"/>
        <item x="540"/>
        <item x="546"/>
        <item x="483"/>
        <item x="543"/>
        <item x="593"/>
        <item x="499"/>
        <item x="71"/>
        <item x="192"/>
        <item x="616"/>
        <item x="241"/>
        <item x="360"/>
        <item x="452"/>
        <item x="727"/>
        <item x="91"/>
        <item x="13"/>
        <item x="10"/>
        <item x="585"/>
        <item x="512"/>
        <item x="125"/>
        <item x="17"/>
        <item x="426"/>
        <item x="384"/>
        <item x="438"/>
        <item x="475"/>
        <item x="647"/>
        <item x="276"/>
        <item x="514"/>
        <item x="23"/>
        <item x="399"/>
        <item x="379"/>
        <item x="611"/>
        <item x="420"/>
        <item x="74"/>
        <item x="133"/>
        <item x="248"/>
        <item x="252"/>
        <item x="447"/>
        <item x="718"/>
        <item x="454"/>
        <item x="579"/>
        <item x="313"/>
        <item x="446"/>
        <item x="30"/>
        <item x="405"/>
        <item x="476"/>
        <item x="692"/>
        <item x="429"/>
        <item x="130"/>
        <item x="37"/>
        <item x="443"/>
        <item x="685"/>
        <item x="22"/>
        <item x="444"/>
        <item x="382"/>
        <item x="239"/>
        <item x="595"/>
        <item x="655"/>
        <item x="332"/>
        <item x="624"/>
        <item x="578"/>
        <item x="659"/>
        <item x="111"/>
        <item x="684"/>
        <item x="373"/>
        <item x="180"/>
        <item x="367"/>
        <item x="565"/>
        <item x="598"/>
        <item x="580"/>
        <item x="563"/>
        <item x="116"/>
        <item x="222"/>
        <item x="176"/>
        <item x="622"/>
        <item x="541"/>
        <item x="204"/>
        <item x="671"/>
        <item x="498"/>
        <item x="492"/>
        <item x="79"/>
        <item x="701"/>
        <item x="8"/>
        <item x="716"/>
        <item x="316"/>
        <item x="299"/>
        <item x="503"/>
        <item x="104"/>
        <item x="156"/>
        <item x="632"/>
        <item x="262"/>
        <item x="27"/>
        <item x="398"/>
        <item x="561"/>
        <item x="35"/>
        <item x="640"/>
        <item x="380"/>
        <item x="428"/>
        <item x="235"/>
        <item x="191"/>
        <item x="409"/>
        <item x="400"/>
        <item x="195"/>
        <item x="321"/>
        <item x="466"/>
        <item x="102"/>
        <item x="34"/>
        <item x="2"/>
        <item x="308"/>
        <item x="477"/>
        <item x="547"/>
        <item x="550"/>
        <item x="336"/>
        <item x="353"/>
        <item x="723"/>
        <item x="549"/>
        <item x="378"/>
        <item x="493"/>
        <item x="635"/>
        <item x="721"/>
        <item x="310"/>
        <item x="211"/>
        <item x="202"/>
        <item x="642"/>
        <item x="430"/>
        <item x="189"/>
        <item x="232"/>
        <item x="365"/>
        <item x="359"/>
        <item x="559"/>
        <item x="132"/>
        <item x="213"/>
        <item x="668"/>
        <item x="199"/>
        <item x="76"/>
        <item x="391"/>
        <item x="220"/>
        <item x="695"/>
        <item x="101"/>
        <item x="524"/>
        <item x="282"/>
        <item x="656"/>
        <item x="305"/>
        <item x="535"/>
        <item x="525"/>
        <item x="160"/>
        <item x="390"/>
        <item x="529"/>
        <item x="362"/>
        <item x="500"/>
        <item x="200"/>
        <item x="64"/>
        <item x="687"/>
        <item x="261"/>
        <item x="389"/>
        <item x="206"/>
        <item x="504"/>
        <item x="714"/>
        <item x="50"/>
        <item x="184"/>
        <item x="617"/>
        <item x="678"/>
        <item x="425"/>
        <item x="216"/>
        <item x="253"/>
        <item x="168"/>
        <item x="451"/>
        <item x="80"/>
        <item x="515"/>
        <item x="264"/>
        <item x="323"/>
        <item x="623"/>
        <item x="402"/>
        <item x="296"/>
        <item x="19"/>
        <item x="416"/>
        <item x="325"/>
        <item x="233"/>
        <item x="57"/>
        <item x="633"/>
        <item x="291"/>
        <item x="717"/>
        <item x="459"/>
        <item x="689"/>
        <item x="343"/>
        <item x="334"/>
        <item x="679"/>
        <item x="410"/>
        <item x="586"/>
        <item x="47"/>
        <item x="293"/>
        <item x="594"/>
        <item x="381"/>
        <item x="154"/>
        <item x="653"/>
        <item x="131"/>
        <item x="95"/>
        <item x="627"/>
        <item x="198"/>
        <item x="18"/>
        <item x="562"/>
        <item x="431"/>
        <item x="117"/>
        <item x="698"/>
        <item x="20"/>
        <item x="109"/>
        <item x="138"/>
        <item x="440"/>
        <item x="127"/>
        <item x="567"/>
        <item x="589"/>
        <item x="645"/>
        <item x="485"/>
        <item x="55"/>
        <item x="474"/>
        <item x="433"/>
        <item x="401"/>
        <item x="9"/>
        <item x="421"/>
        <item x="228"/>
        <item x="521"/>
        <item x="542"/>
        <item x="141"/>
        <item x="694"/>
        <item x="98"/>
        <item x="705"/>
        <item x="523"/>
        <item x="584"/>
        <item x="186"/>
        <item x="570"/>
        <item x="724"/>
        <item x="693"/>
        <item x="479"/>
        <item x="159"/>
        <item x="392"/>
        <item x="348"/>
        <item x="482"/>
        <item x="626"/>
        <item x="56"/>
        <item x="105"/>
        <item x="551"/>
        <item x="167"/>
        <item x="318"/>
        <item x="312"/>
        <item x="89"/>
        <item x="162"/>
        <item x="54"/>
        <item x="704"/>
        <item x="341"/>
        <item x="715"/>
        <item x="185"/>
        <item x="259"/>
        <item x="518"/>
        <item x="46"/>
        <item x="165"/>
        <item x="372"/>
        <item x="553"/>
        <item x="181"/>
        <item x="501"/>
        <item x="660"/>
        <item x="288"/>
        <item x="108"/>
        <item x="403"/>
        <item x="275"/>
        <item x="242"/>
        <item x="267"/>
        <item x="351"/>
        <item x="371"/>
        <item x="284"/>
        <item x="356"/>
        <item x="236"/>
        <item x="5"/>
        <item x="508"/>
        <item x="67"/>
        <item x="666"/>
        <item x="638"/>
        <item x="680"/>
        <item x="631"/>
        <item x="568"/>
        <item x="225"/>
        <item x="670"/>
        <item x="510"/>
        <item x="644"/>
        <item x="330"/>
        <item x="99"/>
        <item x="395"/>
        <item x="246"/>
        <item x="335"/>
        <item x="317"/>
        <item x="557"/>
        <item x="548"/>
        <item x="337"/>
        <item x="51"/>
        <item x="256"/>
        <item x="83"/>
        <item x="630"/>
        <item x="42"/>
        <item x="560"/>
        <item x="643"/>
        <item x="85"/>
        <item x="134"/>
        <item x="171"/>
        <item x="650"/>
        <item x="82"/>
        <item x="352"/>
        <item x="0"/>
        <item x="38"/>
        <item x="155"/>
        <item x="505"/>
        <item x="461"/>
        <item x="121"/>
        <item x="78"/>
        <item x="245"/>
        <item x="48"/>
        <item x="713"/>
        <item x="460"/>
        <item x="411"/>
        <item x="268"/>
        <item x="604"/>
        <item x="408"/>
        <item x="516"/>
        <item x="243"/>
        <item x="719"/>
        <item x="270"/>
        <item x="120"/>
        <item x="328"/>
        <item x="350"/>
        <item x="473"/>
        <item x="682"/>
        <item x="273"/>
        <item x="538"/>
        <item x="406"/>
        <item x="280"/>
        <item x="555"/>
        <item x="302"/>
        <item x="44"/>
        <item x="103"/>
        <item x="599"/>
        <item x="212"/>
        <item x="260"/>
        <item x="436"/>
        <item x="448"/>
        <item x="676"/>
        <item x="657"/>
        <item x="77"/>
        <item x="497"/>
        <item x="664"/>
        <item x="527"/>
        <item x="720"/>
        <item x="646"/>
        <item x="157"/>
        <item x="142"/>
        <item x="412"/>
        <item x="53"/>
        <item x="554"/>
        <item x="172"/>
        <item x="641"/>
        <item x="397"/>
        <item x="697"/>
        <item x="374"/>
        <item x="36"/>
        <item x="300"/>
        <item x="217"/>
        <item x="700"/>
        <item x="179"/>
        <item x="152"/>
        <item x="49"/>
        <item x="324"/>
        <item x="137"/>
        <item x="690"/>
        <item x="230"/>
        <item x="517"/>
        <item x="375"/>
        <item x="566"/>
        <item x="458"/>
        <item x="304"/>
        <item x="32"/>
        <item x="205"/>
        <item x="369"/>
        <item x="266"/>
        <item x="522"/>
        <item x="3"/>
        <item x="301"/>
        <item x="333"/>
        <item x="488"/>
        <item x="314"/>
        <item x="92"/>
        <item x="468"/>
        <item x="28"/>
        <item x="177"/>
        <item x="490"/>
        <item x="652"/>
        <item x="158"/>
        <item x="146"/>
        <item x="651"/>
        <item x="294"/>
        <item x="726"/>
        <item x="263"/>
        <item x="292"/>
        <item x="62"/>
        <item x="196"/>
        <item x="21"/>
        <item x="587"/>
        <item x="467"/>
        <item x="250"/>
        <item x="110"/>
        <item x="388"/>
        <item x="331"/>
        <item x="442"/>
        <item x="496"/>
        <item x="688"/>
        <item x="386"/>
        <item x="667"/>
        <item x="674"/>
        <item x="669"/>
        <item x="307"/>
        <item x="114"/>
        <item x="329"/>
        <item x="597"/>
        <item x="639"/>
        <item x="449"/>
        <item x="175"/>
        <item x="665"/>
        <item x="311"/>
        <item x="603"/>
        <item x="434"/>
        <item x="97"/>
        <item x="207"/>
        <item x="502"/>
        <item x="544"/>
        <item x="649"/>
        <item x="238"/>
        <item x="40"/>
        <item x="81"/>
        <item x="706"/>
        <item x="193"/>
        <item x="100"/>
        <item x="576"/>
        <item x="357"/>
        <item x="588"/>
        <item x="86"/>
        <item x="342"/>
        <item x="370"/>
        <item x="94"/>
        <item x="437"/>
        <item x="306"/>
        <item x="257"/>
        <item x="363"/>
        <item x="68"/>
        <item x="29"/>
        <item x="226"/>
        <item x="520"/>
        <item x="187"/>
        <item x="681"/>
        <item x="422"/>
        <item x="494"/>
        <item x="136"/>
        <item x="509"/>
        <item x="677"/>
        <item x="710"/>
        <item x="432"/>
        <item x="573"/>
        <item x="349"/>
        <item x="469"/>
        <item x="338"/>
        <item x="93"/>
        <item x="419"/>
        <item x="240"/>
        <item x="255"/>
        <item x="60"/>
        <item x="118"/>
        <item x="439"/>
        <item x="4"/>
        <item x="147"/>
        <item x="269"/>
        <item x="12"/>
        <item x="583"/>
        <item x="326"/>
        <item x="435"/>
        <item x="686"/>
        <item x="258"/>
        <item x="427"/>
        <item x="709"/>
        <item x="309"/>
        <item x="471"/>
        <item x="376"/>
        <item x="209"/>
        <item x="144"/>
        <item x="418"/>
        <item x="218"/>
        <item x="149"/>
        <item x="145"/>
        <item x="148"/>
        <item x="219"/>
        <item x="16"/>
        <item x="457"/>
        <item x="711"/>
        <item x="404"/>
        <item x="178"/>
        <item x="52"/>
        <item x="672"/>
        <item x="519"/>
        <item x="577"/>
        <item x="702"/>
        <item x="618"/>
        <item x="73"/>
        <item x="70"/>
        <item x="90"/>
        <item x="201"/>
        <item x="606"/>
        <item x="72"/>
        <item x="355"/>
        <item x="84"/>
        <item x="601"/>
        <item x="556"/>
        <item t="default"/>
      </items>
    </pivotField>
    <pivotField showAll="0"/>
    <pivotField showAll="0"/>
    <pivotField axis="axisRow" showAll="0">
      <items count="6">
        <item x="1"/>
        <item x="0"/>
        <item x="4"/>
        <item x="2"/>
        <item x="3"/>
        <item t="default"/>
      </items>
    </pivotField>
    <pivotField showAll="0">
      <items count="51">
        <item x="37"/>
        <item x="29"/>
        <item x="15"/>
        <item x="11"/>
        <item x="24"/>
        <item x="42"/>
        <item x="46"/>
        <item x="47"/>
        <item x="27"/>
        <item x="10"/>
        <item x="16"/>
        <item x="0"/>
        <item x="48"/>
        <item x="36"/>
        <item x="39"/>
        <item x="35"/>
        <item x="40"/>
        <item x="38"/>
        <item x="43"/>
        <item x="49"/>
        <item x="33"/>
        <item x="31"/>
        <item x="13"/>
        <item x="9"/>
        <item x="45"/>
        <item x="17"/>
        <item x="23"/>
        <item x="34"/>
        <item x="32"/>
        <item x="8"/>
        <item x="4"/>
        <item x="18"/>
        <item x="44"/>
        <item x="41"/>
        <item x="7"/>
        <item x="20"/>
        <item x="26"/>
        <item x="21"/>
        <item x="12"/>
        <item x="19"/>
        <item x="1"/>
        <item x="6"/>
        <item x="14"/>
        <item x="25"/>
        <item x="28"/>
        <item x="2"/>
        <item x="22"/>
        <item x="3"/>
        <item x="30"/>
        <item x="5"/>
        <item t="default"/>
      </items>
    </pivotField>
    <pivotField showAll="0">
      <items count="51">
        <item x="37"/>
        <item x="10"/>
        <item x="16"/>
        <item x="0"/>
        <item x="48"/>
        <item x="36"/>
        <item x="39"/>
        <item x="35"/>
        <item x="40"/>
        <item x="38"/>
        <item x="43"/>
        <item x="29"/>
        <item x="49"/>
        <item x="33"/>
        <item x="31"/>
        <item x="13"/>
        <item x="9"/>
        <item x="45"/>
        <item x="17"/>
        <item x="23"/>
        <item x="34"/>
        <item x="32"/>
        <item x="15"/>
        <item x="8"/>
        <item x="4"/>
        <item x="18"/>
        <item x="44"/>
        <item x="41"/>
        <item x="7"/>
        <item x="20"/>
        <item x="26"/>
        <item x="21"/>
        <item x="12"/>
        <item x="11"/>
        <item x="19"/>
        <item x="1"/>
        <item x="6"/>
        <item x="14"/>
        <item x="25"/>
        <item x="28"/>
        <item x="2"/>
        <item x="22"/>
        <item x="3"/>
        <item x="30"/>
        <item x="24"/>
        <item x="5"/>
        <item x="42"/>
        <item x="46"/>
        <item x="47"/>
        <item x="27"/>
        <item t="default"/>
      </items>
    </pivotField>
    <pivotField showAll="0">
      <items count="6">
        <item x="1"/>
        <item x="2"/>
        <item x="4"/>
        <item x="3"/>
        <item x="0"/>
        <item t="default"/>
      </items>
    </pivotField>
    <pivotField dataField="1" showAll="0">
      <items count="4878">
        <item x="3859"/>
        <item x="392"/>
        <item x="3334"/>
        <item x="2851"/>
        <item x="1039"/>
        <item x="1058"/>
        <item x="3163"/>
        <item x="3077"/>
        <item x="3053"/>
        <item x="4761"/>
        <item x="3220"/>
        <item x="4107"/>
        <item x="4215"/>
        <item x="1728"/>
        <item x="795"/>
        <item x="1910"/>
        <item x="1920"/>
        <item x="752"/>
        <item x="3360"/>
        <item x="2262"/>
        <item x="2976"/>
        <item x="2826"/>
        <item x="4216"/>
        <item x="706"/>
        <item x="2499"/>
        <item x="1795"/>
        <item x="1010"/>
        <item x="2159"/>
        <item x="311"/>
        <item x="3827"/>
        <item x="1385"/>
        <item x="1274"/>
        <item x="804"/>
        <item x="4367"/>
        <item x="1572"/>
        <item x="1286"/>
        <item x="2508"/>
        <item x="3472"/>
        <item x="3263"/>
        <item x="729"/>
        <item x="3020"/>
        <item x="1730"/>
        <item x="2489"/>
        <item x="1519"/>
        <item x="1895"/>
        <item x="3260"/>
        <item x="2326"/>
        <item x="3245"/>
        <item x="198"/>
        <item x="3888"/>
        <item x="4280"/>
        <item x="2612"/>
        <item x="1919"/>
        <item x="2925"/>
        <item x="1738"/>
        <item x="1815"/>
        <item x="949"/>
        <item x="3914"/>
        <item x="3526"/>
        <item x="1943"/>
        <item x="3107"/>
        <item x="2998"/>
        <item x="476"/>
        <item x="1589"/>
        <item x="2765"/>
        <item x="449"/>
        <item x="2478"/>
        <item x="2869"/>
        <item x="1585"/>
        <item x="2907"/>
        <item x="687"/>
        <item x="864"/>
        <item x="2433"/>
        <item x="319"/>
        <item x="3723"/>
        <item x="89"/>
        <item x="130"/>
        <item x="1530"/>
        <item x="3032"/>
        <item x="4874"/>
        <item x="4747"/>
        <item x="3137"/>
        <item x="505"/>
        <item x="1445"/>
        <item x="650"/>
        <item x="4689"/>
        <item x="1619"/>
        <item x="4777"/>
        <item x="4771"/>
        <item x="2625"/>
        <item x="3327"/>
        <item x="1932"/>
        <item x="472"/>
        <item x="4571"/>
        <item x="1"/>
        <item x="3091"/>
        <item x="4498"/>
        <item x="4227"/>
        <item x="515"/>
        <item x="1865"/>
        <item x="2494"/>
        <item x="86"/>
        <item x="2718"/>
        <item x="2493"/>
        <item x="3617"/>
        <item x="3842"/>
        <item x="431"/>
        <item x="890"/>
        <item x="2455"/>
        <item x="3861"/>
        <item x="3129"/>
        <item x="1007"/>
        <item x="2291"/>
        <item x="1517"/>
        <item x="3651"/>
        <item x="39"/>
        <item x="1616"/>
        <item x="3974"/>
        <item x="423"/>
        <item x="2203"/>
        <item x="1686"/>
        <item x="978"/>
        <item x="2735"/>
        <item x="4467"/>
        <item x="2095"/>
        <item x="1184"/>
        <item x="1887"/>
        <item x="3388"/>
        <item x="4683"/>
        <item x="1830"/>
        <item x="3345"/>
        <item x="2142"/>
        <item x="2960"/>
        <item x="4830"/>
        <item x="2813"/>
        <item x="1174"/>
        <item x="4439"/>
        <item x="269"/>
        <item x="4433"/>
        <item x="238"/>
        <item x="2067"/>
        <item x="3564"/>
        <item x="4275"/>
        <item x="2897"/>
        <item x="635"/>
        <item x="1437"/>
        <item x="1169"/>
        <item x="620"/>
        <item x="3843"/>
        <item x="2160"/>
        <item x="619"/>
        <item x="2364"/>
        <item x="1985"/>
        <item x="3152"/>
        <item x="733"/>
        <item x="1647"/>
        <item x="1663"/>
        <item x="1041"/>
        <item x="4418"/>
        <item x="2986"/>
        <item x="2028"/>
        <item x="4613"/>
        <item x="1595"/>
        <item x="2447"/>
        <item x="3610"/>
        <item x="532"/>
        <item x="4091"/>
        <item x="3199"/>
        <item x="996"/>
        <item x="587"/>
        <item x="3840"/>
        <item x="447"/>
        <item x="4650"/>
        <item x="4586"/>
        <item x="1817"/>
        <item x="300"/>
        <item x="2464"/>
        <item x="973"/>
        <item x="2338"/>
        <item x="4725"/>
        <item x="1475"/>
        <item x="3056"/>
        <item x="2541"/>
        <item x="4619"/>
        <item x="407"/>
        <item x="1545"/>
        <item x="2503"/>
        <item x="70"/>
        <item x="353"/>
        <item x="1415"/>
        <item x="4458"/>
        <item x="378"/>
        <item x="180"/>
        <item x="133"/>
        <item x="602"/>
        <item x="2561"/>
        <item x="3586"/>
        <item x="4640"/>
        <item x="2134"/>
        <item x="226"/>
        <item x="1256"/>
        <item x="4707"/>
        <item x="1569"/>
        <item x="947"/>
        <item x="2277"/>
        <item x="3872"/>
        <item x="4750"/>
        <item x="446"/>
        <item x="4798"/>
        <item x="1424"/>
        <item x="2544"/>
        <item x="4841"/>
        <item x="4321"/>
        <item x="157"/>
        <item x="3811"/>
        <item x="1090"/>
        <item x="2611"/>
        <item x="1220"/>
        <item x="1470"/>
        <item x="4414"/>
        <item x="228"/>
        <item x="4135"/>
        <item x="2528"/>
        <item x="4384"/>
        <item x="1189"/>
        <item x="1362"/>
        <item x="4500"/>
        <item x="2103"/>
        <item x="4034"/>
        <item x="3501"/>
        <item x="2491"/>
        <item x="3918"/>
        <item x="715"/>
        <item x="731"/>
        <item x="3379"/>
        <item x="109"/>
        <item x="209"/>
        <item x="1266"/>
        <item x="548"/>
        <item x="1401"/>
        <item x="4539"/>
        <item x="3703"/>
        <item x="2701"/>
        <item x="526"/>
        <item x="1677"/>
        <item x="1986"/>
        <item x="1781"/>
        <item x="1699"/>
        <item x="197"/>
        <item x="2743"/>
        <item x="3520"/>
        <item x="3257"/>
        <item x="4282"/>
        <item x="2543"/>
        <item x="1222"/>
        <item x="102"/>
        <item x="652"/>
        <item x="714"/>
        <item x="1251"/>
        <item x="755"/>
        <item x="1766"/>
        <item x="2399"/>
        <item x="1375"/>
        <item x="522"/>
        <item x="4646"/>
        <item x="4351"/>
        <item x="4565"/>
        <item x="3153"/>
        <item x="2615"/>
        <item x="3278"/>
        <item x="1506"/>
        <item x="2316"/>
        <item x="1279"/>
        <item x="1059"/>
        <item x="111"/>
        <item x="626"/>
        <item x="233"/>
        <item x="322"/>
        <item x="1042"/>
        <item x="4308"/>
        <item x="4297"/>
        <item x="3404"/>
        <item x="2461"/>
        <item x="557"/>
        <item x="885"/>
        <item x="3386"/>
        <item x="4800"/>
        <item x="4863"/>
        <item x="4011"/>
        <item x="1322"/>
        <item x="932"/>
        <item x="877"/>
        <item x="1651"/>
        <item x="780"/>
        <item x="1384"/>
        <item x="3783"/>
        <item x="3799"/>
        <item x="3583"/>
        <item x="1135"/>
        <item x="4675"/>
        <item x="3508"/>
        <item x="1372"/>
        <item x="1960"/>
        <item x="3670"/>
        <item x="1601"/>
        <item x="4700"/>
        <item x="1410"/>
        <item x="3738"/>
        <item x="4337"/>
        <item x="3989"/>
        <item x="3078"/>
        <item x="3469"/>
        <item x="3802"/>
        <item x="4517"/>
        <item x="1242"/>
        <item x="1928"/>
        <item x="146"/>
        <item x="2581"/>
        <item x="3829"/>
        <item x="837"/>
        <item x="4039"/>
        <item x="3387"/>
        <item x="2381"/>
        <item x="1182"/>
        <item x="74"/>
        <item x="2412"/>
        <item x="2434"/>
        <item x="3299"/>
        <item x="4159"/>
        <item x="3445"/>
        <item x="1473"/>
        <item x="3602"/>
        <item x="112"/>
        <item x="4407"/>
        <item x="4173"/>
        <item x="499"/>
        <item x="3975"/>
        <item x="2914"/>
        <item x="2191"/>
        <item x="3101"/>
        <item x="2090"/>
        <item x="1038"/>
        <item x="3400"/>
        <item x="1853"/>
        <item x="3346"/>
        <item x="4449"/>
        <item x="1930"/>
        <item x="673"/>
        <item x="1166"/>
        <item x="1669"/>
        <item x="4603"/>
        <item x="1826"/>
        <item x="4352"/>
        <item x="4222"/>
        <item x="2271"/>
        <item x="3671"/>
        <item x="598"/>
        <item x="618"/>
        <item x="4172"/>
        <item x="3241"/>
        <item x="4516"/>
        <item x="1915"/>
        <item x="4239"/>
        <item x="3029"/>
        <item x="779"/>
        <item x="2204"/>
        <item x="2804"/>
        <item x="1891"/>
        <item x="1798"/>
        <item x="2393"/>
        <item x="443"/>
        <item x="2787"/>
        <item x="460"/>
        <item x="3627"/>
        <item x="4037"/>
        <item x="4095"/>
        <item x="1988"/>
        <item x="2803"/>
        <item x="2548"/>
        <item x="946"/>
        <item x="594"/>
        <item x="1011"/>
        <item x="4811"/>
        <item x="2227"/>
        <item x="4684"/>
        <item x="183"/>
        <item x="1749"/>
        <item x="3266"/>
        <item x="3173"/>
        <item x="3960"/>
        <item x="3036"/>
        <item x="701"/>
        <item x="2133"/>
        <item x="550"/>
        <item x="3930"/>
        <item x="4612"/>
        <item x="1731"/>
        <item x="3751"/>
        <item x="4093"/>
        <item x="1468"/>
        <item x="36"/>
        <item x="2151"/>
        <item x="3463"/>
        <item x="416"/>
        <item x="61"/>
        <item x="1958"/>
        <item x="2496"/>
        <item x="4118"/>
        <item x="1838"/>
        <item x="438"/>
        <item x="3088"/>
        <item x="2071"/>
        <item x="3343"/>
        <item x="3366"/>
        <item x="1366"/>
        <item x="2219"/>
        <item x="3238"/>
        <item x="3025"/>
        <item x="3239"/>
        <item x="2794"/>
        <item x="2965"/>
        <item x="217"/>
        <item x="605"/>
        <item x="4651"/>
        <item x="1600"/>
        <item x="2537"/>
        <item x="4848"/>
        <item x="677"/>
        <item x="4714"/>
        <item x="3690"/>
        <item x="3875"/>
        <item x="2672"/>
        <item x="3934"/>
        <item x="2853"/>
        <item x="1052"/>
        <item x="2"/>
        <item x="2390"/>
        <item x="2483"/>
        <item x="936"/>
        <item x="251"/>
        <item x="3012"/>
        <item x="2446"/>
        <item x="1259"/>
        <item x="3342"/>
        <item x="4087"/>
        <item x="4080"/>
        <item x="2552"/>
        <item x="1674"/>
        <item x="2161"/>
        <item x="2776"/>
        <item x="1782"/>
        <item x="1012"/>
        <item x="3433"/>
        <item x="3521"/>
        <item x="1137"/>
        <item x="787"/>
        <item x="4673"/>
        <item x="3464"/>
        <item x="954"/>
        <item x="2035"/>
        <item x="4456"/>
        <item x="521"/>
        <item x="32"/>
        <item x="3033"/>
        <item x="2363"/>
        <item x="3126"/>
        <item x="4444"/>
        <item x="454"/>
        <item x="1998"/>
        <item x="2108"/>
        <item x="1753"/>
        <item x="362"/>
        <item x="241"/>
        <item x="234"/>
        <item x="2620"/>
        <item x="577"/>
        <item x="2915"/>
        <item x="4032"/>
        <item x="1194"/>
        <item x="163"/>
        <item x="3543"/>
        <item x="4824"/>
        <item x="1658"/>
        <item x="3273"/>
        <item x="3271"/>
        <item x="4813"/>
        <item x="25"/>
        <item x="4307"/>
        <item x="1714"/>
        <item x="1390"/>
        <item x="750"/>
        <item x="581"/>
        <item x="4420"/>
        <item x="1344"/>
        <item x="4404"/>
        <item x="631"/>
        <item x="3740"/>
        <item x="1429"/>
        <item x="3418"/>
        <item x="2119"/>
        <item x="724"/>
        <item x="2149"/>
        <item x="4849"/>
        <item x="4065"/>
        <item x="1072"/>
        <item x="1706"/>
        <item x="1205"/>
        <item x="3465"/>
        <item x="1831"/>
        <item x="2301"/>
        <item x="3786"/>
        <item x="3249"/>
        <item x="4256"/>
        <item x="1152"/>
        <item x="3965"/>
        <item x="1692"/>
        <item x="3136"/>
        <item x="921"/>
        <item x="346"/>
        <item x="1456"/>
        <item x="3794"/>
        <item x="806"/>
        <item x="4705"/>
        <item x="998"/>
        <item x="3798"/>
        <item x="3937"/>
        <item x="2573"/>
        <item x="1245"/>
        <item x="868"/>
        <item x="3208"/>
        <item x="1455"/>
        <item x="4598"/>
        <item x="4060"/>
        <item x="2577"/>
        <item x="3996"/>
        <item x="3113"/>
        <item x="1451"/>
        <item x="749"/>
        <item x="1299"/>
        <item x="2610"/>
        <item x="567"/>
        <item x="2617"/>
        <item x="2354"/>
        <item x="254"/>
        <item x="2861"/>
        <item x="2259"/>
        <item x="4445"/>
        <item x="2306"/>
        <item x="3141"/>
        <item x="4016"/>
        <item x="4200"/>
        <item x="1337"/>
        <item x="3396"/>
        <item x="1606"/>
        <item x="1439"/>
        <item x="873"/>
        <item x="1331"/>
        <item x="3636"/>
        <item x="3114"/>
        <item x="105"/>
        <item x="1334"/>
        <item x="2698"/>
        <item x="1185"/>
        <item x="4102"/>
        <item x="1262"/>
        <item x="1559"/>
        <item x="4326"/>
        <item x="1020"/>
        <item x="3017"/>
        <item x="1640"/>
        <item x="2222"/>
        <item x="3954"/>
        <item x="2805"/>
        <item x="448"/>
        <item x="3416"/>
        <item x="4865"/>
        <item x="1346"/>
        <item x="2425"/>
        <item x="1492"/>
        <item x="2647"/>
        <item x="1594"/>
        <item x="4548"/>
        <item x="1172"/>
        <item x="1630"/>
        <item x="185"/>
        <item x="2302"/>
        <item x="1486"/>
        <item x="3679"/>
        <item x="166"/>
        <item x="3462"/>
        <item x="1056"/>
        <item x="4007"/>
        <item x="3734"/>
        <item x="846"/>
        <item x="4180"/>
        <item x="756"/>
        <item x="916"/>
        <item x="3215"/>
        <item x="2282"/>
        <item x="4531"/>
        <item x="4599"/>
        <item x="1900"/>
        <item x="4154"/>
        <item x="3368"/>
        <item x="4479"/>
        <item x="2442"/>
        <item x="2402"/>
        <item x="395"/>
        <item x="4628"/>
        <item x="3409"/>
        <item x="2994"/>
        <item x="4763"/>
        <item x="119"/>
        <item x="2281"/>
        <item x="2356"/>
        <item x="1066"/>
        <item x="999"/>
        <item x="4610"/>
        <item x="2064"/>
        <item x="4221"/>
        <item x="4194"/>
        <item x="2266"/>
        <item x="1081"/>
        <item x="3706"/>
        <item x="2485"/>
        <item x="1343"/>
        <item x="2135"/>
        <item x="3563"/>
        <item x="3325"/>
        <item x="3482"/>
        <item x="218"/>
        <item x="2368"/>
        <item x="4794"/>
        <item x="3191"/>
        <item x="1561"/>
        <item x="3900"/>
        <item x="394"/>
        <item x="1953"/>
        <item x="2207"/>
        <item x="2896"/>
        <item x="1083"/>
        <item x="4257"/>
        <item x="1890"/>
        <item x="2887"/>
        <item x="3261"/>
        <item x="3692"/>
        <item x="3296"/>
        <item x="2863"/>
        <item x="2655"/>
        <item x="2342"/>
        <item x="4069"/>
        <item x="3159"/>
        <item x="4378"/>
        <item x="4405"/>
        <item x="1836"/>
        <item x="3096"/>
        <item x="1215"/>
        <item x="4068"/>
        <item x="2719"/>
        <item x="2858"/>
        <item x="3506"/>
        <item x="3825"/>
        <item x="1788"/>
        <item x="1654"/>
        <item x="1480"/>
        <item x="3258"/>
        <item x="1799"/>
        <item x="746"/>
        <item x="3248"/>
        <item x="2054"/>
        <item x="4073"/>
        <item x="744"/>
        <item x="2186"/>
        <item x="3539"/>
        <item x="1980"/>
        <item x="1676"/>
        <item x="4847"/>
        <item x="1209"/>
        <item x="3487"/>
        <item x="1352"/>
        <item x="1762"/>
        <item x="4196"/>
        <item x="2209"/>
        <item x="1892"/>
        <item x="4827"/>
        <item x="713"/>
        <item x="614"/>
        <item x="1103"/>
        <item x="832"/>
        <item x="280"/>
        <item x="3905"/>
        <item x="2852"/>
        <item x="2505"/>
        <item x="24"/>
        <item x="135"/>
        <item x="3361"/>
        <item x="560"/>
        <item x="1705"/>
        <item x="1593"/>
        <item x="1557"/>
        <item x="1201"/>
        <item x="2092"/>
        <item x="3196"/>
        <item x="900"/>
        <item x="1414"/>
        <item x="2996"/>
        <item x="2665"/>
        <item x="3412"/>
        <item x="3793"/>
        <item x="2550"/>
        <item x="1001"/>
        <item x="2953"/>
        <item x="3964"/>
        <item x="3865"/>
        <item x="2511"/>
        <item x="1183"/>
        <item x="2007"/>
        <item x="433"/>
        <item x="2859"/>
        <item x="2348"/>
        <item x="3547"/>
        <item x="2062"/>
        <item x="3853"/>
        <item x="3339"/>
        <item x="3336"/>
        <item x="194"/>
        <item x="534"/>
        <item x="2405"/>
        <item x="2087"/>
        <item x="30"/>
        <item x="3637"/>
        <item x="555"/>
        <item x="1313"/>
        <item x="43"/>
        <item x="799"/>
        <item x="922"/>
        <item x="4719"/>
        <item x="2086"/>
        <item x="1443"/>
        <item x="1679"/>
        <item x="737"/>
        <item x="4558"/>
        <item x="1261"/>
        <item x="776"/>
        <item x="3555"/>
        <item x="2927"/>
        <item x="3998"/>
        <item x="4818"/>
        <item x="3384"/>
        <item x="4026"/>
        <item x="2165"/>
        <item x="1681"/>
        <item x="760"/>
        <item x="1240"/>
        <item x="110"/>
        <item x="3933"/>
        <item x="4062"/>
        <item x="4050"/>
        <item x="1369"/>
        <item x="3023"/>
        <item x="1305"/>
        <item x="4408"/>
        <item x="204"/>
        <item x="1508"/>
        <item x="580"/>
        <item x="4204"/>
        <item x="4158"/>
        <item x="2708"/>
        <item x="3037"/>
        <item x="2579"/>
        <item x="1761"/>
        <item x="324"/>
        <item x="3896"/>
        <item x="1610"/>
        <item x="3880"/>
        <item x="672"/>
        <item x="3649"/>
        <item x="148"/>
        <item x="4578"/>
        <item x="3787"/>
        <item x="3230"/>
        <item x="3235"/>
        <item x="4553"/>
        <item x="2816"/>
        <item x="576"/>
        <item x="3419"/>
        <item x="3269"/>
        <item x="1586"/>
        <item x="2538"/>
        <item x="3852"/>
        <item x="720"/>
        <item x="2648"/>
        <item x="3370"/>
        <item x="2902"/>
        <item x="4336"/>
        <item x="3350"/>
        <item x="794"/>
        <item x="2926"/>
        <item x="1502"/>
        <item x="530"/>
        <item x="3536"/>
        <item x="2264"/>
        <item x="1234"/>
        <item x="2939"/>
        <item x="165"/>
        <item x="3837"/>
        <item x="767"/>
        <item x="2564"/>
        <item x="2361"/>
        <item x="3737"/>
        <item x="4583"/>
        <item x="3486"/>
        <item x="2459"/>
        <item x="536"/>
        <item x="1213"/>
        <item x="143"/>
        <item x="1098"/>
        <item x="2621"/>
        <item x="2287"/>
        <item x="4660"/>
        <item x="162"/>
        <item x="3620"/>
        <item x="1925"/>
        <item x="1707"/>
        <item x="402"/>
        <item x="4569"/>
        <item x="422"/>
        <item x="425"/>
        <item x="1282"/>
        <item x="2874"/>
        <item x="274"/>
        <item x="4396"/>
        <item x="4304"/>
        <item x="1597"/>
        <item x="886"/>
        <item x="2656"/>
        <item x="674"/>
        <item x="772"/>
        <item x="2844"/>
        <item x="1351"/>
        <item x="4609"/>
        <item x="2982"/>
        <item x="839"/>
        <item x="2242"/>
        <item x="3530"/>
        <item x="188"/>
        <item x="1162"/>
        <item x="385"/>
        <item x="3906"/>
        <item x="3652"/>
        <item x="4005"/>
        <item x="334"/>
        <item x="2585"/>
        <item x="115"/>
        <item x="3353"/>
        <item x="2516"/>
        <item x="2824"/>
        <item x="4397"/>
        <item x="1107"/>
        <item x="1837"/>
        <item x="683"/>
        <item x="4637"/>
        <item x="4742"/>
        <item x="3071"/>
        <item x="3537"/>
        <item x="1092"/>
        <item x="3697"/>
        <item x="2616"/>
        <item x="1694"/>
        <item x="333"/>
        <item x="272"/>
        <item x="291"/>
        <item x="3988"/>
        <item x="3330"/>
        <item x="273"/>
        <item x="2962"/>
        <item x="1535"/>
        <item x="1357"/>
        <item x="4511"/>
        <item x="1859"/>
        <item x="428"/>
        <item x="2766"/>
        <item x="2286"/>
        <item x="1459"/>
        <item x="4579"/>
        <item x="266"/>
        <item x="3172"/>
        <item x="2122"/>
        <item x="2635"/>
        <item x="3889"/>
        <item x="4313"/>
        <item x="2667"/>
        <item x="2008"/>
        <item x="69"/>
        <item x="3435"/>
        <item x="4324"/>
        <item x="1243"/>
        <item x="1106"/>
        <item x="2420"/>
        <item x="1860"/>
        <item x="3991"/>
        <item x="1613"/>
        <item x="1027"/>
        <item x="4344"/>
        <item x="3291"/>
        <item x="4223"/>
        <item x="3768"/>
        <item x="2102"/>
        <item x="3870"/>
        <item x="3869"/>
        <item x="4338"/>
        <item x="2300"/>
        <item x="4576"/>
        <item x="430"/>
        <item x="275"/>
        <item x="3792"/>
        <item x="872"/>
        <item x="4166"/>
        <item x="1211"/>
        <item x="477"/>
        <item x="4355"/>
        <item x="4856"/>
        <item x="1288"/>
        <item x="2679"/>
        <item x="2358"/>
        <item x="3915"/>
        <item x="4356"/>
        <item x="3778"/>
        <item x="2908"/>
        <item x="1752"/>
        <item x="988"/>
        <item x="4389"/>
        <item x="1518"/>
        <item x="3993"/>
        <item x="2862"/>
        <item x="1650"/>
        <item x="603"/>
        <item x="248"/>
        <item x="3009"/>
        <item x="2213"/>
        <item x="3158"/>
        <item x="4042"/>
        <item x="1065"/>
        <item x="2959"/>
        <item x="1190"/>
        <item x="4690"/>
        <item x="45"/>
        <item x="4067"/>
        <item x="955"/>
        <item x="3950"/>
        <item x="3211"/>
        <item x="3912"/>
        <item x="3712"/>
        <item x="4566"/>
        <item x="3920"/>
        <item x="3165"/>
        <item x="2540"/>
        <item x="2311"/>
        <item x="3662"/>
        <item x="2253"/>
        <item x="4292"/>
        <item x="3475"/>
        <item x="3854"/>
        <item x="1405"/>
        <item x="2305"/>
        <item x="1648"/>
        <item x="435"/>
        <item x="3347"/>
        <item x="3515"/>
        <item x="3150"/>
        <item x="2085"/>
        <item x="302"/>
        <item x="1525"/>
        <item x="1171"/>
        <item x="943"/>
        <item x="1438"/>
        <item x="3668"/>
        <item x="4745"/>
        <item x="3571"/>
        <item x="2989"/>
        <item x="3814"/>
        <item x="2120"/>
        <item x="4209"/>
        <item x="2833"/>
        <item x="4858"/>
        <item x="769"/>
        <item x="2251"/>
        <item x="2279"/>
        <item x="4286"/>
        <item x="1962"/>
        <item x="1527"/>
        <item x="1173"/>
        <item x="2596"/>
        <item x="2093"/>
        <item x="838"/>
        <item x="4546"/>
        <item x="2829"/>
        <item x="3207"/>
        <item x="3055"/>
        <item x="4875"/>
        <item x="1347"/>
        <item x="2551"/>
        <item x="492"/>
        <item x="3477"/>
        <item x="3035"/>
        <item x="941"/>
        <item x="3997"/>
        <item x="3524"/>
        <item x="1004"/>
        <item x="3821"/>
        <item x="4647"/>
        <item x="1153"/>
        <item x="2013"/>
        <item x="1064"/>
        <item x="4340"/>
        <item x="3801"/>
        <item x="4309"/>
        <item x="2936"/>
        <item x="1880"/>
        <item x="2275"/>
        <item x="3072"/>
        <item x="1780"/>
        <item x="4103"/>
        <item x="3848"/>
        <item x="2827"/>
        <item x="1802"/>
        <item x="1304"/>
        <item x="2770"/>
        <item x="4489"/>
        <item x="1420"/>
        <item x="2814"/>
        <item x="3168"/>
        <item x="1898"/>
        <item x="2591"/>
        <item x="3928"/>
        <item x="1218"/>
        <item x="1813"/>
        <item x="849"/>
        <item x="3201"/>
        <item x="2529"/>
        <item x="3744"/>
        <item x="66"/>
        <item x="4186"/>
        <item x="2839"/>
        <item x="3048"/>
        <item x="3532"/>
        <item x="1769"/>
        <item x="1662"/>
        <item x="3850"/>
        <item x="4105"/>
        <item x="4711"/>
        <item x="3656"/>
        <item x="1500"/>
        <item x="1444"/>
        <item x="2484"/>
        <item x="2891"/>
        <item x="2984"/>
        <item x="2576"/>
        <item x="3689"/>
        <item x="2752"/>
        <item x="3897"/>
        <item x="840"/>
        <item x="1267"/>
        <item x="4471"/>
        <item x="829"/>
        <item x="4020"/>
        <item x="1235"/>
        <item x="1800"/>
        <item x="765"/>
        <item x="969"/>
        <item x="2272"/>
        <item x="2940"/>
        <item x="3073"/>
        <item x="2545"/>
        <item x="3317"/>
        <item x="1195"/>
        <item x="3443"/>
        <item x="4021"/>
        <item x="2052"/>
        <item x="1099"/>
        <item x="2657"/>
        <item x="509"/>
        <item x="2408"/>
        <item x="1217"/>
        <item x="2322"/>
        <item x="176"/>
        <item x="297"/>
        <item x="4614"/>
        <item x="3708"/>
        <item x="2046"/>
        <item x="4772"/>
        <item x="4269"/>
        <item x="1325"/>
        <item x="600"/>
        <item x="3568"/>
        <item x="4424"/>
        <item x="2778"/>
        <item x="3293"/>
        <item x="2467"/>
        <item x="4509"/>
        <item x="2346"/>
        <item x="3193"/>
        <item x="4851"/>
        <item x="663"/>
        <item x="2622"/>
        <item x="2848"/>
        <item x="3349"/>
        <item x="2421"/>
        <item x="4426"/>
        <item x="2831"/>
        <item x="3000"/>
        <item x="195"/>
        <item x="4123"/>
        <item x="4232"/>
        <item x="2583"/>
        <item x="3001"/>
        <item x="3967"/>
        <item x="3745"/>
        <item x="1905"/>
        <item x="4064"/>
        <item x="19"/>
        <item x="2196"/>
        <item x="4520"/>
        <item x="295"/>
        <item x="537"/>
        <item x="2127"/>
        <item x="2951"/>
        <item x="4668"/>
        <item x="2111"/>
        <item x="2176"/>
        <item x="3138"/>
        <item x="3007"/>
        <item x="1127"/>
        <item x="4443"/>
        <item x="2604"/>
        <item x="4530"/>
        <item x="4850"/>
        <item x="4189"/>
        <item x="469"/>
        <item x="1940"/>
        <item x="3558"/>
        <item x="1100"/>
        <item x="1400"/>
        <item x="1077"/>
        <item x="2746"/>
        <item x="1779"/>
        <item x="3815"/>
        <item x="464"/>
        <item x="2241"/>
        <item x="2329"/>
        <item x="3378"/>
        <item x="3614"/>
        <item x="4584"/>
        <item x="1963"/>
        <item x="2317"/>
        <item x="2304"/>
        <item x="3609"/>
        <item x="498"/>
        <item x="2192"/>
        <item x="881"/>
        <item x="824"/>
        <item x="4434"/>
        <item x="3174"/>
        <item x="1867"/>
        <item x="3901"/>
        <item x="2636"/>
        <item x="2988"/>
        <item x="1708"/>
        <item x="4181"/>
        <item x="2692"/>
        <item x="1916"/>
        <item x="12"/>
        <item x="3502"/>
        <item x="1198"/>
        <item x="1623"/>
        <item x="3457"/>
        <item x="2681"/>
        <item x="1158"/>
        <item x="696"/>
        <item x="44"/>
        <item x="4652"/>
        <item x="2789"/>
        <item x="2121"/>
        <item x="574"/>
        <item x="4643"/>
        <item x="981"/>
        <item x="4149"/>
        <item x="4041"/>
        <item x="1933"/>
        <item x="791"/>
        <item x="1156"/>
        <item x="2441"/>
        <item x="4077"/>
        <item x="3351"/>
        <item x="3331"/>
        <item x="2211"/>
        <item x="819"/>
        <item x="3236"/>
        <item x="2101"/>
        <item x="2366"/>
        <item x="2912"/>
        <item x="1528"/>
        <item x="1801"/>
        <item x="2840"/>
        <item x="411"/>
        <item x="4299"/>
        <item x="51"/>
        <item x="3687"/>
        <item x="2153"/>
        <item x="777"/>
        <item x="3369"/>
        <item x="4740"/>
        <item x="3791"/>
        <item x="4783"/>
        <item x="424"/>
        <item x="139"/>
        <item x="693"/>
        <item x="287"/>
        <item x="3621"/>
        <item x="4556"/>
        <item x="301"/>
        <item x="3749"/>
        <item x="4170"/>
        <item x="3476"/>
        <item x="462"/>
        <item x="2410"/>
        <item x="3541"/>
        <item x="3355"/>
        <item x="4259"/>
        <item x="1765"/>
        <item x="3203"/>
        <item x="1625"/>
        <item x="1119"/>
        <item x="1276"/>
        <item x="517"/>
        <item x="504"/>
        <item x="3846"/>
        <item x="4473"/>
        <item x="308"/>
        <item x="2177"/>
        <item x="1521"/>
        <item x="4098"/>
        <item x="4823"/>
        <item x="126"/>
        <item x="3592"/>
        <item x="77"/>
        <item x="896"/>
        <item x="2745"/>
        <item x="786"/>
        <item x="848"/>
        <item x="258"/>
        <item x="3006"/>
        <item x="3183"/>
        <item x="2179"/>
        <item x="1736"/>
        <item x="3083"/>
        <item x="2605"/>
        <item x="3251"/>
        <item x="1917"/>
        <item x="2758"/>
        <item x="495"/>
        <item x="1167"/>
        <item x="676"/>
        <item x="3899"/>
        <item x="2029"/>
        <item x="2407"/>
        <item x="2391"/>
        <item x="358"/>
        <item x="1824"/>
        <item x="995"/>
        <item x="1851"/>
        <item x="4399"/>
        <item x="2166"/>
        <item x="2003"/>
        <item x="169"/>
        <item x="585"/>
        <item x="2234"/>
        <item x="525"/>
        <item x="2901"/>
        <item x="175"/>
        <item x="4594"/>
        <item x="3958"/>
        <item x="3816"/>
        <item x="4391"/>
        <item x="3855"/>
        <item x="1888"/>
        <item x="348"/>
        <item x="4488"/>
        <item x="793"/>
        <item x="4801"/>
        <item x="314"/>
        <item x="4224"/>
        <item x="1739"/>
        <item x="2060"/>
        <item x="1627"/>
        <item x="434"/>
        <item x="3229"/>
        <item x="3480"/>
        <item x="527"/>
        <item x="3831"/>
        <item x="3503"/>
        <item x="161"/>
        <item x="4775"/>
        <item x="2392"/>
        <item x="4137"/>
        <item x="1700"/>
        <item x="37"/>
        <item x="3611"/>
        <item x="2058"/>
        <item x="1130"/>
        <item x="784"/>
        <item x="3750"/>
        <item x="4258"/>
        <item x="4401"/>
        <item x="1367"/>
        <item x="3375"/>
        <item x="1809"/>
        <item x="2968"/>
        <item x="940"/>
        <item x="678"/>
        <item x="4770"/>
        <item x="4710"/>
        <item x="3711"/>
        <item x="607"/>
        <item x="2473"/>
        <item x="2882"/>
        <item x="3226"/>
        <item x="4739"/>
        <item x="4752"/>
        <item x="2600"/>
        <item x="2991"/>
        <item x="638"/>
        <item x="2198"/>
        <item x="2357"/>
        <item x="1493"/>
        <item x="3753"/>
        <item x="4862"/>
        <item x="1406"/>
        <item x="2254"/>
        <item x="2155"/>
        <item x="1812"/>
        <item x="2987"/>
        <item x="845"/>
        <item x="668"/>
        <item x="3951"/>
        <item x="4139"/>
        <item x="1918"/>
        <item x="2216"/>
        <item x="2838"/>
        <item x="65"/>
        <item x="4330"/>
        <item x="4717"/>
        <item x="1014"/>
        <item x="888"/>
        <item x="2653"/>
        <item x="3833"/>
        <item x="2375"/>
        <item x="4804"/>
        <item x="1484"/>
        <item x="2757"/>
        <item x="558"/>
        <item x="2289"/>
        <item x="1522"/>
        <item x="2116"/>
        <item x="1431"/>
        <item x="2296"/>
        <item x="3510"/>
        <item x="4030"/>
        <item x="2689"/>
        <item x="691"/>
        <item x="3422"/>
        <item x="3994"/>
        <item x="4766"/>
        <item x="709"/>
        <item x="2370"/>
        <item x="909"/>
        <item x="4273"/>
        <item x="439"/>
        <item x="2849"/>
        <item x="178"/>
        <item x="4329"/>
        <item x="2798"/>
        <item x="4207"/>
        <item x="875"/>
        <item x="870"/>
        <item x="4872"/>
        <item x="1703"/>
        <item x="1531"/>
        <item x="31"/>
        <item x="1029"/>
        <item x="259"/>
        <item x="1741"/>
        <item x="1935"/>
        <item x="2290"/>
        <item x="2642"/>
        <item x="1670"/>
        <item x="4362"/>
        <item x="3578"/>
        <item x="1108"/>
        <item x="4423"/>
        <item x="629"/>
        <item x="2487"/>
        <item x="708"/>
        <item x="4866"/>
        <item x="3146"/>
        <item x="4677"/>
        <item x="1345"/>
        <item x="2015"/>
        <item x="4171"/>
        <item x="3714"/>
        <item x="1416"/>
        <item x="4741"/>
        <item x="4774"/>
        <item x="2265"/>
        <item x="3497"/>
        <item x="3022"/>
        <item x="3143"/>
        <item x="695"/>
        <item x="821"/>
        <item x="360"/>
        <item x="4143"/>
        <item x="2522"/>
        <item x="1878"/>
        <item x="1136"/>
        <item x="656"/>
        <item x="3619"/>
        <item x="249"/>
        <item x="3807"/>
        <item x="1216"/>
        <item x="810"/>
        <item x="2492"/>
        <item x="2790"/>
        <item x="3363"/>
        <item x="304"/>
        <item x="1834"/>
        <item x="3722"/>
        <item x="1987"/>
        <item x="2214"/>
        <item x="1005"/>
        <item x="964"/>
        <item x="4699"/>
        <item x="1273"/>
        <item x="1672"/>
        <item x="4335"/>
        <item x="3075"/>
        <item x="4161"/>
        <item x="3016"/>
        <item x="588"/>
        <item x="3597"/>
        <item x="1176"/>
        <item x="2308"/>
        <item x="2128"/>
        <item x="3710"/>
        <item x="3981"/>
        <item x="4387"/>
        <item x="2297"/>
        <item x="2486"/>
        <item x="4552"/>
        <item x="2601"/>
        <item x="3414"/>
        <item x="4047"/>
        <item x="1284"/>
        <item x="2394"/>
        <item x="4028"/>
        <item x="1330"/>
        <item x="94"/>
        <item x="2468"/>
        <item x="3060"/>
        <item x="305"/>
        <item x="4504"/>
        <item x="486"/>
        <item x="3189"/>
        <item x="2181"/>
        <item x="2049"/>
        <item x="4075"/>
        <item x="4836"/>
        <item x="4589"/>
        <item x="843"/>
        <item x="3709"/>
        <item x="1846"/>
        <item x="2836"/>
        <item x="2946"/>
        <item x="4104"/>
        <item x="127"/>
        <item x="1093"/>
        <item x="1544"/>
        <item x="1667"/>
        <item x="1758"/>
        <item x="2365"/>
        <item x="3050"/>
        <item x="1489"/>
        <item x="1733"/>
        <item x="2189"/>
        <item x="219"/>
        <item x="4146"/>
        <item x="3759"/>
        <item x="3365"/>
        <item x="2458"/>
        <item x="2185"/>
        <item x="496"/>
        <item x="1778"/>
        <item x="42"/>
        <item x="814"/>
        <item x="4035"/>
        <item x="4217"/>
        <item x="231"/>
        <item x="2520"/>
        <item x="3098"/>
        <item x="1292"/>
        <item x="3984"/>
        <item x="1006"/>
        <item x="293"/>
        <item x="303"/>
        <item x="4276"/>
        <item x="4162"/>
        <item x="4806"/>
        <item x="208"/>
        <item x="808"/>
        <item x="4654"/>
        <item x="2729"/>
        <item x="993"/>
        <item x="3517"/>
        <item x="92"/>
        <item x="1467"/>
        <item x="2643"/>
        <item x="2457"/>
        <item x="4046"/>
        <item x="3262"/>
        <item x="3775"/>
        <item x="4318"/>
        <item x="2469"/>
        <item x="2938"/>
        <item x="4796"/>
        <item x="874"/>
        <item x="4754"/>
        <item x="2136"/>
        <item x="4205"/>
        <item x="3557"/>
        <item x="1126"/>
        <item x="177"/>
        <item x="2958"/>
        <item x="1789"/>
        <item x="1023"/>
        <item x="4422"/>
        <item x="1070"/>
        <item x="773"/>
        <item x="3297"/>
        <item x="1393"/>
        <item x="1637"/>
        <item x="3629"/>
        <item x="1150"/>
        <item x="2137"/>
        <item x="96"/>
        <item x="4868"/>
        <item x="1870"/>
        <item x="113"/>
        <item x="3739"/>
        <item x="2344"/>
        <item x="2278"/>
        <item x="2582"/>
        <item x="1397"/>
        <item x="2871"/>
        <item x="1115"/>
        <item x="3450"/>
        <item x="2856"/>
        <item x="2518"/>
        <item x="3119"/>
        <item x="4464"/>
        <item x="742"/>
        <item x="2899"/>
        <item x="3094"/>
        <item x="4526"/>
        <item x="1226"/>
        <item x="961"/>
        <item x="4543"/>
        <item x="640"/>
        <item x="4844"/>
        <item x="2990"/>
        <item x="2608"/>
        <item x="931"/>
        <item x="4327"/>
        <item x="1355"/>
        <item x="4409"/>
        <item x="3784"/>
        <item x="4124"/>
        <item x="2558"/>
        <item x="4157"/>
        <item x="2584"/>
        <item x="1301"/>
        <item x="516"/>
        <item x="4635"/>
        <item x="3819"/>
        <item x="2002"/>
        <item x="3233"/>
        <item x="3231"/>
        <item x="2383"/>
        <item x="4574"/>
        <item x="4004"/>
        <item x="2818"/>
        <item x="4676"/>
        <item x="740"/>
        <item x="3887"/>
        <item x="3047"/>
        <item x="1532"/>
        <item x="2239"/>
        <item x="2180"/>
        <item x="4090"/>
        <item x="736"/>
        <item x="2157"/>
        <item x="1102"/>
        <item x="309"/>
        <item x="1181"/>
        <item x="1923"/>
        <item x="114"/>
        <item x="3717"/>
        <item x="2694"/>
        <item x="4429"/>
        <item x="2921"/>
        <item x="4182"/>
        <item x="4345"/>
        <item x="1592"/>
        <item x="4547"/>
        <item x="4361"/>
        <item x="2937"/>
        <item x="265"/>
        <item x="3190"/>
        <item x="2895"/>
        <item x="4837"/>
        <item x="1805"/>
        <item x="1737"/>
        <item x="3430"/>
        <item x="1633"/>
        <item x="296"/>
        <item x="1499"/>
        <item x="1868"/>
        <item x="4317"/>
        <item x="4138"/>
        <item x="1967"/>
        <item x="2932"/>
        <item x="3868"/>
        <item x="2754"/>
        <item x="1315"/>
        <item x="959"/>
        <item x="1155"/>
        <item x="4211"/>
        <item x="3371"/>
        <item x="2252"/>
        <item x="1624"/>
        <item x="2894"/>
        <item x="4323"/>
        <item x="4869"/>
        <item x="2980"/>
        <item x="1709"/>
        <item x="151"/>
        <item x="3766"/>
        <item x="984"/>
        <item x="4169"/>
        <item x="1478"/>
        <item x="1335"/>
        <item x="1783"/>
        <item x="2640"/>
        <item x="4491"/>
        <item x="2713"/>
        <item x="1682"/>
        <item x="4828"/>
        <item x="3444"/>
        <item x="26"/>
        <item x="4153"/>
        <item x="1101"/>
        <item x="60"/>
        <item x="1472"/>
        <item x="1957"/>
        <item x="2589"/>
        <item x="2664"/>
        <item x="4129"/>
        <item x="1392"/>
        <item x="1163"/>
        <item x="3553"/>
        <item x="4532"/>
        <item x="3632"/>
        <item x="2966"/>
        <item x="3938"/>
        <item x="1666"/>
        <item x="1863"/>
        <item x="2690"/>
        <item x="2535"/>
        <item x="87"/>
        <item x="570"/>
        <item x="1461"/>
        <item x="659"/>
        <item x="190"/>
        <item x="260"/>
        <item x="85"/>
        <item x="3058"/>
        <item x="3677"/>
        <item x="1387"/>
        <item x="962"/>
        <item x="2834"/>
        <item x="3030"/>
        <item x="4079"/>
        <item x="3684"/>
        <item x="789"/>
        <item x="599"/>
        <item x="4270"/>
        <item x="1832"/>
        <item x="2870"/>
        <item x="3911"/>
        <item x="3292"/>
        <item x="1873"/>
        <item x="1687"/>
        <item x="3079"/>
        <item x="4421"/>
        <item x="2867"/>
        <item x="1524"/>
        <item x="4755"/>
        <item x="3732"/>
        <item x="684"/>
        <item x="1726"/>
        <item x="3800"/>
        <item x="1395"/>
        <item x="1374"/>
        <item x="3559"/>
        <item x="4538"/>
        <item x="809"/>
        <item x="3990"/>
        <item x="1399"/>
        <item x="4792"/>
        <item x="2310"/>
        <item x="3844"/>
        <item x="3864"/>
        <item x="798"/>
        <item x="2389"/>
        <item x="2651"/>
        <item x="623"/>
        <item x="3983"/>
        <item x="3082"/>
        <item x="2855"/>
        <item x="4092"/>
        <item x="1382"/>
        <item x="903"/>
        <item x="3228"/>
        <item x="3406"/>
        <item x="3428"/>
        <item x="1142"/>
        <item x="206"/>
        <item x="3084"/>
        <item x="3726"/>
        <item x="4687"/>
        <item x="1635"/>
        <item x="306"/>
        <item x="4339"/>
        <item x="2539"/>
        <item x="3038"/>
        <item x="1117"/>
        <item x="2089"/>
        <item x="3785"/>
        <item x="4393"/>
        <item x="2112"/>
        <item x="609"/>
        <item x="852"/>
        <item x="2448"/>
        <item x="3411"/>
        <item x="2215"/>
        <item x="2055"/>
        <item x="3121"/>
        <item x="2929"/>
        <item x="2590"/>
        <item x="1324"/>
        <item x="332"/>
        <item x="2872"/>
        <item x="906"/>
        <item x="624"/>
        <item x="4241"/>
        <item x="1583"/>
        <item x="2323"/>
        <item x="3839"/>
        <item x="561"/>
        <item x="1471"/>
        <item x="937"/>
        <item x="1446"/>
        <item x="3922"/>
        <item x="3658"/>
        <item x="4713"/>
        <item x="1608"/>
        <item x="3424"/>
        <item x="979"/>
        <item x="2168"/>
        <item x="106"/>
        <item x="2942"/>
        <item x="2130"/>
        <item x="3980"/>
        <item x="367"/>
        <item x="1791"/>
        <item x="4773"/>
        <item x="4099"/>
        <item x="4306"/>
        <item x="2595"/>
        <item x="4191"/>
        <item x="4341"/>
        <item x="1113"/>
        <item x="2780"/>
        <item x="856"/>
        <item x="4063"/>
        <item x="4320"/>
        <item x="2502"/>
        <item x="1509"/>
        <item x="11"/>
        <item x="4185"/>
        <item x="3862"/>
        <item x="3438"/>
        <item x="2835"/>
        <item x="4395"/>
        <item x="3417"/>
        <item x="647"/>
        <item x="4590"/>
        <item x="2351"/>
        <item x="46"/>
        <item x="1744"/>
        <item x="3490"/>
        <item x="1138"/>
        <item x="263"/>
        <item x="4437"/>
        <item x="2042"/>
        <item x="3585"/>
        <item x="33"/>
        <item x="1716"/>
        <item x="1398"/>
        <item x="4117"/>
        <item x="586"/>
        <item x="3944"/>
        <item x="2426"/>
        <item x="3946"/>
        <item x="3790"/>
        <item x="339"/>
        <item x="4555"/>
        <item x="4633"/>
        <item x="4665"/>
        <item x="1914"/>
        <item x="3577"/>
        <item x="3295"/>
        <item x="3"/>
        <item x="413"/>
        <item x="108"/>
        <item x="512"/>
        <item x="383"/>
        <item x="4751"/>
        <item x="2106"/>
        <item x="539"/>
        <item x="3045"/>
        <item x="3216"/>
        <item x="3661"/>
        <item x="3953"/>
        <item x="1316"/>
        <item x="2109"/>
        <item x="2919"/>
        <item x="1956"/>
        <item x="2171"/>
        <item x="1207"/>
        <item x="4133"/>
        <item x="3014"/>
        <item x="355"/>
        <item x="3978"/>
        <item x="1278"/>
        <item x="3118"/>
        <item x="3413"/>
        <item x="1200"/>
        <item x="3461"/>
        <item x="3314"/>
        <item x="2312"/>
        <item x="4671"/>
        <item x="689"/>
        <item x="926"/>
        <item x="2948"/>
        <item x="835"/>
        <item x="2767"/>
        <item x="4474"/>
        <item x="933"/>
        <item x="292"/>
        <item x="120"/>
        <item x="13"/>
        <item x="4845"/>
        <item x="3222"/>
        <item x="1872"/>
        <item x="1339"/>
        <item x="4536"/>
        <item x="4787"/>
        <item x="160"/>
        <item x="2639"/>
        <item x="632"/>
        <item x="4663"/>
        <item x="1657"/>
        <item x="1767"/>
        <item x="369"/>
        <item x="1511"/>
        <item x="3966"/>
        <item x="168"/>
        <item x="3525"/>
        <item x="2892"/>
        <item x="2714"/>
        <item x="2456"/>
        <item x="2147"/>
        <item x="4044"/>
        <item x="4348"/>
        <item x="833"/>
        <item x="3354"/>
        <item x="2138"/>
        <item x="1570"/>
        <item x="732"/>
        <item x="1722"/>
        <item x="2700"/>
        <item x="3566"/>
        <item x="4581"/>
        <item x="3264"/>
        <item x="854"/>
        <item x="894"/>
        <item x="3765"/>
        <item x="2884"/>
        <item x="3856"/>
        <item x="2703"/>
        <item x="2050"/>
        <item x="2734"/>
        <item x="1419"/>
        <item x="2979"/>
        <item x="1883"/>
        <item x="4669"/>
        <item x="590"/>
        <item x="1441"/>
        <item x="1510"/>
        <item x="2233"/>
        <item x="1689"/>
        <item x="3719"/>
        <item x="4364"/>
        <item x="4089"/>
        <item x="841"/>
        <item x="2431"/>
        <item x="3340"/>
        <item x="3104"/>
        <item x="382"/>
        <item x="4251"/>
        <item x="2624"/>
        <item x="4625"/>
        <item x="4295"/>
        <item x="1490"/>
        <item x="1285"/>
        <item x="4486"/>
        <item x="2331"/>
        <item x="1991"/>
        <item x="93"/>
        <item x="666"/>
        <item x="1776"/>
        <item x="3917"/>
        <item x="4394"/>
        <item x="2738"/>
        <item x="1968"/>
        <item x="2788"/>
        <item x="3212"/>
        <item x="3109"/>
        <item x="735"/>
        <item x="3886"/>
        <item x="340"/>
        <item x="1407"/>
        <item x="1646"/>
        <item x="1684"/>
        <item x="688"/>
        <item x="2769"/>
        <item x="4731"/>
        <item x="3227"/>
        <item x="915"/>
        <item x="4809"/>
        <item x="4373"/>
        <item x="2935"/>
        <item x="4672"/>
        <item x="2178"/>
        <item x="2678"/>
        <item x="2847"/>
        <item x="2376"/>
        <item x="2228"/>
        <item x="4805"/>
        <item x="277"/>
        <item x="1764"/>
        <item x="2040"/>
        <item x="2983"/>
        <item x="3307"/>
        <item x="925"/>
        <item x="3704"/>
        <item x="3663"/>
        <item x="1112"/>
        <item x="725"/>
        <item x="182"/>
        <item x="3181"/>
        <item x="1448"/>
        <item x="4615"/>
        <item x="387"/>
        <item x="3197"/>
        <item x="1096"/>
        <item x="3634"/>
        <item x="2641"/>
        <item x="4832"/>
        <item x="1680"/>
        <item x="4245"/>
        <item x="415"/>
        <item x="1746"/>
        <item x="3441"/>
        <item x="3128"/>
        <item x="2593"/>
        <item x="1603"/>
        <item x="3054"/>
        <item x="20"/>
        <item x="2384"/>
        <item x="612"/>
        <item x="905"/>
        <item x="4122"/>
        <item x="1808"/>
        <item x="1447"/>
        <item x="2904"/>
        <item x="753"/>
        <item x="1148"/>
        <item x="1454"/>
        <item x="4604"/>
        <item x="4365"/>
        <item x="1819"/>
        <item x="4762"/>
        <item x="2298"/>
        <item x="4078"/>
        <item x="551"/>
        <item x="3224"/>
        <item x="4557"/>
        <item x="4469"/>
        <item x="122"/>
        <item x="1931"/>
        <item x="738"/>
        <item x="4607"/>
        <item x="3065"/>
        <item x="1417"/>
        <item x="867"/>
        <item x="271"/>
        <item x="971"/>
        <item x="785"/>
        <item x="4177"/>
        <item x="2931"/>
        <item x="633"/>
        <item x="3280"/>
        <item x="977"/>
        <item x="3123"/>
        <item x="2143"/>
        <item x="14"/>
        <item x="3252"/>
        <item x="3874"/>
        <item x="3576"/>
        <item x="3982"/>
        <item x="1724"/>
        <item x="1598"/>
        <item x="2630"/>
        <item x="4417"/>
        <item x="2009"/>
        <item x="4592"/>
        <item x="289"/>
        <item x="3818"/>
        <item x="3641"/>
        <item x="2977"/>
        <item x="380"/>
        <item x="3813"/>
        <item x="3479"/>
        <item x="3789"/>
        <item x="1303"/>
        <item x="2404"/>
        <item x="107"/>
        <item x="4346"/>
        <item x="4240"/>
        <item x="2515"/>
        <item x="1577"/>
        <item x="4815"/>
        <item x="3701"/>
        <item x="4525"/>
        <item x="4116"/>
        <item x="1436"/>
        <item x="3826"/>
        <item x="990"/>
        <item x="278"/>
        <item x="4024"/>
        <item x="3698"/>
        <item x="3179"/>
        <item x="4641"/>
        <item x="1551"/>
        <item x="1097"/>
        <item x="3322"/>
        <item x="288"/>
        <item x="1866"/>
        <item x="3456"/>
        <item x="3841"/>
        <item x="485"/>
        <item x="1140"/>
        <item x="3255"/>
        <item x="1814"/>
        <item x="1599"/>
        <item x="2021"/>
        <item x="2066"/>
        <item x="4076"/>
        <item x="2627"/>
        <item x="4008"/>
        <item x="4622"/>
        <item x="2400"/>
        <item x="1328"/>
        <item x="4370"/>
        <item x="1536"/>
        <item x="3590"/>
        <item x="2274"/>
        <item x="294"/>
        <item x="1244"/>
        <item x="1992"/>
        <item x="2235"/>
        <item x="2920"/>
        <item x="4312"/>
        <item x="3923"/>
        <item x="3185"/>
        <item x="4010"/>
        <item x="1907"/>
        <item x="2349"/>
        <item x="1908"/>
        <item x="630"/>
        <item x="2572"/>
        <item x="2280"/>
        <item x="2386"/>
        <item x="2070"/>
        <item x="4019"/>
        <item x="1507"/>
        <item x="4602"/>
        <item x="2711"/>
        <item x="2514"/>
        <item x="372"/>
        <item x="4322"/>
        <item x="1319"/>
        <item x="2995"/>
        <item x="3484"/>
        <item x="2172"/>
        <item x="3654"/>
        <item x="4452"/>
        <item x="3052"/>
        <item x="4381"/>
        <item x="3623"/>
        <item x="3678"/>
        <item x="4791"/>
        <item x="2006"/>
        <item x="3613"/>
        <item x="533"/>
        <item x="2249"/>
        <item x="980"/>
        <item x="3664"/>
        <item x="1208"/>
        <item x="351"/>
        <item x="1123"/>
        <item x="3909"/>
        <item x="2053"/>
        <item x="23"/>
        <item x="3426"/>
        <item x="4131"/>
        <item x="3645"/>
        <item x="1378"/>
        <item x="948"/>
        <item x="685"/>
        <item x="1258"/>
        <item x="3288"/>
        <item x="2586"/>
        <item x="4597"/>
        <item x="2032"/>
        <item x="2796"/>
        <item x="770"/>
        <item x="592"/>
        <item x="2025"/>
        <item x="4048"/>
        <item x="1697"/>
        <item x="3550"/>
        <item x="1884"/>
        <item x="344"/>
        <item x="2928"/>
        <item x="3303"/>
        <item x="2677"/>
        <item x="1146"/>
        <item x="1069"/>
        <item x="1607"/>
        <item x="4621"/>
        <item x="2587"/>
        <item x="1144"/>
        <item x="1425"/>
        <item x="4585"/>
        <item x="520"/>
        <item x="3772"/>
        <item x="2258"/>
        <item x="4756"/>
        <item x="4236"/>
        <item x="1946"/>
        <item x="3337"/>
        <item x="2728"/>
        <item x="335"/>
        <item x="1204"/>
        <item x="4680"/>
        <item x="4174"/>
        <item x="938"/>
        <item x="73"/>
        <item x="4316"/>
        <item x="1427"/>
        <item x="541"/>
        <item x="4831"/>
        <item x="154"/>
        <item x="3992"/>
        <item x="502"/>
        <item x="1248"/>
        <item x="3940"/>
        <item x="4708"/>
        <item x="2126"/>
        <item x="4472"/>
        <item x="2742"/>
        <item x="1053"/>
        <item x="1982"/>
        <item x="3817"/>
        <item x="3809"/>
        <item x="1755"/>
        <item x="1934"/>
        <item x="1698"/>
        <item x="4512"/>
        <item x="4807"/>
        <item x="4055"/>
        <item x="4854"/>
        <item x="506"/>
        <item x="1615"/>
        <item x="4790"/>
        <item x="393"/>
        <item x="3949"/>
        <item x="707"/>
        <item x="2081"/>
        <item x="3968"/>
        <item x="1745"/>
        <item x="3467"/>
        <item x="1784"/>
        <item x="1017"/>
        <item x="1643"/>
        <item x="3470"/>
        <item x="2335"/>
        <item x="675"/>
        <item x="4873"/>
        <item x="3952"/>
        <item x="388"/>
        <item x="658"/>
        <item x="3514"/>
        <item x="3495"/>
        <item x="4691"/>
        <item x="1596"/>
        <item x="3849"/>
        <item x="807"/>
        <item x="2206"/>
        <item x="2943"/>
        <item x="1818"/>
        <item x="2974"/>
        <item x="4072"/>
        <item x="4059"/>
        <item x="2666"/>
        <item x="2725"/>
        <item x="928"/>
        <item x="3493"/>
        <item x="3431"/>
        <item x="2152"/>
        <item x="2504"/>
        <item x="4160"/>
        <item x="1317"/>
        <item x="968"/>
        <item x="2416"/>
        <item x="4782"/>
        <item x="4802"/>
        <item x="2705"/>
        <item x="2470"/>
        <item x="4140"/>
        <item x="3040"/>
        <item x="790"/>
        <item x="3612"/>
        <item x="1971"/>
        <item x="842"/>
        <item x="4454"/>
        <item x="1897"/>
        <item x="1421"/>
        <item x="2430"/>
        <item x="1057"/>
        <item x="2546"/>
        <item x="2141"/>
        <item x="4379"/>
        <item x="2269"/>
        <item x="4325"/>
        <item x="239"/>
        <item x="202"/>
        <item x="427"/>
        <item x="2603"/>
        <item x="253"/>
        <item x="1702"/>
        <item x="1293"/>
        <item x="1157"/>
        <item x="2668"/>
        <item x="3067"/>
        <item x="1277"/>
        <item x="1604"/>
        <item x="2527"/>
        <item x="104"/>
        <item x="1060"/>
        <item x="3633"/>
        <item x="3356"/>
        <item x="643"/>
        <item x="3646"/>
        <item x="4049"/>
        <item x="2432"/>
        <item x="290"/>
        <item x="1614"/>
        <item x="564"/>
        <item x="3329"/>
        <item x="4497"/>
        <item x="3240"/>
        <item x="330"/>
        <item x="2380"/>
        <item x="1231"/>
        <item x="1021"/>
        <item x="4097"/>
        <item x="1159"/>
        <item x="3338"/>
        <item x="3961"/>
        <item x="4357"/>
        <item x="2823"/>
        <item x="2131"/>
        <item x="694"/>
        <item x="989"/>
        <item x="149"/>
        <item x="1973"/>
        <item x="4261"/>
        <item x="2075"/>
        <item x="2061"/>
        <item x="1763"/>
        <item x="4354"/>
        <item x="4228"/>
        <item x="2415"/>
        <item x="3727"/>
        <item x="4411"/>
        <item x="2292"/>
        <item x="3806"/>
        <item x="1149"/>
        <item x="3575"/>
        <item x="805"/>
        <item x="1002"/>
        <item x="4294"/>
        <item x="2125"/>
        <item x="3256"/>
        <item x="21"/>
        <item x="4501"/>
        <item x="3250"/>
        <item x="578"/>
        <item x="3500"/>
        <item x="972"/>
        <item x="2513"/>
        <item x="3002"/>
        <item x="3442"/>
        <item x="4507"/>
        <item x="4242"/>
        <item x="4002"/>
        <item x="887"/>
        <item x="2723"/>
        <item x="4781"/>
        <item x="1458"/>
        <item x="321"/>
        <item x="4506"/>
        <item x="3218"/>
        <item x="763"/>
        <item x="4213"/>
        <item x="4816"/>
        <item x="1847"/>
        <item x="1587"/>
        <item x="2261"/>
        <item x="1855"/>
        <item x="2773"/>
        <item x="2886"/>
        <item x="914"/>
        <item x="754"/>
        <item x="3304"/>
        <item x="1904"/>
        <item x="1655"/>
        <item x="2150"/>
        <item x="3693"/>
        <item x="2295"/>
        <item x="566"/>
        <item x="942"/>
        <item x="4549"/>
        <item x="52"/>
        <item x="2318"/>
        <item x="98"/>
        <item x="3376"/>
        <item x="3672"/>
        <item x="3436"/>
        <item x="1631"/>
        <item x="646"/>
        <item x="1124"/>
        <item x="1634"/>
        <item x="538"/>
        <item x="4085"/>
        <item x="4533"/>
        <item x="1219"/>
        <item x="3588"/>
        <item x="4846"/>
        <item x="2534"/>
        <item x="1984"/>
        <item x="4642"/>
        <item x="1453"/>
        <item x="2985"/>
        <item x="1297"/>
        <item x="3194"/>
        <item x="3498"/>
        <item x="4000"/>
        <item x="1994"/>
        <item x="3522"/>
        <item x="1874"/>
        <item x="3903"/>
        <item x="4088"/>
        <item x="899"/>
        <item x="3161"/>
        <item x="1430"/>
        <item x="3916"/>
        <item x="2307"/>
        <item x="4703"/>
        <item x="4368"/>
        <item x="118"/>
        <item x="2385"/>
        <item x="2812"/>
        <item x="2330"/>
        <item x="3725"/>
        <item x="3103"/>
        <item x="3804"/>
        <item x="4296"/>
        <item x="1618"/>
        <item x="1197"/>
        <item x="1440"/>
        <item x="97"/>
        <item x="766"/>
        <item x="1474"/>
        <item x="191"/>
        <item x="2807"/>
        <item x="4226"/>
        <item x="35"/>
        <item x="2212"/>
        <item x="3764"/>
        <item x="4197"/>
        <item x="1487"/>
        <item x="3593"/>
        <item x="1513"/>
        <item x="3177"/>
        <item x="4237"/>
        <item x="1983"/>
        <item x="1584"/>
        <item x="697"/>
        <item x="919"/>
        <item x="2024"/>
        <item x="3473"/>
        <item x="2355"/>
        <item x="4375"/>
        <item x="4784"/>
        <item x="3776"/>
        <item x="1688"/>
        <item x="2981"/>
        <item x="4110"/>
        <item x="3499"/>
        <item x="4570"/>
        <item x="3015"/>
        <item x="4655"/>
        <item x="698"/>
        <item x="3042"/>
        <item x="1806"/>
        <item x="1701"/>
        <item x="210"/>
        <item x="4573"/>
        <item x="207"/>
        <item x="2906"/>
        <item x="2707"/>
        <item x="1210"/>
        <item x="1636"/>
        <item x="2395"/>
        <item x="4301"/>
        <item x="325"/>
        <item x="2146"/>
        <item x="1693"/>
        <item x="17"/>
        <item x="4045"/>
        <item x="2027"/>
        <item x="1015"/>
        <item x="965"/>
        <item x="4840"/>
        <item x="1696"/>
        <item x="1942"/>
        <item x="4527"/>
        <item x="4260"/>
        <item x="3755"/>
        <item x="4412"/>
        <item x="246"/>
        <item x="3021"/>
        <item x="991"/>
        <item x="4513"/>
        <item x="1582"/>
        <item x="3132"/>
        <item x="4727"/>
        <item x="452"/>
        <item x="1671"/>
        <item x="4377"/>
        <item x="4478"/>
        <item x="2012"/>
        <item x="3206"/>
        <item x="3615"/>
        <item x="4627"/>
        <item x="3929"/>
        <item x="788"/>
        <item x="3733"/>
        <item x="4788"/>
        <item x="3024"/>
        <item x="150"/>
        <item x="1793"/>
        <item x="2900"/>
        <item x="4250"/>
        <item x="3005"/>
        <item x="2226"/>
        <item x="4601"/>
        <item x="4427"/>
        <item x="1566"/>
        <item x="4638"/>
        <item x="2563"/>
        <item x="518"/>
        <item x="3828"/>
        <item x="4753"/>
        <item x="1063"/>
        <item x="3803"/>
        <item x="2845"/>
        <item x="2978"/>
        <item x="368"/>
        <item x="229"/>
        <item x="1711"/>
        <item x="3232"/>
        <item x="2569"/>
        <item x="730"/>
        <item x="1759"/>
        <item x="1380"/>
        <item x="1829"/>
        <item x="2205"/>
        <item x="3247"/>
        <item x="1044"/>
        <item x="3286"/>
        <item x="543"/>
        <item x="2843"/>
        <item x="2808"/>
        <item x="606"/>
        <item x="2521"/>
        <item x="2440"/>
        <item x="1196"/>
        <item x="792"/>
        <item x="2614"/>
        <item x="4870"/>
        <item x="3180"/>
        <item x="4738"/>
        <item x="137"/>
        <item x="4704"/>
        <item x="76"/>
        <item x="4843"/>
        <item x="3705"/>
        <item x="1843"/>
        <item x="1094"/>
        <item x="1948"/>
        <item x="203"/>
        <item x="1796"/>
        <item x="2117"/>
        <item x="3600"/>
        <item x="62"/>
        <item x="1028"/>
        <item x="4311"/>
        <item x="3095"/>
        <item x="4485"/>
        <item x="4649"/>
        <item x="3519"/>
        <item x="347"/>
        <item x="3535"/>
        <item x="1000"/>
        <item x="4695"/>
        <item x="2048"/>
        <item x="986"/>
        <item x="3117"/>
        <item x="2811"/>
        <item x="1359"/>
        <item x="3599"/>
        <item x="2438"/>
        <item x="4132"/>
        <item x="4291"/>
        <item x="480"/>
        <item x="2802"/>
        <item x="4838"/>
        <item x="985"/>
        <item x="440"/>
        <item x="3625"/>
        <item x="9"/>
        <item x="4448"/>
        <item x="4662"/>
        <item x="201"/>
        <item x="1529"/>
        <item x="3099"/>
        <item x="507"/>
        <item x="3890"/>
        <item x="3616"/>
        <item x="4369"/>
        <item x="267"/>
        <item x="4682"/>
        <item x="3531"/>
        <item x="3069"/>
        <item x="589"/>
        <item x="4624"/>
        <item x="4017"/>
        <item x="1376"/>
        <item x="866"/>
        <item x="4243"/>
        <item x="1177"/>
        <item x="2917"/>
        <item x="1271"/>
        <item x="4432"/>
        <item x="4416"/>
        <item x="3039"/>
        <item x="2565"/>
        <item x="328"/>
        <item x="3605"/>
        <item x="4722"/>
        <item x="4810"/>
        <item x="4737"/>
        <item x="4359"/>
        <item x="284"/>
        <item x="1668"/>
        <item x="2474"/>
        <item x="552"/>
        <item x="1323"/>
        <item x="1104"/>
        <item x="1756"/>
        <item x="4278"/>
        <item x="1488"/>
        <item x="4179"/>
        <item x="4252"/>
        <item x="4084"/>
        <item x="4442"/>
        <item x="1089"/>
        <item x="4839"/>
        <item x="616"/>
        <item x="3316"/>
        <item x="1889"/>
        <item x="4290"/>
        <item x="1121"/>
        <item x="4588"/>
        <item x="2782"/>
        <item x="827"/>
        <item x="1665"/>
        <item x="2949"/>
        <item x="2423"/>
        <item x="1298"/>
        <item x="3391"/>
        <item x="3198"/>
        <item x="2285"/>
        <item x="1497"/>
        <item x="3408"/>
        <item x="3565"/>
        <item x="1660"/>
        <item x="2200"/>
        <item x="3904"/>
        <item x="4564"/>
        <item x="3290"/>
        <item x="4349"/>
        <item x="3529"/>
        <item x="3348"/>
        <item x="103"/>
        <item x="4487"/>
        <item x="4013"/>
        <item x="549"/>
        <item x="3110"/>
        <item x="4289"/>
        <item x="4455"/>
        <item x="4492"/>
        <item x="3883"/>
        <item x="2194"/>
        <item x="2606"/>
        <item x="3941"/>
        <item x="2373"/>
        <item x="3031"/>
        <item x="3556"/>
        <item x="2646"/>
        <item x="4518"/>
        <item x="2588"/>
        <item x="3265"/>
        <item x="2762"/>
        <item x="1896"/>
        <item x="1147"/>
        <item x="57"/>
        <item x="1462"/>
        <item x="625"/>
        <item x="323"/>
        <item x="488"/>
        <item x="4136"/>
        <item x="1341"/>
        <item x="2973"/>
        <item x="2525"/>
        <item x="3011"/>
        <item x="1396"/>
        <item x="3534"/>
        <item x="3076"/>
        <item x="4629"/>
        <item x="200"/>
        <item x="2916"/>
        <item x="1993"/>
        <item x="2293"/>
        <item x="2270"/>
        <item x="1514"/>
        <item x="4147"/>
        <item x="3494"/>
        <item x="3838"/>
        <item x="3455"/>
        <item x="58"/>
        <item x="745"/>
        <item x="3683"/>
        <item x="797"/>
        <item x="3485"/>
        <item x="531"/>
        <item x="2972"/>
        <item x="1428"/>
        <item x="1186"/>
        <item x="16"/>
        <item x="3223"/>
        <item x="2038"/>
        <item x="4043"/>
        <item x="2934"/>
        <item x="4686"/>
        <item x="2599"/>
        <item x="513"/>
        <item x="4114"/>
        <item x="3144"/>
        <item x="591"/>
        <item x="1452"/>
        <item x="482"/>
        <item x="341"/>
        <item x="1463"/>
        <item x="686"/>
        <item x="1134"/>
        <item x="3702"/>
        <item x="282"/>
        <item x="247"/>
        <item x="2860"/>
        <item x="4692"/>
        <item x="68"/>
        <item x="2268"/>
        <item x="4562"/>
        <item x="3721"/>
        <item x="4112"/>
        <item x="3655"/>
        <item x="2791"/>
        <item x="2950"/>
        <item x="71"/>
        <item x="3243"/>
        <item x="4201"/>
        <item x="3699"/>
        <item x="2559"/>
        <item x="3496"/>
        <item x="4300"/>
        <item x="2704"/>
        <item x="4450"/>
        <item x="1321"/>
        <item x="3402"/>
        <item x="692"/>
        <item x="4563"/>
        <item x="4656"/>
        <item x="2857"/>
        <item x="802"/>
        <item x="1062"/>
        <item x="4826"/>
        <item x="1936"/>
        <item x="2506"/>
        <item x="559"/>
        <item x="4542"/>
        <item x="2866"/>
        <item x="2702"/>
        <item x="4053"/>
        <item x="1295"/>
        <item x="2004"/>
        <item x="3209"/>
        <item x="4864"/>
        <item x="1332"/>
        <item x="4661"/>
        <item x="3757"/>
        <item x="363"/>
        <item x="2202"/>
        <item x="2532"/>
        <item x="4730"/>
        <item x="3549"/>
        <item x="1742"/>
        <item x="2669"/>
        <item x="3451"/>
        <item x="1976"/>
        <item x="4144"/>
        <item x="4441"/>
        <item x="4793"/>
        <item x="3423"/>
        <item x="3898"/>
        <item x="1568"/>
        <item x="1922"/>
        <item x="3043"/>
        <item x="343"/>
        <item x="432"/>
        <item x="29"/>
        <item x="636"/>
        <item x="3643"/>
        <item x="2890"/>
        <item x="1349"/>
        <item x="3466"/>
        <item x="1363"/>
        <item x="4529"/>
        <item x="3675"/>
        <item x="4481"/>
        <item x="1356"/>
        <item x="2396"/>
        <item x="41"/>
        <item x="3254"/>
        <item x="2283"/>
        <item x="3448"/>
        <item x="1188"/>
        <item x="4577"/>
        <item x="4066"/>
        <item x="2755"/>
        <item x="4769"/>
        <item x="768"/>
        <item x="4630"/>
        <item x="1025"/>
        <item x="1281"/>
        <item x="2043"/>
        <item x="680"/>
        <item x="2480"/>
        <item x="1192"/>
        <item x="2123"/>
        <item x="3064"/>
        <item x="1151"/>
        <item x="4734"/>
        <item x="2841"/>
        <item x="4406"/>
        <item x="3382"/>
        <item x="1254"/>
        <item x="3626"/>
        <item x="2763"/>
        <item x="4023"/>
        <item x="3310"/>
        <item x="3352"/>
        <item x="5"/>
        <item x="4310"/>
        <item x="2865"/>
        <item x="1871"/>
        <item x="1308"/>
        <item x="778"/>
        <item x="3665"/>
        <item x="4082"/>
        <item x="3770"/>
        <item x="3285"/>
        <item x="3170"/>
        <item x="617"/>
        <item x="3187"/>
        <item x="390"/>
        <item x="3777"/>
        <item x="4262"/>
        <item x="1423"/>
        <item x="3489"/>
        <item x="1287"/>
        <item x="3154"/>
        <item x="2659"/>
        <item x="491"/>
        <item x="2686"/>
        <item x="4206"/>
        <item x="3731"/>
        <item x="3439"/>
        <item x="3873"/>
        <item x="2232"/>
        <item x="2726"/>
        <item x="2465"/>
        <item x="406"/>
        <item x="865"/>
        <item x="420"/>
        <item x="1501"/>
        <item x="1929"/>
        <item x="2756"/>
        <item x="381"/>
        <item x="1310"/>
        <item x="1223"/>
        <item x="4799"/>
        <item x="54"/>
        <item x="3545"/>
        <item x="2057"/>
        <item x="568"/>
        <item x="2774"/>
        <item x="1611"/>
        <item x="2197"/>
        <item x="4331"/>
        <item x="1283"/>
        <item x="2184"/>
        <item x="913"/>
        <item x="386"/>
        <item x="4001"/>
        <item x="131"/>
        <item x="703"/>
        <item x="1885"/>
        <item x="79"/>
        <item x="2362"/>
        <item x="1031"/>
        <item x="1673"/>
        <item x="3049"/>
        <item x="3824"/>
        <item x="2741"/>
        <item x="3730"/>
        <item x="2325"/>
        <item x="2885"/>
        <item x="1340"/>
        <item x="2517"/>
        <item x="3272"/>
        <item x="3359"/>
        <item x="1641"/>
        <item x="1003"/>
        <item x="3700"/>
        <item x="1550"/>
        <item x="1394"/>
        <item x="1575"/>
        <item x="1116"/>
        <item x="2954"/>
        <item x="641"/>
        <item x="1526"/>
        <item x="822"/>
        <item x="950"/>
        <item x="414"/>
        <item x="682"/>
        <item x="285"/>
        <item x="4265"/>
        <item x="2594"/>
        <item x="747"/>
        <item x="4453"/>
        <item x="400"/>
        <item x="336"/>
        <item x="3492"/>
        <item x="4121"/>
        <item x="364"/>
        <item x="4267"/>
        <item x="1996"/>
        <item x="4484"/>
        <item x="2880"/>
        <item x="3676"/>
        <item x="8"/>
        <item x="4645"/>
        <item x="1997"/>
        <item x="4580"/>
        <item x="2315"/>
        <item x="3822"/>
        <item x="3995"/>
        <item x="4111"/>
        <item x="3318"/>
        <item x="4510"/>
        <item x="610"/>
        <item x="4808"/>
        <item x="3505"/>
        <item x="4514"/>
        <item x="2016"/>
        <item x="1032"/>
        <item x="2367"/>
        <item x="3932"/>
        <item x="215"/>
        <item x="158"/>
        <item x="982"/>
        <item x="4466"/>
        <item x="1565"/>
        <item x="1534"/>
        <item x="3259"/>
        <item x="1269"/>
        <item x="3913"/>
        <item x="2580"/>
        <item x="262"/>
        <item x="463"/>
        <item x="4475"/>
        <item x="391"/>
        <item x="145"/>
        <item x="690"/>
        <item x="1212"/>
        <item x="3367"/>
        <item x="4248"/>
        <item x="159"/>
        <item x="3399"/>
        <item x="4303"/>
        <item x="604"/>
        <item x="1848"/>
        <item x="3892"/>
        <item x="4540"/>
        <item x="3860"/>
        <item x="3919"/>
        <item x="3696"/>
        <item x="1008"/>
        <item x="4285"/>
        <item x="2476"/>
        <item x="2747"/>
        <item x="2578"/>
        <item x="1320"/>
        <item x="4670"/>
        <item x="1311"/>
        <item x="4861"/>
        <item x="3162"/>
        <item x="1309"/>
        <item x="4819"/>
        <item x="128"/>
        <item x="1239"/>
        <item x="1263"/>
        <item x="529"/>
        <item x="4644"/>
        <item x="4383"/>
        <item x="1294"/>
        <item x="1434"/>
        <item x="1495"/>
        <item x="1221"/>
        <item x="3560"/>
        <item x="417"/>
        <item x="1048"/>
        <item x="2418"/>
        <item x="4014"/>
        <item x="3401"/>
        <item x="3385"/>
        <item x="1408"/>
        <item x="4288"/>
        <item x="562"/>
        <item x="1965"/>
        <item x="627"/>
        <item x="3877"/>
        <item x="3080"/>
        <item x="2014"/>
        <item x="270"/>
        <item x="1291"/>
        <item x="2183"/>
        <item x="1290"/>
        <item x="1921"/>
        <item x="1664"/>
        <item x="1132"/>
        <item x="2208"/>
        <item x="2933"/>
        <item x="3333"/>
        <item x="2422"/>
        <item x="796"/>
        <item x="3685"/>
        <item x="436"/>
        <item x="1924"/>
        <item x="4198"/>
        <item x="3234"/>
        <item x="4499"/>
        <item x="3857"/>
        <item x="2333"/>
        <item x="3108"/>
        <item x="3931"/>
        <item x="213"/>
        <item x="1617"/>
        <item x="1748"/>
        <item x="298"/>
        <item x="3214"/>
        <item x="2156"/>
        <item x="3483"/>
        <item x="2526"/>
        <item x="987"/>
        <item x="1661"/>
        <item x="2246"/>
        <item x="855"/>
        <item x="1314"/>
        <item x="3669"/>
        <item x="453"/>
        <item x="421"/>
        <item x="818"/>
        <item x="3630"/>
        <item x="3810"/>
        <item x="3820"/>
        <item x="1937"/>
        <item x="474"/>
        <item x="1412"/>
        <item x="478"/>
        <item x="1899"/>
        <item x="3879"/>
        <item x="907"/>
        <item x="4271"/>
        <item x="4785"/>
        <item x="4074"/>
        <item x="4218"/>
        <item x="957"/>
        <item x="771"/>
        <item x="4263"/>
        <item x="3410"/>
        <item x="3720"/>
        <item x="365"/>
        <item x="242"/>
        <item x="2868"/>
        <item x="4210"/>
        <item x="934"/>
        <item x="4724"/>
        <item x="1336"/>
        <item x="2114"/>
        <item x="1552"/>
        <item x="2571"/>
        <item x="1224"/>
        <item x="1620"/>
        <item x="944"/>
        <item x="2229"/>
        <item x="4859"/>
        <item x="3882"/>
        <item x="2676"/>
        <item x="84"/>
        <item x="1903"/>
        <item x="1120"/>
        <item x="1656"/>
        <item x="1841"/>
        <item x="1464"/>
        <item x="1386"/>
        <item x="2077"/>
        <item x="1482"/>
        <item x="2403"/>
        <item x="2864"/>
        <item x="3202"/>
        <item x="3093"/>
        <item x="1145"/>
        <item x="1652"/>
        <item x="468"/>
        <item x="3580"/>
        <item x="3081"/>
        <item x="1035"/>
        <item x="1822"/>
        <item x="2720"/>
        <item x="2500"/>
        <item x="2327"/>
        <item x="3788"/>
        <item x="2437"/>
        <item x="3674"/>
        <item x="184"/>
        <item x="2460"/>
        <item x="2427"/>
        <item x="3155"/>
        <item x="3796"/>
        <item x="3134"/>
        <item x="487"/>
        <item x="3736"/>
        <item x="1820"/>
        <item x="2340"/>
        <item x="1342"/>
        <item x="4410"/>
        <item x="4716"/>
        <item x="53"/>
        <item x="4003"/>
        <item x="2051"/>
        <item x="1835"/>
        <item x="1125"/>
        <item x="1327"/>
        <item x="4145"/>
        <item x="565"/>
        <item x="828"/>
        <item x="2706"/>
        <item x="3244"/>
        <item x="3344"/>
        <item x="412"/>
        <item x="4508"/>
        <item x="3335"/>
        <item x="4086"/>
        <item x="717"/>
        <item x="1034"/>
        <item x="3440"/>
        <item x="1178"/>
        <item x="81"/>
        <item x="3068"/>
        <item x="240"/>
        <item x="2104"/>
        <item x="3650"/>
        <item x="2825"/>
        <item x="3572"/>
        <item x="4470"/>
        <item x="1047"/>
        <item x="4400"/>
        <item x="3319"/>
        <item x="2445"/>
        <item x="171"/>
        <item x="484"/>
        <item x="1675"/>
        <item x="2809"/>
        <item x="1720"/>
        <item x="2663"/>
        <item x="147"/>
        <item x="1772"/>
        <item x="2154"/>
        <item x="573"/>
        <item x="1225"/>
        <item x="4350"/>
        <item x="1095"/>
        <item x="1350"/>
        <item x="2889"/>
        <item x="2638"/>
        <item x="230"/>
        <item x="4764"/>
        <item x="1268"/>
        <item x="3166"/>
        <item x="34"/>
        <item x="4199"/>
        <item x="377"/>
        <item x="3164"/>
        <item x="3100"/>
        <item x="3452"/>
        <item x="3300"/>
        <item x="4360"/>
        <item x="2671"/>
        <item x="3306"/>
        <item x="2124"/>
        <item x="4616"/>
        <item x="2619"/>
        <item x="917"/>
        <item x="1515"/>
        <item x="1950"/>
        <item x="268"/>
        <item x="4768"/>
        <item x="3635"/>
        <item x="3085"/>
        <item x="1450"/>
        <item x="2645"/>
        <item x="455"/>
        <item x="762"/>
        <item x="490"/>
        <item x="3041"/>
        <item x="3268"/>
        <item x="2733"/>
        <item x="220"/>
        <item x="889"/>
        <item x="4736"/>
        <item x="3106"/>
        <item x="2801"/>
        <item x="1911"/>
        <item x="2971"/>
        <item x="1939"/>
        <item x="3584"/>
        <item x="2000"/>
        <item x="2490"/>
        <item x="1938"/>
        <item x="4447"/>
        <item x="3728"/>
        <item x="1645"/>
        <item x="2073"/>
        <item x="56"/>
        <item x="4051"/>
        <item x="384"/>
        <item x="3648"/>
        <item x="4167"/>
        <item x="508"/>
        <item x="4347"/>
        <item x="2299"/>
        <item x="4674"/>
        <item x="2749"/>
        <item x="4398"/>
        <item x="4244"/>
        <item x="4460"/>
        <item x="1949"/>
        <item x="4626"/>
        <item x="451"/>
        <item x="3341"/>
        <item x="4694"/>
        <item x="27"/>
        <item x="3210"/>
        <item x="540"/>
        <item x="2097"/>
        <item x="4274"/>
        <item x="1974"/>
        <item x="569"/>
        <item x="3847"/>
        <item x="2662"/>
        <item x="1203"/>
        <item x="3659"/>
        <item x="2110"/>
        <item x="1710"/>
        <item x="1061"/>
        <item x="4728"/>
        <item x="4634"/>
        <item x="4230"/>
        <item x="1621"/>
        <item x="1825"/>
        <item x="1257"/>
        <item x="4776"/>
        <item x="857"/>
        <item x="359"/>
        <item x="2846"/>
        <item x="4255"/>
        <item x="4163"/>
        <item x="63"/>
        <item x="250"/>
        <item x="2158"/>
        <item x="657"/>
        <item x="596"/>
        <item x="2144"/>
        <item x="3111"/>
        <item x="2997"/>
        <item x="3598"/>
        <item x="2256"/>
        <item x="1894"/>
        <item x="1727"/>
        <item x="0"/>
        <item x="2822"/>
        <item x="3003"/>
        <item x="654"/>
        <item x="3881"/>
        <item x="3302"/>
        <item x="2670"/>
        <item x="2903"/>
        <item x="4721"/>
        <item x="1712"/>
        <item x="2167"/>
        <item x="1091"/>
        <item x="2555"/>
        <item x="2566"/>
        <item x="4636"/>
        <item x="817"/>
        <item x="1154"/>
        <item x="2910"/>
        <item x="2722"/>
        <item x="1740"/>
        <item x="1348"/>
        <item x="891"/>
        <item x="376"/>
        <item x="3570"/>
        <item x="4015"/>
        <item x="3509"/>
        <item x="1718"/>
        <item x="1457"/>
        <item x="1247"/>
        <item x="1312"/>
        <item x="75"/>
        <item x="2065"/>
        <item x="2245"/>
        <item x="2113"/>
        <item x="2010"/>
        <item x="3895"/>
        <item x="2777"/>
        <item x="317"/>
        <item x="466"/>
        <item x="2336"/>
        <item x="3642"/>
        <item x="4733"/>
        <item x="3432"/>
        <item x="199"/>
        <item x="256"/>
        <item x="1270"/>
        <item x="628"/>
        <item x="528"/>
        <item x="3548"/>
        <item x="3695"/>
        <item x="882"/>
        <item x="47"/>
        <item x="3246"/>
        <item x="3130"/>
        <item x="4392"/>
        <item x="653"/>
        <item x="2875"/>
        <item x="2148"/>
        <item x="1300"/>
        <item x="3398"/>
        <item x="312"/>
        <item x="3481"/>
        <item x="812"/>
        <item x="1901"/>
        <item x="1541"/>
        <item x="4765"/>
        <item x="3225"/>
        <item x="1481"/>
        <item x="313"/>
        <item x="3924"/>
        <item x="2359"/>
        <item x="4480"/>
        <item x="1747"/>
        <item x="337"/>
        <item x="563"/>
        <item x="3051"/>
        <item x="1160"/>
        <item x="4165"/>
        <item x="4537"/>
        <item x="3540"/>
        <item x="1816"/>
        <item x="3533"/>
        <item x="3066"/>
        <item x="923"/>
        <item x="4623"/>
        <item x="2830"/>
        <item x="3963"/>
        <item x="2026"/>
        <item x="4130"/>
        <item x="2078"/>
        <item x="4071"/>
        <item x="4193"/>
        <item x="3383"/>
        <item x="2598"/>
        <item x="2413"/>
        <item x="2023"/>
        <item x="1371"/>
        <item x="2828"/>
        <item x="3504"/>
        <item x="1906"/>
        <item x="3657"/>
        <item x="2337"/>
        <item x="1729"/>
        <item x="2098"/>
        <item x="615"/>
        <item x="611"/>
        <item x="3415"/>
        <item x="4701"/>
        <item x="726"/>
        <item x="1306"/>
        <item x="3836"/>
        <item x="1426"/>
        <item x="4203"/>
        <item x="3707"/>
        <item x="963"/>
        <item x="4749"/>
        <item x="3959"/>
        <item x="3471"/>
        <item x="764"/>
        <item x="475"/>
        <item x="2687"/>
        <item x="3761"/>
        <item x="1238"/>
        <item x="1659"/>
        <item x="2079"/>
        <item x="2345"/>
        <item x="4376"/>
        <item x="1280"/>
        <item x="1886"/>
        <item x="924"/>
        <item x="2507"/>
        <item x="3421"/>
        <item x="4591"/>
        <item x="3127"/>
        <item x="1990"/>
        <item x="55"/>
        <item x="2930"/>
        <item x="470"/>
        <item x="1202"/>
        <item x="1228"/>
        <item x="2574"/>
        <item x="3748"/>
        <item x="1046"/>
        <item x="4238"/>
        <item x="2800"/>
        <item x="751"/>
        <item x="3061"/>
        <item x="782"/>
        <item x="4596"/>
        <item x="2761"/>
        <item x="3393"/>
        <item x="2697"/>
        <item x="901"/>
        <item x="3538"/>
        <item x="4314"/>
        <item x="935"/>
        <item x="2173"/>
        <item x="1612"/>
        <item x="1750"/>
        <item x="50"/>
        <item x="4187"/>
        <item x="583"/>
        <item x="1131"/>
        <item x="1118"/>
        <item x="1751"/>
        <item x="1227"/>
        <item x="1909"/>
        <item x="2909"/>
        <item x="4748"/>
        <item x="1856"/>
        <item x="1411"/>
        <item x="711"/>
        <item x="1882"/>
        <item x="2140"/>
        <item x="702"/>
        <item x="2324"/>
        <item x="3124"/>
        <item x="1260"/>
        <item x="211"/>
        <item x="1955"/>
        <item x="4332"/>
        <item x="879"/>
        <item x="2217"/>
        <item x="1807"/>
        <item x="3608"/>
        <item x="2352"/>
        <item x="748"/>
        <item x="902"/>
        <item x="4141"/>
        <item x="2785"/>
        <item x="6"/>
        <item x="1839"/>
        <item x="3628"/>
        <item x="2034"/>
        <item x="2820"/>
        <item x="2406"/>
        <item x="3434"/>
        <item x="389"/>
        <item x="1496"/>
        <item x="4648"/>
        <item x="48"/>
        <item x="2477"/>
        <item x="4829"/>
        <item x="1022"/>
        <item x="4233"/>
        <item x="1558"/>
        <item x="2740"/>
        <item x="3691"/>
        <item x="2398"/>
        <item x="310"/>
        <item x="671"/>
        <item x="2260"/>
        <item x="1591"/>
        <item x="1777"/>
        <item x="1413"/>
        <item x="3640"/>
        <item x="187"/>
        <item x="2237"/>
        <item x="3752"/>
        <item x="1715"/>
        <item x="3425"/>
        <item x="4419"/>
        <item x="4283"/>
        <item x="1199"/>
        <item x="4343"/>
        <item x="3762"/>
        <item x="172"/>
        <item x="3122"/>
        <item x="892"/>
        <item x="939"/>
        <item x="2444"/>
        <item x="1571"/>
        <item x="4482"/>
        <item x="1653"/>
        <item x="621"/>
        <item x="2660"/>
        <item x="49"/>
        <item x="2575"/>
        <item x="2783"/>
        <item x="1465"/>
        <item x="4825"/>
        <item x="3716"/>
        <item x="2313"/>
        <item x="4746"/>
        <item x="3603"/>
        <item x="1214"/>
        <item x="2115"/>
        <item x="4503"/>
        <item x="3125"/>
        <item x="4459"/>
        <item x="257"/>
        <item x="237"/>
        <item x="4696"/>
        <item x="1389"/>
        <item x="4168"/>
        <item x="3607"/>
        <item x="1377"/>
        <item x="4465"/>
        <item x="2005"/>
        <item x="299"/>
        <item x="2607"/>
        <item x="2771"/>
        <item x="2017"/>
        <item x="850"/>
        <item x="3808"/>
        <item x="929"/>
        <item x="712"/>
        <item x="189"/>
        <item x="156"/>
        <item x="994"/>
        <item x="494"/>
        <item x="681"/>
        <item x="1122"/>
        <item x="910"/>
        <item x="803"/>
        <item x="1476"/>
        <item x="3270"/>
        <item x="1977"/>
        <item x="2547"/>
        <item x="2519"/>
        <item x="1774"/>
        <item x="2220"/>
        <item x="3131"/>
        <item x="1241"/>
        <item x="3955"/>
        <item x="2592"/>
        <item x="2736"/>
        <item x="1479"/>
        <item x="3149"/>
        <item x="3743"/>
        <item x="820"/>
        <item x="4184"/>
        <item x="956"/>
        <item x="3420"/>
        <item x="3059"/>
        <item x="699"/>
        <item x="4572"/>
        <item x="2797"/>
        <item x="1360"/>
        <item x="2462"/>
        <item x="1229"/>
        <item x="3812"/>
        <item x="3372"/>
        <item x="3102"/>
        <item x="3647"/>
        <item x="2727"/>
        <item x="2353"/>
        <item x="2750"/>
        <item x="3884"/>
        <item x="4685"/>
        <item x="1272"/>
        <item x="3018"/>
        <item x="2068"/>
        <item x="1876"/>
        <item x="3971"/>
        <item x="4109"/>
        <item x="117"/>
        <item x="350"/>
        <item x="4587"/>
        <item x="2011"/>
        <item x="4413"/>
        <item x="2626"/>
        <item x="1358"/>
        <item x="1785"/>
        <item x="1787"/>
        <item x="4502"/>
        <item x="4142"/>
        <item x="1538"/>
        <item x="356"/>
        <item x="2449"/>
        <item x="2036"/>
        <item x="3026"/>
        <item x="2328"/>
        <item x="129"/>
        <item x="1893"/>
        <item x="2094"/>
        <item x="3057"/>
        <item x="2481"/>
        <item x="4560"/>
        <item x="3767"/>
        <item x="546"/>
        <item x="3429"/>
        <item x="2969"/>
        <item x="4298"/>
        <item x="329"/>
        <item x="3019"/>
        <item x="320"/>
        <item x="3624"/>
        <item x="2613"/>
        <item x="2712"/>
        <item x="811"/>
        <item x="235"/>
        <item x="1833"/>
        <item x="1556"/>
        <item x="3957"/>
        <item x="2224"/>
        <item x="124"/>
        <item x="4451"/>
        <item x="3795"/>
        <item x="572"/>
        <item x="2842"/>
        <item x="2084"/>
        <item x="2244"/>
        <item x="501"/>
        <item x="545"/>
        <item x="1804"/>
        <item x="214"/>
        <item x="1995"/>
        <item x="960"/>
        <item x="174"/>
        <item x="2319"/>
        <item x="140"/>
        <item x="2309"/>
        <item x="1580"/>
        <item x="2556"/>
        <item x="3279"/>
        <item x="2419"/>
        <item x="2379"/>
        <item x="3046"/>
        <item x="1329"/>
        <item x="3907"/>
        <item x="2509"/>
        <item x="138"/>
        <item x="3894"/>
        <item x="1723"/>
        <item x="2471"/>
        <item x="3298"/>
        <item x="4522"/>
        <item x="2387"/>
        <item x="1302"/>
        <item x="3667"/>
        <item x="3947"/>
        <item x="1978"/>
        <item x="2321"/>
        <item x="3851"/>
        <item x="4855"/>
        <item x="3682"/>
        <item x="895"/>
        <item x="1111"/>
        <item x="535"/>
        <item x="4519"/>
        <item x="734"/>
        <item x="1037"/>
        <item x="3876"/>
        <item x="2602"/>
        <item x="3581"/>
        <item x="4541"/>
        <item x="3973"/>
        <item x="4795"/>
        <item x="2924"/>
        <item x="3956"/>
        <item x="1735"/>
        <item x="4083"/>
        <item x="2688"/>
        <item x="4208"/>
        <item x="276"/>
        <item x="3769"/>
        <item x="2716"/>
        <item x="4688"/>
        <item x="2454"/>
        <item x="4125"/>
        <item x="2567"/>
        <item x="2751"/>
        <item x="2533"/>
        <item x="4779"/>
        <item x="4496"/>
        <item x="2388"/>
        <item x="860"/>
        <item x="844"/>
        <item x="4342"/>
        <item x="1170"/>
        <item x="4515"/>
        <item x="595"/>
        <item x="1105"/>
        <item x="2731"/>
        <item x="862"/>
        <item x="3478"/>
        <item x="3320"/>
        <item x="1849"/>
        <item x="4617"/>
        <item x="4551"/>
        <item x="584"/>
        <item x="554"/>
        <item x="1082"/>
        <item x="181"/>
        <item x="461"/>
        <item x="2737"/>
        <item x="2091"/>
        <item x="3754"/>
        <item x="327"/>
        <item x="1881"/>
        <item x="4757"/>
        <item x="1250"/>
        <item x="3321"/>
        <item x="1875"/>
        <item x="1786"/>
        <item x="3774"/>
        <item x="544"/>
        <item x="281"/>
        <item x="2033"/>
        <item x="893"/>
        <item x="876"/>
        <item x="3062"/>
        <item x="3116"/>
        <item x="374"/>
        <item x="3986"/>
        <item x="4812"/>
        <item x="1579"/>
        <item x="4334"/>
        <item x="2772"/>
        <item x="4293"/>
        <item x="4315"/>
        <item x="1179"/>
        <item x="4025"/>
        <item x="1811"/>
        <item x="2999"/>
        <item x="497"/>
        <item x="4057"/>
        <item x="59"/>
        <item x="4235"/>
        <item x="4268"/>
        <item x="1504"/>
        <item x="173"/>
        <item x="4264"/>
        <item x="2793"/>
        <item x="4134"/>
        <item x="1945"/>
        <item x="1912"/>
        <item x="3182"/>
        <item x="3835"/>
        <item x="125"/>
        <item x="1602"/>
        <item x="639"/>
        <item x="316"/>
        <item x="3010"/>
        <item x="1364"/>
        <item x="4328"/>
        <item x="1128"/>
        <item x="4128"/>
        <item x="2082"/>
        <item x="326"/>
        <item x="83"/>
        <item x="3358"/>
        <item x="4435"/>
        <item x="3090"/>
        <item x="1560"/>
        <item x="479"/>
        <item x="3622"/>
        <item x="223"/>
        <item x="186"/>
        <item x="3544"/>
        <item x="2691"/>
        <item x="3156"/>
        <item x="3142"/>
        <item x="4867"/>
        <item x="3747"/>
        <item x="3644"/>
        <item x="3729"/>
        <item x="757"/>
        <item x="4277"/>
        <item x="136"/>
        <item x="4744"/>
        <item x="1941"/>
        <item x="4052"/>
        <item x="4871"/>
        <item x="4693"/>
        <item x="1230"/>
        <item x="1013"/>
        <item x="4302"/>
        <item x="3394"/>
        <item x="2652"/>
        <item x="2371"/>
        <item x="904"/>
        <item x="2918"/>
        <item x="3392"/>
        <item x="4582"/>
        <item x="2512"/>
        <item x="1383"/>
        <item x="244"/>
        <item x="2922"/>
        <item x="2435"/>
        <item x="2795"/>
        <item x="132"/>
        <item x="3805"/>
        <item x="410"/>
        <item x="3157"/>
        <item x="481"/>
        <item x="4229"/>
        <item x="236"/>
        <item x="1725"/>
        <item x="123"/>
        <item x="3381"/>
        <item x="2748"/>
        <item x="4817"/>
        <item x="179"/>
        <item x="3139"/>
        <item x="3561"/>
        <item x="3673"/>
        <item x="3373"/>
        <item x="3028"/>
        <item x="2817"/>
        <item x="2466"/>
        <item x="2945"/>
        <item x="4036"/>
        <item x="3115"/>
        <item x="2139"/>
        <item x="2030"/>
        <item x="542"/>
        <item x="3595"/>
        <item x="286"/>
        <item x="3718"/>
        <item x="1828"/>
        <item x="1622"/>
        <item x="705"/>
        <item x="418"/>
        <item x="3027"/>
        <item x="2341"/>
        <item x="3204"/>
        <item x="1979"/>
        <item x="441"/>
        <item x="4528"/>
        <item x="721"/>
        <item x="192"/>
        <item x="1460"/>
        <item x="349"/>
        <item x="4483"/>
        <item x="2815"/>
        <item x="1403"/>
        <item x="1381"/>
        <item x="1353"/>
        <item x="2175"/>
        <item x="2273"/>
        <item x="3715"/>
        <item x="1373"/>
        <item x="3267"/>
        <item x="3276"/>
        <item x="1080"/>
        <item x="3527"/>
        <item x="3591"/>
        <item x="2495"/>
        <item x="1999"/>
        <item x="3552"/>
        <item x="3962"/>
        <item x="212"/>
        <item x="1307"/>
        <item x="1075"/>
        <item x="4567"/>
        <item x="2806"/>
        <item x="4156"/>
        <item x="1318"/>
        <item x="3567"/>
        <item x="354"/>
        <item x="101"/>
        <item x="2673"/>
        <item x="2199"/>
        <item x="4038"/>
        <item x="3328"/>
        <item x="4119"/>
        <item x="1792"/>
        <item x="1191"/>
        <item x="4758"/>
        <item x="1110"/>
        <item x="4550"/>
        <item x="4279"/>
        <item x="976"/>
        <item x="1547"/>
        <item x="3582"/>
        <item x="196"/>
        <item x="1639"/>
        <item x="1542"/>
        <item x="4702"/>
        <item x="4009"/>
        <item x="2284"/>
        <item x="3221"/>
        <item x="3562"/>
        <item x="4195"/>
        <item x="669"/>
        <item x="3523"/>
        <item x="997"/>
        <item x="100"/>
        <item x="1734"/>
        <item x="2753"/>
        <item x="3283"/>
        <item x="3312"/>
        <item x="2031"/>
        <item x="3513"/>
        <item x="2905"/>
        <item x="648"/>
        <item x="4718"/>
        <item x="2682"/>
        <item x="608"/>
        <item x="3926"/>
        <item x="4249"/>
        <item x="4234"/>
        <item x="1523"/>
        <item x="1567"/>
        <item x="331"/>
        <item x="1574"/>
        <item x="3357"/>
        <item x="1927"/>
        <item x="974"/>
        <item x="4388"/>
        <item x="667"/>
        <item x="4743"/>
        <item x="4333"/>
        <item x="4620"/>
        <item x="4611"/>
        <item x="3468"/>
        <item x="1253"/>
        <item x="2163"/>
        <item x="3013"/>
        <item x="783"/>
        <item x="3176"/>
        <item x="227"/>
        <item x="1642"/>
        <item x="1854"/>
        <item x="853"/>
        <item x="2819"/>
        <item x="1050"/>
        <item x="759"/>
        <item x="1827"/>
        <item x="3885"/>
        <item x="660"/>
        <item x="4027"/>
        <item x="3569"/>
        <item x="2187"/>
        <item x="3403"/>
        <item x="3542"/>
        <item x="813"/>
        <item x="2623"/>
        <item x="1049"/>
        <item x="2372"/>
        <item x="3200"/>
        <item x="2784"/>
        <item x="4679"/>
        <item x="519"/>
        <item x="3323"/>
        <item x="3120"/>
        <item x="3999"/>
        <item x="2524"/>
        <item x="1975"/>
        <item x="1404"/>
        <item x="3305"/>
        <item x="3151"/>
        <item x="2888"/>
        <item x="884"/>
        <item x="4653"/>
        <item x="3188"/>
        <item x="3528"/>
        <item x="4106"/>
        <item x="1902"/>
        <item x="3936"/>
        <item x="571"/>
        <item x="1683"/>
        <item x="2347"/>
        <item x="3927"/>
        <item x="3604"/>
        <item x="1187"/>
        <item x="1088"/>
        <item x="2854"/>
        <item x="2369"/>
        <item x="2637"/>
        <item x="1133"/>
        <item x="3579"/>
        <item x="1952"/>
        <item x="4287"/>
        <item x="3311"/>
        <item x="1821"/>
        <item x="3315"/>
        <item x="4666"/>
        <item x="4029"/>
        <item x="3893"/>
        <item x="3780"/>
        <item x="2876"/>
        <item x="3389"/>
        <item x="2100"/>
        <item x="1180"/>
        <item x="1370"/>
        <item x="3681"/>
        <item x="3453"/>
        <item x="1085"/>
        <item x="1537"/>
        <item x="450"/>
        <item x="3594"/>
        <item x="222"/>
        <item x="2650"/>
        <item x="1649"/>
        <item x="4101"/>
        <item x="3277"/>
        <item x="2975"/>
        <item x="1770"/>
        <item x="3178"/>
        <item x="465"/>
        <item x="2303"/>
        <item x="1326"/>
        <item x="80"/>
        <item x="3460"/>
        <item x="4463"/>
        <item x="4608"/>
        <item x="4545"/>
        <item x="1845"/>
        <item x="3653"/>
        <item x="2169"/>
        <item x="716"/>
        <item x="152"/>
        <item x="4462"/>
        <item x="2810"/>
        <item x="983"/>
        <item x="719"/>
        <item x="1947"/>
        <item x="1232"/>
        <item x="2451"/>
        <item x="1576"/>
        <item x="645"/>
        <item x="2631"/>
        <item x="1632"/>
        <item x="2629"/>
        <item x="3281"/>
        <item x="4"/>
        <item x="3390"/>
        <item x="2063"/>
        <item x="72"/>
        <item x="2424"/>
        <item x="3237"/>
        <item x="225"/>
        <item x="3274"/>
        <item x="3326"/>
        <item x="1129"/>
        <item x="1757"/>
        <item x="3034"/>
        <item x="2775"/>
        <item x="2105"/>
        <item x="823"/>
        <item x="2377"/>
        <item x="3105"/>
        <item x="1055"/>
        <item x="3596"/>
        <item x="1685"/>
        <item x="4018"/>
        <item x="1045"/>
        <item x="2162"/>
        <item x="4523"/>
        <item x="40"/>
        <item x="357"/>
        <item x="3374"/>
        <item x="4022"/>
        <item x="2360"/>
        <item x="95"/>
        <item x="2417"/>
        <item x="510"/>
        <item x="4363"/>
        <item x="4715"/>
        <item x="2911"/>
        <item x="2238"/>
        <item x="815"/>
        <item x="2350"/>
        <item x="2597"/>
        <item x="2218"/>
        <item x="1503"/>
        <item x="22"/>
        <item x="3574"/>
        <item x="883"/>
        <item x="2074"/>
        <item x="3660"/>
        <item x="15"/>
        <item x="3377"/>
        <item x="1981"/>
        <item x="2530"/>
        <item x="1505"/>
        <item x="4494"/>
        <item x="3089"/>
        <item x="1019"/>
        <item x="4012"/>
        <item x="4476"/>
        <item x="1086"/>
        <item x="2170"/>
        <item x="4127"/>
        <item x="3275"/>
        <item x="2710"/>
        <item x="4178"/>
        <item x="2837"/>
        <item x="2250"/>
        <item x="361"/>
        <item x="2832"/>
        <item x="834"/>
        <item x="1520"/>
        <item x="419"/>
        <item x="4284"/>
        <item x="2083"/>
        <item x="4457"/>
        <item x="3823"/>
        <item x="2193"/>
        <item x="800"/>
        <item x="4606"/>
        <item x="966"/>
        <item x="458"/>
        <item x="4521"/>
        <item x="155"/>
        <item x="1255"/>
        <item x="1850"/>
        <item x="3512"/>
        <item x="426"/>
        <item x="3587"/>
        <item x="1775"/>
        <item x="1206"/>
        <item x="4281"/>
        <item x="2276"/>
        <item x="4070"/>
        <item x="4605"/>
        <item x="78"/>
        <item x="4490"/>
        <item x="4789"/>
        <item x="710"/>
        <item x="2952"/>
        <item x="473"/>
        <item x="3688"/>
        <item x="1578"/>
        <item x="2961"/>
        <item x="3763"/>
        <item x="4436"/>
        <item x="4575"/>
        <item x="1771"/>
        <item x="3910"/>
        <item x="1040"/>
        <item x="4835"/>
        <item x="2022"/>
        <item x="144"/>
        <item x="1858"/>
        <item x="4120"/>
        <item x="4780"/>
        <item x="2195"/>
        <item x="4667"/>
        <item x="945"/>
        <item x="1024"/>
        <item x="1913"/>
        <item x="4735"/>
        <item x="1233"/>
        <item x="992"/>
        <item x="1143"/>
        <item x="1422"/>
        <item x="3832"/>
        <item x="4709"/>
        <item x="2970"/>
        <item x="10"/>
        <item x="2080"/>
        <item x="3301"/>
        <item x="1141"/>
        <item x="4639"/>
        <item x="1719"/>
        <item x="1442"/>
        <item x="758"/>
        <item x="1333"/>
        <item x="4595"/>
        <item x="3863"/>
        <item x="4151"/>
        <item x="2967"/>
        <item x="1078"/>
        <item x="4176"/>
        <item x="2721"/>
        <item x="4253"/>
        <item x="1944"/>
        <item x="4461"/>
        <item x="2568"/>
        <item x="3871"/>
        <item x="1296"/>
        <item x="1691"/>
        <item x="1543"/>
        <item x="2255"/>
        <item x="514"/>
        <item x="655"/>
        <item x="2764"/>
        <item x="2893"/>
        <item x="442"/>
        <item x="164"/>
        <item x="134"/>
        <item x="4814"/>
        <item x="4659"/>
        <item x="2557"/>
        <item x="4632"/>
        <item x="664"/>
        <item x="7"/>
        <item x="3282"/>
        <item x="2450"/>
        <item x="1485"/>
        <item x="582"/>
        <item x="307"/>
        <item x="4031"/>
        <item x="3097"/>
        <item x="437"/>
        <item x="4272"/>
        <item x="2881"/>
        <item x="1073"/>
        <item x="1581"/>
        <item x="2542"/>
        <item x="704"/>
        <item x="3878"/>
        <item x="483"/>
        <item x="1961"/>
        <item x="4212"/>
        <item x="28"/>
        <item x="2759"/>
        <item x="1678"/>
        <item x="4386"/>
        <item x="2001"/>
        <item x="4833"/>
        <item x="3380"/>
        <item x="1114"/>
        <item x="869"/>
        <item x="2964"/>
        <item x="4431"/>
        <item x="1797"/>
        <item x="3845"/>
        <item x="3217"/>
        <item x="830"/>
        <item x="3589"/>
        <item x="3573"/>
        <item x="1869"/>
        <item x="1548"/>
        <item x="3925"/>
        <item x="2221"/>
        <item x="2223"/>
        <item x="1773"/>
        <item x="3447"/>
        <item x="1951"/>
        <item x="3507"/>
        <item x="4726"/>
        <item x="2549"/>
        <item x="99"/>
        <item x="2314"/>
        <item x="500"/>
        <item x="4108"/>
        <item x="3474"/>
        <item x="2877"/>
        <item x="3395"/>
        <item x="3866"/>
        <item x="4876"/>
        <item x="3242"/>
        <item x="3133"/>
        <item x="3713"/>
        <item x="2210"/>
        <item x="858"/>
        <item x="38"/>
        <item x="1857"/>
        <item x="4040"/>
        <item x="1989"/>
        <item x="64"/>
        <item x="3219"/>
        <item x="4175"/>
        <item x="2883"/>
        <item x="1165"/>
        <item x="1051"/>
        <item x="4834"/>
        <item x="82"/>
        <item x="826"/>
        <item x="3782"/>
        <item x="4720"/>
        <item x="1549"/>
        <item x="927"/>
        <item x="3638"/>
        <item x="1628"/>
        <item x="4164"/>
        <item x="1076"/>
        <item x="1368"/>
        <item x="2786"/>
        <item x="1842"/>
        <item x="2634"/>
        <item x="851"/>
        <item x="4797"/>
        <item x="459"/>
        <item x="399"/>
        <item x="4778"/>
        <item x="1754"/>
        <item x="342"/>
        <item x="1074"/>
        <item x="88"/>
        <item x="775"/>
        <item x="3135"/>
        <item x="967"/>
        <item x="3459"/>
        <item x="2898"/>
        <item x="3195"/>
        <item x="142"/>
        <item x="4706"/>
        <item x="958"/>
        <item x="3184"/>
        <item x="4231"/>
        <item x="2644"/>
        <item x="2409"/>
        <item x="1768"/>
        <item x="1553"/>
        <item x="1068"/>
        <item x="970"/>
        <item x="1498"/>
        <item x="4561"/>
        <item x="4822"/>
        <item x="3008"/>
        <item x="761"/>
        <item x="3324"/>
        <item x="1516"/>
        <item x="861"/>
        <item x="141"/>
        <item x="3779"/>
        <item x="1018"/>
        <item x="503"/>
        <item x="4505"/>
        <item x="524"/>
        <item x="4712"/>
        <item x="232"/>
        <item x="2878"/>
        <item x="3781"/>
        <item x="2047"/>
        <item x="953"/>
        <item x="2145"/>
        <item x="371"/>
        <item x="3797"/>
        <item x="2382"/>
        <item x="1760"/>
        <item x="2069"/>
        <item x="634"/>
        <item x="3686"/>
        <item x="2334"/>
        <item x="2225"/>
        <item x="3309"/>
        <item x="2132"/>
        <item x="4678"/>
        <item x="4225"/>
        <item x="3405"/>
        <item x="3694"/>
        <item x="404"/>
        <item x="3063"/>
        <item x="1852"/>
        <item x="700"/>
        <item x="2963"/>
        <item x="4305"/>
        <item x="4319"/>
        <item x="4094"/>
        <item x="4803"/>
        <item x="1175"/>
        <item x="2099"/>
        <item x="2560"/>
        <item x="1717"/>
        <item x="4697"/>
        <item x="2609"/>
        <item x="2510"/>
        <item x="4374"/>
        <item x="3140"/>
        <item x="1626"/>
        <item x="4524"/>
        <item x="2414"/>
        <item x="4681"/>
        <item x="1139"/>
        <item x="153"/>
        <item x="2041"/>
        <item x="4148"/>
        <item x="3313"/>
        <item x="1861"/>
        <item x="4188"/>
        <item x="2955"/>
        <item x="4593"/>
        <item x="67"/>
        <item x="4403"/>
        <item x="4033"/>
        <item x="2947"/>
        <item x="205"/>
        <item x="601"/>
        <item x="3253"/>
        <item x="1354"/>
        <item x="4056"/>
        <item x="91"/>
        <item x="4438"/>
        <item x="1249"/>
        <item x="880"/>
        <item x="2472"/>
        <item x="489"/>
        <item x="781"/>
        <item x="2076"/>
        <item x="3948"/>
        <item x="2821"/>
        <item x="1252"/>
        <item x="4664"/>
        <item x="2247"/>
        <item x="338"/>
        <item x="1573"/>
        <item x="847"/>
        <item x="408"/>
        <item x="2107"/>
        <item x="224"/>
        <item x="2056"/>
        <item x="471"/>
        <item x="170"/>
        <item x="3289"/>
        <item x="3834"/>
        <item x="375"/>
        <item x="4495"/>
        <item x="1790"/>
        <item x="3397"/>
        <item x="2059"/>
        <item x="3364"/>
        <item x="1265"/>
        <item x="2436"/>
        <item x="1494"/>
        <item x="2739"/>
        <item x="2020"/>
        <item x="18"/>
        <item x="2628"/>
        <item x="1388"/>
        <item x="816"/>
        <item x="2792"/>
        <item x="2562"/>
        <item x="2428"/>
        <item x="2452"/>
        <item x="1361"/>
        <item x="741"/>
        <item x="4382"/>
        <item x="2992"/>
        <item x="4493"/>
        <item x="4631"/>
        <item x="4353"/>
        <item x="4852"/>
        <item x="264"/>
        <item x="243"/>
        <item x="3680"/>
        <item x="193"/>
        <item x="3746"/>
        <item x="1533"/>
        <item x="2240"/>
        <item x="409"/>
        <item x="1743"/>
        <item x="728"/>
        <item x="1435"/>
        <item x="3985"/>
        <item x="3943"/>
        <item x="2685"/>
        <item x="723"/>
        <item x="3169"/>
        <item x="739"/>
        <item x="2498"/>
        <item x="2941"/>
        <item x="3970"/>
        <item x="2482"/>
        <item x="1959"/>
        <item x="3758"/>
        <item x="665"/>
        <item x="4246"/>
        <item x="1365"/>
        <item x="1844"/>
        <item x="2230"/>
        <item x="2553"/>
        <item x="3070"/>
        <item x="952"/>
        <item x="245"/>
        <item x="637"/>
        <item x="2744"/>
        <item x="863"/>
        <item x="553"/>
        <item x="3972"/>
        <item x="116"/>
        <item x="836"/>
        <item x="2231"/>
        <item x="4371"/>
        <item x="2913"/>
        <item x="2320"/>
        <item x="3074"/>
        <item x="2429"/>
        <item x="2267"/>
        <item x="1067"/>
        <item x="4568"/>
        <item x="405"/>
        <item x="4657"/>
        <item x="3308"/>
        <item x="3437"/>
        <item x="722"/>
        <item x="3546"/>
        <item x="897"/>
        <item x="4366"/>
        <item x="2523"/>
        <item x="2257"/>
        <item x="898"/>
        <item x="2693"/>
        <item x="727"/>
        <item x="4006"/>
        <item x="2699"/>
        <item x="4729"/>
        <item x="1546"/>
        <item x="2044"/>
        <item x="2709"/>
        <item x="1713"/>
        <item x="221"/>
        <item x="1926"/>
        <item x="3771"/>
        <item x="1862"/>
        <item x="1418"/>
        <item x="352"/>
        <item x="4247"/>
        <item x="1564"/>
        <item x="2993"/>
        <item x="2453"/>
        <item x="1483"/>
        <item x="4767"/>
        <item x="3631"/>
        <item x="2294"/>
        <item x="4372"/>
        <item x="523"/>
        <item x="3458"/>
        <item x="2715"/>
        <item x="3891"/>
        <item x="918"/>
        <item x="1512"/>
        <item x="318"/>
        <item x="4732"/>
        <item x="2768"/>
        <item x="1629"/>
        <item x="613"/>
        <item x="2531"/>
        <item x="1879"/>
        <item x="3945"/>
        <item x="3977"/>
        <item x="1954"/>
        <item x="4760"/>
        <item x="3969"/>
        <item x="366"/>
        <item x="4385"/>
        <item x="403"/>
        <item x="3086"/>
        <item x="4477"/>
        <item x="3186"/>
        <item x="2732"/>
        <item x="261"/>
        <item x="1972"/>
        <item x="1466"/>
        <item x="2799"/>
        <item x="1054"/>
        <item x="2675"/>
        <item x="3976"/>
        <item x="3741"/>
        <item x="4152"/>
        <item x="1966"/>
        <item x="2680"/>
        <item x="556"/>
        <item x="3601"/>
        <item x="975"/>
        <item x="2401"/>
        <item x="2039"/>
        <item x="2684"/>
        <item x="2045"/>
        <item x="2378"/>
        <item x="3858"/>
        <item x="4380"/>
        <item x="2475"/>
        <item x="1704"/>
        <item x="1469"/>
        <item x="912"/>
        <item x="3148"/>
        <item x="4219"/>
        <item x="2661"/>
        <item x="2263"/>
        <item x="2443"/>
        <item x="3092"/>
        <item x="315"/>
        <item x="1840"/>
        <item x="2730"/>
        <item x="1609"/>
        <item x="1379"/>
        <item x="4254"/>
        <item x="1433"/>
        <item x="2497"/>
        <item x="1036"/>
        <item x="2717"/>
        <item x="1391"/>
        <item x="3488"/>
        <item x="2479"/>
        <item x="1161"/>
        <item x="1810"/>
        <item x="4534"/>
        <item x="774"/>
        <item x="3192"/>
        <item x="2288"/>
        <item x="3044"/>
        <item x="3294"/>
        <item x="649"/>
        <item x="2019"/>
        <item x="2397"/>
        <item x="951"/>
        <item x="90"/>
        <item x="2236"/>
        <item x="3004"/>
        <item x="878"/>
        <item x="3147"/>
        <item x="1638"/>
        <item x="2488"/>
        <item x="401"/>
        <item x="2463"/>
        <item x="1030"/>
        <item x="2696"/>
        <item x="4820"/>
        <item x="2554"/>
        <item x="1864"/>
        <item x="4155"/>
        <item x="457"/>
        <item x="279"/>
        <item x="2724"/>
        <item x="4600"/>
        <item x="3112"/>
        <item x="4618"/>
        <item x="3287"/>
        <item x="4440"/>
        <item x="1563"/>
        <item x="2088"/>
        <item x="3407"/>
        <item x="3939"/>
        <item x="1289"/>
        <item x="2779"/>
        <item x="3446"/>
        <item x="4150"/>
        <item x="3454"/>
        <item x="4821"/>
        <item x="2879"/>
        <item x="679"/>
        <item x="345"/>
        <item x="2873"/>
        <item x="1539"/>
        <item x="1969"/>
        <item x="4266"/>
        <item x="4857"/>
        <item x="597"/>
        <item x="467"/>
        <item x="2760"/>
        <item x="661"/>
        <item x="1264"/>
        <item x="575"/>
        <item x="3666"/>
        <item x="2182"/>
        <item x="1409"/>
        <item x="2632"/>
        <item x="252"/>
        <item x="2118"/>
        <item x="801"/>
        <item x="4860"/>
        <item x="2096"/>
        <item x="283"/>
        <item x="3491"/>
        <item x="4126"/>
        <item x="3756"/>
        <item x="871"/>
        <item x="2683"/>
        <item x="3511"/>
        <item x="2439"/>
        <item x="4190"/>
        <item x="379"/>
        <item x="1033"/>
        <item x="493"/>
        <item x="4054"/>
        <item x="3639"/>
        <item x="1970"/>
        <item x="1246"/>
        <item x="3979"/>
        <item x="3205"/>
        <item x="445"/>
        <item x="1562"/>
        <item x="2781"/>
        <item x="1644"/>
        <item x="1168"/>
        <item x="1237"/>
        <item x="3830"/>
        <item x="4096"/>
        <item x="511"/>
        <item x="1084"/>
        <item x="4192"/>
        <item x="1540"/>
        <item x="429"/>
        <item x="1554"/>
        <item x="3935"/>
        <item x="825"/>
        <item x="3735"/>
        <item x="2339"/>
        <item x="2332"/>
        <item x="4081"/>
        <item x="908"/>
        <item x="3516"/>
        <item x="579"/>
        <item x="121"/>
        <item x="4113"/>
        <item x="1079"/>
        <item x="3618"/>
        <item x="4698"/>
        <item x="3160"/>
        <item x="1588"/>
        <item x="1402"/>
        <item x="1193"/>
        <item x="2633"/>
        <item x="373"/>
        <item x="4658"/>
        <item x="4723"/>
        <item x="651"/>
        <item x="1555"/>
        <item x="1164"/>
        <item x="2658"/>
        <item x="2944"/>
        <item x="1087"/>
        <item x="1590"/>
        <item x="2674"/>
        <item x="4544"/>
        <item x="3908"/>
        <item x="2695"/>
        <item x="4425"/>
        <item x="3449"/>
        <item x="3902"/>
        <item x="547"/>
        <item x="1491"/>
        <item x="3167"/>
        <item x="2018"/>
        <item x="4115"/>
        <item x="3867"/>
        <item x="2243"/>
        <item x="3551"/>
        <item x="3332"/>
        <item x="2374"/>
        <item x="3921"/>
        <item x="859"/>
        <item x="4759"/>
        <item x="444"/>
        <item x="3518"/>
        <item x="216"/>
        <item x="4786"/>
        <item x="2618"/>
        <item x="743"/>
        <item x="398"/>
        <item x="2411"/>
        <item x="4100"/>
        <item x="4415"/>
        <item x="670"/>
        <item x="1109"/>
        <item x="1009"/>
        <item x="1026"/>
        <item x="920"/>
        <item x="2850"/>
        <item x="1964"/>
        <item x="4058"/>
        <item x="4202"/>
        <item x="2248"/>
        <item x="1877"/>
        <item x="2129"/>
        <item x="1721"/>
        <item x="3773"/>
        <item x="3742"/>
        <item x="2536"/>
        <item x="396"/>
        <item x="1803"/>
        <item x="2957"/>
        <item x="4061"/>
        <item x="2570"/>
        <item x="1236"/>
        <item x="3724"/>
        <item x="1794"/>
        <item x="1695"/>
        <item x="3606"/>
        <item x="3213"/>
        <item x="3175"/>
        <item x="1823"/>
        <item x="593"/>
        <item x="2501"/>
        <item x="3554"/>
        <item x="644"/>
        <item x="456"/>
        <item x="831"/>
        <item x="3427"/>
        <item x="4430"/>
        <item x="3284"/>
        <item x="1605"/>
        <item x="1016"/>
        <item x="255"/>
        <item x="2343"/>
        <item x="4402"/>
        <item x="4535"/>
        <item x="2956"/>
        <item x="1449"/>
        <item x="3942"/>
        <item x="622"/>
        <item x="642"/>
        <item x="930"/>
        <item x="4853"/>
        <item x="2037"/>
        <item x="1690"/>
        <item x="397"/>
        <item x="370"/>
        <item x="3145"/>
        <item x="1338"/>
        <item x="2174"/>
        <item x="1071"/>
        <item x="2164"/>
        <item x="2923"/>
        <item x="3760"/>
        <item x="4220"/>
        <item x="2649"/>
        <item x="1732"/>
        <item x="2188"/>
        <item x="4446"/>
        <item x="3987"/>
        <item x="167"/>
        <item x="2201"/>
        <item x="1043"/>
        <item x="1275"/>
        <item x="662"/>
        <item x="4559"/>
        <item x="4428"/>
        <item x="1432"/>
        <item x="4468"/>
        <item x="4842"/>
        <item x="4554"/>
        <item x="2190"/>
        <item x="1477"/>
        <item x="3362"/>
        <item x="4358"/>
        <item x="718"/>
        <item x="911"/>
        <item x="2654"/>
        <item x="4183"/>
        <item x="4390"/>
        <item x="2072"/>
        <item x="4214"/>
        <item x="3171"/>
        <item x="3087"/>
        <item t="default"/>
      </items>
    </pivotField>
    <pivotField numFmtId="44" showAll="0"/>
    <pivotField numFmtId="44" showAll="0"/>
    <pivotField showAll="0" defaultSubtotal="0"/>
    <pivotField showAll="0" defaultSubtotal="0">
      <items count="6">
        <item x="0"/>
        <item x="1"/>
        <item x="2"/>
        <item x="3"/>
        <item x="4"/>
        <item x="5"/>
      </items>
    </pivotField>
    <pivotField showAll="0" defaultSubtotal="0">
      <items count="5">
        <item x="0"/>
        <item x="1"/>
        <item x="2"/>
        <item x="3"/>
        <item x="4"/>
      </items>
    </pivotField>
  </pivotFields>
  <rowFields count="1">
    <field x="4"/>
  </rowFields>
  <rowItems count="6">
    <i>
      <x/>
    </i>
    <i>
      <x v="1"/>
    </i>
    <i>
      <x v="2"/>
    </i>
    <i>
      <x v="3"/>
    </i>
    <i>
      <x v="4"/>
    </i>
    <i t="grand">
      <x/>
    </i>
  </rowItems>
  <colItems count="1">
    <i/>
  </colItems>
  <dataFields count="1">
    <dataField name="Sum of Quantity" fld="8" baseField="0" baseItem="0"/>
  </dataFields>
  <chartFormats count="1">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4E2558-62C9-0147-94D1-521A5DDA3B8F}" name="PivotTable7" cacheId="4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F25:G38" firstHeaderRow="1" firstDataRow="1" firstDataCol="1"/>
  <pivotFields count="14">
    <pivotField showAll="0"/>
    <pivotField numFmtId="14" showAll="0">
      <items count="731">
        <item x="347"/>
        <item x="63"/>
        <item x="470"/>
        <item x="636"/>
        <item x="346"/>
        <item x="183"/>
        <item x="244"/>
        <item x="278"/>
        <item x="39"/>
        <item x="289"/>
        <item x="14"/>
        <item x="358"/>
        <item x="88"/>
        <item x="484"/>
        <item x="629"/>
        <item x="41"/>
        <item x="272"/>
        <item x="708"/>
        <item x="345"/>
        <item x="621"/>
        <item x="208"/>
        <item x="140"/>
        <item x="612"/>
        <item x="31"/>
        <item x="139"/>
        <item x="487"/>
        <item x="528"/>
        <item x="75"/>
        <item x="610"/>
        <item x="281"/>
        <item x="648"/>
        <item x="210"/>
        <item x="572"/>
        <item x="465"/>
        <item x="602"/>
        <item x="287"/>
        <item x="303"/>
        <item x="129"/>
        <item x="729"/>
        <item x="1"/>
        <item x="194"/>
        <item x="450"/>
        <item x="673"/>
        <item x="170"/>
        <item x="513"/>
        <item x="161"/>
        <item x="251"/>
        <item x="24"/>
        <item x="237"/>
        <item x="224"/>
        <item x="534"/>
        <item x="600"/>
        <item x="506"/>
        <item x="478"/>
        <item x="532"/>
        <item x="286"/>
        <item x="274"/>
        <item x="703"/>
        <item x="415"/>
        <item x="298"/>
        <item x="33"/>
        <item x="249"/>
        <item x="124"/>
        <item x="135"/>
        <item x="173"/>
        <item x="340"/>
        <item x="271"/>
        <item x="591"/>
        <item x="675"/>
        <item x="254"/>
        <item x="366"/>
        <item x="214"/>
        <item x="150"/>
        <item x="480"/>
        <item x="174"/>
        <item x="61"/>
        <item x="592"/>
        <item x="393"/>
        <item x="564"/>
        <item x="462"/>
        <item x="712"/>
        <item x="25"/>
        <item x="122"/>
        <item x="107"/>
        <item x="582"/>
        <item x="215"/>
        <item x="530"/>
        <item x="455"/>
        <item x="277"/>
        <item x="615"/>
        <item x="112"/>
        <item x="526"/>
        <item x="552"/>
        <item x="339"/>
        <item x="613"/>
        <item x="297"/>
        <item x="166"/>
        <item x="614"/>
        <item x="596"/>
        <item x="279"/>
        <item x="491"/>
        <item x="634"/>
        <item x="119"/>
        <item x="15"/>
        <item x="620"/>
        <item x="691"/>
        <item x="344"/>
        <item x="322"/>
        <item x="495"/>
        <item x="203"/>
        <item x="65"/>
        <item x="575"/>
        <item x="481"/>
        <item x="126"/>
        <item x="607"/>
        <item x="43"/>
        <item x="581"/>
        <item x="58"/>
        <item x="123"/>
        <item x="619"/>
        <item x="229"/>
        <item x="327"/>
        <item x="463"/>
        <item x="533"/>
        <item x="489"/>
        <item x="319"/>
        <item x="545"/>
        <item x="569"/>
        <item x="190"/>
        <item x="151"/>
        <item x="69"/>
        <item x="683"/>
        <item x="285"/>
        <item x="699"/>
        <item x="486"/>
        <item x="407"/>
        <item x="7"/>
        <item x="361"/>
        <item x="169"/>
        <item x="413"/>
        <item x="571"/>
        <item x="707"/>
        <item x="234"/>
        <item x="414"/>
        <item x="658"/>
        <item x="320"/>
        <item x="354"/>
        <item x="662"/>
        <item x="696"/>
        <item x="472"/>
        <item x="197"/>
        <item x="654"/>
        <item x="231"/>
        <item x="364"/>
        <item x="290"/>
        <item x="45"/>
        <item x="188"/>
        <item x="96"/>
        <item x="423"/>
        <item x="283"/>
        <item x="368"/>
        <item x="87"/>
        <item x="625"/>
        <item x="221"/>
        <item x="6"/>
        <item x="295"/>
        <item x="628"/>
        <item x="725"/>
        <item x="128"/>
        <item x="143"/>
        <item x="396"/>
        <item x="728"/>
        <item x="113"/>
        <item x="417"/>
        <item x="456"/>
        <item x="605"/>
        <item x="223"/>
        <item x="590"/>
        <item x="163"/>
        <item x="66"/>
        <item x="637"/>
        <item x="164"/>
        <item x="441"/>
        <item x="265"/>
        <item x="394"/>
        <item x="445"/>
        <item x="574"/>
        <item x="464"/>
        <item x="537"/>
        <item x="59"/>
        <item x="377"/>
        <item x="722"/>
        <item x="106"/>
        <item x="182"/>
        <item x="539"/>
        <item x="661"/>
        <item x="11"/>
        <item x="387"/>
        <item x="153"/>
        <item x="536"/>
        <item x="247"/>
        <item x="315"/>
        <item x="507"/>
        <item x="424"/>
        <item x="453"/>
        <item x="608"/>
        <item x="227"/>
        <item x="26"/>
        <item x="115"/>
        <item x="531"/>
        <item x="385"/>
        <item x="511"/>
        <item x="609"/>
        <item x="383"/>
        <item x="558"/>
        <item x="663"/>
        <item x="540"/>
        <item x="546"/>
        <item x="483"/>
        <item x="543"/>
        <item x="593"/>
        <item x="499"/>
        <item x="71"/>
        <item x="192"/>
        <item x="616"/>
        <item x="241"/>
        <item x="360"/>
        <item x="452"/>
        <item x="727"/>
        <item x="91"/>
        <item x="13"/>
        <item x="10"/>
        <item x="585"/>
        <item x="512"/>
        <item x="125"/>
        <item x="17"/>
        <item x="426"/>
        <item x="384"/>
        <item x="438"/>
        <item x="475"/>
        <item x="647"/>
        <item x="276"/>
        <item x="514"/>
        <item x="23"/>
        <item x="399"/>
        <item x="379"/>
        <item x="611"/>
        <item x="420"/>
        <item x="74"/>
        <item x="133"/>
        <item x="248"/>
        <item x="252"/>
        <item x="447"/>
        <item x="718"/>
        <item x="454"/>
        <item x="579"/>
        <item x="313"/>
        <item x="446"/>
        <item x="30"/>
        <item x="405"/>
        <item x="476"/>
        <item x="692"/>
        <item x="429"/>
        <item x="130"/>
        <item x="37"/>
        <item x="443"/>
        <item x="685"/>
        <item x="22"/>
        <item x="444"/>
        <item x="382"/>
        <item x="239"/>
        <item x="595"/>
        <item x="655"/>
        <item x="332"/>
        <item x="624"/>
        <item x="578"/>
        <item x="659"/>
        <item x="111"/>
        <item x="684"/>
        <item x="373"/>
        <item x="180"/>
        <item x="367"/>
        <item x="565"/>
        <item x="598"/>
        <item x="580"/>
        <item x="563"/>
        <item x="116"/>
        <item x="222"/>
        <item x="176"/>
        <item x="622"/>
        <item x="541"/>
        <item x="204"/>
        <item x="671"/>
        <item x="498"/>
        <item x="492"/>
        <item x="79"/>
        <item x="701"/>
        <item x="8"/>
        <item x="716"/>
        <item x="316"/>
        <item x="299"/>
        <item x="503"/>
        <item x="104"/>
        <item x="156"/>
        <item x="632"/>
        <item x="262"/>
        <item x="27"/>
        <item x="398"/>
        <item x="561"/>
        <item x="35"/>
        <item x="640"/>
        <item x="380"/>
        <item x="428"/>
        <item x="235"/>
        <item x="191"/>
        <item x="409"/>
        <item x="400"/>
        <item x="195"/>
        <item x="321"/>
        <item x="466"/>
        <item x="102"/>
        <item x="34"/>
        <item x="2"/>
        <item x="308"/>
        <item x="477"/>
        <item x="547"/>
        <item x="550"/>
        <item x="336"/>
        <item x="353"/>
        <item x="723"/>
        <item x="549"/>
        <item x="378"/>
        <item x="493"/>
        <item x="635"/>
        <item x="721"/>
        <item x="310"/>
        <item x="211"/>
        <item x="202"/>
        <item x="642"/>
        <item x="430"/>
        <item x="189"/>
        <item x="232"/>
        <item x="365"/>
        <item x="359"/>
        <item x="559"/>
        <item x="132"/>
        <item x="213"/>
        <item x="668"/>
        <item x="199"/>
        <item x="76"/>
        <item x="391"/>
        <item x="220"/>
        <item x="695"/>
        <item x="101"/>
        <item x="524"/>
        <item x="282"/>
        <item x="656"/>
        <item x="305"/>
        <item x="535"/>
        <item x="525"/>
        <item x="160"/>
        <item x="390"/>
        <item x="529"/>
        <item x="362"/>
        <item x="500"/>
        <item x="200"/>
        <item x="64"/>
        <item x="687"/>
        <item x="261"/>
        <item x="389"/>
        <item x="206"/>
        <item x="504"/>
        <item x="714"/>
        <item x="50"/>
        <item x="184"/>
        <item x="617"/>
        <item x="678"/>
        <item x="425"/>
        <item x="216"/>
        <item x="253"/>
        <item x="168"/>
        <item x="451"/>
        <item x="80"/>
        <item x="515"/>
        <item x="264"/>
        <item x="323"/>
        <item x="623"/>
        <item x="402"/>
        <item x="296"/>
        <item x="19"/>
        <item x="416"/>
        <item x="325"/>
        <item x="233"/>
        <item x="57"/>
        <item x="633"/>
        <item x="291"/>
        <item x="717"/>
        <item x="459"/>
        <item x="689"/>
        <item x="343"/>
        <item x="334"/>
        <item x="679"/>
        <item x="410"/>
        <item x="586"/>
        <item x="47"/>
        <item x="293"/>
        <item x="594"/>
        <item x="381"/>
        <item x="154"/>
        <item x="653"/>
        <item x="131"/>
        <item x="95"/>
        <item x="627"/>
        <item x="198"/>
        <item x="18"/>
        <item x="562"/>
        <item x="431"/>
        <item x="117"/>
        <item x="698"/>
        <item x="20"/>
        <item x="109"/>
        <item x="138"/>
        <item x="440"/>
        <item x="127"/>
        <item x="567"/>
        <item x="589"/>
        <item x="645"/>
        <item x="485"/>
        <item x="55"/>
        <item x="474"/>
        <item x="433"/>
        <item x="401"/>
        <item x="9"/>
        <item x="421"/>
        <item x="228"/>
        <item x="521"/>
        <item x="542"/>
        <item x="141"/>
        <item x="694"/>
        <item x="98"/>
        <item x="705"/>
        <item x="523"/>
        <item x="584"/>
        <item x="186"/>
        <item x="570"/>
        <item x="724"/>
        <item x="693"/>
        <item x="479"/>
        <item x="159"/>
        <item x="392"/>
        <item x="348"/>
        <item x="482"/>
        <item x="626"/>
        <item x="56"/>
        <item x="105"/>
        <item x="551"/>
        <item x="167"/>
        <item x="318"/>
        <item x="312"/>
        <item x="89"/>
        <item x="162"/>
        <item x="54"/>
        <item x="704"/>
        <item x="341"/>
        <item x="715"/>
        <item x="185"/>
        <item x="259"/>
        <item x="518"/>
        <item x="46"/>
        <item x="165"/>
        <item x="372"/>
        <item x="553"/>
        <item x="181"/>
        <item x="501"/>
        <item x="660"/>
        <item x="288"/>
        <item x="108"/>
        <item x="403"/>
        <item x="275"/>
        <item x="242"/>
        <item x="267"/>
        <item x="351"/>
        <item x="371"/>
        <item x="284"/>
        <item x="356"/>
        <item x="236"/>
        <item x="5"/>
        <item x="508"/>
        <item x="67"/>
        <item x="666"/>
        <item x="638"/>
        <item x="680"/>
        <item x="631"/>
        <item x="568"/>
        <item x="225"/>
        <item x="670"/>
        <item x="510"/>
        <item x="644"/>
        <item x="330"/>
        <item x="99"/>
        <item x="395"/>
        <item x="246"/>
        <item x="335"/>
        <item x="317"/>
        <item x="557"/>
        <item x="548"/>
        <item x="337"/>
        <item x="51"/>
        <item x="256"/>
        <item x="83"/>
        <item x="630"/>
        <item x="42"/>
        <item x="560"/>
        <item x="643"/>
        <item x="85"/>
        <item x="134"/>
        <item x="171"/>
        <item x="650"/>
        <item x="82"/>
        <item x="352"/>
        <item x="0"/>
        <item x="38"/>
        <item x="155"/>
        <item x="505"/>
        <item x="461"/>
        <item x="121"/>
        <item x="78"/>
        <item x="245"/>
        <item x="48"/>
        <item x="713"/>
        <item x="460"/>
        <item x="411"/>
        <item x="268"/>
        <item x="604"/>
        <item x="408"/>
        <item x="516"/>
        <item x="243"/>
        <item x="719"/>
        <item x="270"/>
        <item x="120"/>
        <item x="328"/>
        <item x="350"/>
        <item x="473"/>
        <item x="682"/>
        <item x="273"/>
        <item x="538"/>
        <item x="406"/>
        <item x="280"/>
        <item x="555"/>
        <item x="302"/>
        <item x="44"/>
        <item x="103"/>
        <item x="599"/>
        <item x="212"/>
        <item x="260"/>
        <item x="436"/>
        <item x="448"/>
        <item x="676"/>
        <item x="657"/>
        <item x="77"/>
        <item x="497"/>
        <item x="664"/>
        <item x="527"/>
        <item x="720"/>
        <item x="646"/>
        <item x="157"/>
        <item x="142"/>
        <item x="412"/>
        <item x="53"/>
        <item x="554"/>
        <item x="172"/>
        <item x="641"/>
        <item x="397"/>
        <item x="697"/>
        <item x="374"/>
        <item x="36"/>
        <item x="300"/>
        <item x="217"/>
        <item x="700"/>
        <item x="179"/>
        <item x="152"/>
        <item x="49"/>
        <item x="324"/>
        <item x="137"/>
        <item x="690"/>
        <item x="230"/>
        <item x="517"/>
        <item x="375"/>
        <item x="566"/>
        <item x="458"/>
        <item x="304"/>
        <item x="32"/>
        <item x="205"/>
        <item x="369"/>
        <item x="266"/>
        <item x="522"/>
        <item x="3"/>
        <item x="301"/>
        <item x="333"/>
        <item x="488"/>
        <item x="314"/>
        <item x="92"/>
        <item x="468"/>
        <item x="28"/>
        <item x="177"/>
        <item x="490"/>
        <item x="652"/>
        <item x="158"/>
        <item x="146"/>
        <item x="651"/>
        <item x="294"/>
        <item x="726"/>
        <item x="263"/>
        <item x="292"/>
        <item x="62"/>
        <item x="196"/>
        <item x="21"/>
        <item x="587"/>
        <item x="467"/>
        <item x="250"/>
        <item x="110"/>
        <item x="388"/>
        <item x="331"/>
        <item x="442"/>
        <item x="496"/>
        <item x="688"/>
        <item x="386"/>
        <item x="667"/>
        <item x="674"/>
        <item x="669"/>
        <item x="307"/>
        <item x="114"/>
        <item x="329"/>
        <item x="597"/>
        <item x="639"/>
        <item x="449"/>
        <item x="175"/>
        <item x="665"/>
        <item x="311"/>
        <item x="603"/>
        <item x="434"/>
        <item x="97"/>
        <item x="207"/>
        <item x="502"/>
        <item x="544"/>
        <item x="649"/>
        <item x="238"/>
        <item x="40"/>
        <item x="81"/>
        <item x="706"/>
        <item x="193"/>
        <item x="100"/>
        <item x="576"/>
        <item x="357"/>
        <item x="588"/>
        <item x="86"/>
        <item x="342"/>
        <item x="370"/>
        <item x="94"/>
        <item x="437"/>
        <item x="306"/>
        <item x="257"/>
        <item x="363"/>
        <item x="68"/>
        <item x="29"/>
        <item x="226"/>
        <item x="520"/>
        <item x="187"/>
        <item x="681"/>
        <item x="422"/>
        <item x="494"/>
        <item x="136"/>
        <item x="509"/>
        <item x="677"/>
        <item x="710"/>
        <item x="432"/>
        <item x="573"/>
        <item x="349"/>
        <item x="469"/>
        <item x="338"/>
        <item x="93"/>
        <item x="419"/>
        <item x="240"/>
        <item x="255"/>
        <item x="60"/>
        <item x="118"/>
        <item x="439"/>
        <item x="4"/>
        <item x="147"/>
        <item x="269"/>
        <item x="12"/>
        <item x="583"/>
        <item x="326"/>
        <item x="435"/>
        <item x="686"/>
        <item x="258"/>
        <item x="427"/>
        <item x="709"/>
        <item x="309"/>
        <item x="471"/>
        <item x="376"/>
        <item x="209"/>
        <item x="144"/>
        <item x="418"/>
        <item x="218"/>
        <item x="149"/>
        <item x="145"/>
        <item x="148"/>
        <item x="219"/>
        <item x="16"/>
        <item x="457"/>
        <item x="711"/>
        <item x="404"/>
        <item x="178"/>
        <item x="52"/>
        <item x="672"/>
        <item x="519"/>
        <item x="577"/>
        <item x="702"/>
        <item x="618"/>
        <item x="73"/>
        <item x="70"/>
        <item x="90"/>
        <item x="201"/>
        <item x="606"/>
        <item x="72"/>
        <item x="355"/>
        <item x="84"/>
        <item x="601"/>
        <item x="556"/>
        <item t="default"/>
      </items>
    </pivotField>
    <pivotField showAll="0"/>
    <pivotField showAll="0"/>
    <pivotField showAll="0">
      <items count="6">
        <item x="1"/>
        <item x="0"/>
        <item x="4"/>
        <item x="2"/>
        <item x="3"/>
        <item t="default"/>
      </items>
    </pivotField>
    <pivotField showAll="0">
      <items count="51">
        <item x="37"/>
        <item x="29"/>
        <item x="15"/>
        <item x="11"/>
        <item x="24"/>
        <item x="42"/>
        <item x="46"/>
        <item x="47"/>
        <item x="27"/>
        <item x="10"/>
        <item x="16"/>
        <item x="0"/>
        <item x="48"/>
        <item x="36"/>
        <item x="39"/>
        <item x="35"/>
        <item x="40"/>
        <item x="38"/>
        <item x="43"/>
        <item x="49"/>
        <item x="33"/>
        <item x="31"/>
        <item x="13"/>
        <item x="9"/>
        <item x="45"/>
        <item x="17"/>
        <item x="23"/>
        <item x="34"/>
        <item x="32"/>
        <item x="8"/>
        <item x="4"/>
        <item x="18"/>
        <item x="44"/>
        <item x="41"/>
        <item x="7"/>
        <item x="20"/>
        <item x="26"/>
        <item x="21"/>
        <item x="12"/>
        <item x="19"/>
        <item x="1"/>
        <item x="6"/>
        <item x="14"/>
        <item x="25"/>
        <item x="28"/>
        <item x="2"/>
        <item x="22"/>
        <item x="3"/>
        <item x="30"/>
        <item x="5"/>
        <item t="default"/>
      </items>
    </pivotField>
    <pivotField showAll="0">
      <items count="51">
        <item x="37"/>
        <item x="10"/>
        <item x="16"/>
        <item x="0"/>
        <item x="48"/>
        <item x="36"/>
        <item x="39"/>
        <item x="35"/>
        <item x="40"/>
        <item x="38"/>
        <item x="43"/>
        <item x="29"/>
        <item x="49"/>
        <item x="33"/>
        <item x="31"/>
        <item x="13"/>
        <item x="9"/>
        <item x="45"/>
        <item x="17"/>
        <item x="23"/>
        <item x="34"/>
        <item x="32"/>
        <item x="15"/>
        <item x="8"/>
        <item x="4"/>
        <item x="18"/>
        <item x="44"/>
        <item x="41"/>
        <item x="7"/>
        <item x="20"/>
        <item x="26"/>
        <item x="21"/>
        <item x="12"/>
        <item x="11"/>
        <item x="19"/>
        <item x="1"/>
        <item x="6"/>
        <item x="14"/>
        <item x="25"/>
        <item x="28"/>
        <item x="2"/>
        <item x="22"/>
        <item x="3"/>
        <item x="30"/>
        <item x="24"/>
        <item x="5"/>
        <item x="42"/>
        <item x="46"/>
        <item x="47"/>
        <item x="27"/>
        <item t="default"/>
      </items>
    </pivotField>
    <pivotField showAll="0">
      <items count="6">
        <item x="1"/>
        <item x="2"/>
        <item x="4"/>
        <item x="3"/>
        <item x="0"/>
        <item t="default"/>
      </items>
    </pivotField>
    <pivotField showAll="0"/>
    <pivotField numFmtId="44" showAll="0"/>
    <pivotField dataField="1" numFmtId="4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showAll="0">
      <items count="6">
        <item sd="0" x="0"/>
        <item x="1"/>
        <item sd="0" x="2"/>
        <item sd="0" x="3"/>
        <item sd="0" x="4"/>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Revenue" fld="10" baseField="0" baseItem="0" numFmtId="4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F733BD2F-5049-3D46-B97E-017D7CF5B8A7}" autoFormatId="16" applyNumberFormats="0" applyBorderFormats="0" applyFontFormats="0" applyPatternFormats="0" applyAlignmentFormats="0" applyWidthHeightFormats="0">
  <queryTableRefresh nextId="4">
    <queryTableFields count="3">
      <queryTableField id="1" name="Customer_ID" tableColumnId="1"/>
      <queryTableField id="2" name="Customer_Name" tableColumnId="2"/>
      <queryTableField id="3" name="Industry"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C1FE1323-F8C8-2C4D-A2EF-3D2C1AF063C7}" autoFormatId="16" applyNumberFormats="0" applyBorderFormats="0" applyFontFormats="0" applyPatternFormats="0" applyAlignmentFormats="0" applyWidthHeightFormats="0">
  <queryTableRefresh nextId="4">
    <queryTableFields count="3">
      <queryTableField id="1" name="Product_ID" tableColumnId="1"/>
      <queryTableField id="2" name="Product_Name" tableColumnId="2"/>
      <queryTableField id="3" name="Category"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F71CF3D1-B63A-2C47-BC5B-327D1AB0BF2A}" autoFormatId="16" applyNumberFormats="0" applyBorderFormats="0" applyFontFormats="0" applyPatternFormats="0" applyAlignmentFormats="0" applyWidthHeightFormats="0">
  <queryTableRefresh nextId="12">
    <queryTableFields count="11">
      <queryTableField id="1" name="Order_ID" tableColumnId="1"/>
      <queryTableField id="2" name="Date" tableColumnId="2"/>
      <queryTableField id="3" name="Customer_ID" tableColumnId="3"/>
      <queryTableField id="4" name="Customer_Name" tableColumnId="4"/>
      <queryTableField id="5" name="Industry" tableColumnId="5"/>
      <queryTableField id="6" name="Product_ID" tableColumnId="6"/>
      <queryTableField id="7" name="Product_Name" tableColumnId="7"/>
      <queryTableField id="8" name="Category" tableColumnId="8"/>
      <queryTableField id="9" name="Quantity" tableColumnId="9"/>
      <queryTableField id="10" name="Unit_Price" tableColumnId="10"/>
      <queryTableField id="11" name="Revenu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B0DF78FE-FC2E-134C-A739-67F92DE025D3}" sourceName="Quarters (Date)">
  <pivotTables>
    <pivotTable tabId="6" name="PivotTable8"/>
    <pivotTable tabId="6" name="PivotTable7"/>
    <pivotTable tabId="6" name="PivotTable9"/>
    <pivotTable tabId="6" name="PivotTable10"/>
  </pivotTables>
  <data>
    <tabular pivotCacheId="403102898">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CBD8ABCE-1F28-B645-A085-2F697F9BE0B8}" sourceName="Years (Date)">
  <pivotTables>
    <pivotTable tabId="6" name="PivotTable8"/>
    <pivotTable tabId="6" name="PivotTable7"/>
    <pivotTable tabId="6" name="PivotTable9"/>
    <pivotTable tabId="6" name="PivotTable10"/>
  </pivotTables>
  <data>
    <tabular pivotCacheId="403102898">
      <items count="5">
        <i x="1" s="1"/>
        <i x="2" s="1"/>
        <i x="0" s="1" nd="1"/>
        <i x="4"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2BDE5745-035A-734C-ABCB-310BBF330CDD}" sourceName="Industry">
  <pivotTables>
    <pivotTable tabId="10" name="PivotTable11"/>
    <pivotTable tabId="6" name="PivotTable10"/>
    <pivotTable tabId="6" name="PivotTable9"/>
    <pivotTable tabId="6" name="PivotTable7"/>
    <pivotTable tabId="6" name="PivotTable8"/>
    <pivotTable tabId="10" name="PivotTable12"/>
    <pivotTable tabId="10" name="PivotTable13"/>
    <pivotTable tabId="12" name="PivotTable14"/>
    <pivotTable tabId="12" name="PivotTable15"/>
    <pivotTable tabId="12" name="PivotTable16"/>
  </pivotTables>
  <data>
    <tabular pivotCacheId="403102898">
      <items count="5">
        <i x="1" s="1"/>
        <i x="0" s="1"/>
        <i x="4"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3426D041-91BA-FF4A-8E89-9F5A13FE9251}" sourceName="Product_ID">
  <pivotTables>
    <pivotTable tabId="12" name="PivotTable16"/>
    <pivotTable tabId="6" name="PivotTable10"/>
    <pivotTable tabId="6" name="PivotTable7"/>
    <pivotTable tabId="6" name="PivotTable8"/>
    <pivotTable tabId="6" name="PivotTable9"/>
    <pivotTable tabId="10" name="PivotTable11"/>
    <pivotTable tabId="10" name="PivotTable12"/>
    <pivotTable tabId="10" name="PivotTable13"/>
    <pivotTable tabId="12" name="PivotTable14"/>
    <pivotTable tabId="12" name="PivotTable15"/>
  </pivotTables>
  <data>
    <tabular pivotCacheId="403102898">
      <items count="50">
        <i x="37" s="1"/>
        <i x="29" s="1"/>
        <i x="15" s="1"/>
        <i x="11" s="1"/>
        <i x="24" s="1"/>
        <i x="42" s="1"/>
        <i x="46" s="1"/>
        <i x="47" s="1"/>
        <i x="27" s="1"/>
        <i x="10" s="1"/>
        <i x="16" s="1"/>
        <i x="0" s="1"/>
        <i x="48" s="1"/>
        <i x="36" s="1"/>
        <i x="39" s="1"/>
        <i x="35" s="1"/>
        <i x="40" s="1"/>
        <i x="38" s="1"/>
        <i x="43" s="1"/>
        <i x="49" s="1"/>
        <i x="33" s="1"/>
        <i x="31" s="1"/>
        <i x="13" s="1"/>
        <i x="9" s="1"/>
        <i x="45" s="1"/>
        <i x="17" s="1"/>
        <i x="23" s="1"/>
        <i x="34" s="1"/>
        <i x="32" s="1"/>
        <i x="8" s="1"/>
        <i x="4" s="1"/>
        <i x="18" s="1"/>
        <i x="44" s="1"/>
        <i x="41" s="1"/>
        <i x="7" s="1"/>
        <i x="20" s="1"/>
        <i x="26" s="1"/>
        <i x="21" s="1"/>
        <i x="12" s="1"/>
        <i x="19" s="1"/>
        <i x="1" s="1"/>
        <i x="6" s="1"/>
        <i x="14" s="1"/>
        <i x="25" s="1"/>
        <i x="28" s="1"/>
        <i x="2" s="1"/>
        <i x="22" s="1"/>
        <i x="3" s="1"/>
        <i x="30"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0D64020-97ED-2542-80EF-05594DA13DBB}" sourceName="Product_Name">
  <pivotTables>
    <pivotTable tabId="12" name="PivotTable16"/>
    <pivotTable tabId="6" name="PivotTable10"/>
    <pivotTable tabId="6" name="PivotTable9"/>
    <pivotTable tabId="6" name="PivotTable7"/>
    <pivotTable tabId="6" name="PivotTable8"/>
    <pivotTable tabId="10" name="PivotTable11"/>
    <pivotTable tabId="10" name="PivotTable12"/>
    <pivotTable tabId="10" name="PivotTable13"/>
    <pivotTable tabId="12" name="PivotTable14"/>
    <pivotTable tabId="12" name="PivotTable15"/>
  </pivotTables>
  <data>
    <tabular pivotCacheId="403102898">
      <items count="50">
        <i x="37" s="1"/>
        <i x="10" s="1"/>
        <i x="16" s="1"/>
        <i x="0" s="1"/>
        <i x="48" s="1"/>
        <i x="36" s="1"/>
        <i x="39" s="1"/>
        <i x="35" s="1"/>
        <i x="40" s="1"/>
        <i x="38" s="1"/>
        <i x="43" s="1"/>
        <i x="29" s="1"/>
        <i x="49" s="1"/>
        <i x="33" s="1"/>
        <i x="31" s="1"/>
        <i x="13" s="1"/>
        <i x="9" s="1"/>
        <i x="45" s="1"/>
        <i x="17" s="1"/>
        <i x="23" s="1"/>
        <i x="34" s="1"/>
        <i x="32" s="1"/>
        <i x="15" s="1"/>
        <i x="8" s="1"/>
        <i x="4" s="1"/>
        <i x="18" s="1"/>
        <i x="44" s="1"/>
        <i x="41" s="1"/>
        <i x="7" s="1"/>
        <i x="20" s="1"/>
        <i x="26" s="1"/>
        <i x="21" s="1"/>
        <i x="12" s="1"/>
        <i x="11" s="1"/>
        <i x="19" s="1"/>
        <i x="1" s="1"/>
        <i x="6" s="1"/>
        <i x="14" s="1"/>
        <i x="25" s="1"/>
        <i x="28" s="1"/>
        <i x="2" s="1"/>
        <i x="22" s="1"/>
        <i x="3" s="1"/>
        <i x="30" s="1"/>
        <i x="24" s="1"/>
        <i x="5" s="1"/>
        <i x="42" s="1"/>
        <i x="46" s="1"/>
        <i x="47" s="1"/>
        <i x="2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2DAAF69E-8E7F-5146-A720-7228A29F479B}" sourceName="Category">
  <pivotTables>
    <pivotTable tabId="12" name="PivotTable16"/>
    <pivotTable tabId="6" name="PivotTable10"/>
    <pivotTable tabId="6" name="PivotTable9"/>
    <pivotTable tabId="6" name="PivotTable7"/>
    <pivotTable tabId="6" name="PivotTable8"/>
    <pivotTable tabId="10" name="PivotTable11"/>
    <pivotTable tabId="10" name="PivotTable12"/>
    <pivotTable tabId="10" name="PivotTable13"/>
    <pivotTable tabId="12" name="PivotTable14"/>
    <pivotTable tabId="12" name="PivotTable15"/>
  </pivotTables>
  <data>
    <tabular pivotCacheId="403102898">
      <items count="5">
        <i x="1" s="1"/>
        <i x="2"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Date)" xr10:uid="{D3D0087F-60B9-594F-B9CA-4BC35E9EEE4C}" cache="Slicer_Quarters__Date" caption="Quarters (Date)" rowHeight="251883"/>
  <slicer name="Years (Date) 1" xr10:uid="{1B06ADD9-512E-8B45-85AE-E590855DA87E}" cache="Slicer_Years__Date1" caption="Years (Date)" rowHeight="251883"/>
  <slicer name="Industry 1" xr10:uid="{54D7AC37-0D2B-A54E-8B24-BDB3A1F64740}" cache="Slicer_Industry" caption="Industry" rowHeight="251883"/>
  <slicer name="Product_Name 1" xr10:uid="{506E9B15-F7EA-C442-9711-419C4B022687}" cache="Slicer_Product_Name" caption="Product_Name" startItem="10" rowHeight="251883"/>
  <slicer name="Category" xr10:uid="{7E0DFC7D-4B7F-B049-8C39-3F88B22C83EE}" cache="Slicer_Category2" caption="Category" style="SlicerStyleLight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21C75177-2F72-404F-948F-1ACD3683389C}" cache="Slicer_Industry" caption="Industry" style="SlicerStyleOther1" rowHeight="251883"/>
  <slicer name="Category 1" xr10:uid="{A1F93B20-06BD-D94B-A3EA-9BFBE1C50347}" cache="Slicer_Category2" caption="Category" style="SlicerStyleOther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ID" xr10:uid="{79A3C353-3F80-E540-89F6-DCC1AC8D8500}" cache="Slicer_Product_ID" caption="Product_ID" rowHeight="251883"/>
  <slicer name="Product_Name" xr10:uid="{D6CC3755-7292-1941-9CE1-B9BAC6E3F737}" cache="Slicer_Product_Name" caption="Product_Name" rowHeight="251883"/>
  <slicer name="Category 2" xr10:uid="{7B1B6EB6-17E4-5640-9110-FEEC75E6D120}" cache="Slicer_Category2" caption="Category"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F61BAB-BE36-5748-9B8E-C410173DA20C}" name="customers_500" displayName="customers_500" ref="A1:C501" tableType="queryTable" totalsRowShown="0">
  <autoFilter ref="A1:C501" xr:uid="{D6F61BAB-BE36-5748-9B8E-C410173DA20C}"/>
  <tableColumns count="3">
    <tableColumn id="1" xr3:uid="{333638A4-A2A3-9E4A-85E5-07AC49B25CCD}" uniqueName="1" name="Customer_ID" queryTableFieldId="1" dataDxfId="3"/>
    <tableColumn id="2" xr3:uid="{456220A7-220A-BC47-B554-2BA57AC5890F}" uniqueName="2" name="Customer_Name" queryTableFieldId="2" dataDxfId="2"/>
    <tableColumn id="3" xr3:uid="{6DCB93B2-0ABE-694B-8677-8F888DD0B39E}" uniqueName="3" name="Industry" queryTableFieldId="3"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C97645-EDF1-9C47-9200-2FC4AEDC9790}" name="products_50" displayName="products_50" ref="A1:C51" tableType="queryTable" totalsRowShown="0">
  <autoFilter ref="A1:C51" xr:uid="{1FC97645-EDF1-9C47-9200-2FC4AEDC9790}"/>
  <tableColumns count="3">
    <tableColumn id="1" xr3:uid="{ED199504-3DEF-6E42-9A14-A6117264873B}" uniqueName="1" name="Product_ID" queryTableFieldId="1" dataDxfId="6"/>
    <tableColumn id="2" xr3:uid="{679593A3-DCFE-284A-862F-EF49F6C8CB99}" uniqueName="2" name="Product_Name" queryTableFieldId="2" dataDxfId="5"/>
    <tableColumn id="3" xr3:uid="{C05CA9AB-9914-C844-BF9E-0113C7C1C836}" uniqueName="3" name="Category" queryTableFieldId="3"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429079-87C9-4141-AAB1-F2DCC1D9AFC8}" name="sales_5000" displayName="sales_5000" ref="A1:K5001" tableType="queryTable" totalsRowShown="0">
  <autoFilter ref="A1:K5001" xr:uid="{B4429079-87C9-4141-AAB1-F2DCC1D9AFC8}"/>
  <tableColumns count="11">
    <tableColumn id="1" xr3:uid="{1EC6EA65-5DD8-1844-90DE-81F680DA496C}" uniqueName="1" name="Order_ID" queryTableFieldId="1" dataDxfId="13"/>
    <tableColumn id="2" xr3:uid="{36EA42AA-E45D-8747-B645-8EB4AD4D8CA0}" uniqueName="2" name="Date" queryTableFieldId="2" dataDxfId="12"/>
    <tableColumn id="3" xr3:uid="{00A08B61-BDCC-CD45-AA83-7866392086C9}" uniqueName="3" name="Customer_ID" queryTableFieldId="3" dataDxfId="11"/>
    <tableColumn id="4" xr3:uid="{BF69030A-E203-C340-B64F-597B7BB8F760}" uniqueName="4" name="Customer_Name" queryTableFieldId="4" dataDxfId="10"/>
    <tableColumn id="5" xr3:uid="{76C436FD-9A6B-F144-A1C5-1FF28E2734DB}" uniqueName="5" name="Industry" queryTableFieldId="5" dataDxfId="9"/>
    <tableColumn id="6" xr3:uid="{7AA24731-2BCD-F445-A854-767EC5A7F19F}" uniqueName="6" name="Product_ID" queryTableFieldId="6" dataDxfId="8"/>
    <tableColumn id="7" xr3:uid="{DA591D0C-BB75-0F43-ABF1-76E0DB2C3EF0}" uniqueName="7" name="Product_Name" queryTableFieldId="7" dataDxfId="7"/>
    <tableColumn id="8" xr3:uid="{471DC365-C4DB-954E-8BC1-EDD45DA81E70}" uniqueName="8" name="Category" queryTableFieldId="8" dataDxfId="0"/>
    <tableColumn id="9" xr3:uid="{904CEA34-F95E-9442-A87F-8ECBE6E9F4CB}" uniqueName="9" name="Quantity" queryTableFieldId="9"/>
    <tableColumn id="10" xr3:uid="{6A7B2F4C-4998-BA4C-96F0-6B7C4D38880A}" uniqueName="10" name="Unit_Price" queryTableFieldId="10" dataCellStyle="Currency"/>
    <tableColumn id="11" xr3:uid="{998D85D7-89CA-1C40-A24B-DDD24349866B}" uniqueName="11" name="Revenue" queryTableFieldId="11" dataCellStyle="Currency"/>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C0E6440F-1048-EA47-AC62-E1547F89095B}" sourceName="Date">
  <pivotTables>
    <pivotTable tabId="6" name="PivotTable7"/>
    <pivotTable tabId="6" name="PivotTable8"/>
    <pivotTable tabId="6" name="PivotTable9"/>
  </pivotTables>
  <state minimalRefreshVersion="6" lastRefreshVersion="6" pivotCacheId="403102898"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EBB4B211-81F7-5D46-A0A1-D29958CBCB94}" cache="NativeTimeline_Date1" caption="Date" level="2" selectionLevel="2" scrollPosition="2026-05-1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B8D95-8050-794A-82E9-99C118B08A8F}">
  <dimension ref="A1:C501"/>
  <sheetViews>
    <sheetView tabSelected="1" workbookViewId="0">
      <selection activeCell="F13" sqref="F13:G13"/>
    </sheetView>
  </sheetViews>
  <sheetFormatPr baseColWidth="10" defaultRowHeight="16" x14ac:dyDescent="0.2"/>
  <cols>
    <col min="1" max="1" width="14.6640625" customWidth="1"/>
    <col min="2" max="2" width="17.83203125" customWidth="1"/>
    <col min="3" max="3" width="25.5" customWidth="1"/>
    <col min="6" max="6" width="16.83203125" bestFit="1" customWidth="1"/>
    <col min="8" max="8" width="31.5" bestFit="1" customWidth="1"/>
  </cols>
  <sheetData>
    <row r="1" spans="1:3" x14ac:dyDescent="0.2">
      <c r="A1" t="s">
        <v>2</v>
      </c>
      <c r="B1" t="s">
        <v>3</v>
      </c>
      <c r="C1" t="s">
        <v>4</v>
      </c>
    </row>
    <row r="2" spans="1:3" x14ac:dyDescent="0.2">
      <c r="A2" s="1" t="s">
        <v>2807</v>
      </c>
      <c r="B2" s="1" t="s">
        <v>2808</v>
      </c>
      <c r="C2" s="1" t="s">
        <v>37</v>
      </c>
    </row>
    <row r="3" spans="1:3" x14ac:dyDescent="0.2">
      <c r="A3" s="1" t="s">
        <v>1237</v>
      </c>
      <c r="B3" s="1" t="s">
        <v>1238</v>
      </c>
      <c r="C3" s="1" t="s">
        <v>34</v>
      </c>
    </row>
    <row r="4" spans="1:3" x14ac:dyDescent="0.2">
      <c r="A4" s="1" t="s">
        <v>538</v>
      </c>
      <c r="B4" s="1" t="s">
        <v>539</v>
      </c>
      <c r="C4" s="1" t="s">
        <v>21</v>
      </c>
    </row>
    <row r="5" spans="1:3" x14ac:dyDescent="0.2">
      <c r="A5" s="1" t="s">
        <v>716</v>
      </c>
      <c r="B5" s="1" t="s">
        <v>717</v>
      </c>
      <c r="C5" s="1" t="s">
        <v>34</v>
      </c>
    </row>
    <row r="6" spans="1:3" x14ac:dyDescent="0.2">
      <c r="A6" s="1" t="s">
        <v>1567</v>
      </c>
      <c r="B6" s="1" t="s">
        <v>1568</v>
      </c>
      <c r="C6" s="1" t="s">
        <v>34</v>
      </c>
    </row>
    <row r="7" spans="1:3" x14ac:dyDescent="0.2">
      <c r="A7" s="1" t="s">
        <v>1261</v>
      </c>
      <c r="B7" s="1" t="s">
        <v>1262</v>
      </c>
      <c r="C7" s="1" t="s">
        <v>28</v>
      </c>
    </row>
    <row r="8" spans="1:3" x14ac:dyDescent="0.2">
      <c r="A8" s="1" t="s">
        <v>2481</v>
      </c>
      <c r="B8" s="1" t="s">
        <v>2482</v>
      </c>
      <c r="C8" s="1" t="s">
        <v>21</v>
      </c>
    </row>
    <row r="9" spans="1:3" x14ac:dyDescent="0.2">
      <c r="A9" s="1" t="s">
        <v>400</v>
      </c>
      <c r="B9" s="1" t="s">
        <v>401</v>
      </c>
      <c r="C9" s="1" t="s">
        <v>21</v>
      </c>
    </row>
    <row r="10" spans="1:3" x14ac:dyDescent="0.2">
      <c r="A10" s="1" t="s">
        <v>198</v>
      </c>
      <c r="B10" s="1" t="s">
        <v>199</v>
      </c>
      <c r="C10" s="1" t="s">
        <v>21</v>
      </c>
    </row>
    <row r="11" spans="1:3" x14ac:dyDescent="0.2">
      <c r="A11" s="1" t="s">
        <v>857</v>
      </c>
      <c r="B11" s="1" t="s">
        <v>858</v>
      </c>
      <c r="C11" s="1" t="s">
        <v>34</v>
      </c>
    </row>
    <row r="12" spans="1:3" x14ac:dyDescent="0.2">
      <c r="A12" s="1" t="s">
        <v>137</v>
      </c>
      <c r="B12" s="1" t="s">
        <v>138</v>
      </c>
      <c r="C12" s="1" t="s">
        <v>37</v>
      </c>
    </row>
    <row r="13" spans="1:3" x14ac:dyDescent="0.2">
      <c r="A13" s="1" t="s">
        <v>1810</v>
      </c>
      <c r="B13" s="1" t="s">
        <v>1811</v>
      </c>
      <c r="C13" s="1" t="s">
        <v>21</v>
      </c>
    </row>
    <row r="14" spans="1:3" x14ac:dyDescent="0.2">
      <c r="A14" s="1" t="s">
        <v>359</v>
      </c>
      <c r="B14" s="1" t="s">
        <v>360</v>
      </c>
      <c r="C14" s="1" t="s">
        <v>34</v>
      </c>
    </row>
    <row r="15" spans="1:3" x14ac:dyDescent="0.2">
      <c r="A15" s="1" t="s">
        <v>543</v>
      </c>
      <c r="B15" s="1" t="s">
        <v>544</v>
      </c>
      <c r="C15" s="1" t="s">
        <v>28</v>
      </c>
    </row>
    <row r="16" spans="1:3" x14ac:dyDescent="0.2">
      <c r="A16" s="1" t="s">
        <v>101</v>
      </c>
      <c r="B16" s="1" t="s">
        <v>102</v>
      </c>
      <c r="C16" s="1" t="s">
        <v>37</v>
      </c>
    </row>
    <row r="17" spans="1:3" x14ac:dyDescent="0.2">
      <c r="A17" s="1" t="s">
        <v>678</v>
      </c>
      <c r="B17" s="1" t="s">
        <v>679</v>
      </c>
      <c r="C17" s="1" t="s">
        <v>28</v>
      </c>
    </row>
    <row r="18" spans="1:3" x14ac:dyDescent="0.2">
      <c r="A18" s="1" t="s">
        <v>563</v>
      </c>
      <c r="B18" s="1" t="s">
        <v>564</v>
      </c>
      <c r="C18" s="1" t="s">
        <v>37</v>
      </c>
    </row>
    <row r="19" spans="1:3" x14ac:dyDescent="0.2">
      <c r="A19" s="1" t="s">
        <v>1337</v>
      </c>
      <c r="B19" s="1" t="s">
        <v>1338</v>
      </c>
      <c r="C19" s="1" t="s">
        <v>34</v>
      </c>
    </row>
    <row r="20" spans="1:3" x14ac:dyDescent="0.2">
      <c r="A20" s="1" t="s">
        <v>371</v>
      </c>
      <c r="B20" s="1" t="s">
        <v>372</v>
      </c>
      <c r="C20" s="1" t="s">
        <v>14</v>
      </c>
    </row>
    <row r="21" spans="1:3" x14ac:dyDescent="0.2">
      <c r="A21" s="1" t="s">
        <v>345</v>
      </c>
      <c r="B21" s="1" t="s">
        <v>346</v>
      </c>
      <c r="C21" s="1" t="s">
        <v>37</v>
      </c>
    </row>
    <row r="22" spans="1:3" x14ac:dyDescent="0.2">
      <c r="A22" s="1" t="s">
        <v>1340</v>
      </c>
      <c r="B22" s="1" t="s">
        <v>1341</v>
      </c>
      <c r="C22" s="1" t="s">
        <v>28</v>
      </c>
    </row>
    <row r="23" spans="1:3" x14ac:dyDescent="0.2">
      <c r="A23" s="1" t="s">
        <v>1197</v>
      </c>
      <c r="B23" s="1" t="s">
        <v>1198</v>
      </c>
      <c r="C23" s="1" t="s">
        <v>34</v>
      </c>
    </row>
    <row r="24" spans="1:3" x14ac:dyDescent="0.2">
      <c r="A24" s="1" t="s">
        <v>1201</v>
      </c>
      <c r="B24" s="1" t="s">
        <v>1202</v>
      </c>
      <c r="C24" s="1" t="s">
        <v>37</v>
      </c>
    </row>
    <row r="25" spans="1:3" x14ac:dyDescent="0.2">
      <c r="A25" s="1" t="s">
        <v>2785</v>
      </c>
      <c r="B25" s="1" t="s">
        <v>2786</v>
      </c>
      <c r="C25" s="1" t="s">
        <v>14</v>
      </c>
    </row>
    <row r="26" spans="1:3" x14ac:dyDescent="0.2">
      <c r="A26" s="1" t="s">
        <v>1708</v>
      </c>
      <c r="B26" s="1" t="s">
        <v>1709</v>
      </c>
      <c r="C26" s="1" t="s">
        <v>14</v>
      </c>
    </row>
    <row r="27" spans="1:3" x14ac:dyDescent="0.2">
      <c r="A27" s="1" t="s">
        <v>860</v>
      </c>
      <c r="B27" s="1" t="s">
        <v>861</v>
      </c>
      <c r="C27" s="1" t="s">
        <v>21</v>
      </c>
    </row>
    <row r="28" spans="1:3" x14ac:dyDescent="0.2">
      <c r="A28" s="1" t="s">
        <v>1125</v>
      </c>
      <c r="B28" s="1" t="s">
        <v>1126</v>
      </c>
      <c r="C28" s="1" t="s">
        <v>21</v>
      </c>
    </row>
    <row r="29" spans="1:3" x14ac:dyDescent="0.2">
      <c r="A29" s="1" t="s">
        <v>602</v>
      </c>
      <c r="B29" s="1" t="s">
        <v>603</v>
      </c>
      <c r="C29" s="1" t="s">
        <v>28</v>
      </c>
    </row>
    <row r="30" spans="1:3" x14ac:dyDescent="0.2">
      <c r="A30" s="1" t="s">
        <v>147</v>
      </c>
      <c r="B30" s="1" t="s">
        <v>148</v>
      </c>
      <c r="C30" s="1" t="s">
        <v>37</v>
      </c>
    </row>
    <row r="31" spans="1:3" x14ac:dyDescent="0.2">
      <c r="A31" s="1" t="s">
        <v>2467</v>
      </c>
      <c r="B31" s="1" t="s">
        <v>2468</v>
      </c>
      <c r="C31" s="1" t="s">
        <v>37</v>
      </c>
    </row>
    <row r="32" spans="1:3" x14ac:dyDescent="0.2">
      <c r="A32" s="1" t="s">
        <v>1161</v>
      </c>
      <c r="B32" s="1" t="s">
        <v>1162</v>
      </c>
      <c r="C32" s="1" t="s">
        <v>21</v>
      </c>
    </row>
    <row r="33" spans="1:3" x14ac:dyDescent="0.2">
      <c r="A33" s="1" t="s">
        <v>913</v>
      </c>
      <c r="B33" s="1" t="s">
        <v>914</v>
      </c>
      <c r="C33" s="1" t="s">
        <v>37</v>
      </c>
    </row>
    <row r="34" spans="1:3" x14ac:dyDescent="0.2">
      <c r="A34" s="1" t="s">
        <v>599</v>
      </c>
      <c r="B34" s="1" t="s">
        <v>600</v>
      </c>
      <c r="C34" s="1" t="s">
        <v>37</v>
      </c>
    </row>
    <row r="35" spans="1:3" x14ac:dyDescent="0.2">
      <c r="A35" s="1" t="s">
        <v>106</v>
      </c>
      <c r="B35" s="1" t="s">
        <v>107</v>
      </c>
      <c r="C35" s="1" t="s">
        <v>14</v>
      </c>
    </row>
    <row r="36" spans="1:3" x14ac:dyDescent="0.2">
      <c r="A36" s="1" t="s">
        <v>1295</v>
      </c>
      <c r="B36" s="1" t="s">
        <v>1296</v>
      </c>
      <c r="C36" s="1" t="s">
        <v>21</v>
      </c>
    </row>
    <row r="37" spans="1:3" x14ac:dyDescent="0.2">
      <c r="A37" s="1" t="s">
        <v>187</v>
      </c>
      <c r="B37" s="1" t="s">
        <v>188</v>
      </c>
      <c r="C37" s="1" t="s">
        <v>34</v>
      </c>
    </row>
    <row r="38" spans="1:3" x14ac:dyDescent="0.2">
      <c r="A38" s="1" t="s">
        <v>994</v>
      </c>
      <c r="B38" s="1" t="s">
        <v>995</v>
      </c>
      <c r="C38" s="1" t="s">
        <v>21</v>
      </c>
    </row>
    <row r="39" spans="1:3" x14ac:dyDescent="0.2">
      <c r="A39" s="1" t="s">
        <v>2252</v>
      </c>
      <c r="B39" s="1" t="s">
        <v>2253</v>
      </c>
      <c r="C39" s="1" t="s">
        <v>34</v>
      </c>
    </row>
    <row r="40" spans="1:3" x14ac:dyDescent="0.2">
      <c r="A40" s="1" t="s">
        <v>740</v>
      </c>
      <c r="B40" s="1" t="s">
        <v>741</v>
      </c>
      <c r="C40" s="1" t="s">
        <v>14</v>
      </c>
    </row>
    <row r="41" spans="1:3" x14ac:dyDescent="0.2">
      <c r="A41" s="1" t="s">
        <v>1184</v>
      </c>
      <c r="B41" s="1" t="s">
        <v>1185</v>
      </c>
      <c r="C41" s="1" t="s">
        <v>28</v>
      </c>
    </row>
    <row r="42" spans="1:3" x14ac:dyDescent="0.2">
      <c r="A42" s="1" t="s">
        <v>1662</v>
      </c>
      <c r="B42" s="1" t="s">
        <v>1663</v>
      </c>
      <c r="C42" s="1" t="s">
        <v>37</v>
      </c>
    </row>
    <row r="43" spans="1:3" x14ac:dyDescent="0.2">
      <c r="A43" s="1" t="s">
        <v>695</v>
      </c>
      <c r="B43" s="1" t="s">
        <v>696</v>
      </c>
      <c r="C43" s="1" t="s">
        <v>14</v>
      </c>
    </row>
    <row r="44" spans="1:3" x14ac:dyDescent="0.2">
      <c r="A44" s="1" t="s">
        <v>4720</v>
      </c>
      <c r="B44" s="1" t="s">
        <v>4721</v>
      </c>
      <c r="C44" s="1" t="s">
        <v>37</v>
      </c>
    </row>
    <row r="45" spans="1:3" x14ac:dyDescent="0.2">
      <c r="A45" s="1" t="s">
        <v>794</v>
      </c>
      <c r="B45" s="1" t="s">
        <v>795</v>
      </c>
      <c r="C45" s="1" t="s">
        <v>28</v>
      </c>
    </row>
    <row r="46" spans="1:3" x14ac:dyDescent="0.2">
      <c r="A46" s="1" t="s">
        <v>692</v>
      </c>
      <c r="B46" s="1" t="s">
        <v>693</v>
      </c>
      <c r="C46" s="1" t="s">
        <v>28</v>
      </c>
    </row>
    <row r="47" spans="1:3" x14ac:dyDescent="0.2">
      <c r="A47" s="1" t="s">
        <v>2181</v>
      </c>
      <c r="B47" s="1" t="s">
        <v>2182</v>
      </c>
      <c r="C47" s="1" t="s">
        <v>14</v>
      </c>
    </row>
    <row r="48" spans="1:3" x14ac:dyDescent="0.2">
      <c r="A48" s="1" t="s">
        <v>4024</v>
      </c>
      <c r="B48" s="1" t="s">
        <v>4025</v>
      </c>
      <c r="C48" s="1" t="s">
        <v>28</v>
      </c>
    </row>
    <row r="49" spans="1:3" x14ac:dyDescent="0.2">
      <c r="A49" s="1" t="s">
        <v>1800</v>
      </c>
      <c r="B49" s="1" t="s">
        <v>1801</v>
      </c>
      <c r="C49" s="1" t="s">
        <v>34</v>
      </c>
    </row>
    <row r="50" spans="1:3" x14ac:dyDescent="0.2">
      <c r="A50" s="1" t="s">
        <v>1640</v>
      </c>
      <c r="B50" s="1" t="s">
        <v>1641</v>
      </c>
      <c r="C50" s="1" t="s">
        <v>28</v>
      </c>
    </row>
    <row r="51" spans="1:3" x14ac:dyDescent="0.2">
      <c r="A51" s="1" t="s">
        <v>1429</v>
      </c>
      <c r="B51" s="1" t="s">
        <v>1430</v>
      </c>
      <c r="C51" s="1" t="s">
        <v>37</v>
      </c>
    </row>
    <row r="52" spans="1:3" x14ac:dyDescent="0.2">
      <c r="A52" s="1" t="s">
        <v>294</v>
      </c>
      <c r="B52" s="1" t="s">
        <v>295</v>
      </c>
      <c r="C52" s="1" t="s">
        <v>37</v>
      </c>
    </row>
    <row r="53" spans="1:3" x14ac:dyDescent="0.2">
      <c r="A53" s="1" t="s">
        <v>826</v>
      </c>
      <c r="B53" s="1" t="s">
        <v>827</v>
      </c>
      <c r="C53" s="1" t="s">
        <v>37</v>
      </c>
    </row>
    <row r="54" spans="1:3" x14ac:dyDescent="0.2">
      <c r="A54" s="1" t="s">
        <v>1154</v>
      </c>
      <c r="B54" s="1" t="s">
        <v>1155</v>
      </c>
      <c r="C54" s="1" t="s">
        <v>37</v>
      </c>
    </row>
    <row r="55" spans="1:3" x14ac:dyDescent="0.2">
      <c r="A55" s="1" t="s">
        <v>526</v>
      </c>
      <c r="B55" s="1" t="s">
        <v>527</v>
      </c>
      <c r="C55" s="1" t="s">
        <v>34</v>
      </c>
    </row>
    <row r="56" spans="1:3" x14ac:dyDescent="0.2">
      <c r="A56" s="1" t="s">
        <v>1191</v>
      </c>
      <c r="B56" s="1" t="s">
        <v>1192</v>
      </c>
      <c r="C56" s="1" t="s">
        <v>21</v>
      </c>
    </row>
    <row r="57" spans="1:3" x14ac:dyDescent="0.2">
      <c r="A57" s="1" t="s">
        <v>1064</v>
      </c>
      <c r="B57" s="1" t="s">
        <v>1065</v>
      </c>
      <c r="C57" s="1" t="s">
        <v>14</v>
      </c>
    </row>
    <row r="58" spans="1:3" x14ac:dyDescent="0.2">
      <c r="A58" s="1" t="s">
        <v>643</v>
      </c>
      <c r="B58" s="1" t="s">
        <v>644</v>
      </c>
      <c r="C58" s="1" t="s">
        <v>37</v>
      </c>
    </row>
    <row r="59" spans="1:3" x14ac:dyDescent="0.2">
      <c r="A59" s="1" t="s">
        <v>2654</v>
      </c>
      <c r="B59" s="1" t="s">
        <v>2655</v>
      </c>
      <c r="C59" s="1" t="s">
        <v>28</v>
      </c>
    </row>
    <row r="60" spans="1:3" x14ac:dyDescent="0.2">
      <c r="A60" s="1" t="s">
        <v>1001</v>
      </c>
      <c r="B60" s="1" t="s">
        <v>1002</v>
      </c>
      <c r="C60" s="1" t="s">
        <v>37</v>
      </c>
    </row>
    <row r="61" spans="1:3" x14ac:dyDescent="0.2">
      <c r="A61" s="1" t="s">
        <v>1885</v>
      </c>
      <c r="B61" s="1" t="s">
        <v>1886</v>
      </c>
      <c r="C61" s="1" t="s">
        <v>28</v>
      </c>
    </row>
    <row r="62" spans="1:3" x14ac:dyDescent="0.2">
      <c r="A62" s="1" t="s">
        <v>705</v>
      </c>
      <c r="B62" s="1" t="s">
        <v>706</v>
      </c>
      <c r="C62" s="1" t="s">
        <v>28</v>
      </c>
    </row>
    <row r="63" spans="1:3" x14ac:dyDescent="0.2">
      <c r="A63" s="1" t="s">
        <v>179</v>
      </c>
      <c r="B63" s="1" t="s">
        <v>180</v>
      </c>
      <c r="C63" s="1" t="s">
        <v>37</v>
      </c>
    </row>
    <row r="64" spans="1:3" x14ac:dyDescent="0.2">
      <c r="A64" s="1" t="s">
        <v>1099</v>
      </c>
      <c r="B64" s="1" t="s">
        <v>1100</v>
      </c>
      <c r="C64" s="1" t="s">
        <v>34</v>
      </c>
    </row>
    <row r="65" spans="1:3" x14ac:dyDescent="0.2">
      <c r="A65" s="1" t="s">
        <v>1652</v>
      </c>
      <c r="B65" s="1" t="s">
        <v>1653</v>
      </c>
      <c r="C65" s="1" t="s">
        <v>28</v>
      </c>
    </row>
    <row r="66" spans="1:3" x14ac:dyDescent="0.2">
      <c r="A66" s="1" t="s">
        <v>84</v>
      </c>
      <c r="B66" s="1" t="s">
        <v>85</v>
      </c>
      <c r="C66" s="1" t="s">
        <v>28</v>
      </c>
    </row>
    <row r="67" spans="1:3" x14ac:dyDescent="0.2">
      <c r="A67" s="1" t="s">
        <v>923</v>
      </c>
      <c r="B67" s="1" t="s">
        <v>924</v>
      </c>
      <c r="C67" s="1" t="s">
        <v>37</v>
      </c>
    </row>
    <row r="68" spans="1:3" x14ac:dyDescent="0.2">
      <c r="A68" s="1" t="s">
        <v>448</v>
      </c>
      <c r="B68" s="1" t="s">
        <v>449</v>
      </c>
      <c r="C68" s="1" t="s">
        <v>28</v>
      </c>
    </row>
    <row r="69" spans="1:3" x14ac:dyDescent="0.2">
      <c r="A69" s="1" t="s">
        <v>461</v>
      </c>
      <c r="B69" s="1" t="s">
        <v>462</v>
      </c>
      <c r="C69" s="1" t="s">
        <v>28</v>
      </c>
    </row>
    <row r="70" spans="1:3" x14ac:dyDescent="0.2">
      <c r="A70" s="1" t="s">
        <v>1797</v>
      </c>
      <c r="B70" s="1" t="s">
        <v>1798</v>
      </c>
      <c r="C70" s="1" t="s">
        <v>37</v>
      </c>
    </row>
    <row r="71" spans="1:3" x14ac:dyDescent="0.2">
      <c r="A71" s="1" t="s">
        <v>969</v>
      </c>
      <c r="B71" s="1" t="s">
        <v>970</v>
      </c>
      <c r="C71" s="1" t="s">
        <v>37</v>
      </c>
    </row>
    <row r="72" spans="1:3" x14ac:dyDescent="0.2">
      <c r="A72" s="1" t="s">
        <v>1085</v>
      </c>
      <c r="B72" s="1" t="s">
        <v>1086</v>
      </c>
      <c r="C72" s="1" t="s">
        <v>14</v>
      </c>
    </row>
    <row r="73" spans="1:3" x14ac:dyDescent="0.2">
      <c r="A73" s="1" t="s">
        <v>1032</v>
      </c>
      <c r="B73" s="1" t="s">
        <v>1033</v>
      </c>
      <c r="C73" s="1" t="s">
        <v>34</v>
      </c>
    </row>
    <row r="74" spans="1:3" x14ac:dyDescent="0.2">
      <c r="A74" s="1" t="s">
        <v>1701</v>
      </c>
      <c r="B74" s="1" t="s">
        <v>1702</v>
      </c>
      <c r="C74" s="1" t="s">
        <v>34</v>
      </c>
    </row>
    <row r="75" spans="1:3" x14ac:dyDescent="0.2">
      <c r="A75" s="1" t="s">
        <v>1317</v>
      </c>
      <c r="B75" s="1" t="s">
        <v>1318</v>
      </c>
      <c r="C75" s="1" t="s">
        <v>28</v>
      </c>
    </row>
    <row r="76" spans="1:3" x14ac:dyDescent="0.2">
      <c r="A76" s="1" t="s">
        <v>2323</v>
      </c>
      <c r="B76" s="1" t="s">
        <v>2324</v>
      </c>
      <c r="C76" s="1" t="s">
        <v>34</v>
      </c>
    </row>
    <row r="77" spans="1:3" x14ac:dyDescent="0.2">
      <c r="A77" s="1" t="s">
        <v>808</v>
      </c>
      <c r="B77" s="1" t="s">
        <v>809</v>
      </c>
      <c r="C77" s="1" t="s">
        <v>28</v>
      </c>
    </row>
    <row r="78" spans="1:3" x14ac:dyDescent="0.2">
      <c r="A78" s="1" t="s">
        <v>1949</v>
      </c>
      <c r="B78" s="1" t="s">
        <v>1950</v>
      </c>
      <c r="C78" s="1" t="s">
        <v>14</v>
      </c>
    </row>
    <row r="79" spans="1:3" x14ac:dyDescent="0.2">
      <c r="A79" s="1" t="s">
        <v>192</v>
      </c>
      <c r="B79" s="1" t="s">
        <v>193</v>
      </c>
      <c r="C79" s="1" t="s">
        <v>37</v>
      </c>
    </row>
    <row r="80" spans="1:3" x14ac:dyDescent="0.2">
      <c r="A80" s="1" t="s">
        <v>2100</v>
      </c>
      <c r="B80" s="1" t="s">
        <v>2101</v>
      </c>
      <c r="C80" s="1" t="s">
        <v>37</v>
      </c>
    </row>
    <row r="81" spans="1:3" x14ac:dyDescent="0.2">
      <c r="A81" s="1" t="s">
        <v>863</v>
      </c>
      <c r="B81" s="1" t="s">
        <v>864</v>
      </c>
      <c r="C81" s="1" t="s">
        <v>37</v>
      </c>
    </row>
    <row r="82" spans="1:3" x14ac:dyDescent="0.2">
      <c r="A82" s="1" t="s">
        <v>2293</v>
      </c>
      <c r="B82" s="1" t="s">
        <v>2294</v>
      </c>
      <c r="C82" s="1" t="s">
        <v>34</v>
      </c>
    </row>
    <row r="83" spans="1:3" x14ac:dyDescent="0.2">
      <c r="A83" s="1" t="s">
        <v>2363</v>
      </c>
      <c r="B83" s="1" t="s">
        <v>2364</v>
      </c>
      <c r="C83" s="1" t="s">
        <v>14</v>
      </c>
    </row>
    <row r="84" spans="1:3" x14ac:dyDescent="0.2">
      <c r="A84" s="1" t="s">
        <v>529</v>
      </c>
      <c r="B84" s="1" t="s">
        <v>530</v>
      </c>
      <c r="C84" s="1" t="s">
        <v>34</v>
      </c>
    </row>
    <row r="85" spans="1:3" x14ac:dyDescent="0.2">
      <c r="A85" s="1" t="s">
        <v>1132</v>
      </c>
      <c r="B85" s="1" t="s">
        <v>1133</v>
      </c>
      <c r="C85" s="1" t="s">
        <v>34</v>
      </c>
    </row>
    <row r="86" spans="1:3" x14ac:dyDescent="0.2">
      <c r="A86" s="1" t="s">
        <v>866</v>
      </c>
      <c r="B86" s="1" t="s">
        <v>867</v>
      </c>
      <c r="C86" s="1" t="s">
        <v>14</v>
      </c>
    </row>
    <row r="87" spans="1:3" x14ac:dyDescent="0.2">
      <c r="A87" s="1" t="s">
        <v>1498</v>
      </c>
      <c r="B87" s="1" t="s">
        <v>1499</v>
      </c>
      <c r="C87" s="1" t="s">
        <v>14</v>
      </c>
    </row>
    <row r="88" spans="1:3" x14ac:dyDescent="0.2">
      <c r="A88" s="1" t="s">
        <v>206</v>
      </c>
      <c r="B88" s="1" t="s">
        <v>207</v>
      </c>
      <c r="C88" s="1" t="s">
        <v>14</v>
      </c>
    </row>
    <row r="89" spans="1:3" x14ac:dyDescent="0.2">
      <c r="A89" s="1" t="s">
        <v>356</v>
      </c>
      <c r="B89" s="1" t="s">
        <v>357</v>
      </c>
      <c r="C89" s="1" t="s">
        <v>14</v>
      </c>
    </row>
    <row r="90" spans="1:3" x14ac:dyDescent="0.2">
      <c r="A90" s="1" t="s">
        <v>342</v>
      </c>
      <c r="B90" s="1" t="s">
        <v>343</v>
      </c>
      <c r="C90" s="1" t="s">
        <v>37</v>
      </c>
    </row>
    <row r="91" spans="1:3" x14ac:dyDescent="0.2">
      <c r="A91" s="1" t="s">
        <v>1622</v>
      </c>
      <c r="B91" s="1" t="s">
        <v>1623</v>
      </c>
      <c r="C91" s="1" t="s">
        <v>21</v>
      </c>
    </row>
    <row r="92" spans="1:3" x14ac:dyDescent="0.2">
      <c r="A92" s="1" t="s">
        <v>2314</v>
      </c>
      <c r="B92" s="1" t="s">
        <v>2315</v>
      </c>
      <c r="C92" s="1" t="s">
        <v>21</v>
      </c>
    </row>
    <row r="93" spans="1:3" x14ac:dyDescent="0.2">
      <c r="A93" s="1" t="s">
        <v>1761</v>
      </c>
      <c r="B93" s="1" t="s">
        <v>1762</v>
      </c>
      <c r="C93" s="1" t="s">
        <v>14</v>
      </c>
    </row>
    <row r="94" spans="1:3" x14ac:dyDescent="0.2">
      <c r="A94" s="1" t="s">
        <v>1137</v>
      </c>
      <c r="B94" s="1" t="s">
        <v>1138</v>
      </c>
      <c r="C94" s="1" t="s">
        <v>21</v>
      </c>
    </row>
    <row r="95" spans="1:3" x14ac:dyDescent="0.2">
      <c r="A95" s="1" t="s">
        <v>249</v>
      </c>
      <c r="B95" s="1" t="s">
        <v>250</v>
      </c>
      <c r="C95" s="1" t="s">
        <v>21</v>
      </c>
    </row>
    <row r="96" spans="1:3" x14ac:dyDescent="0.2">
      <c r="A96" s="1" t="s">
        <v>920</v>
      </c>
      <c r="B96" s="1" t="s">
        <v>921</v>
      </c>
      <c r="C96" s="1" t="s">
        <v>14</v>
      </c>
    </row>
    <row r="97" spans="1:3" x14ac:dyDescent="0.2">
      <c r="A97" s="1" t="s">
        <v>2270</v>
      </c>
      <c r="B97" s="1" t="s">
        <v>2271</v>
      </c>
      <c r="C97" s="1" t="s">
        <v>21</v>
      </c>
    </row>
    <row r="98" spans="1:3" x14ac:dyDescent="0.2">
      <c r="A98" s="1" t="s">
        <v>382</v>
      </c>
      <c r="B98" s="1" t="s">
        <v>383</v>
      </c>
      <c r="C98" s="1" t="s">
        <v>34</v>
      </c>
    </row>
    <row r="99" spans="1:3" x14ac:dyDescent="0.2">
      <c r="A99" s="1" t="s">
        <v>1513</v>
      </c>
      <c r="B99" s="1" t="s">
        <v>1514</v>
      </c>
      <c r="C99" s="1" t="s">
        <v>28</v>
      </c>
    </row>
    <row r="100" spans="1:3" x14ac:dyDescent="0.2">
      <c r="A100" s="1" t="s">
        <v>1194</v>
      </c>
      <c r="B100" s="1" t="s">
        <v>1195</v>
      </c>
      <c r="C100" s="1" t="s">
        <v>28</v>
      </c>
    </row>
    <row r="101" spans="1:3" x14ac:dyDescent="0.2">
      <c r="A101" s="1" t="s">
        <v>182</v>
      </c>
      <c r="B101" s="1" t="s">
        <v>183</v>
      </c>
      <c r="C101" s="1" t="s">
        <v>14</v>
      </c>
    </row>
    <row r="102" spans="1:3" x14ac:dyDescent="0.2">
      <c r="A102" s="1" t="s">
        <v>495</v>
      </c>
      <c r="B102" s="1" t="s">
        <v>496</v>
      </c>
      <c r="C102" s="1" t="s">
        <v>37</v>
      </c>
    </row>
    <row r="103" spans="1:3" x14ac:dyDescent="0.2">
      <c r="A103" s="1" t="s">
        <v>111</v>
      </c>
      <c r="B103" s="1" t="s">
        <v>112</v>
      </c>
      <c r="C103" s="1" t="s">
        <v>14</v>
      </c>
    </row>
    <row r="104" spans="1:3" x14ac:dyDescent="0.2">
      <c r="A104" s="1" t="s">
        <v>877</v>
      </c>
      <c r="B104" s="1" t="s">
        <v>878</v>
      </c>
      <c r="C104" s="1" t="s">
        <v>37</v>
      </c>
    </row>
    <row r="105" spans="1:3" x14ac:dyDescent="0.2">
      <c r="A105" s="1" t="s">
        <v>116</v>
      </c>
      <c r="B105" s="1" t="s">
        <v>117</v>
      </c>
      <c r="C105" s="1" t="s">
        <v>28</v>
      </c>
    </row>
    <row r="106" spans="1:3" x14ac:dyDescent="0.2">
      <c r="A106" s="1" t="s">
        <v>1647</v>
      </c>
      <c r="B106" s="1" t="s">
        <v>1648</v>
      </c>
      <c r="C106" s="1" t="s">
        <v>14</v>
      </c>
    </row>
    <row r="107" spans="1:3" x14ac:dyDescent="0.2">
      <c r="A107" s="1" t="s">
        <v>3170</v>
      </c>
      <c r="B107" s="1" t="s">
        <v>3171</v>
      </c>
      <c r="C107" s="1" t="s">
        <v>34</v>
      </c>
    </row>
    <row r="108" spans="1:3" x14ac:dyDescent="0.2">
      <c r="A108" s="1" t="s">
        <v>1292</v>
      </c>
      <c r="B108" s="1" t="s">
        <v>1293</v>
      </c>
      <c r="C108" s="1" t="s">
        <v>21</v>
      </c>
    </row>
    <row r="109" spans="1:3" x14ac:dyDescent="0.2">
      <c r="A109" s="1" t="s">
        <v>1223</v>
      </c>
      <c r="B109" s="1" t="s">
        <v>1224</v>
      </c>
      <c r="C109" s="1" t="s">
        <v>37</v>
      </c>
    </row>
    <row r="110" spans="1:3" x14ac:dyDescent="0.2">
      <c r="A110" s="1" t="s">
        <v>336</v>
      </c>
      <c r="B110" s="1" t="s">
        <v>337</v>
      </c>
      <c r="C110" s="1" t="s">
        <v>21</v>
      </c>
    </row>
    <row r="111" spans="1:3" x14ac:dyDescent="0.2">
      <c r="A111" s="1" t="s">
        <v>469</v>
      </c>
      <c r="B111" s="1" t="s">
        <v>470</v>
      </c>
      <c r="C111" s="1" t="s">
        <v>21</v>
      </c>
    </row>
    <row r="112" spans="1:3" x14ac:dyDescent="0.2">
      <c r="A112" s="1" t="s">
        <v>1113</v>
      </c>
      <c r="B112" s="1" t="s">
        <v>1114</v>
      </c>
      <c r="C112" s="1" t="s">
        <v>14</v>
      </c>
    </row>
    <row r="113" spans="1:3" x14ac:dyDescent="0.2">
      <c r="A113" s="1" t="s">
        <v>333</v>
      </c>
      <c r="B113" s="1" t="s">
        <v>334</v>
      </c>
      <c r="C113" s="1" t="s">
        <v>21</v>
      </c>
    </row>
    <row r="114" spans="1:3" x14ac:dyDescent="0.2">
      <c r="A114" s="1" t="s">
        <v>2121</v>
      </c>
      <c r="B114" s="1" t="s">
        <v>2122</v>
      </c>
      <c r="C114" s="1" t="s">
        <v>34</v>
      </c>
    </row>
    <row r="115" spans="1:3" x14ac:dyDescent="0.2">
      <c r="A115" s="1" t="s">
        <v>1547</v>
      </c>
      <c r="B115" s="1" t="s">
        <v>1548</v>
      </c>
      <c r="C115" s="1" t="s">
        <v>21</v>
      </c>
    </row>
    <row r="116" spans="1:3" x14ac:dyDescent="0.2">
      <c r="A116" s="1" t="s">
        <v>871</v>
      </c>
      <c r="B116" s="1" t="s">
        <v>872</v>
      </c>
      <c r="C116" s="1" t="s">
        <v>14</v>
      </c>
    </row>
    <row r="117" spans="1:3" x14ac:dyDescent="0.2">
      <c r="A117" s="1" t="s">
        <v>1288</v>
      </c>
      <c r="B117" s="1" t="s">
        <v>1289</v>
      </c>
      <c r="C117" s="1" t="s">
        <v>34</v>
      </c>
    </row>
    <row r="118" spans="1:3" x14ac:dyDescent="0.2">
      <c r="A118" s="1" t="s">
        <v>2109</v>
      </c>
      <c r="B118" s="1" t="s">
        <v>2110</v>
      </c>
      <c r="C118" s="1" t="s">
        <v>28</v>
      </c>
    </row>
    <row r="119" spans="1:3" x14ac:dyDescent="0.2">
      <c r="A119" s="1" t="s">
        <v>319</v>
      </c>
      <c r="B119" s="1" t="s">
        <v>320</v>
      </c>
      <c r="C119" s="1" t="s">
        <v>21</v>
      </c>
    </row>
    <row r="120" spans="1:3" x14ac:dyDescent="0.2">
      <c r="A120" s="1" t="s">
        <v>502</v>
      </c>
      <c r="B120" s="1" t="s">
        <v>503</v>
      </c>
      <c r="C120" s="1" t="s">
        <v>14</v>
      </c>
    </row>
    <row r="121" spans="1:3" x14ac:dyDescent="0.2">
      <c r="A121" s="1" t="s">
        <v>2169</v>
      </c>
      <c r="B121" s="1" t="s">
        <v>2170</v>
      </c>
      <c r="C121" s="1" t="s">
        <v>28</v>
      </c>
    </row>
    <row r="122" spans="1:3" x14ac:dyDescent="0.2">
      <c r="A122" s="1" t="s">
        <v>60</v>
      </c>
      <c r="B122" s="1" t="s">
        <v>61</v>
      </c>
      <c r="C122" s="1" t="s">
        <v>28</v>
      </c>
    </row>
    <row r="123" spans="1:3" x14ac:dyDescent="0.2">
      <c r="A123" s="1" t="s">
        <v>1164</v>
      </c>
      <c r="B123" s="1" t="s">
        <v>1165</v>
      </c>
      <c r="C123" s="1" t="s">
        <v>37</v>
      </c>
    </row>
    <row r="124" spans="1:3" x14ac:dyDescent="0.2">
      <c r="A124" s="1" t="s">
        <v>1105</v>
      </c>
      <c r="B124" s="1" t="s">
        <v>1106</v>
      </c>
      <c r="C124" s="1" t="s">
        <v>34</v>
      </c>
    </row>
    <row r="125" spans="1:3" x14ac:dyDescent="0.2">
      <c r="A125" s="1" t="s">
        <v>246</v>
      </c>
      <c r="B125" s="1" t="s">
        <v>247</v>
      </c>
      <c r="C125" s="1" t="s">
        <v>21</v>
      </c>
    </row>
    <row r="126" spans="1:3" x14ac:dyDescent="0.2">
      <c r="A126" s="1" t="s">
        <v>2541</v>
      </c>
      <c r="B126" s="1" t="s">
        <v>2542</v>
      </c>
      <c r="C126" s="1" t="s">
        <v>14</v>
      </c>
    </row>
    <row r="127" spans="1:3" x14ac:dyDescent="0.2">
      <c r="A127" s="1" t="s">
        <v>1909</v>
      </c>
      <c r="B127" s="1" t="s">
        <v>1910</v>
      </c>
      <c r="C127" s="1" t="s">
        <v>37</v>
      </c>
    </row>
    <row r="128" spans="1:3" x14ac:dyDescent="0.2">
      <c r="A128" s="1" t="s">
        <v>713</v>
      </c>
      <c r="B128" s="1" t="s">
        <v>714</v>
      </c>
      <c r="C128" s="1" t="s">
        <v>34</v>
      </c>
    </row>
    <row r="129" spans="1:3" x14ac:dyDescent="0.2">
      <c r="A129" s="1" t="s">
        <v>1489</v>
      </c>
      <c r="B129" s="1" t="s">
        <v>1490</v>
      </c>
      <c r="C129" s="1" t="s">
        <v>37</v>
      </c>
    </row>
    <row r="130" spans="1:3" x14ac:dyDescent="0.2">
      <c r="A130" s="1" t="s">
        <v>1344</v>
      </c>
      <c r="B130" s="1" t="s">
        <v>1345</v>
      </c>
      <c r="C130" s="1" t="s">
        <v>34</v>
      </c>
    </row>
    <row r="131" spans="1:3" x14ac:dyDescent="0.2">
      <c r="A131" s="1" t="s">
        <v>752</v>
      </c>
      <c r="B131" s="1" t="s">
        <v>753</v>
      </c>
      <c r="C131" s="1" t="s">
        <v>34</v>
      </c>
    </row>
    <row r="132" spans="1:3" x14ac:dyDescent="0.2">
      <c r="A132" s="1" t="s">
        <v>2211</v>
      </c>
      <c r="B132" s="1" t="s">
        <v>2212</v>
      </c>
      <c r="C132" s="1" t="s">
        <v>21</v>
      </c>
    </row>
    <row r="133" spans="1:3" x14ac:dyDescent="0.2">
      <c r="A133" s="1" t="s">
        <v>972</v>
      </c>
      <c r="B133" s="1" t="s">
        <v>973</v>
      </c>
      <c r="C133" s="1" t="s">
        <v>34</v>
      </c>
    </row>
    <row r="134" spans="1:3" x14ac:dyDescent="0.2">
      <c r="A134" s="1" t="s">
        <v>310</v>
      </c>
      <c r="B134" s="1" t="s">
        <v>311</v>
      </c>
      <c r="C134" s="1" t="s">
        <v>37</v>
      </c>
    </row>
    <row r="135" spans="1:3" x14ac:dyDescent="0.2">
      <c r="A135" s="1" t="s">
        <v>442</v>
      </c>
      <c r="B135" s="1" t="s">
        <v>443</v>
      </c>
      <c r="C135" s="1" t="s">
        <v>34</v>
      </c>
    </row>
    <row r="136" spans="1:3" x14ac:dyDescent="0.2">
      <c r="A136" s="1" t="s">
        <v>297</v>
      </c>
      <c r="B136" s="1" t="s">
        <v>298</v>
      </c>
      <c r="C136" s="1" t="s">
        <v>21</v>
      </c>
    </row>
    <row r="137" spans="1:3" x14ac:dyDescent="0.2">
      <c r="A137" s="1" t="s">
        <v>1964</v>
      </c>
      <c r="B137" s="1" t="s">
        <v>1965</v>
      </c>
      <c r="C137" s="1" t="s">
        <v>21</v>
      </c>
    </row>
    <row r="138" spans="1:3" x14ac:dyDescent="0.2">
      <c r="A138" s="1" t="s">
        <v>719</v>
      </c>
      <c r="B138" s="1" t="s">
        <v>720</v>
      </c>
      <c r="C138" s="1" t="s">
        <v>37</v>
      </c>
    </row>
    <row r="139" spans="1:3" x14ac:dyDescent="0.2">
      <c r="A139" s="1" t="s">
        <v>975</v>
      </c>
      <c r="B139" s="1" t="s">
        <v>976</v>
      </c>
      <c r="C139" s="1" t="s">
        <v>28</v>
      </c>
    </row>
    <row r="140" spans="1:3" x14ac:dyDescent="0.2">
      <c r="A140" s="1" t="s">
        <v>1643</v>
      </c>
      <c r="B140" s="1" t="s">
        <v>1644</v>
      </c>
      <c r="C140" s="1" t="s">
        <v>28</v>
      </c>
    </row>
    <row r="141" spans="1:3" x14ac:dyDescent="0.2">
      <c r="A141" s="1" t="s">
        <v>1695</v>
      </c>
      <c r="B141" s="1" t="s">
        <v>1696</v>
      </c>
      <c r="C141" s="1" t="s">
        <v>34</v>
      </c>
    </row>
    <row r="142" spans="1:3" x14ac:dyDescent="0.2">
      <c r="A142" s="1" t="s">
        <v>2064</v>
      </c>
      <c r="B142" s="1" t="s">
        <v>2065</v>
      </c>
      <c r="C142" s="1" t="s">
        <v>14</v>
      </c>
    </row>
    <row r="143" spans="1:3" x14ac:dyDescent="0.2">
      <c r="A143" s="1" t="s">
        <v>990</v>
      </c>
      <c r="B143" s="1" t="s">
        <v>991</v>
      </c>
      <c r="C143" s="1" t="s">
        <v>34</v>
      </c>
    </row>
    <row r="144" spans="1:3" x14ac:dyDescent="0.2">
      <c r="A144" s="1" t="s">
        <v>2207</v>
      </c>
      <c r="B144" s="1" t="s">
        <v>2208</v>
      </c>
      <c r="C144" s="1" t="s">
        <v>37</v>
      </c>
    </row>
    <row r="145" spans="1:3" x14ac:dyDescent="0.2">
      <c r="A145" s="1" t="s">
        <v>2478</v>
      </c>
      <c r="B145" s="1" t="s">
        <v>2479</v>
      </c>
      <c r="C145" s="1" t="s">
        <v>37</v>
      </c>
    </row>
    <row r="146" spans="1:3" x14ac:dyDescent="0.2">
      <c r="A146" s="1" t="s">
        <v>391</v>
      </c>
      <c r="B146" s="1" t="s">
        <v>392</v>
      </c>
      <c r="C146" s="1" t="s">
        <v>37</v>
      </c>
    </row>
    <row r="147" spans="1:3" x14ac:dyDescent="0.2">
      <c r="A147" s="1" t="s">
        <v>174</v>
      </c>
      <c r="B147" s="1" t="s">
        <v>175</v>
      </c>
      <c r="C147" s="1" t="s">
        <v>37</v>
      </c>
    </row>
    <row r="148" spans="1:3" x14ac:dyDescent="0.2">
      <c r="A148" s="1" t="s">
        <v>1216</v>
      </c>
      <c r="B148" s="1" t="s">
        <v>1217</v>
      </c>
      <c r="C148" s="1" t="s">
        <v>37</v>
      </c>
    </row>
    <row r="149" spans="1:3" x14ac:dyDescent="0.2">
      <c r="A149" s="1" t="s">
        <v>1516</v>
      </c>
      <c r="B149" s="1" t="s">
        <v>1517</v>
      </c>
      <c r="C149" s="1" t="s">
        <v>21</v>
      </c>
    </row>
    <row r="150" spans="1:3" x14ac:dyDescent="0.2">
      <c r="A150" s="1" t="s">
        <v>1994</v>
      </c>
      <c r="B150" s="1" t="s">
        <v>1995</v>
      </c>
      <c r="C150" s="1" t="s">
        <v>28</v>
      </c>
    </row>
    <row r="151" spans="1:3" x14ac:dyDescent="0.2">
      <c r="A151" s="1" t="s">
        <v>1454</v>
      </c>
      <c r="B151" s="1" t="s">
        <v>1455</v>
      </c>
      <c r="C151" s="1" t="s">
        <v>37</v>
      </c>
    </row>
    <row r="152" spans="1:3" x14ac:dyDescent="0.2">
      <c r="A152" s="1" t="s">
        <v>1314</v>
      </c>
      <c r="B152" s="1" t="s">
        <v>1315</v>
      </c>
      <c r="C152" s="1" t="s">
        <v>14</v>
      </c>
    </row>
    <row r="153" spans="1:3" x14ac:dyDescent="0.2">
      <c r="A153" s="1" t="s">
        <v>498</v>
      </c>
      <c r="B153" s="1" t="s">
        <v>499</v>
      </c>
      <c r="C153" s="1" t="s">
        <v>14</v>
      </c>
    </row>
    <row r="154" spans="1:3" x14ac:dyDescent="0.2">
      <c r="A154" s="1" t="s">
        <v>1058</v>
      </c>
      <c r="B154" s="1" t="s">
        <v>1059</v>
      </c>
      <c r="C154" s="1" t="s">
        <v>14</v>
      </c>
    </row>
    <row r="155" spans="1:3" x14ac:dyDescent="0.2">
      <c r="A155" s="1" t="s">
        <v>3733</v>
      </c>
      <c r="B155" s="1" t="s">
        <v>3734</v>
      </c>
      <c r="C155" s="1" t="s">
        <v>14</v>
      </c>
    </row>
    <row r="156" spans="1:3" x14ac:dyDescent="0.2">
      <c r="A156" s="1" t="s">
        <v>1784</v>
      </c>
      <c r="B156" s="1" t="s">
        <v>1785</v>
      </c>
      <c r="C156" s="1" t="s">
        <v>21</v>
      </c>
    </row>
    <row r="157" spans="1:3" x14ac:dyDescent="0.2">
      <c r="A157" s="1" t="s">
        <v>134</v>
      </c>
      <c r="B157" s="1" t="s">
        <v>135</v>
      </c>
      <c r="C157" s="1" t="s">
        <v>14</v>
      </c>
    </row>
    <row r="158" spans="1:3" x14ac:dyDescent="0.2">
      <c r="A158" s="1" t="s">
        <v>1310</v>
      </c>
      <c r="B158" s="1" t="s">
        <v>1311</v>
      </c>
      <c r="C158" s="1" t="s">
        <v>37</v>
      </c>
    </row>
    <row r="159" spans="1:3" x14ac:dyDescent="0.2">
      <c r="A159" s="1" t="s">
        <v>481</v>
      </c>
      <c r="B159" s="1" t="s">
        <v>482</v>
      </c>
      <c r="C159" s="1" t="s">
        <v>34</v>
      </c>
    </row>
    <row r="160" spans="1:3" x14ac:dyDescent="0.2">
      <c r="A160" s="1" t="s">
        <v>945</v>
      </c>
      <c r="B160" s="1" t="s">
        <v>946</v>
      </c>
      <c r="C160" s="1" t="s">
        <v>14</v>
      </c>
    </row>
    <row r="161" spans="1:3" x14ac:dyDescent="0.2">
      <c r="A161" s="1" t="s">
        <v>2686</v>
      </c>
      <c r="B161" s="1" t="s">
        <v>2687</v>
      </c>
      <c r="C161" s="1" t="s">
        <v>21</v>
      </c>
    </row>
    <row r="162" spans="1:3" x14ac:dyDescent="0.2">
      <c r="A162" s="1" t="s">
        <v>672</v>
      </c>
      <c r="B162" s="1" t="s">
        <v>673</v>
      </c>
      <c r="C162" s="1" t="s">
        <v>21</v>
      </c>
    </row>
    <row r="163" spans="1:3" x14ac:dyDescent="0.2">
      <c r="A163" s="1" t="s">
        <v>1397</v>
      </c>
      <c r="B163" s="1" t="s">
        <v>1398</v>
      </c>
      <c r="C163" s="1" t="s">
        <v>14</v>
      </c>
    </row>
    <row r="164" spans="1:3" x14ac:dyDescent="0.2">
      <c r="A164" s="1" t="s">
        <v>1073</v>
      </c>
      <c r="B164" s="1" t="s">
        <v>1074</v>
      </c>
      <c r="C164" s="1" t="s">
        <v>34</v>
      </c>
    </row>
    <row r="165" spans="1:3" x14ac:dyDescent="0.2">
      <c r="A165" s="1" t="s">
        <v>1376</v>
      </c>
      <c r="B165" s="1" t="s">
        <v>1377</v>
      </c>
      <c r="C165" s="1" t="s">
        <v>14</v>
      </c>
    </row>
    <row r="166" spans="1:3" x14ac:dyDescent="0.2">
      <c r="A166" s="1" t="s">
        <v>851</v>
      </c>
      <c r="B166" s="1" t="s">
        <v>852</v>
      </c>
      <c r="C166" s="1" t="s">
        <v>21</v>
      </c>
    </row>
    <row r="167" spans="1:3" x14ac:dyDescent="0.2">
      <c r="A167" s="1" t="s">
        <v>3086</v>
      </c>
      <c r="B167" s="1" t="s">
        <v>3087</v>
      </c>
      <c r="C167" s="1" t="s">
        <v>28</v>
      </c>
    </row>
    <row r="168" spans="1:3" x14ac:dyDescent="0.2">
      <c r="A168" s="1" t="s">
        <v>1757</v>
      </c>
      <c r="B168" s="1" t="s">
        <v>1758</v>
      </c>
      <c r="C168" s="1" t="s">
        <v>37</v>
      </c>
    </row>
    <row r="169" spans="1:3" x14ac:dyDescent="0.2">
      <c r="A169" s="1" t="s">
        <v>1108</v>
      </c>
      <c r="B169" s="1" t="s">
        <v>1109</v>
      </c>
      <c r="C169" s="1" t="s">
        <v>21</v>
      </c>
    </row>
    <row r="170" spans="1:3" x14ac:dyDescent="0.2">
      <c r="A170" s="1" t="s">
        <v>1575</v>
      </c>
      <c r="B170" s="1" t="s">
        <v>1576</v>
      </c>
      <c r="C170" s="1" t="s">
        <v>14</v>
      </c>
    </row>
    <row r="171" spans="1:3" x14ac:dyDescent="0.2">
      <c r="A171" s="1" t="s">
        <v>3221</v>
      </c>
      <c r="B171" s="1" t="s">
        <v>3222</v>
      </c>
      <c r="C171" s="1" t="s">
        <v>37</v>
      </c>
    </row>
    <row r="172" spans="1:3" x14ac:dyDescent="0.2">
      <c r="A172" s="1" t="s">
        <v>1903</v>
      </c>
      <c r="B172" s="1" t="s">
        <v>1904</v>
      </c>
      <c r="C172" s="1" t="s">
        <v>14</v>
      </c>
    </row>
    <row r="173" spans="1:3" x14ac:dyDescent="0.2">
      <c r="A173" s="1" t="s">
        <v>811</v>
      </c>
      <c r="B173" s="1" t="s">
        <v>812</v>
      </c>
      <c r="C173" s="1" t="s">
        <v>14</v>
      </c>
    </row>
    <row r="174" spans="1:3" x14ac:dyDescent="0.2">
      <c r="A174" s="1" t="s">
        <v>1388</v>
      </c>
      <c r="B174" s="1" t="s">
        <v>1389</v>
      </c>
      <c r="C174" s="1" t="s">
        <v>28</v>
      </c>
    </row>
    <row r="175" spans="1:3" x14ac:dyDescent="0.2">
      <c r="A175" s="1" t="s">
        <v>131</v>
      </c>
      <c r="B175" s="1" t="s">
        <v>132</v>
      </c>
      <c r="C175" s="1" t="s">
        <v>37</v>
      </c>
    </row>
    <row r="176" spans="1:3" x14ac:dyDescent="0.2">
      <c r="A176" s="1" t="s">
        <v>142</v>
      </c>
      <c r="B176" s="1" t="s">
        <v>143</v>
      </c>
      <c r="C176" s="1" t="s">
        <v>37</v>
      </c>
    </row>
    <row r="177" spans="1:3" x14ac:dyDescent="0.2">
      <c r="A177" s="1" t="s">
        <v>2472</v>
      </c>
      <c r="B177" s="1" t="s">
        <v>2473</v>
      </c>
      <c r="C177" s="1" t="s">
        <v>28</v>
      </c>
    </row>
    <row r="178" spans="1:3" x14ac:dyDescent="0.2">
      <c r="A178" s="1" t="s">
        <v>722</v>
      </c>
      <c r="B178" s="1" t="s">
        <v>723</v>
      </c>
      <c r="C178" s="1" t="s">
        <v>21</v>
      </c>
    </row>
    <row r="179" spans="1:3" x14ac:dyDescent="0.2">
      <c r="A179" s="1" t="s">
        <v>951</v>
      </c>
      <c r="B179" s="1" t="s">
        <v>952</v>
      </c>
      <c r="C179" s="1" t="s">
        <v>14</v>
      </c>
    </row>
    <row r="180" spans="1:3" x14ac:dyDescent="0.2">
      <c r="A180" s="1" t="s">
        <v>1591</v>
      </c>
      <c r="B180" s="1" t="s">
        <v>1592</v>
      </c>
      <c r="C180" s="1" t="s">
        <v>34</v>
      </c>
    </row>
    <row r="181" spans="1:3" x14ac:dyDescent="0.2">
      <c r="A181" s="1" t="s">
        <v>788</v>
      </c>
      <c r="B181" s="1" t="s">
        <v>789</v>
      </c>
      <c r="C181" s="1" t="s">
        <v>14</v>
      </c>
    </row>
    <row r="182" spans="1:3" x14ac:dyDescent="0.2">
      <c r="A182" s="1" t="s">
        <v>388</v>
      </c>
      <c r="B182" s="1" t="s">
        <v>389</v>
      </c>
      <c r="C182" s="1" t="s">
        <v>14</v>
      </c>
    </row>
    <row r="183" spans="1:3" x14ac:dyDescent="0.2">
      <c r="A183" s="1" t="s">
        <v>636</v>
      </c>
      <c r="B183" s="1" t="s">
        <v>637</v>
      </c>
      <c r="C183" s="1" t="s">
        <v>21</v>
      </c>
    </row>
    <row r="184" spans="1:3" x14ac:dyDescent="0.2">
      <c r="A184" s="1" t="s">
        <v>374</v>
      </c>
      <c r="B184" s="1" t="s">
        <v>375</v>
      </c>
      <c r="C184" s="1" t="s">
        <v>14</v>
      </c>
    </row>
    <row r="185" spans="1:3" x14ac:dyDescent="0.2">
      <c r="A185" s="1" t="s">
        <v>514</v>
      </c>
      <c r="B185" s="1" t="s">
        <v>515</v>
      </c>
      <c r="C185" s="1" t="s">
        <v>28</v>
      </c>
    </row>
    <row r="186" spans="1:3" x14ac:dyDescent="0.2">
      <c r="A186" s="1" t="s">
        <v>936</v>
      </c>
      <c r="B186" s="1" t="s">
        <v>937</v>
      </c>
      <c r="C186" s="1" t="s">
        <v>28</v>
      </c>
    </row>
    <row r="187" spans="1:3" x14ac:dyDescent="0.2">
      <c r="A187" s="1" t="s">
        <v>1207</v>
      </c>
      <c r="B187" s="1" t="s">
        <v>1208</v>
      </c>
      <c r="C187" s="1" t="s">
        <v>37</v>
      </c>
    </row>
    <row r="188" spans="1:3" x14ac:dyDescent="0.2">
      <c r="A188" s="1" t="s">
        <v>445</v>
      </c>
      <c r="B188" s="1" t="s">
        <v>446</v>
      </c>
      <c r="C188" s="1" t="s">
        <v>34</v>
      </c>
    </row>
    <row r="189" spans="1:3" x14ac:dyDescent="0.2">
      <c r="A189" s="1" t="s">
        <v>559</v>
      </c>
      <c r="B189" s="1" t="s">
        <v>560</v>
      </c>
      <c r="C189" s="1" t="s">
        <v>14</v>
      </c>
    </row>
    <row r="190" spans="1:3" x14ac:dyDescent="0.2">
      <c r="A190" s="1" t="s">
        <v>984</v>
      </c>
      <c r="B190" s="1" t="s">
        <v>985</v>
      </c>
      <c r="C190" s="1" t="s">
        <v>14</v>
      </c>
    </row>
    <row r="191" spans="1:3" x14ac:dyDescent="0.2">
      <c r="A191" s="1" t="s">
        <v>1408</v>
      </c>
      <c r="B191" s="1" t="s">
        <v>1409</v>
      </c>
      <c r="C191" s="1" t="s">
        <v>21</v>
      </c>
    </row>
    <row r="192" spans="1:3" x14ac:dyDescent="0.2">
      <c r="A192" s="1" t="s">
        <v>734</v>
      </c>
      <c r="B192" s="1" t="s">
        <v>735</v>
      </c>
      <c r="C192" s="1" t="s">
        <v>28</v>
      </c>
    </row>
    <row r="193" spans="1:3" x14ac:dyDescent="0.2">
      <c r="A193" s="1" t="s">
        <v>613</v>
      </c>
      <c r="B193" s="1" t="s">
        <v>614</v>
      </c>
      <c r="C193" s="1" t="s">
        <v>34</v>
      </c>
    </row>
    <row r="194" spans="1:3" x14ac:dyDescent="0.2">
      <c r="A194" s="1" t="s">
        <v>520</v>
      </c>
      <c r="B194" s="1" t="s">
        <v>521</v>
      </c>
      <c r="C194" s="1" t="s">
        <v>37</v>
      </c>
    </row>
    <row r="195" spans="1:3" x14ac:dyDescent="0.2">
      <c r="A195" s="1" t="s">
        <v>439</v>
      </c>
      <c r="B195" s="1" t="s">
        <v>440</v>
      </c>
      <c r="C195" s="1" t="s">
        <v>28</v>
      </c>
    </row>
    <row r="196" spans="1:3" x14ac:dyDescent="0.2">
      <c r="A196" s="1" t="s">
        <v>362</v>
      </c>
      <c r="B196" s="1" t="s">
        <v>363</v>
      </c>
      <c r="C196" s="1" t="s">
        <v>37</v>
      </c>
    </row>
    <row r="197" spans="1:3" x14ac:dyDescent="0.2">
      <c r="A197" s="1" t="s">
        <v>19</v>
      </c>
      <c r="B197" s="1" t="s">
        <v>20</v>
      </c>
      <c r="C197" s="1" t="s">
        <v>21</v>
      </c>
    </row>
    <row r="198" spans="1:3" x14ac:dyDescent="0.2">
      <c r="A198" s="1" t="s">
        <v>2059</v>
      </c>
      <c r="B198" s="1" t="s">
        <v>2060</v>
      </c>
      <c r="C198" s="1" t="s">
        <v>21</v>
      </c>
    </row>
    <row r="199" spans="1:3" x14ac:dyDescent="0.2">
      <c r="A199" s="1" t="s">
        <v>12</v>
      </c>
      <c r="B199" s="1" t="s">
        <v>13</v>
      </c>
      <c r="C199" s="1" t="s">
        <v>14</v>
      </c>
    </row>
    <row r="200" spans="1:3" x14ac:dyDescent="0.2">
      <c r="A200" s="1" t="s">
        <v>1881</v>
      </c>
      <c r="B200" s="1" t="s">
        <v>1882</v>
      </c>
      <c r="C200" s="1" t="s">
        <v>34</v>
      </c>
    </row>
    <row r="201" spans="1:3" x14ac:dyDescent="0.2">
      <c r="A201" s="1" t="s">
        <v>492</v>
      </c>
      <c r="B201" s="1" t="s">
        <v>493</v>
      </c>
      <c r="C201" s="1" t="s">
        <v>37</v>
      </c>
    </row>
    <row r="202" spans="1:3" x14ac:dyDescent="0.2">
      <c r="A202" s="1" t="s">
        <v>1474</v>
      </c>
      <c r="B202" s="1" t="s">
        <v>1475</v>
      </c>
      <c r="C202" s="1" t="s">
        <v>28</v>
      </c>
    </row>
    <row r="203" spans="1:3" x14ac:dyDescent="0.2">
      <c r="A203" s="1" t="s">
        <v>1737</v>
      </c>
      <c r="B203" s="1" t="s">
        <v>1738</v>
      </c>
      <c r="C203" s="1" t="s">
        <v>21</v>
      </c>
    </row>
    <row r="204" spans="1:3" x14ac:dyDescent="0.2">
      <c r="A204" s="1" t="s">
        <v>1750</v>
      </c>
      <c r="B204" s="1" t="s">
        <v>1751</v>
      </c>
      <c r="C204" s="1" t="s">
        <v>14</v>
      </c>
    </row>
    <row r="205" spans="1:3" x14ac:dyDescent="0.2">
      <c r="A205" s="1" t="s">
        <v>932</v>
      </c>
      <c r="B205" s="1" t="s">
        <v>933</v>
      </c>
      <c r="C205" s="1" t="s">
        <v>14</v>
      </c>
    </row>
    <row r="206" spans="1:3" x14ac:dyDescent="0.2">
      <c r="A206" s="1" t="s">
        <v>3064</v>
      </c>
      <c r="B206" s="1" t="s">
        <v>3065</v>
      </c>
      <c r="C206" s="1" t="s">
        <v>37</v>
      </c>
    </row>
    <row r="207" spans="1:3" x14ac:dyDescent="0.2">
      <c r="A207" s="1" t="s">
        <v>1740</v>
      </c>
      <c r="B207" s="1" t="s">
        <v>1741</v>
      </c>
      <c r="C207" s="1" t="s">
        <v>21</v>
      </c>
    </row>
    <row r="208" spans="1:3" x14ac:dyDescent="0.2">
      <c r="A208" s="1" t="s">
        <v>1438</v>
      </c>
      <c r="B208" s="1" t="s">
        <v>1439</v>
      </c>
      <c r="C208" s="1" t="s">
        <v>34</v>
      </c>
    </row>
    <row r="209" spans="1:3" x14ac:dyDescent="0.2">
      <c r="A209" s="1" t="s">
        <v>243</v>
      </c>
      <c r="B209" s="1" t="s">
        <v>244</v>
      </c>
      <c r="C209" s="1" t="s">
        <v>21</v>
      </c>
    </row>
    <row r="210" spans="1:3" x14ac:dyDescent="0.2">
      <c r="A210" s="1" t="s">
        <v>1793</v>
      </c>
      <c r="B210" s="1" t="s">
        <v>1794</v>
      </c>
      <c r="C210" s="1" t="s">
        <v>37</v>
      </c>
    </row>
    <row r="211" spans="1:3" x14ac:dyDescent="0.2">
      <c r="A211" s="1" t="s">
        <v>963</v>
      </c>
      <c r="B211" s="1" t="s">
        <v>964</v>
      </c>
      <c r="C211" s="1" t="s">
        <v>37</v>
      </c>
    </row>
    <row r="212" spans="1:3" x14ac:dyDescent="0.2">
      <c r="A212" s="1" t="s">
        <v>125</v>
      </c>
      <c r="B212" s="1" t="s">
        <v>126</v>
      </c>
      <c r="C212" s="1" t="s">
        <v>21</v>
      </c>
    </row>
    <row r="213" spans="1:3" x14ac:dyDescent="0.2">
      <c r="A213" s="1" t="s">
        <v>377</v>
      </c>
      <c r="B213" s="1" t="s">
        <v>378</v>
      </c>
      <c r="C213" s="1" t="s">
        <v>37</v>
      </c>
    </row>
    <row r="214" spans="1:3" x14ac:dyDescent="0.2">
      <c r="A214" s="1" t="s">
        <v>1102</v>
      </c>
      <c r="B214" s="1" t="s">
        <v>1103</v>
      </c>
      <c r="C214" s="1" t="s">
        <v>21</v>
      </c>
    </row>
    <row r="215" spans="1:3" x14ac:dyDescent="0.2">
      <c r="A215" s="1" t="s">
        <v>2386</v>
      </c>
      <c r="B215" s="1" t="s">
        <v>2387</v>
      </c>
      <c r="C215" s="1" t="s">
        <v>28</v>
      </c>
    </row>
    <row r="216" spans="1:3" x14ac:dyDescent="0.2">
      <c r="A216" s="1" t="s">
        <v>2319</v>
      </c>
      <c r="B216" s="1" t="s">
        <v>2320</v>
      </c>
      <c r="C216" s="1" t="s">
        <v>21</v>
      </c>
    </row>
    <row r="217" spans="1:3" x14ac:dyDescent="0.2">
      <c r="A217" s="1" t="s">
        <v>220</v>
      </c>
      <c r="B217" s="1" t="s">
        <v>221</v>
      </c>
      <c r="C217" s="1" t="s">
        <v>21</v>
      </c>
    </row>
    <row r="218" spans="1:3" x14ac:dyDescent="0.2">
      <c r="A218" s="1" t="s">
        <v>583</v>
      </c>
      <c r="B218" s="1" t="s">
        <v>584</v>
      </c>
      <c r="C218" s="1" t="s">
        <v>37</v>
      </c>
    </row>
    <row r="219" spans="1:3" x14ac:dyDescent="0.2">
      <c r="A219" s="1" t="s">
        <v>1023</v>
      </c>
      <c r="B219" s="1" t="s">
        <v>1024</v>
      </c>
      <c r="C219" s="1" t="s">
        <v>37</v>
      </c>
    </row>
    <row r="220" spans="1:3" x14ac:dyDescent="0.2">
      <c r="A220" s="1" t="s">
        <v>201</v>
      </c>
      <c r="B220" s="1" t="s">
        <v>202</v>
      </c>
      <c r="C220" s="1" t="s">
        <v>14</v>
      </c>
    </row>
    <row r="221" spans="1:3" x14ac:dyDescent="0.2">
      <c r="A221" s="1" t="s">
        <v>628</v>
      </c>
      <c r="B221" s="1" t="s">
        <v>629</v>
      </c>
      <c r="C221" s="1" t="s">
        <v>14</v>
      </c>
    </row>
    <row r="222" spans="1:3" x14ac:dyDescent="0.2">
      <c r="A222" s="1" t="s">
        <v>698</v>
      </c>
      <c r="B222" s="1" t="s">
        <v>699</v>
      </c>
      <c r="C222" s="1" t="s">
        <v>28</v>
      </c>
    </row>
    <row r="223" spans="1:3" x14ac:dyDescent="0.2">
      <c r="A223" s="1" t="s">
        <v>2260</v>
      </c>
      <c r="B223" s="1" t="s">
        <v>2261</v>
      </c>
      <c r="C223" s="1" t="s">
        <v>14</v>
      </c>
    </row>
    <row r="224" spans="1:3" x14ac:dyDescent="0.2">
      <c r="A224" s="1" t="s">
        <v>1468</v>
      </c>
      <c r="B224" s="1" t="s">
        <v>1469</v>
      </c>
      <c r="C224" s="1" t="s">
        <v>21</v>
      </c>
    </row>
    <row r="225" spans="1:3" x14ac:dyDescent="0.2">
      <c r="A225" s="1" t="s">
        <v>590</v>
      </c>
      <c r="B225" s="1" t="s">
        <v>591</v>
      </c>
      <c r="C225" s="1" t="s">
        <v>37</v>
      </c>
    </row>
    <row r="226" spans="1:3" x14ac:dyDescent="0.2">
      <c r="A226" s="1" t="s">
        <v>163</v>
      </c>
      <c r="B226" s="1" t="s">
        <v>164</v>
      </c>
      <c r="C226" s="1" t="s">
        <v>14</v>
      </c>
    </row>
    <row r="227" spans="1:3" x14ac:dyDescent="0.2">
      <c r="A227" s="1" t="s">
        <v>235</v>
      </c>
      <c r="B227" s="1" t="s">
        <v>236</v>
      </c>
      <c r="C227" s="1" t="s">
        <v>14</v>
      </c>
    </row>
    <row r="228" spans="1:3" x14ac:dyDescent="0.2">
      <c r="A228" s="1" t="s">
        <v>1082</v>
      </c>
      <c r="B228" s="1" t="s">
        <v>1083</v>
      </c>
      <c r="C228" s="1" t="s">
        <v>28</v>
      </c>
    </row>
    <row r="229" spans="1:3" x14ac:dyDescent="0.2">
      <c r="A229" s="1" t="s">
        <v>303</v>
      </c>
      <c r="B229" s="1" t="s">
        <v>304</v>
      </c>
      <c r="C229" s="1" t="s">
        <v>28</v>
      </c>
    </row>
    <row r="230" spans="1:3" x14ac:dyDescent="0.2">
      <c r="A230" s="1" t="s">
        <v>215</v>
      </c>
      <c r="B230" s="1" t="s">
        <v>216</v>
      </c>
      <c r="C230" s="1" t="s">
        <v>21</v>
      </c>
    </row>
    <row r="231" spans="1:3" x14ac:dyDescent="0.2">
      <c r="A231" s="1" t="s">
        <v>2418</v>
      </c>
      <c r="B231" s="1" t="s">
        <v>2419</v>
      </c>
      <c r="C231" s="1" t="s">
        <v>37</v>
      </c>
    </row>
    <row r="232" spans="1:3" x14ac:dyDescent="0.2">
      <c r="A232" s="1" t="s">
        <v>1240</v>
      </c>
      <c r="B232" s="1" t="s">
        <v>1241</v>
      </c>
      <c r="C232" s="1" t="s">
        <v>28</v>
      </c>
    </row>
    <row r="233" spans="1:3" x14ac:dyDescent="0.2">
      <c r="A233" s="1" t="s">
        <v>322</v>
      </c>
      <c r="B233" s="1" t="s">
        <v>323</v>
      </c>
      <c r="C233" s="1" t="s">
        <v>14</v>
      </c>
    </row>
    <row r="234" spans="1:3" x14ac:dyDescent="0.2">
      <c r="A234" s="1" t="s">
        <v>688</v>
      </c>
      <c r="B234" s="1" t="s">
        <v>689</v>
      </c>
      <c r="C234" s="1" t="s">
        <v>37</v>
      </c>
    </row>
    <row r="235" spans="1:3" x14ac:dyDescent="0.2">
      <c r="A235" s="1" t="s">
        <v>1781</v>
      </c>
      <c r="B235" s="1" t="s">
        <v>1782</v>
      </c>
      <c r="C235" s="1" t="s">
        <v>37</v>
      </c>
    </row>
    <row r="236" spans="1:3" x14ac:dyDescent="0.2">
      <c r="A236" s="1" t="s">
        <v>783</v>
      </c>
      <c r="B236" s="1" t="s">
        <v>784</v>
      </c>
      <c r="C236" s="1" t="s">
        <v>14</v>
      </c>
    </row>
    <row r="237" spans="1:3" x14ac:dyDescent="0.2">
      <c r="A237" s="1" t="s">
        <v>128</v>
      </c>
      <c r="B237" s="1" t="s">
        <v>129</v>
      </c>
      <c r="C237" s="1" t="s">
        <v>28</v>
      </c>
    </row>
    <row r="238" spans="1:3" x14ac:dyDescent="0.2">
      <c r="A238" s="1" t="s">
        <v>2711</v>
      </c>
      <c r="B238" s="1" t="s">
        <v>2712</v>
      </c>
      <c r="C238" s="1" t="s">
        <v>14</v>
      </c>
    </row>
    <row r="239" spans="1:3" x14ac:dyDescent="0.2">
      <c r="A239" s="1" t="s">
        <v>2233</v>
      </c>
      <c r="B239" s="1" t="s">
        <v>2234</v>
      </c>
      <c r="C239" s="1" t="s">
        <v>37</v>
      </c>
    </row>
    <row r="240" spans="1:3" x14ac:dyDescent="0.2">
      <c r="A240" s="1" t="s">
        <v>79</v>
      </c>
      <c r="B240" s="1" t="s">
        <v>80</v>
      </c>
      <c r="C240" s="1" t="s">
        <v>34</v>
      </c>
    </row>
    <row r="241" spans="1:3" x14ac:dyDescent="0.2">
      <c r="A241" s="1" t="s">
        <v>847</v>
      </c>
      <c r="B241" s="1" t="s">
        <v>848</v>
      </c>
      <c r="C241" s="1" t="s">
        <v>34</v>
      </c>
    </row>
    <row r="242" spans="1:3" x14ac:dyDescent="0.2">
      <c r="A242" s="1" t="s">
        <v>2300</v>
      </c>
      <c r="B242" s="1" t="s">
        <v>2301</v>
      </c>
      <c r="C242" s="1" t="s">
        <v>21</v>
      </c>
    </row>
    <row r="243" spans="1:3" x14ac:dyDescent="0.2">
      <c r="A243" s="1" t="s">
        <v>1028</v>
      </c>
      <c r="B243" s="1" t="s">
        <v>1029</v>
      </c>
      <c r="C243" s="1" t="s">
        <v>14</v>
      </c>
    </row>
    <row r="244" spans="1:3" x14ac:dyDescent="0.2">
      <c r="A244" s="1" t="s">
        <v>1442</v>
      </c>
      <c r="B244" s="1" t="s">
        <v>1443</v>
      </c>
      <c r="C244" s="1" t="s">
        <v>14</v>
      </c>
    </row>
    <row r="245" spans="1:3" x14ac:dyDescent="0.2">
      <c r="A245" s="1" t="s">
        <v>1011</v>
      </c>
      <c r="B245" s="1" t="s">
        <v>1012</v>
      </c>
      <c r="C245" s="1" t="s">
        <v>21</v>
      </c>
    </row>
    <row r="246" spans="1:3" x14ac:dyDescent="0.2">
      <c r="A246" s="1" t="s">
        <v>555</v>
      </c>
      <c r="B246" s="1" t="s">
        <v>556</v>
      </c>
      <c r="C246" s="1" t="s">
        <v>21</v>
      </c>
    </row>
    <row r="247" spans="1:3" x14ac:dyDescent="0.2">
      <c r="A247" s="1" t="s">
        <v>2662</v>
      </c>
      <c r="B247" s="1" t="s">
        <v>2663</v>
      </c>
      <c r="C247" s="1" t="s">
        <v>21</v>
      </c>
    </row>
    <row r="248" spans="1:3" x14ac:dyDescent="0.2">
      <c r="A248" s="1" t="s">
        <v>2011</v>
      </c>
      <c r="B248" s="1" t="s">
        <v>2012</v>
      </c>
      <c r="C248" s="1" t="s">
        <v>37</v>
      </c>
    </row>
    <row r="249" spans="1:3" x14ac:dyDescent="0.2">
      <c r="A249" s="1" t="s">
        <v>1683</v>
      </c>
      <c r="B249" s="1" t="s">
        <v>1684</v>
      </c>
      <c r="C249" s="1" t="s">
        <v>14</v>
      </c>
    </row>
    <row r="250" spans="1:3" x14ac:dyDescent="0.2">
      <c r="A250" s="1" t="s">
        <v>1412</v>
      </c>
      <c r="B250" s="1" t="s">
        <v>1413</v>
      </c>
      <c r="C250" s="1" t="s">
        <v>37</v>
      </c>
    </row>
    <row r="251" spans="1:3" x14ac:dyDescent="0.2">
      <c r="A251" s="1" t="s">
        <v>287</v>
      </c>
      <c r="B251" s="1" t="s">
        <v>288</v>
      </c>
      <c r="C251" s="1" t="s">
        <v>21</v>
      </c>
    </row>
    <row r="252" spans="1:3" x14ac:dyDescent="0.2">
      <c r="A252" s="1" t="s">
        <v>573</v>
      </c>
      <c r="B252" s="1" t="s">
        <v>574</v>
      </c>
      <c r="C252" s="1" t="s">
        <v>14</v>
      </c>
    </row>
    <row r="253" spans="1:3" x14ac:dyDescent="0.2">
      <c r="A253" s="1" t="s">
        <v>456</v>
      </c>
      <c r="B253" s="1" t="s">
        <v>457</v>
      </c>
      <c r="C253" s="1" t="s">
        <v>37</v>
      </c>
    </row>
    <row r="254" spans="1:3" x14ac:dyDescent="0.2">
      <c r="A254" s="1" t="s">
        <v>1615</v>
      </c>
      <c r="B254" s="1" t="s">
        <v>1616</v>
      </c>
      <c r="C254" s="1" t="s">
        <v>37</v>
      </c>
    </row>
    <row r="255" spans="1:3" x14ac:dyDescent="0.2">
      <c r="A255" s="1" t="s">
        <v>1999</v>
      </c>
      <c r="B255" s="1" t="s">
        <v>2000</v>
      </c>
      <c r="C255" s="1" t="s">
        <v>21</v>
      </c>
    </row>
    <row r="256" spans="1:3" x14ac:dyDescent="0.2">
      <c r="A256" s="1" t="s">
        <v>576</v>
      </c>
      <c r="B256" s="1" t="s">
        <v>577</v>
      </c>
      <c r="C256" s="1" t="s">
        <v>14</v>
      </c>
    </row>
    <row r="257" spans="1:3" x14ac:dyDescent="0.2">
      <c r="A257" s="1" t="s">
        <v>1718</v>
      </c>
      <c r="B257" s="1" t="s">
        <v>1719</v>
      </c>
      <c r="C257" s="1" t="s">
        <v>21</v>
      </c>
    </row>
    <row r="258" spans="1:3" x14ac:dyDescent="0.2">
      <c r="A258" s="1" t="s">
        <v>1095</v>
      </c>
      <c r="B258" s="1" t="s">
        <v>1096</v>
      </c>
      <c r="C258" s="1" t="s">
        <v>14</v>
      </c>
    </row>
    <row r="259" spans="1:3" x14ac:dyDescent="0.2">
      <c r="A259" s="1" t="s">
        <v>1076</v>
      </c>
      <c r="B259" s="1" t="s">
        <v>1077</v>
      </c>
      <c r="C259" s="1" t="s">
        <v>34</v>
      </c>
    </row>
    <row r="260" spans="1:3" x14ac:dyDescent="0.2">
      <c r="A260" s="1" t="s">
        <v>171</v>
      </c>
      <c r="B260" s="1" t="s">
        <v>172</v>
      </c>
      <c r="C260" s="1" t="s">
        <v>28</v>
      </c>
    </row>
    <row r="261" spans="1:3" x14ac:dyDescent="0.2">
      <c r="A261" s="1" t="s">
        <v>608</v>
      </c>
      <c r="B261" s="1" t="s">
        <v>609</v>
      </c>
      <c r="C261" s="1" t="s">
        <v>28</v>
      </c>
    </row>
    <row r="262" spans="1:3" x14ac:dyDescent="0.2">
      <c r="A262" s="1" t="s">
        <v>1666</v>
      </c>
      <c r="B262" s="1" t="s">
        <v>1667</v>
      </c>
      <c r="C262" s="1" t="s">
        <v>28</v>
      </c>
    </row>
    <row r="263" spans="1:3" x14ac:dyDescent="0.2">
      <c r="A263" s="1" t="s">
        <v>505</v>
      </c>
      <c r="B263" s="1" t="s">
        <v>506</v>
      </c>
      <c r="C263" s="1" t="s">
        <v>21</v>
      </c>
    </row>
    <row r="264" spans="1:3" x14ac:dyDescent="0.2">
      <c r="A264" s="1" t="s">
        <v>2002</v>
      </c>
      <c r="B264" s="1" t="s">
        <v>2003</v>
      </c>
      <c r="C264" s="1" t="s">
        <v>34</v>
      </c>
    </row>
    <row r="265" spans="1:3" x14ac:dyDescent="0.2">
      <c r="A265" s="1" t="s">
        <v>291</v>
      </c>
      <c r="B265" s="1" t="s">
        <v>292</v>
      </c>
      <c r="C265" s="1" t="s">
        <v>14</v>
      </c>
    </row>
    <row r="266" spans="1:3" x14ac:dyDescent="0.2">
      <c r="A266" s="1" t="s">
        <v>1630</v>
      </c>
      <c r="B266" s="1" t="s">
        <v>1631</v>
      </c>
      <c r="C266" s="1" t="s">
        <v>37</v>
      </c>
    </row>
    <row r="267" spans="1:3" x14ac:dyDescent="0.2">
      <c r="A267" s="1" t="s">
        <v>415</v>
      </c>
      <c r="B267" s="1" t="s">
        <v>416</v>
      </c>
      <c r="C267" s="1" t="s">
        <v>14</v>
      </c>
    </row>
    <row r="268" spans="1:3" x14ac:dyDescent="0.2">
      <c r="A268" s="1" t="s">
        <v>684</v>
      </c>
      <c r="B268" s="1" t="s">
        <v>685</v>
      </c>
      <c r="C268" s="1" t="s">
        <v>37</v>
      </c>
    </row>
    <row r="269" spans="1:3" x14ac:dyDescent="0.2">
      <c r="A269" s="1" t="s">
        <v>1233</v>
      </c>
      <c r="B269" s="1" t="s">
        <v>1234</v>
      </c>
      <c r="C269" s="1" t="s">
        <v>14</v>
      </c>
    </row>
    <row r="270" spans="1:3" x14ac:dyDescent="0.2">
      <c r="A270" s="1" t="s">
        <v>1268</v>
      </c>
      <c r="B270" s="1" t="s">
        <v>1269</v>
      </c>
      <c r="C270" s="1" t="s">
        <v>34</v>
      </c>
    </row>
    <row r="271" spans="1:3" x14ac:dyDescent="0.2">
      <c r="A271" s="1" t="s">
        <v>1679</v>
      </c>
      <c r="B271" s="1" t="s">
        <v>1680</v>
      </c>
      <c r="C271" s="1" t="s">
        <v>37</v>
      </c>
    </row>
    <row r="272" spans="1:3" x14ac:dyDescent="0.2">
      <c r="A272" s="1" t="s">
        <v>39</v>
      </c>
      <c r="B272" s="1" t="s">
        <v>40</v>
      </c>
      <c r="C272" s="1" t="s">
        <v>21</v>
      </c>
    </row>
    <row r="273" spans="1:3" x14ac:dyDescent="0.2">
      <c r="A273" s="1" t="s">
        <v>409</v>
      </c>
      <c r="B273" s="1" t="s">
        <v>410</v>
      </c>
      <c r="C273" s="1" t="s">
        <v>14</v>
      </c>
    </row>
    <row r="274" spans="1:3" x14ac:dyDescent="0.2">
      <c r="A274" s="1" t="s">
        <v>730</v>
      </c>
      <c r="B274" s="1" t="s">
        <v>731</v>
      </c>
      <c r="C274" s="1" t="s">
        <v>14</v>
      </c>
    </row>
    <row r="275" spans="1:3" x14ac:dyDescent="0.2">
      <c r="A275" s="1" t="s">
        <v>2326</v>
      </c>
      <c r="B275" s="1" t="s">
        <v>2327</v>
      </c>
      <c r="C275" s="1" t="s">
        <v>37</v>
      </c>
    </row>
    <row r="276" spans="1:3" x14ac:dyDescent="0.2">
      <c r="A276" s="1" t="s">
        <v>517</v>
      </c>
      <c r="B276" s="1" t="s">
        <v>518</v>
      </c>
      <c r="C276" s="1" t="s">
        <v>21</v>
      </c>
    </row>
    <row r="277" spans="1:3" x14ac:dyDescent="0.2">
      <c r="A277" s="1" t="s">
        <v>1483</v>
      </c>
      <c r="B277" s="1" t="s">
        <v>1484</v>
      </c>
      <c r="C277" s="1" t="s">
        <v>21</v>
      </c>
    </row>
    <row r="278" spans="1:3" x14ac:dyDescent="0.2">
      <c r="A278" s="1" t="s">
        <v>633</v>
      </c>
      <c r="B278" s="1" t="s">
        <v>634</v>
      </c>
      <c r="C278" s="1" t="s">
        <v>34</v>
      </c>
    </row>
    <row r="279" spans="1:3" x14ac:dyDescent="0.2">
      <c r="A279" s="1" t="s">
        <v>880</v>
      </c>
      <c r="B279" s="1" t="s">
        <v>881</v>
      </c>
      <c r="C279" s="1" t="s">
        <v>21</v>
      </c>
    </row>
    <row r="280" spans="1:3" x14ac:dyDescent="0.2">
      <c r="A280" s="1" t="s">
        <v>1053</v>
      </c>
      <c r="B280" s="1" t="s">
        <v>1054</v>
      </c>
      <c r="C280" s="1" t="s">
        <v>21</v>
      </c>
    </row>
    <row r="281" spans="1:3" x14ac:dyDescent="0.2">
      <c r="A281" s="1" t="s">
        <v>948</v>
      </c>
      <c r="B281" s="1" t="s">
        <v>949</v>
      </c>
      <c r="C281" s="1" t="s">
        <v>21</v>
      </c>
    </row>
    <row r="282" spans="1:3" x14ac:dyDescent="0.2">
      <c r="A282" s="1" t="s">
        <v>1247</v>
      </c>
      <c r="B282" s="1" t="s">
        <v>1248</v>
      </c>
      <c r="C282" s="1" t="s">
        <v>28</v>
      </c>
    </row>
    <row r="283" spans="1:3" x14ac:dyDescent="0.2">
      <c r="A283" s="1" t="s">
        <v>1128</v>
      </c>
      <c r="B283" s="1" t="s">
        <v>1129</v>
      </c>
      <c r="C283" s="1" t="s">
        <v>34</v>
      </c>
    </row>
    <row r="284" spans="1:3" x14ac:dyDescent="0.2">
      <c r="A284" s="1" t="s">
        <v>2628</v>
      </c>
      <c r="B284" s="1" t="s">
        <v>2629</v>
      </c>
      <c r="C284" s="1" t="s">
        <v>14</v>
      </c>
    </row>
    <row r="285" spans="1:3" x14ac:dyDescent="0.2">
      <c r="A285" s="1" t="s">
        <v>1117</v>
      </c>
      <c r="B285" s="1" t="s">
        <v>1118</v>
      </c>
      <c r="C285" s="1" t="s">
        <v>37</v>
      </c>
    </row>
    <row r="286" spans="1:3" x14ac:dyDescent="0.2">
      <c r="A286" s="1" t="s">
        <v>1891</v>
      </c>
      <c r="B286" s="1" t="s">
        <v>1892</v>
      </c>
      <c r="C286" s="1" t="s">
        <v>14</v>
      </c>
    </row>
    <row r="287" spans="1:3" x14ac:dyDescent="0.2">
      <c r="A287" s="1" t="s">
        <v>478</v>
      </c>
      <c r="B287" s="1" t="s">
        <v>479</v>
      </c>
      <c r="C287" s="1" t="s">
        <v>34</v>
      </c>
    </row>
    <row r="288" spans="1:3" x14ac:dyDescent="0.2">
      <c r="A288" s="1" t="s">
        <v>883</v>
      </c>
      <c r="B288" s="1" t="s">
        <v>884</v>
      </c>
      <c r="C288" s="1" t="s">
        <v>37</v>
      </c>
    </row>
    <row r="289" spans="1:3" x14ac:dyDescent="0.2">
      <c r="A289" s="1" t="s">
        <v>702</v>
      </c>
      <c r="B289" s="1" t="s">
        <v>703</v>
      </c>
      <c r="C289" s="1" t="s">
        <v>34</v>
      </c>
    </row>
    <row r="290" spans="1:3" x14ac:dyDescent="0.2">
      <c r="A290" s="1" t="s">
        <v>1789</v>
      </c>
      <c r="B290" s="1" t="s">
        <v>1790</v>
      </c>
      <c r="C290" s="1" t="s">
        <v>21</v>
      </c>
    </row>
    <row r="291" spans="1:3" x14ac:dyDescent="0.2">
      <c r="A291" s="1" t="s">
        <v>1357</v>
      </c>
      <c r="B291" s="1" t="s">
        <v>1358</v>
      </c>
      <c r="C291" s="1" t="s">
        <v>37</v>
      </c>
    </row>
    <row r="292" spans="1:3" x14ac:dyDescent="0.2">
      <c r="A292" s="1" t="s">
        <v>779</v>
      </c>
      <c r="B292" s="1" t="s">
        <v>780</v>
      </c>
      <c r="C292" s="1" t="s">
        <v>21</v>
      </c>
    </row>
    <row r="293" spans="1:3" x14ac:dyDescent="0.2">
      <c r="A293" s="1" t="s">
        <v>1044</v>
      </c>
      <c r="B293" s="1" t="s">
        <v>1045</v>
      </c>
      <c r="C293" s="1" t="s">
        <v>14</v>
      </c>
    </row>
    <row r="294" spans="1:3" x14ac:dyDescent="0.2">
      <c r="A294" s="1" t="s">
        <v>1563</v>
      </c>
      <c r="B294" s="1" t="s">
        <v>1564</v>
      </c>
      <c r="C294" s="1" t="s">
        <v>14</v>
      </c>
    </row>
    <row r="295" spans="1:3" x14ac:dyDescent="0.2">
      <c r="A295" s="1" t="s">
        <v>2766</v>
      </c>
      <c r="B295" s="1" t="s">
        <v>2767</v>
      </c>
      <c r="C295" s="1" t="s">
        <v>37</v>
      </c>
    </row>
    <row r="296" spans="1:3" x14ac:dyDescent="0.2">
      <c r="A296" s="1" t="s">
        <v>2771</v>
      </c>
      <c r="B296" s="1" t="s">
        <v>2772</v>
      </c>
      <c r="C296" s="1" t="s">
        <v>37</v>
      </c>
    </row>
    <row r="297" spans="1:3" x14ac:dyDescent="0.2">
      <c r="A297" s="1" t="s">
        <v>1272</v>
      </c>
      <c r="B297" s="1" t="s">
        <v>1273</v>
      </c>
      <c r="C297" s="1" t="s">
        <v>34</v>
      </c>
    </row>
    <row r="298" spans="1:3" x14ac:dyDescent="0.2">
      <c r="A298" s="1" t="s">
        <v>226</v>
      </c>
      <c r="B298" s="1" t="s">
        <v>227</v>
      </c>
      <c r="C298" s="1" t="s">
        <v>34</v>
      </c>
    </row>
    <row r="299" spans="1:3" x14ac:dyDescent="0.2">
      <c r="A299" s="1" t="s">
        <v>1421</v>
      </c>
      <c r="B299" s="1" t="s">
        <v>1422</v>
      </c>
      <c r="C299" s="1" t="s">
        <v>21</v>
      </c>
    </row>
    <row r="300" spans="1:3" x14ac:dyDescent="0.2">
      <c r="A300" s="1" t="s">
        <v>979</v>
      </c>
      <c r="B300" s="1" t="s">
        <v>980</v>
      </c>
      <c r="C300" s="1" t="s">
        <v>37</v>
      </c>
    </row>
    <row r="301" spans="1:3" x14ac:dyDescent="0.2">
      <c r="A301" s="1" t="s">
        <v>801</v>
      </c>
      <c r="B301" s="1" t="s">
        <v>802</v>
      </c>
      <c r="C301" s="1" t="s">
        <v>14</v>
      </c>
    </row>
    <row r="302" spans="1:3" x14ac:dyDescent="0.2">
      <c r="A302" s="1" t="s">
        <v>1871</v>
      </c>
      <c r="B302" s="1" t="s">
        <v>1872</v>
      </c>
      <c r="C302" s="1" t="s">
        <v>34</v>
      </c>
    </row>
    <row r="303" spans="1:3" x14ac:dyDescent="0.2">
      <c r="A303" s="1" t="s">
        <v>660</v>
      </c>
      <c r="B303" s="1" t="s">
        <v>661</v>
      </c>
      <c r="C303" s="1" t="s">
        <v>34</v>
      </c>
    </row>
    <row r="304" spans="1:3" x14ac:dyDescent="0.2">
      <c r="A304" s="1" t="s">
        <v>1020</v>
      </c>
      <c r="B304" s="1" t="s">
        <v>1021</v>
      </c>
      <c r="C304" s="1" t="s">
        <v>14</v>
      </c>
    </row>
    <row r="305" spans="1:3" x14ac:dyDescent="0.2">
      <c r="A305" s="1" t="s">
        <v>1626</v>
      </c>
      <c r="B305" s="1" t="s">
        <v>1627</v>
      </c>
      <c r="C305" s="1" t="s">
        <v>34</v>
      </c>
    </row>
    <row r="306" spans="1:3" x14ac:dyDescent="0.2">
      <c r="A306" s="1" t="s">
        <v>421</v>
      </c>
      <c r="B306" s="1" t="s">
        <v>422</v>
      </c>
      <c r="C306" s="1" t="s">
        <v>21</v>
      </c>
    </row>
    <row r="307" spans="1:3" x14ac:dyDescent="0.2">
      <c r="A307" s="1" t="s">
        <v>1068</v>
      </c>
      <c r="B307" s="1" t="s">
        <v>1069</v>
      </c>
      <c r="C307" s="1" t="s">
        <v>37</v>
      </c>
    </row>
    <row r="308" spans="1:3" x14ac:dyDescent="0.2">
      <c r="A308" s="1" t="s">
        <v>1254</v>
      </c>
      <c r="B308" s="1" t="s">
        <v>1255</v>
      </c>
      <c r="C308" s="1" t="s">
        <v>14</v>
      </c>
    </row>
    <row r="309" spans="1:3" x14ac:dyDescent="0.2">
      <c r="A309" s="1" t="s">
        <v>596</v>
      </c>
      <c r="B309" s="1" t="s">
        <v>597</v>
      </c>
      <c r="C309" s="1" t="s">
        <v>37</v>
      </c>
    </row>
    <row r="310" spans="1:3" x14ac:dyDescent="0.2">
      <c r="A310" s="1" t="s">
        <v>2104</v>
      </c>
      <c r="B310" s="1" t="s">
        <v>2105</v>
      </c>
      <c r="C310" s="1" t="s">
        <v>34</v>
      </c>
    </row>
    <row r="311" spans="1:3" x14ac:dyDescent="0.2">
      <c r="A311" s="1" t="s">
        <v>2445</v>
      </c>
      <c r="B311" s="1" t="s">
        <v>2446</v>
      </c>
      <c r="C311" s="1" t="s">
        <v>34</v>
      </c>
    </row>
    <row r="312" spans="1:3" x14ac:dyDescent="0.2">
      <c r="A312" s="1" t="s">
        <v>523</v>
      </c>
      <c r="B312" s="1" t="s">
        <v>524</v>
      </c>
      <c r="C312" s="1" t="s">
        <v>14</v>
      </c>
    </row>
    <row r="313" spans="1:3" x14ac:dyDescent="0.2">
      <c r="A313" s="1" t="s">
        <v>901</v>
      </c>
      <c r="B313" s="1" t="s">
        <v>902</v>
      </c>
      <c r="C313" s="1" t="s">
        <v>21</v>
      </c>
    </row>
    <row r="314" spans="1:3" x14ac:dyDescent="0.2">
      <c r="A314" s="1" t="s">
        <v>1426</v>
      </c>
      <c r="B314" s="1" t="s">
        <v>1427</v>
      </c>
      <c r="C314" s="1" t="s">
        <v>28</v>
      </c>
    </row>
    <row r="315" spans="1:3" x14ac:dyDescent="0.2">
      <c r="A315" s="1" t="s">
        <v>68</v>
      </c>
      <c r="B315" s="1" t="s">
        <v>69</v>
      </c>
      <c r="C315" s="1" t="s">
        <v>14</v>
      </c>
    </row>
    <row r="316" spans="1:3" x14ac:dyDescent="0.2">
      <c r="A316" s="1" t="s">
        <v>535</v>
      </c>
      <c r="B316" s="1" t="s">
        <v>536</v>
      </c>
      <c r="C316" s="1" t="s">
        <v>28</v>
      </c>
    </row>
    <row r="317" spans="1:3" x14ac:dyDescent="0.2">
      <c r="A317" s="1" t="s">
        <v>3354</v>
      </c>
      <c r="B317" s="1" t="s">
        <v>3355</v>
      </c>
      <c r="C317" s="1" t="s">
        <v>28</v>
      </c>
    </row>
    <row r="318" spans="1:3" x14ac:dyDescent="0.2">
      <c r="A318" s="1" t="s">
        <v>823</v>
      </c>
      <c r="B318" s="1" t="s">
        <v>824</v>
      </c>
      <c r="C318" s="1" t="s">
        <v>21</v>
      </c>
    </row>
    <row r="319" spans="1:3" x14ac:dyDescent="0.2">
      <c r="A319" s="1" t="s">
        <v>916</v>
      </c>
      <c r="B319" s="1" t="s">
        <v>917</v>
      </c>
      <c r="C319" s="1" t="s">
        <v>28</v>
      </c>
    </row>
    <row r="320" spans="1:3" x14ac:dyDescent="0.2">
      <c r="A320" s="1" t="s">
        <v>820</v>
      </c>
      <c r="B320" s="1" t="s">
        <v>821</v>
      </c>
      <c r="C320" s="1" t="s">
        <v>28</v>
      </c>
    </row>
    <row r="321" spans="1:3" x14ac:dyDescent="0.2">
      <c r="A321" s="1" t="s">
        <v>1004</v>
      </c>
      <c r="B321" s="1" t="s">
        <v>1005</v>
      </c>
      <c r="C321" s="1" t="s">
        <v>21</v>
      </c>
    </row>
    <row r="322" spans="1:3" x14ac:dyDescent="0.2">
      <c r="A322" s="1" t="s">
        <v>2273</v>
      </c>
      <c r="B322" s="1" t="s">
        <v>2274</v>
      </c>
      <c r="C322" s="1" t="s">
        <v>28</v>
      </c>
    </row>
    <row r="323" spans="1:3" x14ac:dyDescent="0.2">
      <c r="A323" s="1" t="s">
        <v>926</v>
      </c>
      <c r="B323" s="1" t="s">
        <v>927</v>
      </c>
      <c r="C323" s="1" t="s">
        <v>28</v>
      </c>
    </row>
    <row r="324" spans="1:3" x14ac:dyDescent="0.2">
      <c r="A324" s="1" t="s">
        <v>1393</v>
      </c>
      <c r="B324" s="1" t="s">
        <v>1394</v>
      </c>
      <c r="C324" s="1" t="s">
        <v>28</v>
      </c>
    </row>
    <row r="325" spans="1:3" x14ac:dyDescent="0.2">
      <c r="A325" s="1" t="s">
        <v>814</v>
      </c>
      <c r="B325" s="1" t="s">
        <v>815</v>
      </c>
      <c r="C325" s="1" t="s">
        <v>14</v>
      </c>
    </row>
    <row r="326" spans="1:3" x14ac:dyDescent="0.2">
      <c r="A326" s="1" t="s">
        <v>1841</v>
      </c>
      <c r="B326" s="1" t="s">
        <v>1842</v>
      </c>
      <c r="C326" s="1" t="s">
        <v>14</v>
      </c>
    </row>
    <row r="327" spans="1:3" x14ac:dyDescent="0.2">
      <c r="A327" s="1" t="s">
        <v>817</v>
      </c>
      <c r="B327" s="1" t="s">
        <v>818</v>
      </c>
      <c r="C327" s="1" t="s">
        <v>14</v>
      </c>
    </row>
    <row r="328" spans="1:3" x14ac:dyDescent="0.2">
      <c r="A328" s="1" t="s">
        <v>1535</v>
      </c>
      <c r="B328" s="1" t="s">
        <v>1536</v>
      </c>
      <c r="C328" s="1" t="s">
        <v>21</v>
      </c>
    </row>
    <row r="329" spans="1:3" x14ac:dyDescent="0.2">
      <c r="A329" s="1" t="s">
        <v>1354</v>
      </c>
      <c r="B329" s="1" t="s">
        <v>1355</v>
      </c>
      <c r="C329" s="1" t="s">
        <v>34</v>
      </c>
    </row>
    <row r="330" spans="1:3" x14ac:dyDescent="0.2">
      <c r="A330" s="1" t="s">
        <v>1658</v>
      </c>
      <c r="B330" s="1" t="s">
        <v>1659</v>
      </c>
      <c r="C330" s="1" t="s">
        <v>28</v>
      </c>
    </row>
    <row r="331" spans="1:3" x14ac:dyDescent="0.2">
      <c r="A331" s="1" t="s">
        <v>223</v>
      </c>
      <c r="B331" s="1" t="s">
        <v>224</v>
      </c>
      <c r="C331" s="1" t="s">
        <v>28</v>
      </c>
    </row>
    <row r="332" spans="1:3" x14ac:dyDescent="0.2">
      <c r="A332" s="1" t="s">
        <v>664</v>
      </c>
      <c r="B332" s="1" t="s">
        <v>665</v>
      </c>
      <c r="C332" s="1" t="s">
        <v>21</v>
      </c>
    </row>
    <row r="333" spans="1:3" x14ac:dyDescent="0.2">
      <c r="A333" s="1" t="s">
        <v>942</v>
      </c>
      <c r="B333" s="1" t="s">
        <v>943</v>
      </c>
      <c r="C333" s="1" t="s">
        <v>28</v>
      </c>
    </row>
    <row r="334" spans="1:3" x14ac:dyDescent="0.2">
      <c r="A334" s="1" t="s">
        <v>743</v>
      </c>
      <c r="B334" s="1" t="s">
        <v>744</v>
      </c>
      <c r="C334" s="1" t="s">
        <v>14</v>
      </c>
    </row>
    <row r="335" spans="1:3" x14ac:dyDescent="0.2">
      <c r="A335" s="1" t="s">
        <v>546</v>
      </c>
      <c r="B335" s="1" t="s">
        <v>547</v>
      </c>
      <c r="C335" s="1" t="s">
        <v>34</v>
      </c>
    </row>
    <row r="336" spans="1:3" x14ac:dyDescent="0.2">
      <c r="A336" s="1" t="s">
        <v>1747</v>
      </c>
      <c r="B336" s="1" t="s">
        <v>1748</v>
      </c>
      <c r="C336" s="1" t="s">
        <v>37</v>
      </c>
    </row>
    <row r="337" spans="1:3" x14ac:dyDescent="0.2">
      <c r="A337" s="1" t="s">
        <v>929</v>
      </c>
      <c r="B337" s="1" t="s">
        <v>930</v>
      </c>
      <c r="C337" s="1" t="s">
        <v>28</v>
      </c>
    </row>
    <row r="338" spans="1:3" x14ac:dyDescent="0.2">
      <c r="A338" s="1" t="s">
        <v>2748</v>
      </c>
      <c r="B338" s="1" t="s">
        <v>2749</v>
      </c>
      <c r="C338" s="1" t="s">
        <v>14</v>
      </c>
    </row>
    <row r="339" spans="1:3" x14ac:dyDescent="0.2">
      <c r="A339" s="1" t="s">
        <v>774</v>
      </c>
      <c r="B339" s="1" t="s">
        <v>775</v>
      </c>
      <c r="C339" s="1" t="s">
        <v>37</v>
      </c>
    </row>
    <row r="340" spans="1:3" x14ac:dyDescent="0.2">
      <c r="A340" s="1" t="s">
        <v>1324</v>
      </c>
      <c r="B340" s="1" t="s">
        <v>1325</v>
      </c>
      <c r="C340" s="1" t="s">
        <v>34</v>
      </c>
    </row>
    <row r="341" spans="1:3" x14ac:dyDescent="0.2">
      <c r="A341" s="1" t="s">
        <v>2145</v>
      </c>
      <c r="B341" s="1" t="s">
        <v>2146</v>
      </c>
      <c r="C341" s="1" t="s">
        <v>37</v>
      </c>
    </row>
    <row r="342" spans="1:3" x14ac:dyDescent="0.2">
      <c r="A342" s="1" t="s">
        <v>431</v>
      </c>
      <c r="B342" s="1" t="s">
        <v>432</v>
      </c>
      <c r="C342" s="1" t="s">
        <v>14</v>
      </c>
    </row>
    <row r="343" spans="1:3" x14ac:dyDescent="0.2">
      <c r="A343" s="1" t="s">
        <v>1007</v>
      </c>
      <c r="B343" s="1" t="s">
        <v>1008</v>
      </c>
      <c r="C343" s="1" t="s">
        <v>37</v>
      </c>
    </row>
    <row r="344" spans="1:3" x14ac:dyDescent="0.2">
      <c r="A344" s="1" t="s">
        <v>886</v>
      </c>
      <c r="B344" s="1" t="s">
        <v>887</v>
      </c>
      <c r="C344" s="1" t="s">
        <v>21</v>
      </c>
    </row>
    <row r="345" spans="1:3" x14ac:dyDescent="0.2">
      <c r="A345" s="1" t="s">
        <v>1211</v>
      </c>
      <c r="B345" s="1" t="s">
        <v>1212</v>
      </c>
      <c r="C345" s="1" t="s">
        <v>37</v>
      </c>
    </row>
    <row r="346" spans="1:3" x14ac:dyDescent="0.2">
      <c r="A346" s="1" t="s">
        <v>90</v>
      </c>
      <c r="B346" s="1" t="s">
        <v>91</v>
      </c>
      <c r="C346" s="1" t="s">
        <v>28</v>
      </c>
    </row>
    <row r="347" spans="1:3" x14ac:dyDescent="0.2">
      <c r="A347" s="1" t="s">
        <v>681</v>
      </c>
      <c r="B347" s="1" t="s">
        <v>682</v>
      </c>
      <c r="C347" s="1" t="s">
        <v>28</v>
      </c>
    </row>
    <row r="348" spans="1:3" x14ac:dyDescent="0.2">
      <c r="A348" s="1" t="s">
        <v>2601</v>
      </c>
      <c r="B348" s="1" t="s">
        <v>2602</v>
      </c>
      <c r="C348" s="1" t="s">
        <v>21</v>
      </c>
    </row>
    <row r="349" spans="1:3" x14ac:dyDescent="0.2">
      <c r="A349" s="1" t="s">
        <v>1814</v>
      </c>
      <c r="B349" s="1" t="s">
        <v>1815</v>
      </c>
      <c r="C349" s="1" t="s">
        <v>14</v>
      </c>
    </row>
    <row r="350" spans="1:3" x14ac:dyDescent="0.2">
      <c r="A350" s="1" t="s">
        <v>1244</v>
      </c>
      <c r="B350" s="1" t="s">
        <v>1245</v>
      </c>
      <c r="C350" s="1" t="s">
        <v>28</v>
      </c>
    </row>
    <row r="351" spans="1:3" x14ac:dyDescent="0.2">
      <c r="A351" s="1" t="s">
        <v>1092</v>
      </c>
      <c r="B351" s="1" t="s">
        <v>1093</v>
      </c>
      <c r="C351" s="1" t="s">
        <v>34</v>
      </c>
    </row>
    <row r="352" spans="1:3" x14ac:dyDescent="0.2">
      <c r="A352" s="1" t="s">
        <v>1894</v>
      </c>
      <c r="B352" s="1" t="s">
        <v>1895</v>
      </c>
      <c r="C352" s="1" t="s">
        <v>28</v>
      </c>
    </row>
    <row r="353" spans="1:3" x14ac:dyDescent="0.2">
      <c r="A353" s="1" t="s">
        <v>648</v>
      </c>
      <c r="B353" s="1" t="s">
        <v>649</v>
      </c>
      <c r="C353" s="1" t="s">
        <v>28</v>
      </c>
    </row>
    <row r="354" spans="1:3" x14ac:dyDescent="0.2">
      <c r="A354" s="1" t="s">
        <v>2534</v>
      </c>
      <c r="B354" s="1" t="s">
        <v>2535</v>
      </c>
      <c r="C354" s="1" t="s">
        <v>14</v>
      </c>
    </row>
    <row r="355" spans="1:3" x14ac:dyDescent="0.2">
      <c r="A355" s="1" t="s">
        <v>404</v>
      </c>
      <c r="B355" s="1" t="s">
        <v>405</v>
      </c>
      <c r="C355" s="1" t="s">
        <v>37</v>
      </c>
    </row>
    <row r="356" spans="1:3" x14ac:dyDescent="0.2">
      <c r="A356" s="1" t="s">
        <v>348</v>
      </c>
      <c r="B356" s="1" t="s">
        <v>349</v>
      </c>
      <c r="C356" s="1" t="s">
        <v>28</v>
      </c>
    </row>
    <row r="357" spans="1:3" x14ac:dyDescent="0.2">
      <c r="A357" s="1" t="s">
        <v>1860</v>
      </c>
      <c r="B357" s="1" t="s">
        <v>1861</v>
      </c>
      <c r="C357" s="1" t="s">
        <v>21</v>
      </c>
    </row>
    <row r="358" spans="1:3" x14ac:dyDescent="0.2">
      <c r="A358" s="1" t="s">
        <v>1460</v>
      </c>
      <c r="B358" s="1" t="s">
        <v>1461</v>
      </c>
      <c r="C358" s="1" t="s">
        <v>37</v>
      </c>
    </row>
    <row r="359" spans="1:3" x14ac:dyDescent="0.2">
      <c r="A359" s="1" t="s">
        <v>1227</v>
      </c>
      <c r="B359" s="1" t="s">
        <v>1228</v>
      </c>
      <c r="C359" s="1" t="s">
        <v>34</v>
      </c>
    </row>
    <row r="360" spans="1:3" x14ac:dyDescent="0.2">
      <c r="A360" s="1" t="s">
        <v>150</v>
      </c>
      <c r="B360" s="1" t="s">
        <v>151</v>
      </c>
      <c r="C360" s="1" t="s">
        <v>14</v>
      </c>
    </row>
    <row r="361" spans="1:3" x14ac:dyDescent="0.2">
      <c r="A361" s="1" t="s">
        <v>385</v>
      </c>
      <c r="B361" s="1" t="s">
        <v>386</v>
      </c>
      <c r="C361" s="1" t="s">
        <v>34</v>
      </c>
    </row>
    <row r="362" spans="1:3" x14ac:dyDescent="0.2">
      <c r="A362" s="1" t="s">
        <v>279</v>
      </c>
      <c r="B362" s="1" t="s">
        <v>280</v>
      </c>
      <c r="C362" s="1" t="s">
        <v>37</v>
      </c>
    </row>
    <row r="363" spans="1:3" x14ac:dyDescent="0.2">
      <c r="A363" s="1" t="s">
        <v>63</v>
      </c>
      <c r="B363" s="1" t="s">
        <v>64</v>
      </c>
      <c r="C363" s="1" t="s">
        <v>37</v>
      </c>
    </row>
    <row r="364" spans="1:3" x14ac:dyDescent="0.2">
      <c r="A364" s="1" t="s">
        <v>313</v>
      </c>
      <c r="B364" s="1" t="s">
        <v>314</v>
      </c>
      <c r="C364" s="1" t="s">
        <v>37</v>
      </c>
    </row>
    <row r="365" spans="1:3" x14ac:dyDescent="0.2">
      <c r="A365" s="1" t="s">
        <v>1722</v>
      </c>
      <c r="B365" s="1" t="s">
        <v>1723</v>
      </c>
      <c r="C365" s="1" t="s">
        <v>34</v>
      </c>
    </row>
    <row r="366" spans="1:3" x14ac:dyDescent="0.2">
      <c r="A366" s="1" t="s">
        <v>617</v>
      </c>
      <c r="B366" s="1" t="s">
        <v>618</v>
      </c>
      <c r="C366" s="1" t="s">
        <v>37</v>
      </c>
    </row>
    <row r="367" spans="1:3" x14ac:dyDescent="0.2">
      <c r="A367" s="1" t="s">
        <v>2196</v>
      </c>
      <c r="B367" s="1" t="s">
        <v>2197</v>
      </c>
      <c r="C367" s="1" t="s">
        <v>34</v>
      </c>
    </row>
    <row r="368" spans="1:3" x14ac:dyDescent="0.2">
      <c r="A368" s="1" t="s">
        <v>1364</v>
      </c>
      <c r="B368" s="1" t="s">
        <v>1365</v>
      </c>
      <c r="C368" s="1" t="s">
        <v>37</v>
      </c>
    </row>
    <row r="369" spans="1:3" x14ac:dyDescent="0.2">
      <c r="A369" s="1" t="s">
        <v>55</v>
      </c>
      <c r="B369" s="1" t="s">
        <v>56</v>
      </c>
      <c r="C369" s="1" t="s">
        <v>21</v>
      </c>
    </row>
    <row r="370" spans="1:3" x14ac:dyDescent="0.2">
      <c r="A370" s="1" t="s">
        <v>2398</v>
      </c>
      <c r="B370" s="1" t="s">
        <v>2399</v>
      </c>
      <c r="C370" s="1" t="s">
        <v>37</v>
      </c>
    </row>
    <row r="371" spans="1:3" x14ac:dyDescent="0.2">
      <c r="A371" s="1" t="s">
        <v>2781</v>
      </c>
      <c r="B371" s="1" t="s">
        <v>2782</v>
      </c>
      <c r="C371" s="1" t="s">
        <v>34</v>
      </c>
    </row>
    <row r="372" spans="1:3" x14ac:dyDescent="0.2">
      <c r="A372" s="1" t="s">
        <v>1449</v>
      </c>
      <c r="B372" s="1" t="s">
        <v>1450</v>
      </c>
      <c r="C372" s="1" t="s">
        <v>28</v>
      </c>
    </row>
    <row r="373" spans="1:3" x14ac:dyDescent="0.2">
      <c r="A373" s="1" t="s">
        <v>844</v>
      </c>
      <c r="B373" s="1" t="s">
        <v>845</v>
      </c>
      <c r="C373" s="1" t="s">
        <v>37</v>
      </c>
    </row>
    <row r="374" spans="1:3" x14ac:dyDescent="0.2">
      <c r="A374" s="1" t="s">
        <v>2038</v>
      </c>
      <c r="B374" s="1" t="s">
        <v>2039</v>
      </c>
      <c r="C374" s="1" t="s">
        <v>28</v>
      </c>
    </row>
    <row r="375" spans="1:3" x14ac:dyDescent="0.2">
      <c r="A375" s="1" t="s">
        <v>1728</v>
      </c>
      <c r="B375" s="1" t="s">
        <v>1729</v>
      </c>
      <c r="C375" s="1" t="s">
        <v>21</v>
      </c>
    </row>
    <row r="376" spans="1:3" x14ac:dyDescent="0.2">
      <c r="A376" s="1" t="s">
        <v>1204</v>
      </c>
      <c r="B376" s="1" t="s">
        <v>1205</v>
      </c>
      <c r="C376" s="1" t="s">
        <v>14</v>
      </c>
    </row>
    <row r="377" spans="1:3" x14ac:dyDescent="0.2">
      <c r="A377" s="1" t="s">
        <v>168</v>
      </c>
      <c r="B377" s="1" t="s">
        <v>169</v>
      </c>
      <c r="C377" s="1" t="s">
        <v>21</v>
      </c>
    </row>
    <row r="378" spans="1:3" x14ac:dyDescent="0.2">
      <c r="A378" s="1" t="s">
        <v>657</v>
      </c>
      <c r="B378" s="1" t="s">
        <v>658</v>
      </c>
      <c r="C378" s="1" t="s">
        <v>37</v>
      </c>
    </row>
    <row r="379" spans="1:3" x14ac:dyDescent="0.2">
      <c r="A379" s="1" t="s">
        <v>838</v>
      </c>
      <c r="B379" s="1" t="s">
        <v>839</v>
      </c>
      <c r="C379" s="1" t="s">
        <v>28</v>
      </c>
    </row>
    <row r="380" spans="1:3" x14ac:dyDescent="0.2">
      <c r="A380" s="1" t="s">
        <v>3301</v>
      </c>
      <c r="B380" s="1" t="s">
        <v>3302</v>
      </c>
      <c r="C380" s="1" t="s">
        <v>28</v>
      </c>
    </row>
    <row r="381" spans="1:3" x14ac:dyDescent="0.2">
      <c r="A381" s="1" t="s">
        <v>756</v>
      </c>
      <c r="B381" s="1" t="s">
        <v>757</v>
      </c>
      <c r="C381" s="1" t="s">
        <v>34</v>
      </c>
    </row>
    <row r="382" spans="1:3" x14ac:dyDescent="0.2">
      <c r="A382" s="1" t="s">
        <v>466</v>
      </c>
      <c r="B382" s="1" t="s">
        <v>467</v>
      </c>
      <c r="C382" s="1" t="s">
        <v>28</v>
      </c>
    </row>
    <row r="383" spans="1:3" x14ac:dyDescent="0.2">
      <c r="A383" s="1" t="s">
        <v>550</v>
      </c>
      <c r="B383" s="1" t="s">
        <v>551</v>
      </c>
      <c r="C383" s="1" t="s">
        <v>34</v>
      </c>
    </row>
    <row r="384" spans="1:3" x14ac:dyDescent="0.2">
      <c r="A384" s="1" t="s">
        <v>905</v>
      </c>
      <c r="B384" s="1" t="s">
        <v>906</v>
      </c>
      <c r="C384" s="1" t="s">
        <v>14</v>
      </c>
    </row>
    <row r="385" spans="1:3" x14ac:dyDescent="0.2">
      <c r="A385" s="1" t="s">
        <v>737</v>
      </c>
      <c r="B385" s="1" t="s">
        <v>738</v>
      </c>
      <c r="C385" s="1" t="s">
        <v>37</v>
      </c>
    </row>
    <row r="386" spans="1:3" x14ac:dyDescent="0.2">
      <c r="A386" s="1" t="s">
        <v>1220</v>
      </c>
      <c r="B386" s="1" t="s">
        <v>1221</v>
      </c>
      <c r="C386" s="1" t="s">
        <v>34</v>
      </c>
    </row>
    <row r="387" spans="1:3" x14ac:dyDescent="0.2">
      <c r="A387" s="1" t="s">
        <v>1061</v>
      </c>
      <c r="B387" s="1" t="s">
        <v>1062</v>
      </c>
      <c r="C387" s="1" t="s">
        <v>14</v>
      </c>
    </row>
    <row r="388" spans="1:3" x14ac:dyDescent="0.2">
      <c r="A388" s="1" t="s">
        <v>240</v>
      </c>
      <c r="B388" s="1" t="s">
        <v>241</v>
      </c>
      <c r="C388" s="1" t="s">
        <v>28</v>
      </c>
    </row>
    <row r="389" spans="1:3" x14ac:dyDescent="0.2">
      <c r="A389" s="1" t="s">
        <v>749</v>
      </c>
      <c r="B389" s="1" t="s">
        <v>750</v>
      </c>
      <c r="C389" s="1" t="s">
        <v>28</v>
      </c>
    </row>
    <row r="390" spans="1:3" x14ac:dyDescent="0.2">
      <c r="A390" s="1" t="s">
        <v>1698</v>
      </c>
      <c r="B390" s="1" t="s">
        <v>1699</v>
      </c>
      <c r="C390" s="1" t="s">
        <v>14</v>
      </c>
    </row>
    <row r="391" spans="1:3" x14ac:dyDescent="0.2">
      <c r="A391" s="1" t="s">
        <v>910</v>
      </c>
      <c r="B391" s="1" t="s">
        <v>911</v>
      </c>
      <c r="C391" s="1" t="s">
        <v>28</v>
      </c>
    </row>
    <row r="392" spans="1:3" x14ac:dyDescent="0.2">
      <c r="A392" s="1" t="s">
        <v>1930</v>
      </c>
      <c r="B392" s="1" t="s">
        <v>1931</v>
      </c>
      <c r="C392" s="1" t="s">
        <v>14</v>
      </c>
    </row>
    <row r="393" spans="1:3" x14ac:dyDescent="0.2">
      <c r="A393" s="1" t="s">
        <v>1637</v>
      </c>
      <c r="B393" s="1" t="s">
        <v>1638</v>
      </c>
      <c r="C393" s="1" t="s">
        <v>34</v>
      </c>
    </row>
    <row r="394" spans="1:3" x14ac:dyDescent="0.2">
      <c r="A394" s="1" t="s">
        <v>44</v>
      </c>
      <c r="B394" s="1" t="s">
        <v>45</v>
      </c>
      <c r="C394" s="1" t="s">
        <v>34</v>
      </c>
    </row>
    <row r="395" spans="1:3" x14ac:dyDescent="0.2">
      <c r="A395" s="1" t="s">
        <v>829</v>
      </c>
      <c r="B395" s="1" t="s">
        <v>830</v>
      </c>
      <c r="C395" s="1" t="s">
        <v>14</v>
      </c>
    </row>
    <row r="396" spans="1:3" x14ac:dyDescent="0.2">
      <c r="A396" s="1" t="s">
        <v>1017</v>
      </c>
      <c r="B396" s="1" t="s">
        <v>1018</v>
      </c>
      <c r="C396" s="1" t="s">
        <v>34</v>
      </c>
    </row>
    <row r="397" spans="1:3" x14ac:dyDescent="0.2">
      <c r="A397" s="1" t="s">
        <v>1953</v>
      </c>
      <c r="B397" s="1" t="s">
        <v>1954</v>
      </c>
      <c r="C397" s="1" t="s">
        <v>34</v>
      </c>
    </row>
    <row r="398" spans="1:3" x14ac:dyDescent="0.2">
      <c r="A398" s="1" t="s">
        <v>397</v>
      </c>
      <c r="B398" s="1" t="s">
        <v>398</v>
      </c>
      <c r="C398" s="1" t="s">
        <v>34</v>
      </c>
    </row>
    <row r="399" spans="1:3" x14ac:dyDescent="0.2">
      <c r="A399" s="1" t="s">
        <v>282</v>
      </c>
      <c r="B399" s="1" t="s">
        <v>283</v>
      </c>
      <c r="C399" s="1" t="s">
        <v>21</v>
      </c>
    </row>
    <row r="400" spans="1:3" x14ac:dyDescent="0.2">
      <c r="A400" s="1" t="s">
        <v>759</v>
      </c>
      <c r="B400" s="1" t="s">
        <v>760</v>
      </c>
      <c r="C400" s="1" t="s">
        <v>37</v>
      </c>
    </row>
    <row r="401" spans="1:3" x14ac:dyDescent="0.2">
      <c r="A401" s="1" t="s">
        <v>1578</v>
      </c>
      <c r="B401" s="1" t="s">
        <v>1579</v>
      </c>
      <c r="C401" s="1" t="s">
        <v>28</v>
      </c>
    </row>
    <row r="402" spans="1:3" x14ac:dyDescent="0.2">
      <c r="A402" s="1" t="s">
        <v>710</v>
      </c>
      <c r="B402" s="1" t="s">
        <v>711</v>
      </c>
      <c r="C402" s="1" t="s">
        <v>21</v>
      </c>
    </row>
    <row r="403" spans="1:3" x14ac:dyDescent="0.2">
      <c r="A403" s="1" t="s">
        <v>93</v>
      </c>
      <c r="B403" s="1" t="s">
        <v>94</v>
      </c>
      <c r="C403" s="1" t="s">
        <v>34</v>
      </c>
    </row>
    <row r="404" spans="1:3" x14ac:dyDescent="0.2">
      <c r="A404" s="1" t="s">
        <v>266</v>
      </c>
      <c r="B404" s="1" t="s">
        <v>267</v>
      </c>
      <c r="C404" s="1" t="s">
        <v>14</v>
      </c>
    </row>
    <row r="405" spans="1:3" x14ac:dyDescent="0.2">
      <c r="A405" s="1" t="s">
        <v>1598</v>
      </c>
      <c r="B405" s="1" t="s">
        <v>1599</v>
      </c>
      <c r="C405" s="1" t="s">
        <v>34</v>
      </c>
    </row>
    <row r="406" spans="1:3" x14ac:dyDescent="0.2">
      <c r="A406" s="1" t="s">
        <v>890</v>
      </c>
      <c r="B406" s="1" t="s">
        <v>891</v>
      </c>
      <c r="C406" s="1" t="s">
        <v>37</v>
      </c>
    </row>
    <row r="407" spans="1:3" x14ac:dyDescent="0.2">
      <c r="A407" s="1" t="s">
        <v>231</v>
      </c>
      <c r="B407" s="1" t="s">
        <v>232</v>
      </c>
      <c r="C407" s="1" t="s">
        <v>34</v>
      </c>
    </row>
    <row r="408" spans="1:3" x14ac:dyDescent="0.2">
      <c r="A408" s="1" t="s">
        <v>307</v>
      </c>
      <c r="B408" s="1" t="s">
        <v>308</v>
      </c>
      <c r="C408" s="1" t="s">
        <v>14</v>
      </c>
    </row>
    <row r="409" spans="1:3" x14ac:dyDescent="0.2">
      <c r="A409" s="1" t="s">
        <v>211</v>
      </c>
      <c r="B409" s="1" t="s">
        <v>212</v>
      </c>
      <c r="C409" s="1" t="s">
        <v>37</v>
      </c>
    </row>
    <row r="410" spans="1:3" x14ac:dyDescent="0.2">
      <c r="A410" s="1" t="s">
        <v>2442</v>
      </c>
      <c r="B410" s="1" t="s">
        <v>2443</v>
      </c>
      <c r="C410" s="1" t="s">
        <v>34</v>
      </c>
    </row>
    <row r="411" spans="1:3" x14ac:dyDescent="0.2">
      <c r="A411" s="1" t="s">
        <v>1302</v>
      </c>
      <c r="B411" s="1" t="s">
        <v>1303</v>
      </c>
      <c r="C411" s="1" t="s">
        <v>37</v>
      </c>
    </row>
    <row r="412" spans="1:3" x14ac:dyDescent="0.2">
      <c r="A412" s="1" t="s">
        <v>26</v>
      </c>
      <c r="B412" s="1" t="s">
        <v>27</v>
      </c>
      <c r="C412" s="1" t="s">
        <v>28</v>
      </c>
    </row>
    <row r="413" spans="1:3" x14ac:dyDescent="0.2">
      <c r="A413" s="1" t="s">
        <v>119</v>
      </c>
      <c r="B413" s="1" t="s">
        <v>120</v>
      </c>
      <c r="C413" s="1" t="s">
        <v>28</v>
      </c>
    </row>
    <row r="414" spans="1:3" x14ac:dyDescent="0.2">
      <c r="A414" s="1" t="s">
        <v>1171</v>
      </c>
      <c r="B414" s="1" t="s">
        <v>1172</v>
      </c>
      <c r="C414" s="1" t="s">
        <v>34</v>
      </c>
    </row>
    <row r="415" spans="1:3" x14ac:dyDescent="0.2">
      <c r="A415" s="1" t="s">
        <v>1382</v>
      </c>
      <c r="B415" s="1" t="s">
        <v>1383</v>
      </c>
      <c r="C415" s="1" t="s">
        <v>37</v>
      </c>
    </row>
    <row r="416" spans="1:3" x14ac:dyDescent="0.2">
      <c r="A416" s="1" t="s">
        <v>605</v>
      </c>
      <c r="B416" s="1" t="s">
        <v>606</v>
      </c>
      <c r="C416" s="1" t="s">
        <v>14</v>
      </c>
    </row>
    <row r="417" spans="1:3" x14ac:dyDescent="0.2">
      <c r="A417" s="1" t="s">
        <v>2242</v>
      </c>
      <c r="B417" s="1" t="s">
        <v>2243</v>
      </c>
      <c r="C417" s="1" t="s">
        <v>34</v>
      </c>
    </row>
    <row r="418" spans="1:3" x14ac:dyDescent="0.2">
      <c r="A418" s="1" t="s">
        <v>1867</v>
      </c>
      <c r="B418" s="1" t="s">
        <v>1868</v>
      </c>
      <c r="C418" s="1" t="s">
        <v>28</v>
      </c>
    </row>
    <row r="419" spans="1:3" x14ac:dyDescent="0.2">
      <c r="A419" s="1" t="s">
        <v>955</v>
      </c>
      <c r="B419" s="1" t="s">
        <v>956</v>
      </c>
      <c r="C419" s="1" t="s">
        <v>28</v>
      </c>
    </row>
    <row r="420" spans="1:3" x14ac:dyDescent="0.2">
      <c r="A420" s="1" t="s">
        <v>625</v>
      </c>
      <c r="B420" s="1" t="s">
        <v>626</v>
      </c>
      <c r="C420" s="1" t="s">
        <v>34</v>
      </c>
    </row>
    <row r="421" spans="1:3" x14ac:dyDescent="0.2">
      <c r="A421" s="1" t="s">
        <v>74</v>
      </c>
      <c r="B421" s="1" t="s">
        <v>75</v>
      </c>
      <c r="C421" s="1" t="s">
        <v>37</v>
      </c>
    </row>
    <row r="422" spans="1:3" x14ac:dyDescent="0.2">
      <c r="A422" s="1" t="s">
        <v>451</v>
      </c>
      <c r="B422" s="1" t="s">
        <v>452</v>
      </c>
      <c r="C422" s="1" t="s">
        <v>28</v>
      </c>
    </row>
    <row r="423" spans="1:3" x14ac:dyDescent="0.2">
      <c r="A423" s="1" t="s">
        <v>1854</v>
      </c>
      <c r="B423" s="1" t="s">
        <v>1855</v>
      </c>
      <c r="C423" s="1" t="s">
        <v>37</v>
      </c>
    </row>
    <row r="424" spans="1:3" x14ac:dyDescent="0.2">
      <c r="A424" s="1" t="s">
        <v>1121</v>
      </c>
      <c r="B424" s="1" t="s">
        <v>1122</v>
      </c>
      <c r="C424" s="1" t="s">
        <v>28</v>
      </c>
    </row>
    <row r="425" spans="1:3" x14ac:dyDescent="0.2">
      <c r="A425" s="1" t="s">
        <v>257</v>
      </c>
      <c r="B425" s="1" t="s">
        <v>258</v>
      </c>
      <c r="C425" s="1" t="s">
        <v>28</v>
      </c>
    </row>
    <row r="426" spans="1:3" x14ac:dyDescent="0.2">
      <c r="A426" s="1" t="s">
        <v>580</v>
      </c>
      <c r="B426" s="1" t="s">
        <v>581</v>
      </c>
      <c r="C426" s="1" t="s">
        <v>21</v>
      </c>
    </row>
    <row r="427" spans="1:3" x14ac:dyDescent="0.2">
      <c r="A427" s="1" t="s">
        <v>651</v>
      </c>
      <c r="B427" s="1" t="s">
        <v>652</v>
      </c>
      <c r="C427" s="1" t="s">
        <v>28</v>
      </c>
    </row>
    <row r="428" spans="1:3" x14ac:dyDescent="0.2">
      <c r="A428" s="1" t="s">
        <v>1149</v>
      </c>
      <c r="B428" s="1" t="s">
        <v>1150</v>
      </c>
      <c r="C428" s="1" t="s">
        <v>14</v>
      </c>
    </row>
    <row r="429" spans="1:3" x14ac:dyDescent="0.2">
      <c r="A429" s="1" t="s">
        <v>1014</v>
      </c>
      <c r="B429" s="1" t="s">
        <v>1015</v>
      </c>
      <c r="C429" s="1" t="s">
        <v>34</v>
      </c>
    </row>
    <row r="430" spans="1:3" x14ac:dyDescent="0.2">
      <c r="A430" s="1" t="s">
        <v>2571</v>
      </c>
      <c r="B430" s="1" t="s">
        <v>2572</v>
      </c>
      <c r="C430" s="1" t="s">
        <v>34</v>
      </c>
    </row>
    <row r="431" spans="1:3" x14ac:dyDescent="0.2">
      <c r="A431" s="1" t="s">
        <v>1507</v>
      </c>
      <c r="B431" s="1" t="s">
        <v>1508</v>
      </c>
      <c r="C431" s="1" t="s">
        <v>37</v>
      </c>
    </row>
    <row r="432" spans="1:3" x14ac:dyDescent="0.2">
      <c r="A432" s="1" t="s">
        <v>1523</v>
      </c>
      <c r="B432" s="1" t="s">
        <v>1524</v>
      </c>
      <c r="C432" s="1" t="s">
        <v>28</v>
      </c>
    </row>
    <row r="433" spans="1:3" x14ac:dyDescent="0.2">
      <c r="A433" s="1" t="s">
        <v>87</v>
      </c>
      <c r="B433" s="1" t="s">
        <v>88</v>
      </c>
      <c r="C433" s="1" t="s">
        <v>14</v>
      </c>
    </row>
    <row r="434" spans="1:3" x14ac:dyDescent="0.2">
      <c r="A434" s="1" t="s">
        <v>1276</v>
      </c>
      <c r="B434" s="1" t="s">
        <v>1277</v>
      </c>
      <c r="C434" s="1" t="s">
        <v>37</v>
      </c>
    </row>
    <row r="435" spans="1:3" x14ac:dyDescent="0.2">
      <c r="A435" s="1" t="s">
        <v>1036</v>
      </c>
      <c r="B435" s="1" t="s">
        <v>1037</v>
      </c>
      <c r="C435" s="1" t="s">
        <v>21</v>
      </c>
    </row>
    <row r="436" spans="1:3" x14ac:dyDescent="0.2">
      <c r="A436" s="1" t="s">
        <v>271</v>
      </c>
      <c r="B436" s="1" t="s">
        <v>272</v>
      </c>
      <c r="C436" s="1" t="s">
        <v>37</v>
      </c>
    </row>
    <row r="437" spans="1:3" x14ac:dyDescent="0.2">
      <c r="A437" s="1" t="s">
        <v>2128</v>
      </c>
      <c r="B437" s="1" t="s">
        <v>2129</v>
      </c>
      <c r="C437" s="1" t="s">
        <v>37</v>
      </c>
    </row>
    <row r="438" spans="1:3" x14ac:dyDescent="0.2">
      <c r="A438" s="1" t="s">
        <v>767</v>
      </c>
      <c r="B438" s="1" t="s">
        <v>768</v>
      </c>
      <c r="C438" s="1" t="s">
        <v>28</v>
      </c>
    </row>
    <row r="439" spans="1:3" x14ac:dyDescent="0.2">
      <c r="A439" s="1" t="s">
        <v>2597</v>
      </c>
      <c r="B439" s="1" t="s">
        <v>2598</v>
      </c>
      <c r="C439" s="1" t="s">
        <v>21</v>
      </c>
    </row>
    <row r="440" spans="1:3" x14ac:dyDescent="0.2">
      <c r="A440" s="1" t="s">
        <v>2991</v>
      </c>
      <c r="B440" s="1" t="s">
        <v>2992</v>
      </c>
      <c r="C440" s="1" t="s">
        <v>37</v>
      </c>
    </row>
    <row r="441" spans="1:3" x14ac:dyDescent="0.2">
      <c r="A441" s="1" t="s">
        <v>316</v>
      </c>
      <c r="B441" s="1" t="s">
        <v>317</v>
      </c>
      <c r="C441" s="1" t="s">
        <v>14</v>
      </c>
    </row>
    <row r="442" spans="1:3" x14ac:dyDescent="0.2">
      <c r="A442" s="1" t="s">
        <v>472</v>
      </c>
      <c r="B442" s="1" t="s">
        <v>473</v>
      </c>
      <c r="C442" s="1" t="s">
        <v>14</v>
      </c>
    </row>
    <row r="443" spans="1:3" x14ac:dyDescent="0.2">
      <c r="A443" s="1" t="s">
        <v>804</v>
      </c>
      <c r="B443" s="1" t="s">
        <v>805</v>
      </c>
      <c r="C443" s="1" t="s">
        <v>34</v>
      </c>
    </row>
    <row r="444" spans="1:3" x14ac:dyDescent="0.2">
      <c r="A444" s="1" t="s">
        <v>434</v>
      </c>
      <c r="B444" s="1" t="s">
        <v>435</v>
      </c>
      <c r="C444" s="1" t="s">
        <v>21</v>
      </c>
    </row>
    <row r="445" spans="1:3" x14ac:dyDescent="0.2">
      <c r="A445" s="1" t="s">
        <v>50</v>
      </c>
      <c r="B445" s="1" t="s">
        <v>51</v>
      </c>
      <c r="C445" s="1" t="s">
        <v>21</v>
      </c>
    </row>
    <row r="446" spans="1:3" x14ac:dyDescent="0.2">
      <c r="A446" s="1" t="s">
        <v>966</v>
      </c>
      <c r="B446" s="1" t="s">
        <v>967</v>
      </c>
      <c r="C446" s="1" t="s">
        <v>34</v>
      </c>
    </row>
    <row r="447" spans="1:3" x14ac:dyDescent="0.2">
      <c r="A447" s="1" t="s">
        <v>1550</v>
      </c>
      <c r="B447" s="1" t="s">
        <v>1551</v>
      </c>
      <c r="C447" s="1" t="s">
        <v>37</v>
      </c>
    </row>
    <row r="448" spans="1:3" x14ac:dyDescent="0.2">
      <c r="A448" s="1" t="s">
        <v>587</v>
      </c>
      <c r="B448" s="1" t="s">
        <v>588</v>
      </c>
      <c r="C448" s="1" t="s">
        <v>21</v>
      </c>
    </row>
    <row r="449" spans="1:3" x14ac:dyDescent="0.2">
      <c r="A449" s="1" t="s">
        <v>2031</v>
      </c>
      <c r="B449" s="1" t="s">
        <v>2032</v>
      </c>
      <c r="C449" s="1" t="s">
        <v>14</v>
      </c>
    </row>
    <row r="450" spans="1:3" x14ac:dyDescent="0.2">
      <c r="A450" s="1" t="s">
        <v>1079</v>
      </c>
      <c r="B450" s="1" t="s">
        <v>1080</v>
      </c>
      <c r="C450" s="1" t="s">
        <v>14</v>
      </c>
    </row>
    <row r="451" spans="1:3" x14ac:dyDescent="0.2">
      <c r="A451" s="1" t="s">
        <v>1972</v>
      </c>
      <c r="B451" s="1" t="s">
        <v>1973</v>
      </c>
      <c r="C451" s="1" t="s">
        <v>28</v>
      </c>
    </row>
    <row r="452" spans="1:3" x14ac:dyDescent="0.2">
      <c r="A452" s="1" t="s">
        <v>874</v>
      </c>
      <c r="B452" s="1" t="s">
        <v>875</v>
      </c>
      <c r="C452" s="1" t="s">
        <v>21</v>
      </c>
    </row>
    <row r="453" spans="1:3" x14ac:dyDescent="0.2">
      <c r="A453" s="1" t="s">
        <v>593</v>
      </c>
      <c r="B453" s="1" t="s">
        <v>594</v>
      </c>
      <c r="C453" s="1" t="s">
        <v>37</v>
      </c>
    </row>
    <row r="454" spans="1:3" x14ac:dyDescent="0.2">
      <c r="A454" s="1" t="s">
        <v>669</v>
      </c>
      <c r="B454" s="1" t="s">
        <v>670</v>
      </c>
      <c r="C454" s="1" t="s">
        <v>34</v>
      </c>
    </row>
    <row r="455" spans="1:3" x14ac:dyDescent="0.2">
      <c r="A455" s="1" t="s">
        <v>1402</v>
      </c>
      <c r="B455" s="1" t="s">
        <v>1403</v>
      </c>
      <c r="C455" s="1" t="s">
        <v>34</v>
      </c>
    </row>
    <row r="456" spans="1:3" x14ac:dyDescent="0.2">
      <c r="A456" s="1" t="s">
        <v>1520</v>
      </c>
      <c r="B456" s="1" t="s">
        <v>1521</v>
      </c>
      <c r="C456" s="1" t="s">
        <v>37</v>
      </c>
    </row>
    <row r="457" spans="1:3" x14ac:dyDescent="0.2">
      <c r="A457" s="1" t="s">
        <v>1368</v>
      </c>
      <c r="B457" s="1" t="s">
        <v>1369</v>
      </c>
      <c r="C457" s="1" t="s">
        <v>28</v>
      </c>
    </row>
    <row r="458" spans="1:3" x14ac:dyDescent="0.2">
      <c r="A458" s="1" t="s">
        <v>770</v>
      </c>
      <c r="B458" s="1" t="s">
        <v>771</v>
      </c>
      <c r="C458" s="1" t="s">
        <v>34</v>
      </c>
    </row>
    <row r="459" spans="1:3" x14ac:dyDescent="0.2">
      <c r="A459" s="1" t="s">
        <v>427</v>
      </c>
      <c r="B459" s="1" t="s">
        <v>428</v>
      </c>
      <c r="C459" s="1" t="s">
        <v>21</v>
      </c>
    </row>
    <row r="460" spans="1:3" x14ac:dyDescent="0.2">
      <c r="A460" s="1" t="s">
        <v>1157</v>
      </c>
      <c r="B460" s="1" t="s">
        <v>1158</v>
      </c>
      <c r="C460" s="1" t="s">
        <v>28</v>
      </c>
    </row>
    <row r="461" spans="1:3" x14ac:dyDescent="0.2">
      <c r="A461" s="1" t="s">
        <v>96</v>
      </c>
      <c r="B461" s="1" t="s">
        <v>97</v>
      </c>
      <c r="C461" s="1" t="s">
        <v>21</v>
      </c>
    </row>
    <row r="462" spans="1:3" x14ac:dyDescent="0.2">
      <c r="A462" s="1" t="s">
        <v>654</v>
      </c>
      <c r="B462" s="1" t="s">
        <v>655</v>
      </c>
      <c r="C462" s="1" t="s">
        <v>14</v>
      </c>
    </row>
    <row r="463" spans="1:3" x14ac:dyDescent="0.2">
      <c r="A463" s="1" t="s">
        <v>2613</v>
      </c>
      <c r="B463" s="1" t="s">
        <v>2614</v>
      </c>
      <c r="C463" s="1" t="s">
        <v>28</v>
      </c>
    </row>
    <row r="464" spans="1:3" x14ac:dyDescent="0.2">
      <c r="A464" s="1" t="s">
        <v>276</v>
      </c>
      <c r="B464" s="1" t="s">
        <v>277</v>
      </c>
      <c r="C464" s="1" t="s">
        <v>34</v>
      </c>
    </row>
    <row r="465" spans="1:3" x14ac:dyDescent="0.2">
      <c r="A465" s="1" t="s">
        <v>487</v>
      </c>
      <c r="B465" s="1" t="s">
        <v>488</v>
      </c>
      <c r="C465" s="1" t="s">
        <v>28</v>
      </c>
    </row>
    <row r="466" spans="1:3" x14ac:dyDescent="0.2">
      <c r="A466" s="1" t="s">
        <v>566</v>
      </c>
      <c r="B466" s="1" t="s">
        <v>567</v>
      </c>
      <c r="C466" s="1" t="s">
        <v>28</v>
      </c>
    </row>
    <row r="467" spans="1:3" x14ac:dyDescent="0.2">
      <c r="A467" s="1" t="s">
        <v>122</v>
      </c>
      <c r="B467" s="1" t="s">
        <v>123</v>
      </c>
      <c r="C467" s="1" t="s">
        <v>28</v>
      </c>
    </row>
    <row r="468" spans="1:3" x14ac:dyDescent="0.2">
      <c r="A468" s="1" t="s">
        <v>532</v>
      </c>
      <c r="B468" s="1" t="s">
        <v>533</v>
      </c>
      <c r="C468" s="1" t="s">
        <v>28</v>
      </c>
    </row>
    <row r="469" spans="1:3" x14ac:dyDescent="0.2">
      <c r="A469" s="1" t="s">
        <v>327</v>
      </c>
      <c r="B469" s="1" t="s">
        <v>328</v>
      </c>
      <c r="C469" s="1" t="s">
        <v>21</v>
      </c>
    </row>
    <row r="470" spans="1:3" x14ac:dyDescent="0.2">
      <c r="A470" s="1" t="s">
        <v>4149</v>
      </c>
      <c r="B470" s="1" t="s">
        <v>4150</v>
      </c>
      <c r="C470" s="1" t="s">
        <v>14</v>
      </c>
    </row>
    <row r="471" spans="1:3" x14ac:dyDescent="0.2">
      <c r="A471" s="1" t="s">
        <v>746</v>
      </c>
      <c r="B471" s="1" t="s">
        <v>747</v>
      </c>
      <c r="C471" s="1" t="s">
        <v>37</v>
      </c>
    </row>
    <row r="472" spans="1:3" x14ac:dyDescent="0.2">
      <c r="A472" s="1" t="s">
        <v>639</v>
      </c>
      <c r="B472" s="1" t="s">
        <v>640</v>
      </c>
      <c r="C472" s="1" t="s">
        <v>28</v>
      </c>
    </row>
    <row r="473" spans="1:3" x14ac:dyDescent="0.2">
      <c r="A473" s="1" t="s">
        <v>32</v>
      </c>
      <c r="B473" s="1" t="s">
        <v>33</v>
      </c>
      <c r="C473" s="1" t="s">
        <v>34</v>
      </c>
    </row>
    <row r="474" spans="1:3" x14ac:dyDescent="0.2">
      <c r="A474" s="1" t="s">
        <v>424</v>
      </c>
      <c r="B474" s="1" t="s">
        <v>425</v>
      </c>
      <c r="C474" s="1" t="s">
        <v>28</v>
      </c>
    </row>
    <row r="475" spans="1:3" x14ac:dyDescent="0.2">
      <c r="A475" s="1" t="s">
        <v>798</v>
      </c>
      <c r="B475" s="1" t="s">
        <v>799</v>
      </c>
      <c r="C475" s="1" t="s">
        <v>34</v>
      </c>
    </row>
    <row r="476" spans="1:3" x14ac:dyDescent="0.2">
      <c r="A476" s="1" t="s">
        <v>160</v>
      </c>
      <c r="B476" s="1" t="s">
        <v>161</v>
      </c>
      <c r="C476" s="1" t="s">
        <v>21</v>
      </c>
    </row>
    <row r="477" spans="1:3" x14ac:dyDescent="0.2">
      <c r="A477" s="1" t="s">
        <v>791</v>
      </c>
      <c r="B477" s="1" t="s">
        <v>792</v>
      </c>
      <c r="C477" s="1" t="s">
        <v>34</v>
      </c>
    </row>
    <row r="478" spans="1:3" x14ac:dyDescent="0.2">
      <c r="A478" s="1" t="s">
        <v>368</v>
      </c>
      <c r="B478" s="1" t="s">
        <v>369</v>
      </c>
      <c r="C478" s="1" t="s">
        <v>37</v>
      </c>
    </row>
    <row r="479" spans="1:3" x14ac:dyDescent="0.2">
      <c r="A479" s="1" t="s">
        <v>1050</v>
      </c>
      <c r="B479" s="1" t="s">
        <v>1051</v>
      </c>
      <c r="C479" s="1" t="s">
        <v>14</v>
      </c>
    </row>
    <row r="480" spans="1:3" x14ac:dyDescent="0.2">
      <c r="A480" s="1" t="s">
        <v>260</v>
      </c>
      <c r="B480" s="1" t="s">
        <v>261</v>
      </c>
      <c r="C480" s="1" t="s">
        <v>34</v>
      </c>
    </row>
    <row r="481" spans="1:3" x14ac:dyDescent="0.2">
      <c r="A481" s="1" t="s">
        <v>1332</v>
      </c>
      <c r="B481" s="1" t="s">
        <v>1333</v>
      </c>
      <c r="C481" s="1" t="s">
        <v>34</v>
      </c>
    </row>
    <row r="482" spans="1:3" x14ac:dyDescent="0.2">
      <c r="A482" s="1" t="s">
        <v>254</v>
      </c>
      <c r="B482" s="1" t="s">
        <v>255</v>
      </c>
      <c r="C482" s="1" t="s">
        <v>14</v>
      </c>
    </row>
    <row r="483" spans="1:3" x14ac:dyDescent="0.2">
      <c r="A483" s="1" t="s">
        <v>1541</v>
      </c>
      <c r="B483" s="1" t="s">
        <v>1542</v>
      </c>
      <c r="C483" s="1" t="s">
        <v>37</v>
      </c>
    </row>
    <row r="484" spans="1:3" x14ac:dyDescent="0.2">
      <c r="A484" s="1" t="s">
        <v>832</v>
      </c>
      <c r="B484" s="1" t="s">
        <v>833</v>
      </c>
      <c r="C484" s="1" t="s">
        <v>28</v>
      </c>
    </row>
    <row r="485" spans="1:3" x14ac:dyDescent="0.2">
      <c r="A485" s="1" t="s">
        <v>508</v>
      </c>
      <c r="B485" s="1" t="s">
        <v>509</v>
      </c>
      <c r="C485" s="1" t="s">
        <v>34</v>
      </c>
    </row>
    <row r="486" spans="1:3" x14ac:dyDescent="0.2">
      <c r="A486" s="1" t="s">
        <v>1571</v>
      </c>
      <c r="B486" s="1" t="s">
        <v>1572</v>
      </c>
      <c r="C486" s="1" t="s">
        <v>14</v>
      </c>
    </row>
    <row r="487" spans="1:3" x14ac:dyDescent="0.2">
      <c r="A487" s="1" t="s">
        <v>1373</v>
      </c>
      <c r="B487" s="1" t="s">
        <v>1374</v>
      </c>
      <c r="C487" s="1" t="s">
        <v>21</v>
      </c>
    </row>
    <row r="488" spans="1:3" x14ac:dyDescent="0.2">
      <c r="A488" s="1" t="s">
        <v>2050</v>
      </c>
      <c r="B488" s="1" t="s">
        <v>2051</v>
      </c>
      <c r="C488" s="1" t="s">
        <v>14</v>
      </c>
    </row>
    <row r="489" spans="1:3" x14ac:dyDescent="0.2">
      <c r="A489" s="1" t="s">
        <v>1230</v>
      </c>
      <c r="B489" s="1" t="s">
        <v>1231</v>
      </c>
      <c r="C489" s="1" t="s">
        <v>21</v>
      </c>
    </row>
    <row r="490" spans="1:3" x14ac:dyDescent="0.2">
      <c r="A490" s="1" t="s">
        <v>727</v>
      </c>
      <c r="B490" s="1" t="s">
        <v>728</v>
      </c>
      <c r="C490" s="1" t="s">
        <v>37</v>
      </c>
    </row>
    <row r="491" spans="1:3" x14ac:dyDescent="0.2">
      <c r="A491" s="1" t="s">
        <v>570</v>
      </c>
      <c r="B491" s="1" t="s">
        <v>571</v>
      </c>
      <c r="C491" s="1" t="s">
        <v>28</v>
      </c>
    </row>
    <row r="492" spans="1:3" x14ac:dyDescent="0.2">
      <c r="A492" s="1" t="s">
        <v>155</v>
      </c>
      <c r="B492" s="1" t="s">
        <v>156</v>
      </c>
      <c r="C492" s="1" t="s">
        <v>14</v>
      </c>
    </row>
    <row r="493" spans="1:3" x14ac:dyDescent="0.2">
      <c r="A493" s="1" t="s">
        <v>1178</v>
      </c>
      <c r="B493" s="1" t="s">
        <v>1179</v>
      </c>
      <c r="C493" s="1" t="s">
        <v>34</v>
      </c>
    </row>
    <row r="494" spans="1:3" x14ac:dyDescent="0.2">
      <c r="A494" s="1" t="s">
        <v>1446</v>
      </c>
      <c r="B494" s="1" t="s">
        <v>1447</v>
      </c>
      <c r="C494" s="1" t="s">
        <v>37</v>
      </c>
    </row>
    <row r="495" spans="1:3" x14ac:dyDescent="0.2">
      <c r="A495" s="1" t="s">
        <v>1039</v>
      </c>
      <c r="B495" s="1" t="s">
        <v>1040</v>
      </c>
      <c r="C495" s="1" t="s">
        <v>14</v>
      </c>
    </row>
    <row r="496" spans="1:3" x14ac:dyDescent="0.2">
      <c r="A496" s="1" t="s">
        <v>1417</v>
      </c>
      <c r="B496" s="1" t="s">
        <v>1418</v>
      </c>
      <c r="C496" s="1" t="s">
        <v>34</v>
      </c>
    </row>
    <row r="497" spans="1:3" x14ac:dyDescent="0.2">
      <c r="A497" s="1" t="s">
        <v>353</v>
      </c>
      <c r="B497" s="1" t="s">
        <v>354</v>
      </c>
      <c r="C497" s="1" t="s">
        <v>14</v>
      </c>
    </row>
    <row r="498" spans="1:3" x14ac:dyDescent="0.2">
      <c r="A498" s="1" t="s">
        <v>835</v>
      </c>
      <c r="B498" s="1" t="s">
        <v>836</v>
      </c>
      <c r="C498" s="1" t="s">
        <v>21</v>
      </c>
    </row>
    <row r="499" spans="1:3" x14ac:dyDescent="0.2">
      <c r="A499" s="1" t="s">
        <v>300</v>
      </c>
      <c r="B499" s="1" t="s">
        <v>301</v>
      </c>
      <c r="C499" s="1" t="s">
        <v>14</v>
      </c>
    </row>
    <row r="500" spans="1:3" x14ac:dyDescent="0.2">
      <c r="A500" s="1" t="s">
        <v>418</v>
      </c>
      <c r="B500" s="1" t="s">
        <v>419</v>
      </c>
      <c r="C500" s="1" t="s">
        <v>14</v>
      </c>
    </row>
    <row r="501" spans="1:3" x14ac:dyDescent="0.2">
      <c r="A501" s="1" t="s">
        <v>365</v>
      </c>
      <c r="B501" s="1" t="s">
        <v>366</v>
      </c>
      <c r="C501" s="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9CC69-9585-6445-BA78-EC106ECB7411}">
  <dimension ref="A1:C51"/>
  <sheetViews>
    <sheetView workbookViewId="0">
      <selection activeCell="G21" sqref="G13:G21"/>
    </sheetView>
  </sheetViews>
  <sheetFormatPr baseColWidth="10" defaultRowHeight="16" x14ac:dyDescent="0.2"/>
  <cols>
    <col min="1" max="1" width="28.33203125" customWidth="1"/>
    <col min="2" max="2" width="31.1640625" customWidth="1"/>
    <col min="3" max="3" width="41.83203125" customWidth="1"/>
    <col min="7" max="7" width="28.1640625" bestFit="1" customWidth="1"/>
  </cols>
  <sheetData>
    <row r="1" spans="1:3" x14ac:dyDescent="0.2">
      <c r="A1" t="s">
        <v>5</v>
      </c>
      <c r="B1" t="s">
        <v>6</v>
      </c>
      <c r="C1" t="s">
        <v>7</v>
      </c>
    </row>
    <row r="2" spans="1:3" x14ac:dyDescent="0.2">
      <c r="A2" s="1" t="s">
        <v>339</v>
      </c>
      <c r="B2" s="1" t="s">
        <v>340</v>
      </c>
      <c r="C2" s="1" t="s">
        <v>24</v>
      </c>
    </row>
    <row r="3" spans="1:3" x14ac:dyDescent="0.2">
      <c r="A3" s="1" t="s">
        <v>237</v>
      </c>
      <c r="B3" s="1" t="s">
        <v>238</v>
      </c>
      <c r="C3" s="1" t="s">
        <v>17</v>
      </c>
    </row>
    <row r="4" spans="1:3" x14ac:dyDescent="0.2">
      <c r="A4" s="1" t="s">
        <v>113</v>
      </c>
      <c r="B4" s="1" t="s">
        <v>114</v>
      </c>
      <c r="C4" s="1" t="s">
        <v>37</v>
      </c>
    </row>
    <row r="5" spans="1:3" x14ac:dyDescent="0.2">
      <c r="A5" s="1" t="s">
        <v>81</v>
      </c>
      <c r="B5" s="1" t="s">
        <v>82</v>
      </c>
      <c r="C5" s="1" t="s">
        <v>72</v>
      </c>
    </row>
    <row r="6" spans="1:3" x14ac:dyDescent="0.2">
      <c r="A6" s="1" t="s">
        <v>195</v>
      </c>
      <c r="B6" s="1" t="s">
        <v>196</v>
      </c>
      <c r="C6" s="1" t="s">
        <v>48</v>
      </c>
    </row>
    <row r="7" spans="1:3" x14ac:dyDescent="0.2">
      <c r="A7" s="1" t="s">
        <v>436</v>
      </c>
      <c r="B7" s="1" t="s">
        <v>437</v>
      </c>
      <c r="C7" s="1" t="s">
        <v>24</v>
      </c>
    </row>
    <row r="8" spans="1:3" x14ac:dyDescent="0.2">
      <c r="A8" s="1" t="s">
        <v>510</v>
      </c>
      <c r="B8" s="1" t="s">
        <v>511</v>
      </c>
      <c r="C8" s="1" t="s">
        <v>17</v>
      </c>
    </row>
    <row r="9" spans="1:3" x14ac:dyDescent="0.2">
      <c r="A9" s="1" t="s">
        <v>540</v>
      </c>
      <c r="B9" s="1" t="s">
        <v>541</v>
      </c>
      <c r="C9" s="1" t="s">
        <v>37</v>
      </c>
    </row>
    <row r="10" spans="1:3" x14ac:dyDescent="0.2">
      <c r="A10" s="1" t="s">
        <v>217</v>
      </c>
      <c r="B10" s="1" t="s">
        <v>218</v>
      </c>
      <c r="C10" s="1" t="s">
        <v>72</v>
      </c>
    </row>
    <row r="11" spans="1:3" x14ac:dyDescent="0.2">
      <c r="A11" s="1" t="s">
        <v>76</v>
      </c>
      <c r="B11" s="1" t="s">
        <v>77</v>
      </c>
      <c r="C11" s="1" t="s">
        <v>48</v>
      </c>
    </row>
    <row r="12" spans="1:3" x14ac:dyDescent="0.2">
      <c r="A12" s="1" t="s">
        <v>139</v>
      </c>
      <c r="B12" s="1" t="s">
        <v>140</v>
      </c>
      <c r="C12" s="1" t="s">
        <v>24</v>
      </c>
    </row>
    <row r="13" spans="1:3" x14ac:dyDescent="0.2">
      <c r="A13" s="1" t="s">
        <v>15</v>
      </c>
      <c r="B13" s="1" t="s">
        <v>16</v>
      </c>
      <c r="C13" s="1" t="s">
        <v>17</v>
      </c>
    </row>
    <row r="14" spans="1:3" x14ac:dyDescent="0.2">
      <c r="A14" s="1" t="s">
        <v>552</v>
      </c>
      <c r="B14" s="1" t="s">
        <v>553</v>
      </c>
      <c r="C14" s="1" t="s">
        <v>37</v>
      </c>
    </row>
    <row r="15" spans="1:3" x14ac:dyDescent="0.2">
      <c r="A15" s="1" t="s">
        <v>330</v>
      </c>
      <c r="B15" s="1" t="s">
        <v>331</v>
      </c>
      <c r="C15" s="1" t="s">
        <v>72</v>
      </c>
    </row>
    <row r="16" spans="1:3" x14ac:dyDescent="0.2">
      <c r="A16" s="1" t="s">
        <v>394</v>
      </c>
      <c r="B16" s="1" t="s">
        <v>395</v>
      </c>
      <c r="C16" s="1" t="s">
        <v>48</v>
      </c>
    </row>
    <row r="17" spans="1:3" x14ac:dyDescent="0.2">
      <c r="A17" s="1" t="s">
        <v>324</v>
      </c>
      <c r="B17" s="1" t="s">
        <v>325</v>
      </c>
      <c r="C17" s="1" t="s">
        <v>24</v>
      </c>
    </row>
    <row r="18" spans="1:3" x14ac:dyDescent="0.2">
      <c r="A18" s="1" t="s">
        <v>406</v>
      </c>
      <c r="B18" s="1" t="s">
        <v>407</v>
      </c>
      <c r="C18" s="1" t="s">
        <v>17</v>
      </c>
    </row>
    <row r="19" spans="1:3" x14ac:dyDescent="0.2">
      <c r="A19" s="1" t="s">
        <v>350</v>
      </c>
      <c r="B19" s="1" t="s">
        <v>351</v>
      </c>
      <c r="C19" s="1" t="s">
        <v>37</v>
      </c>
    </row>
    <row r="20" spans="1:3" x14ac:dyDescent="0.2">
      <c r="A20" s="1" t="s">
        <v>458</v>
      </c>
      <c r="B20" s="1" t="s">
        <v>459</v>
      </c>
      <c r="C20" s="1" t="s">
        <v>72</v>
      </c>
    </row>
    <row r="21" spans="1:3" x14ac:dyDescent="0.2">
      <c r="A21" s="1" t="s">
        <v>761</v>
      </c>
      <c r="B21" s="1" t="s">
        <v>762</v>
      </c>
      <c r="C21" s="1" t="s">
        <v>48</v>
      </c>
    </row>
    <row r="22" spans="1:3" x14ac:dyDescent="0.2">
      <c r="A22" s="1" t="s">
        <v>273</v>
      </c>
      <c r="B22" s="1" t="s">
        <v>274</v>
      </c>
      <c r="C22" s="1" t="s">
        <v>24</v>
      </c>
    </row>
    <row r="23" spans="1:3" x14ac:dyDescent="0.2">
      <c r="A23" s="1" t="s">
        <v>263</v>
      </c>
      <c r="B23" s="1" t="s">
        <v>264</v>
      </c>
      <c r="C23" s="1" t="s">
        <v>17</v>
      </c>
    </row>
    <row r="24" spans="1:3" x14ac:dyDescent="0.2">
      <c r="A24" s="1" t="s">
        <v>103</v>
      </c>
      <c r="B24" s="1" t="s">
        <v>104</v>
      </c>
      <c r="C24" s="1" t="s">
        <v>37</v>
      </c>
    </row>
    <row r="25" spans="1:3" x14ac:dyDescent="0.2">
      <c r="A25" s="1" t="s">
        <v>70</v>
      </c>
      <c r="B25" s="1" t="s">
        <v>71</v>
      </c>
      <c r="C25" s="1" t="s">
        <v>72</v>
      </c>
    </row>
    <row r="26" spans="1:3" x14ac:dyDescent="0.2">
      <c r="A26" s="1" t="s">
        <v>474</v>
      </c>
      <c r="B26" s="1" t="s">
        <v>475</v>
      </c>
      <c r="C26" s="1" t="s">
        <v>48</v>
      </c>
    </row>
    <row r="27" spans="1:3" x14ac:dyDescent="0.2">
      <c r="A27" s="1" t="s">
        <v>144</v>
      </c>
      <c r="B27" s="1" t="s">
        <v>145</v>
      </c>
      <c r="C27" s="1" t="s">
        <v>24</v>
      </c>
    </row>
    <row r="28" spans="1:3" x14ac:dyDescent="0.2">
      <c r="A28" s="1" t="s">
        <v>189</v>
      </c>
      <c r="B28" s="1" t="s">
        <v>190</v>
      </c>
      <c r="C28" s="1" t="s">
        <v>17</v>
      </c>
    </row>
    <row r="29" spans="1:3" x14ac:dyDescent="0.2">
      <c r="A29" s="1" t="s">
        <v>284</v>
      </c>
      <c r="B29" s="1" t="s">
        <v>285</v>
      </c>
      <c r="C29" s="1" t="s">
        <v>37</v>
      </c>
    </row>
    <row r="30" spans="1:3" x14ac:dyDescent="0.2">
      <c r="A30" s="1" t="s">
        <v>268</v>
      </c>
      <c r="B30" s="1" t="s">
        <v>269</v>
      </c>
      <c r="C30" s="1" t="s">
        <v>72</v>
      </c>
    </row>
    <row r="31" spans="1:3" x14ac:dyDescent="0.2">
      <c r="A31" s="1" t="s">
        <v>65</v>
      </c>
      <c r="B31" s="1" t="s">
        <v>66</v>
      </c>
      <c r="C31" s="1" t="s">
        <v>48</v>
      </c>
    </row>
    <row r="32" spans="1:3" x14ac:dyDescent="0.2">
      <c r="A32" s="1" t="s">
        <v>41</v>
      </c>
      <c r="B32" s="1" t="s">
        <v>42</v>
      </c>
      <c r="C32" s="1" t="s">
        <v>24</v>
      </c>
    </row>
    <row r="33" spans="1:3" x14ac:dyDescent="0.2">
      <c r="A33" s="1" t="s">
        <v>152</v>
      </c>
      <c r="B33" s="1" t="s">
        <v>153</v>
      </c>
      <c r="C33" s="1" t="s">
        <v>17</v>
      </c>
    </row>
    <row r="34" spans="1:3" x14ac:dyDescent="0.2">
      <c r="A34" s="1" t="s">
        <v>463</v>
      </c>
      <c r="B34" s="1" t="s">
        <v>464</v>
      </c>
      <c r="C34" s="1" t="s">
        <v>37</v>
      </c>
    </row>
    <row r="35" spans="1:3" x14ac:dyDescent="0.2">
      <c r="A35" s="1" t="s">
        <v>412</v>
      </c>
      <c r="B35" s="1" t="s">
        <v>413</v>
      </c>
      <c r="C35" s="1" t="s">
        <v>72</v>
      </c>
    </row>
    <row r="36" spans="1:3" x14ac:dyDescent="0.2">
      <c r="A36" s="1" t="s">
        <v>57</v>
      </c>
      <c r="B36" s="1" t="s">
        <v>58</v>
      </c>
      <c r="C36" s="1" t="s">
        <v>48</v>
      </c>
    </row>
    <row r="37" spans="1:3" x14ac:dyDescent="0.2">
      <c r="A37" s="1" t="s">
        <v>165</v>
      </c>
      <c r="B37" s="1" t="s">
        <v>166</v>
      </c>
      <c r="C37" s="1" t="s">
        <v>24</v>
      </c>
    </row>
    <row r="38" spans="1:3" x14ac:dyDescent="0.2">
      <c r="A38" s="1" t="s">
        <v>208</v>
      </c>
      <c r="B38" s="1" t="s">
        <v>209</v>
      </c>
      <c r="C38" s="1" t="s">
        <v>17</v>
      </c>
    </row>
    <row r="39" spans="1:3" x14ac:dyDescent="0.2">
      <c r="A39" s="1" t="s">
        <v>176</v>
      </c>
      <c r="B39" s="1" t="s">
        <v>177</v>
      </c>
      <c r="C39" s="1" t="s">
        <v>37</v>
      </c>
    </row>
    <row r="40" spans="1:3" x14ac:dyDescent="0.2">
      <c r="A40" s="1" t="s">
        <v>98</v>
      </c>
      <c r="B40" s="1" t="s">
        <v>99</v>
      </c>
      <c r="C40" s="1" t="s">
        <v>72</v>
      </c>
    </row>
    <row r="41" spans="1:3" x14ac:dyDescent="0.2">
      <c r="A41" s="1" t="s">
        <v>157</v>
      </c>
      <c r="B41" s="1" t="s">
        <v>158</v>
      </c>
      <c r="C41" s="1" t="s">
        <v>48</v>
      </c>
    </row>
    <row r="42" spans="1:3" x14ac:dyDescent="0.2">
      <c r="A42" s="1" t="s">
        <v>22</v>
      </c>
      <c r="B42" s="1" t="s">
        <v>23</v>
      </c>
      <c r="C42" s="1" t="s">
        <v>24</v>
      </c>
    </row>
    <row r="43" spans="1:3" x14ac:dyDescent="0.2">
      <c r="A43" s="1" t="s">
        <v>52</v>
      </c>
      <c r="B43" s="1" t="s">
        <v>53</v>
      </c>
      <c r="C43" s="1" t="s">
        <v>17</v>
      </c>
    </row>
    <row r="44" spans="1:3" x14ac:dyDescent="0.2">
      <c r="A44" s="1" t="s">
        <v>108</v>
      </c>
      <c r="B44" s="1" t="s">
        <v>109</v>
      </c>
      <c r="C44" s="1" t="s">
        <v>37</v>
      </c>
    </row>
    <row r="45" spans="1:3" x14ac:dyDescent="0.2">
      <c r="A45" s="1" t="s">
        <v>203</v>
      </c>
      <c r="B45" s="1" t="s">
        <v>204</v>
      </c>
      <c r="C45" s="1" t="s">
        <v>72</v>
      </c>
    </row>
    <row r="46" spans="1:3" x14ac:dyDescent="0.2">
      <c r="A46" s="1" t="s">
        <v>228</v>
      </c>
      <c r="B46" s="1" t="s">
        <v>229</v>
      </c>
      <c r="C46" s="1" t="s">
        <v>48</v>
      </c>
    </row>
    <row r="47" spans="1:3" x14ac:dyDescent="0.2">
      <c r="A47" s="1" t="s">
        <v>29</v>
      </c>
      <c r="B47" s="1" t="s">
        <v>30</v>
      </c>
      <c r="C47" s="1" t="s">
        <v>24</v>
      </c>
    </row>
    <row r="48" spans="1:3" x14ac:dyDescent="0.2">
      <c r="A48" s="1" t="s">
        <v>184</v>
      </c>
      <c r="B48" s="1" t="s">
        <v>185</v>
      </c>
      <c r="C48" s="1" t="s">
        <v>17</v>
      </c>
    </row>
    <row r="49" spans="1:3" x14ac:dyDescent="0.2">
      <c r="A49" s="1" t="s">
        <v>35</v>
      </c>
      <c r="B49" s="1" t="s">
        <v>36</v>
      </c>
      <c r="C49" s="1" t="s">
        <v>37</v>
      </c>
    </row>
    <row r="50" spans="1:3" x14ac:dyDescent="0.2">
      <c r="A50" s="1" t="s">
        <v>251</v>
      </c>
      <c r="B50" s="1" t="s">
        <v>252</v>
      </c>
      <c r="C50" s="1" t="s">
        <v>72</v>
      </c>
    </row>
    <row r="51" spans="1:3" x14ac:dyDescent="0.2">
      <c r="A51" s="1" t="s">
        <v>46</v>
      </c>
      <c r="B51" s="1" t="s">
        <v>47</v>
      </c>
      <c r="C51" s="1" t="s">
        <v>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D2F40-3313-0D47-8288-DDD16C3A089B}">
  <dimension ref="A1:K5001"/>
  <sheetViews>
    <sheetView workbookViewId="0">
      <selection activeCell="L22" sqref="L22"/>
    </sheetView>
  </sheetViews>
  <sheetFormatPr baseColWidth="10" defaultRowHeight="16" x14ac:dyDescent="0.2"/>
  <cols>
    <col min="1" max="1" width="28.5" customWidth="1"/>
    <col min="2" max="2" width="16.33203125" customWidth="1"/>
    <col min="3" max="3" width="17.6640625" customWidth="1"/>
    <col min="4" max="4" width="22.5" customWidth="1"/>
    <col min="5" max="5" width="22.6640625" customWidth="1"/>
    <col min="6" max="6" width="15.6640625" customWidth="1"/>
    <col min="7" max="7" width="17.6640625" customWidth="1"/>
    <col min="8" max="8" width="15.33203125" customWidth="1"/>
    <col min="9" max="9" width="17.6640625" customWidth="1"/>
    <col min="10" max="10" width="14.33203125" style="3" customWidth="1"/>
    <col min="11" max="11" width="14" style="3" bestFit="1" customWidth="1"/>
    <col min="13" max="13" width="18.33203125" bestFit="1" customWidth="1"/>
    <col min="14" max="14" width="22.5" bestFit="1" customWidth="1"/>
  </cols>
  <sheetData>
    <row r="1" spans="1:11" x14ac:dyDescent="0.2">
      <c r="A1" t="s">
        <v>0</v>
      </c>
      <c r="B1" t="s">
        <v>1</v>
      </c>
      <c r="C1" t="s">
        <v>2</v>
      </c>
      <c r="D1" t="s">
        <v>3</v>
      </c>
      <c r="E1" t="s">
        <v>4</v>
      </c>
      <c r="F1" t="s">
        <v>5</v>
      </c>
      <c r="G1" t="s">
        <v>6</v>
      </c>
      <c r="H1" t="s">
        <v>7</v>
      </c>
      <c r="I1" t="s">
        <v>8</v>
      </c>
      <c r="J1" s="3" t="s">
        <v>9</v>
      </c>
      <c r="K1" s="3" t="s">
        <v>10</v>
      </c>
    </row>
    <row r="2" spans="1:11" x14ac:dyDescent="0.2">
      <c r="A2" s="1" t="s">
        <v>11</v>
      </c>
      <c r="B2" s="2">
        <v>45813</v>
      </c>
      <c r="C2" s="1" t="s">
        <v>12</v>
      </c>
      <c r="D2" s="1" t="s">
        <v>13</v>
      </c>
      <c r="E2" s="1" t="s">
        <v>14</v>
      </c>
      <c r="F2" s="1" t="s">
        <v>15</v>
      </c>
      <c r="G2" s="1" t="s">
        <v>16</v>
      </c>
      <c r="H2" s="1" t="s">
        <v>17</v>
      </c>
      <c r="I2">
        <v>68779</v>
      </c>
      <c r="J2" s="3">
        <v>29.35</v>
      </c>
      <c r="K2" s="3">
        <v>2018663.65</v>
      </c>
    </row>
    <row r="3" spans="1:11" x14ac:dyDescent="0.2">
      <c r="A3" s="1" t="s">
        <v>18</v>
      </c>
      <c r="B3" s="2">
        <v>45331</v>
      </c>
      <c r="C3" s="1" t="s">
        <v>19</v>
      </c>
      <c r="D3" s="1" t="s">
        <v>20</v>
      </c>
      <c r="E3" s="1" t="s">
        <v>21</v>
      </c>
      <c r="F3" s="1" t="s">
        <v>22</v>
      </c>
      <c r="G3" s="1" t="s">
        <v>23</v>
      </c>
      <c r="H3" s="1" t="s">
        <v>24</v>
      </c>
      <c r="I3">
        <v>2591</v>
      </c>
      <c r="J3" s="3">
        <v>33.78</v>
      </c>
      <c r="K3" s="3">
        <v>87523.98</v>
      </c>
    </row>
    <row r="4" spans="1:11" x14ac:dyDescent="0.2">
      <c r="A4" s="1" t="s">
        <v>25</v>
      </c>
      <c r="B4" s="2">
        <v>45615</v>
      </c>
      <c r="C4" s="1" t="s">
        <v>26</v>
      </c>
      <c r="D4" s="1" t="s">
        <v>27</v>
      </c>
      <c r="E4" s="1" t="s">
        <v>28</v>
      </c>
      <c r="F4" s="1" t="s">
        <v>29</v>
      </c>
      <c r="G4" s="1" t="s">
        <v>30</v>
      </c>
      <c r="H4" s="1" t="s">
        <v>24</v>
      </c>
      <c r="I4">
        <v>9906</v>
      </c>
      <c r="J4" s="3">
        <v>20.239999999999998</v>
      </c>
      <c r="K4" s="3">
        <v>200497.44</v>
      </c>
    </row>
    <row r="5" spans="1:11" x14ac:dyDescent="0.2">
      <c r="A5" s="1" t="s">
        <v>31</v>
      </c>
      <c r="B5" s="2">
        <v>45889</v>
      </c>
      <c r="C5" s="1" t="s">
        <v>32</v>
      </c>
      <c r="D5" s="1" t="s">
        <v>33</v>
      </c>
      <c r="E5" s="1" t="s">
        <v>34</v>
      </c>
      <c r="F5" s="1" t="s">
        <v>35</v>
      </c>
      <c r="G5" s="1" t="s">
        <v>36</v>
      </c>
      <c r="H5" s="1" t="s">
        <v>37</v>
      </c>
      <c r="I5">
        <v>38900</v>
      </c>
      <c r="J5" s="3">
        <v>27.86</v>
      </c>
      <c r="K5" s="3">
        <v>1083754</v>
      </c>
    </row>
    <row r="6" spans="1:11" x14ac:dyDescent="0.2">
      <c r="A6" s="1" t="s">
        <v>38</v>
      </c>
      <c r="B6" s="2">
        <v>45980</v>
      </c>
      <c r="C6" s="1" t="s">
        <v>39</v>
      </c>
      <c r="D6" s="1" t="s">
        <v>40</v>
      </c>
      <c r="E6" s="1" t="s">
        <v>21</v>
      </c>
      <c r="F6" s="1" t="s">
        <v>41</v>
      </c>
      <c r="G6" s="1" t="s">
        <v>42</v>
      </c>
      <c r="H6" s="1" t="s">
        <v>24</v>
      </c>
      <c r="I6">
        <v>84375</v>
      </c>
      <c r="J6" s="3">
        <v>15.47</v>
      </c>
      <c r="K6" s="3">
        <v>1305281.25</v>
      </c>
    </row>
    <row r="7" spans="1:11" x14ac:dyDescent="0.2">
      <c r="A7" s="1" t="s">
        <v>43</v>
      </c>
      <c r="B7" s="2">
        <v>45779</v>
      </c>
      <c r="C7" s="1" t="s">
        <v>44</v>
      </c>
      <c r="D7" s="1" t="s">
        <v>45</v>
      </c>
      <c r="E7" s="1" t="s">
        <v>34</v>
      </c>
      <c r="F7" s="1" t="s">
        <v>46</v>
      </c>
      <c r="G7" s="1" t="s">
        <v>47</v>
      </c>
      <c r="H7" s="1" t="s">
        <v>48</v>
      </c>
      <c r="I7">
        <v>59283</v>
      </c>
      <c r="J7" s="3">
        <v>20.97</v>
      </c>
      <c r="K7" s="3">
        <v>1243164.51</v>
      </c>
    </row>
    <row r="8" spans="1:11" x14ac:dyDescent="0.2">
      <c r="A8" s="1" t="s">
        <v>49</v>
      </c>
      <c r="B8" s="2">
        <v>45457</v>
      </c>
      <c r="C8" s="1" t="s">
        <v>50</v>
      </c>
      <c r="D8" s="1" t="s">
        <v>51</v>
      </c>
      <c r="E8" s="1" t="s">
        <v>21</v>
      </c>
      <c r="F8" s="1" t="s">
        <v>52</v>
      </c>
      <c r="G8" s="1" t="s">
        <v>53</v>
      </c>
      <c r="H8" s="1" t="s">
        <v>17</v>
      </c>
      <c r="I8">
        <v>72291</v>
      </c>
      <c r="J8" s="3">
        <v>28.38</v>
      </c>
      <c r="K8" s="3">
        <v>2051618.58</v>
      </c>
    </row>
    <row r="9" spans="1:11" x14ac:dyDescent="0.2">
      <c r="A9" s="1" t="s">
        <v>54</v>
      </c>
      <c r="B9" s="2">
        <v>45429</v>
      </c>
      <c r="C9" s="1" t="s">
        <v>55</v>
      </c>
      <c r="D9" s="1" t="s">
        <v>56</v>
      </c>
      <c r="E9" s="1" t="s">
        <v>21</v>
      </c>
      <c r="F9" s="1" t="s">
        <v>57</v>
      </c>
      <c r="G9" s="1" t="s">
        <v>58</v>
      </c>
      <c r="H9" s="1" t="s">
        <v>48</v>
      </c>
      <c r="I9">
        <v>87724</v>
      </c>
      <c r="J9" s="3">
        <v>43.49</v>
      </c>
      <c r="K9" s="3">
        <v>3815116.76</v>
      </c>
    </row>
    <row r="10" spans="1:11" x14ac:dyDescent="0.2">
      <c r="A10" s="1" t="s">
        <v>59</v>
      </c>
      <c r="B10" s="2">
        <v>45457</v>
      </c>
      <c r="C10" s="1" t="s">
        <v>60</v>
      </c>
      <c r="D10" s="1" t="s">
        <v>61</v>
      </c>
      <c r="E10" s="1" t="s">
        <v>28</v>
      </c>
      <c r="F10" s="1" t="s">
        <v>29</v>
      </c>
      <c r="G10" s="1" t="s">
        <v>30</v>
      </c>
      <c r="H10" s="1" t="s">
        <v>24</v>
      </c>
      <c r="I10">
        <v>60993</v>
      </c>
      <c r="J10" s="3">
        <v>9.49</v>
      </c>
      <c r="K10" s="3">
        <v>578823.56999999995</v>
      </c>
    </row>
    <row r="11" spans="1:11" x14ac:dyDescent="0.2">
      <c r="A11" s="1" t="s">
        <v>62</v>
      </c>
      <c r="B11" s="2">
        <v>45590</v>
      </c>
      <c r="C11" s="1" t="s">
        <v>63</v>
      </c>
      <c r="D11" s="1" t="s">
        <v>64</v>
      </c>
      <c r="E11" s="1" t="s">
        <v>37</v>
      </c>
      <c r="F11" s="1" t="s">
        <v>65</v>
      </c>
      <c r="G11" s="1" t="s">
        <v>66</v>
      </c>
      <c r="H11" s="1" t="s">
        <v>48</v>
      </c>
      <c r="I11">
        <v>53975</v>
      </c>
      <c r="J11" s="3">
        <v>15.55</v>
      </c>
      <c r="K11" s="3">
        <v>839311.25</v>
      </c>
    </row>
    <row r="12" spans="1:11" x14ac:dyDescent="0.2">
      <c r="A12" s="1" t="s">
        <v>67</v>
      </c>
      <c r="B12" s="2">
        <v>45725</v>
      </c>
      <c r="C12" s="1" t="s">
        <v>68</v>
      </c>
      <c r="D12" s="1" t="s">
        <v>69</v>
      </c>
      <c r="E12" s="1" t="s">
        <v>14</v>
      </c>
      <c r="F12" s="1" t="s">
        <v>70</v>
      </c>
      <c r="G12" s="1" t="s">
        <v>71</v>
      </c>
      <c r="H12" s="1" t="s">
        <v>72</v>
      </c>
      <c r="I12">
        <v>87006</v>
      </c>
      <c r="J12" s="3">
        <v>9.27</v>
      </c>
      <c r="K12" s="3">
        <v>806545.62</v>
      </c>
    </row>
    <row r="13" spans="1:11" x14ac:dyDescent="0.2">
      <c r="A13" s="1" t="s">
        <v>73</v>
      </c>
      <c r="B13" s="2">
        <v>45524</v>
      </c>
      <c r="C13" s="1" t="s">
        <v>74</v>
      </c>
      <c r="D13" s="1" t="s">
        <v>75</v>
      </c>
      <c r="E13" s="1" t="s">
        <v>37</v>
      </c>
      <c r="F13" s="1" t="s">
        <v>76</v>
      </c>
      <c r="G13" s="1" t="s">
        <v>77</v>
      </c>
      <c r="H13" s="1" t="s">
        <v>48</v>
      </c>
      <c r="I13">
        <v>38011</v>
      </c>
      <c r="J13" s="3">
        <v>10.95</v>
      </c>
      <c r="K13" s="3">
        <v>416220.45</v>
      </c>
    </row>
    <row r="14" spans="1:11" x14ac:dyDescent="0.2">
      <c r="A14" s="1" t="s">
        <v>78</v>
      </c>
      <c r="B14" s="2">
        <v>45489</v>
      </c>
      <c r="C14" s="1" t="s">
        <v>79</v>
      </c>
      <c r="D14" s="1" t="s">
        <v>80</v>
      </c>
      <c r="E14" s="1" t="s">
        <v>34</v>
      </c>
      <c r="F14" s="1" t="s">
        <v>81</v>
      </c>
      <c r="G14" s="1" t="s">
        <v>82</v>
      </c>
      <c r="H14" s="1" t="s">
        <v>72</v>
      </c>
      <c r="I14">
        <v>25502</v>
      </c>
      <c r="J14" s="3">
        <v>36.22</v>
      </c>
      <c r="K14" s="3">
        <v>923682.44</v>
      </c>
    </row>
    <row r="15" spans="1:11" x14ac:dyDescent="0.2">
      <c r="A15" s="1" t="s">
        <v>83</v>
      </c>
      <c r="B15" s="2">
        <v>45983</v>
      </c>
      <c r="C15" s="1" t="s">
        <v>84</v>
      </c>
      <c r="D15" s="1" t="s">
        <v>85</v>
      </c>
      <c r="E15" s="1" t="s">
        <v>28</v>
      </c>
      <c r="F15" s="1" t="s">
        <v>65</v>
      </c>
      <c r="G15" s="1" t="s">
        <v>66</v>
      </c>
      <c r="H15" s="1" t="s">
        <v>48</v>
      </c>
      <c r="I15">
        <v>39563</v>
      </c>
      <c r="J15" s="3">
        <v>6.17</v>
      </c>
      <c r="K15" s="3">
        <v>244103.71</v>
      </c>
    </row>
    <row r="16" spans="1:11" x14ac:dyDescent="0.2">
      <c r="A16" s="1" t="s">
        <v>86</v>
      </c>
      <c r="B16" s="2">
        <v>45523</v>
      </c>
      <c r="C16" s="1" t="s">
        <v>87</v>
      </c>
      <c r="D16" s="1" t="s">
        <v>88</v>
      </c>
      <c r="E16" s="1" t="s">
        <v>14</v>
      </c>
      <c r="F16" s="1" t="s">
        <v>81</v>
      </c>
      <c r="G16" s="1" t="s">
        <v>82</v>
      </c>
      <c r="H16" s="1" t="s">
        <v>72</v>
      </c>
      <c r="I16">
        <v>43719</v>
      </c>
      <c r="J16" s="3">
        <v>10.57</v>
      </c>
      <c r="K16" s="3">
        <v>462109.83</v>
      </c>
    </row>
    <row r="17" spans="1:11" x14ac:dyDescent="0.2">
      <c r="A17" s="1" t="s">
        <v>89</v>
      </c>
      <c r="B17" s="2">
        <v>45302</v>
      </c>
      <c r="C17" s="1" t="s">
        <v>90</v>
      </c>
      <c r="D17" s="1" t="s">
        <v>91</v>
      </c>
      <c r="E17" s="1" t="s">
        <v>28</v>
      </c>
      <c r="F17" s="1" t="s">
        <v>52</v>
      </c>
      <c r="G17" s="1" t="s">
        <v>53</v>
      </c>
      <c r="H17" s="1" t="s">
        <v>17</v>
      </c>
      <c r="I17">
        <v>85294</v>
      </c>
      <c r="J17" s="3">
        <v>5.84</v>
      </c>
      <c r="K17" s="3">
        <v>498116.96</v>
      </c>
    </row>
    <row r="18" spans="1:11" x14ac:dyDescent="0.2">
      <c r="A18" s="1" t="s">
        <v>92</v>
      </c>
      <c r="B18" s="2">
        <v>45396</v>
      </c>
      <c r="C18" s="1" t="s">
        <v>93</v>
      </c>
      <c r="D18" s="1" t="s">
        <v>94</v>
      </c>
      <c r="E18" s="1" t="s">
        <v>34</v>
      </c>
      <c r="F18" s="1" t="s">
        <v>57</v>
      </c>
      <c r="G18" s="1" t="s">
        <v>58</v>
      </c>
      <c r="H18" s="1" t="s">
        <v>48</v>
      </c>
      <c r="I18">
        <v>56673</v>
      </c>
      <c r="J18" s="3">
        <v>14.75</v>
      </c>
      <c r="K18" s="3">
        <v>835926.75</v>
      </c>
    </row>
    <row r="19" spans="1:11" x14ac:dyDescent="0.2">
      <c r="A19" s="1" t="s">
        <v>95</v>
      </c>
      <c r="B19" s="2">
        <v>46002</v>
      </c>
      <c r="C19" s="1" t="s">
        <v>96</v>
      </c>
      <c r="D19" s="1" t="s">
        <v>97</v>
      </c>
      <c r="E19" s="1" t="s">
        <v>21</v>
      </c>
      <c r="F19" s="1" t="s">
        <v>98</v>
      </c>
      <c r="G19" s="1" t="s">
        <v>99</v>
      </c>
      <c r="H19" s="1" t="s">
        <v>72</v>
      </c>
      <c r="I19">
        <v>51893</v>
      </c>
      <c r="J19" s="3">
        <v>45.47</v>
      </c>
      <c r="K19" s="3">
        <v>2359574.71</v>
      </c>
    </row>
    <row r="20" spans="1:11" x14ac:dyDescent="0.2">
      <c r="A20" s="1" t="s">
        <v>100</v>
      </c>
      <c r="B20" s="2">
        <v>45528</v>
      </c>
      <c r="C20" s="1" t="s">
        <v>101</v>
      </c>
      <c r="D20" s="1" t="s">
        <v>102</v>
      </c>
      <c r="E20" s="1" t="s">
        <v>37</v>
      </c>
      <c r="F20" s="1" t="s">
        <v>103</v>
      </c>
      <c r="G20" s="1" t="s">
        <v>104</v>
      </c>
      <c r="H20" s="1" t="s">
        <v>37</v>
      </c>
      <c r="I20">
        <v>92110</v>
      </c>
      <c r="J20" s="3">
        <v>17.68</v>
      </c>
      <c r="K20" s="3">
        <v>1628504.8</v>
      </c>
    </row>
    <row r="21" spans="1:11" x14ac:dyDescent="0.2">
      <c r="A21" s="1" t="s">
        <v>105</v>
      </c>
      <c r="B21" s="2">
        <v>45707</v>
      </c>
      <c r="C21" s="1" t="s">
        <v>106</v>
      </c>
      <c r="D21" s="1" t="s">
        <v>107</v>
      </c>
      <c r="E21" s="1" t="s">
        <v>14</v>
      </c>
      <c r="F21" s="1" t="s">
        <v>108</v>
      </c>
      <c r="G21" s="1" t="s">
        <v>109</v>
      </c>
      <c r="H21" s="1" t="s">
        <v>37</v>
      </c>
      <c r="I21">
        <v>24241</v>
      </c>
      <c r="J21" s="3">
        <v>13.99</v>
      </c>
      <c r="K21" s="3">
        <v>339131.59</v>
      </c>
    </row>
    <row r="22" spans="1:11" x14ac:dyDescent="0.2">
      <c r="A22" s="1" t="s">
        <v>110</v>
      </c>
      <c r="B22" s="2">
        <v>45682</v>
      </c>
      <c r="C22" s="1" t="s">
        <v>111</v>
      </c>
      <c r="D22" s="1" t="s">
        <v>112</v>
      </c>
      <c r="E22" s="1" t="s">
        <v>14</v>
      </c>
      <c r="F22" s="1" t="s">
        <v>113</v>
      </c>
      <c r="G22" s="1" t="s">
        <v>114</v>
      </c>
      <c r="H22" s="1" t="s">
        <v>37</v>
      </c>
      <c r="I22">
        <v>42628</v>
      </c>
      <c r="J22" s="3">
        <v>12.05</v>
      </c>
      <c r="K22" s="3">
        <v>513667.4</v>
      </c>
    </row>
    <row r="23" spans="1:11" x14ac:dyDescent="0.2">
      <c r="A23" s="1" t="s">
        <v>115</v>
      </c>
      <c r="B23" s="2">
        <v>45523</v>
      </c>
      <c r="C23" s="1" t="s">
        <v>116</v>
      </c>
      <c r="D23" s="1" t="s">
        <v>117</v>
      </c>
      <c r="E23" s="1" t="s">
        <v>28</v>
      </c>
      <c r="F23" s="1" t="s">
        <v>22</v>
      </c>
      <c r="G23" s="1" t="s">
        <v>23</v>
      </c>
      <c r="H23" s="1" t="s">
        <v>24</v>
      </c>
      <c r="I23">
        <v>49348</v>
      </c>
      <c r="J23" s="3">
        <v>38.65</v>
      </c>
      <c r="K23" s="3">
        <v>1907300.2</v>
      </c>
    </row>
    <row r="24" spans="1:11" x14ac:dyDescent="0.2">
      <c r="A24" s="1" t="s">
        <v>118</v>
      </c>
      <c r="B24" s="2">
        <v>45712</v>
      </c>
      <c r="C24" s="1" t="s">
        <v>119</v>
      </c>
      <c r="D24" s="1" t="s">
        <v>120</v>
      </c>
      <c r="E24" s="1" t="s">
        <v>28</v>
      </c>
      <c r="F24" s="1" t="s">
        <v>65</v>
      </c>
      <c r="G24" s="1" t="s">
        <v>66</v>
      </c>
      <c r="H24" s="1" t="s">
        <v>48</v>
      </c>
      <c r="I24">
        <v>85196</v>
      </c>
      <c r="J24" s="3">
        <v>30.87</v>
      </c>
      <c r="K24" s="3">
        <v>2630000.52</v>
      </c>
    </row>
    <row r="25" spans="1:11" x14ac:dyDescent="0.2">
      <c r="A25" s="1" t="s">
        <v>121</v>
      </c>
      <c r="B25" s="2">
        <v>45909</v>
      </c>
      <c r="C25" s="1" t="s">
        <v>122</v>
      </c>
      <c r="D25" s="1" t="s">
        <v>123</v>
      </c>
      <c r="E25" s="1" t="s">
        <v>28</v>
      </c>
      <c r="F25" s="1" t="s">
        <v>41</v>
      </c>
      <c r="G25" s="1" t="s">
        <v>42</v>
      </c>
      <c r="H25" s="1" t="s">
        <v>24</v>
      </c>
      <c r="I25">
        <v>45406</v>
      </c>
      <c r="J25" s="3">
        <v>3.61</v>
      </c>
      <c r="K25" s="3">
        <v>163915.66</v>
      </c>
    </row>
    <row r="26" spans="1:11" x14ac:dyDescent="0.2">
      <c r="A26" s="1" t="s">
        <v>124</v>
      </c>
      <c r="B26" s="2">
        <v>45560</v>
      </c>
      <c r="C26" s="1" t="s">
        <v>125</v>
      </c>
      <c r="D26" s="1" t="s">
        <v>126</v>
      </c>
      <c r="E26" s="1" t="s">
        <v>21</v>
      </c>
      <c r="F26" s="1" t="s">
        <v>70</v>
      </c>
      <c r="G26" s="1" t="s">
        <v>71</v>
      </c>
      <c r="H26" s="1" t="s">
        <v>72</v>
      </c>
      <c r="I26">
        <v>15263</v>
      </c>
      <c r="J26" s="3">
        <v>42.18</v>
      </c>
      <c r="K26" s="3">
        <v>643793.34</v>
      </c>
    </row>
    <row r="27" spans="1:11" x14ac:dyDescent="0.2">
      <c r="A27" s="1" t="s">
        <v>127</v>
      </c>
      <c r="B27" s="2">
        <v>45536</v>
      </c>
      <c r="C27" s="1" t="s">
        <v>128</v>
      </c>
      <c r="D27" s="1" t="s">
        <v>129</v>
      </c>
      <c r="E27" s="1" t="s">
        <v>28</v>
      </c>
      <c r="F27" s="1" t="s">
        <v>70</v>
      </c>
      <c r="G27" s="1" t="s">
        <v>71</v>
      </c>
      <c r="H27" s="1" t="s">
        <v>72</v>
      </c>
      <c r="I27">
        <v>10953</v>
      </c>
      <c r="J27" s="3">
        <v>28.63</v>
      </c>
      <c r="K27" s="3">
        <v>313584.39</v>
      </c>
    </row>
    <row r="28" spans="1:11" x14ac:dyDescent="0.2">
      <c r="A28" s="1" t="s">
        <v>130</v>
      </c>
      <c r="B28" s="2">
        <v>45339</v>
      </c>
      <c r="C28" s="1" t="s">
        <v>131</v>
      </c>
      <c r="D28" s="1" t="s">
        <v>132</v>
      </c>
      <c r="E28" s="1" t="s">
        <v>37</v>
      </c>
      <c r="F28" s="1" t="s">
        <v>113</v>
      </c>
      <c r="G28" s="1" t="s">
        <v>114</v>
      </c>
      <c r="H28" s="1" t="s">
        <v>37</v>
      </c>
      <c r="I28">
        <v>35560</v>
      </c>
      <c r="J28" s="3">
        <v>14.66</v>
      </c>
      <c r="K28" s="3">
        <v>521309.6</v>
      </c>
    </row>
    <row r="29" spans="1:11" x14ac:dyDescent="0.2">
      <c r="A29" s="1" t="s">
        <v>133</v>
      </c>
      <c r="B29" s="2">
        <v>45374</v>
      </c>
      <c r="C29" s="1" t="s">
        <v>134</v>
      </c>
      <c r="D29" s="1" t="s">
        <v>135</v>
      </c>
      <c r="E29" s="1" t="s">
        <v>14</v>
      </c>
      <c r="F29" s="1" t="s">
        <v>70</v>
      </c>
      <c r="G29" s="1" t="s">
        <v>71</v>
      </c>
      <c r="H29" s="1" t="s">
        <v>72</v>
      </c>
      <c r="I29">
        <v>67836</v>
      </c>
      <c r="J29" s="3">
        <v>45.76</v>
      </c>
      <c r="K29" s="3">
        <v>3104175.36</v>
      </c>
    </row>
    <row r="30" spans="1:11" x14ac:dyDescent="0.2">
      <c r="A30" s="1" t="s">
        <v>136</v>
      </c>
      <c r="B30" s="2">
        <v>45500</v>
      </c>
      <c r="C30" s="1" t="s">
        <v>137</v>
      </c>
      <c r="D30" s="1" t="s">
        <v>138</v>
      </c>
      <c r="E30" s="1" t="s">
        <v>37</v>
      </c>
      <c r="F30" s="1" t="s">
        <v>139</v>
      </c>
      <c r="G30" s="1" t="s">
        <v>140</v>
      </c>
      <c r="H30" s="1" t="s">
        <v>24</v>
      </c>
      <c r="I30">
        <v>88073</v>
      </c>
      <c r="J30" s="3">
        <v>48.07</v>
      </c>
      <c r="K30" s="3">
        <v>4233669.1100000003</v>
      </c>
    </row>
    <row r="31" spans="1:11" x14ac:dyDescent="0.2">
      <c r="A31" s="1" t="s">
        <v>141</v>
      </c>
      <c r="B31" s="2">
        <v>45599</v>
      </c>
      <c r="C31" s="1" t="s">
        <v>142</v>
      </c>
      <c r="D31" s="1" t="s">
        <v>143</v>
      </c>
      <c r="E31" s="1" t="s">
        <v>37</v>
      </c>
      <c r="F31" s="1" t="s">
        <v>144</v>
      </c>
      <c r="G31" s="1" t="s">
        <v>145</v>
      </c>
      <c r="H31" s="1" t="s">
        <v>24</v>
      </c>
      <c r="I31">
        <v>58443</v>
      </c>
      <c r="J31" s="3">
        <v>6.44</v>
      </c>
      <c r="K31" s="3">
        <v>376372.92</v>
      </c>
    </row>
    <row r="32" spans="1:11" x14ac:dyDescent="0.2">
      <c r="A32" s="1" t="s">
        <v>146</v>
      </c>
      <c r="B32" s="2">
        <v>45896</v>
      </c>
      <c r="C32" s="1" t="s">
        <v>147</v>
      </c>
      <c r="D32" s="1" t="s">
        <v>148</v>
      </c>
      <c r="E32" s="1" t="s">
        <v>37</v>
      </c>
      <c r="F32" s="1" t="s">
        <v>139</v>
      </c>
      <c r="G32" s="1" t="s">
        <v>140</v>
      </c>
      <c r="H32" s="1" t="s">
        <v>24</v>
      </c>
      <c r="I32">
        <v>16015</v>
      </c>
      <c r="J32" s="3">
        <v>40.04</v>
      </c>
      <c r="K32" s="3">
        <v>641240.6</v>
      </c>
    </row>
    <row r="33" spans="1:11" x14ac:dyDescent="0.2">
      <c r="A33" s="1" t="s">
        <v>149</v>
      </c>
      <c r="B33" s="2">
        <v>45957</v>
      </c>
      <c r="C33" s="1" t="s">
        <v>150</v>
      </c>
      <c r="D33" s="1" t="s">
        <v>151</v>
      </c>
      <c r="E33" s="1" t="s">
        <v>14</v>
      </c>
      <c r="F33" s="1" t="s">
        <v>152</v>
      </c>
      <c r="G33" s="1" t="s">
        <v>153</v>
      </c>
      <c r="H33" s="1" t="s">
        <v>17</v>
      </c>
      <c r="I33">
        <v>29830</v>
      </c>
      <c r="J33" s="3">
        <v>20.61</v>
      </c>
      <c r="K33" s="3">
        <v>614796.30000000005</v>
      </c>
    </row>
    <row r="34" spans="1:11" x14ac:dyDescent="0.2">
      <c r="A34" s="1" t="s">
        <v>154</v>
      </c>
      <c r="B34" s="2">
        <v>45551</v>
      </c>
      <c r="C34" s="1" t="s">
        <v>155</v>
      </c>
      <c r="D34" s="1" t="s">
        <v>156</v>
      </c>
      <c r="E34" s="1" t="s">
        <v>14</v>
      </c>
      <c r="F34" s="1" t="s">
        <v>157</v>
      </c>
      <c r="G34" s="1" t="s">
        <v>158</v>
      </c>
      <c r="H34" s="1" t="s">
        <v>48</v>
      </c>
      <c r="I34">
        <v>10605</v>
      </c>
      <c r="J34" s="3">
        <v>9.7200000000000006</v>
      </c>
      <c r="K34" s="3">
        <v>103080.6</v>
      </c>
    </row>
    <row r="35" spans="1:11" x14ac:dyDescent="0.2">
      <c r="A35" s="1" t="s">
        <v>159</v>
      </c>
      <c r="B35" s="2">
        <v>45315</v>
      </c>
      <c r="C35" s="1" t="s">
        <v>160</v>
      </c>
      <c r="D35" s="1" t="s">
        <v>161</v>
      </c>
      <c r="E35" s="1" t="s">
        <v>21</v>
      </c>
      <c r="F35" s="1" t="s">
        <v>108</v>
      </c>
      <c r="G35" s="1" t="s">
        <v>109</v>
      </c>
      <c r="H35" s="1" t="s">
        <v>37</v>
      </c>
      <c r="I35">
        <v>38443</v>
      </c>
      <c r="J35" s="3">
        <v>45</v>
      </c>
      <c r="K35" s="3">
        <v>1729935</v>
      </c>
    </row>
    <row r="36" spans="1:11" x14ac:dyDescent="0.2">
      <c r="A36" s="1" t="s">
        <v>162</v>
      </c>
      <c r="B36" s="2">
        <v>45884</v>
      </c>
      <c r="C36" s="1" t="s">
        <v>163</v>
      </c>
      <c r="D36" s="1" t="s">
        <v>164</v>
      </c>
      <c r="E36" s="1" t="s">
        <v>14</v>
      </c>
      <c r="F36" s="1" t="s">
        <v>165</v>
      </c>
      <c r="G36" s="1" t="s">
        <v>166</v>
      </c>
      <c r="H36" s="1" t="s">
        <v>24</v>
      </c>
      <c r="I36">
        <v>66714</v>
      </c>
      <c r="J36" s="3">
        <v>14.01</v>
      </c>
      <c r="K36" s="3">
        <v>934663.14</v>
      </c>
    </row>
    <row r="37" spans="1:11" x14ac:dyDescent="0.2">
      <c r="A37" s="1" t="s">
        <v>167</v>
      </c>
      <c r="B37" s="2">
        <v>45352</v>
      </c>
      <c r="C37" s="1" t="s">
        <v>168</v>
      </c>
      <c r="D37" s="1" t="s">
        <v>169</v>
      </c>
      <c r="E37" s="1" t="s">
        <v>21</v>
      </c>
      <c r="F37" s="1" t="s">
        <v>108</v>
      </c>
      <c r="G37" s="1" t="s">
        <v>109</v>
      </c>
      <c r="H37" s="1" t="s">
        <v>37</v>
      </c>
      <c r="I37">
        <v>50993</v>
      </c>
      <c r="J37" s="3">
        <v>5.04</v>
      </c>
      <c r="K37" s="3">
        <v>257004.72</v>
      </c>
    </row>
    <row r="38" spans="1:11" x14ac:dyDescent="0.2">
      <c r="A38" s="1" t="s">
        <v>170</v>
      </c>
      <c r="B38" s="2">
        <v>45614</v>
      </c>
      <c r="C38" s="1" t="s">
        <v>171</v>
      </c>
      <c r="D38" s="1" t="s">
        <v>172</v>
      </c>
      <c r="E38" s="1" t="s">
        <v>28</v>
      </c>
      <c r="F38" s="1" t="s">
        <v>52</v>
      </c>
      <c r="G38" s="1" t="s">
        <v>53</v>
      </c>
      <c r="H38" s="1" t="s">
        <v>17</v>
      </c>
      <c r="I38">
        <v>9177</v>
      </c>
      <c r="J38" s="3">
        <v>12.6</v>
      </c>
      <c r="K38" s="3">
        <v>115630.2</v>
      </c>
    </row>
    <row r="39" spans="1:11" x14ac:dyDescent="0.2">
      <c r="A39" s="1" t="s">
        <v>173</v>
      </c>
      <c r="B39" s="2">
        <v>45602</v>
      </c>
      <c r="C39" s="1" t="s">
        <v>174</v>
      </c>
      <c r="D39" s="1" t="s">
        <v>175</v>
      </c>
      <c r="E39" s="1" t="s">
        <v>37</v>
      </c>
      <c r="F39" s="1" t="s">
        <v>176</v>
      </c>
      <c r="G39" s="1" t="s">
        <v>177</v>
      </c>
      <c r="H39" s="1" t="s">
        <v>37</v>
      </c>
      <c r="I39">
        <v>28235</v>
      </c>
      <c r="J39" s="3">
        <v>11.12</v>
      </c>
      <c r="K39" s="3">
        <v>313973.2</v>
      </c>
    </row>
    <row r="40" spans="1:11" x14ac:dyDescent="0.2">
      <c r="A40" s="1" t="s">
        <v>178</v>
      </c>
      <c r="B40" s="2">
        <v>45868</v>
      </c>
      <c r="C40" s="1" t="s">
        <v>179</v>
      </c>
      <c r="D40" s="1" t="s">
        <v>180</v>
      </c>
      <c r="E40" s="1" t="s">
        <v>37</v>
      </c>
      <c r="F40" s="1" t="s">
        <v>98</v>
      </c>
      <c r="G40" s="1" t="s">
        <v>99</v>
      </c>
      <c r="H40" s="1" t="s">
        <v>72</v>
      </c>
      <c r="I40">
        <v>88829</v>
      </c>
      <c r="J40" s="3">
        <v>20.84</v>
      </c>
      <c r="K40" s="3">
        <v>1851196.36</v>
      </c>
    </row>
    <row r="41" spans="1:11" x14ac:dyDescent="0.2">
      <c r="A41" s="1" t="s">
        <v>181</v>
      </c>
      <c r="B41" s="2">
        <v>45557</v>
      </c>
      <c r="C41" s="1" t="s">
        <v>182</v>
      </c>
      <c r="D41" s="1" t="s">
        <v>183</v>
      </c>
      <c r="E41" s="1" t="s">
        <v>14</v>
      </c>
      <c r="F41" s="1" t="s">
        <v>184</v>
      </c>
      <c r="G41" s="1" t="s">
        <v>185</v>
      </c>
      <c r="H41" s="1" t="s">
        <v>17</v>
      </c>
      <c r="I41">
        <v>2927</v>
      </c>
      <c r="J41" s="3">
        <v>30.16</v>
      </c>
      <c r="K41" s="3">
        <v>88278.32</v>
      </c>
    </row>
    <row r="42" spans="1:11" x14ac:dyDescent="0.2">
      <c r="A42" s="1" t="s">
        <v>186</v>
      </c>
      <c r="B42" s="2">
        <v>45814</v>
      </c>
      <c r="C42" s="1" t="s">
        <v>187</v>
      </c>
      <c r="D42" s="1" t="s">
        <v>188</v>
      </c>
      <c r="E42" s="1" t="s">
        <v>34</v>
      </c>
      <c r="F42" s="1" t="s">
        <v>189</v>
      </c>
      <c r="G42" s="1" t="s">
        <v>190</v>
      </c>
      <c r="H42" s="1" t="s">
        <v>17</v>
      </c>
      <c r="I42">
        <v>84962</v>
      </c>
      <c r="J42" s="3">
        <v>35.380000000000003</v>
      </c>
      <c r="K42" s="3">
        <v>3005955.56</v>
      </c>
    </row>
    <row r="43" spans="1:11" x14ac:dyDescent="0.2">
      <c r="A43" s="1" t="s">
        <v>191</v>
      </c>
      <c r="B43" s="2">
        <v>45300</v>
      </c>
      <c r="C43" s="1" t="s">
        <v>192</v>
      </c>
      <c r="D43" s="1" t="s">
        <v>193</v>
      </c>
      <c r="E43" s="1" t="s">
        <v>37</v>
      </c>
      <c r="F43" s="1" t="s">
        <v>76</v>
      </c>
      <c r="G43" s="1" t="s">
        <v>77</v>
      </c>
      <c r="H43" s="1" t="s">
        <v>48</v>
      </c>
      <c r="I43">
        <v>58600</v>
      </c>
      <c r="J43" s="3">
        <v>30.65</v>
      </c>
      <c r="K43" s="3">
        <v>1796090</v>
      </c>
    </row>
    <row r="44" spans="1:11" x14ac:dyDescent="0.2">
      <c r="A44" s="1" t="s">
        <v>194</v>
      </c>
      <c r="B44" s="2">
        <v>45940</v>
      </c>
      <c r="C44" s="1" t="s">
        <v>55</v>
      </c>
      <c r="D44" s="1" t="s">
        <v>56</v>
      </c>
      <c r="E44" s="1" t="s">
        <v>21</v>
      </c>
      <c r="F44" s="1" t="s">
        <v>195</v>
      </c>
      <c r="G44" s="1" t="s">
        <v>196</v>
      </c>
      <c r="H44" s="1" t="s">
        <v>48</v>
      </c>
      <c r="I44">
        <v>32301</v>
      </c>
      <c r="J44" s="3">
        <v>38.340000000000003</v>
      </c>
      <c r="K44" s="3">
        <v>1238420.3400000001</v>
      </c>
    </row>
    <row r="45" spans="1:11" x14ac:dyDescent="0.2">
      <c r="A45" s="1" t="s">
        <v>197</v>
      </c>
      <c r="B45" s="2">
        <v>45307</v>
      </c>
      <c r="C45" s="1" t="s">
        <v>198</v>
      </c>
      <c r="D45" s="1" t="s">
        <v>199</v>
      </c>
      <c r="E45" s="1" t="s">
        <v>21</v>
      </c>
      <c r="F45" s="1" t="s">
        <v>15</v>
      </c>
      <c r="G45" s="1" t="s">
        <v>16</v>
      </c>
      <c r="H45" s="1" t="s">
        <v>17</v>
      </c>
      <c r="I45">
        <v>16161</v>
      </c>
      <c r="J45" s="3">
        <v>7.65</v>
      </c>
      <c r="K45" s="3">
        <v>123631.65</v>
      </c>
    </row>
    <row r="46" spans="1:11" x14ac:dyDescent="0.2">
      <c r="A46" s="1" t="s">
        <v>200</v>
      </c>
      <c r="B46" s="2">
        <v>45804</v>
      </c>
      <c r="C46" s="1" t="s">
        <v>201</v>
      </c>
      <c r="D46" s="1" t="s">
        <v>202</v>
      </c>
      <c r="E46" s="1" t="s">
        <v>14</v>
      </c>
      <c r="F46" s="1" t="s">
        <v>203</v>
      </c>
      <c r="G46" s="1" t="s">
        <v>204</v>
      </c>
      <c r="H46" s="1" t="s">
        <v>72</v>
      </c>
      <c r="I46">
        <v>25707</v>
      </c>
      <c r="J46" s="3">
        <v>4.55</v>
      </c>
      <c r="K46" s="3">
        <v>116966.85</v>
      </c>
    </row>
    <row r="47" spans="1:11" x14ac:dyDescent="0.2">
      <c r="A47" s="1" t="s">
        <v>205</v>
      </c>
      <c r="B47" s="2">
        <v>45408</v>
      </c>
      <c r="C47" s="1" t="s">
        <v>206</v>
      </c>
      <c r="D47" s="1" t="s">
        <v>207</v>
      </c>
      <c r="E47" s="1" t="s">
        <v>14</v>
      </c>
      <c r="F47" s="1" t="s">
        <v>208</v>
      </c>
      <c r="G47" s="1" t="s">
        <v>209</v>
      </c>
      <c r="H47" s="1" t="s">
        <v>17</v>
      </c>
      <c r="I47">
        <v>20734</v>
      </c>
      <c r="J47" s="3">
        <v>46.37</v>
      </c>
      <c r="K47" s="3">
        <v>961435.58</v>
      </c>
    </row>
    <row r="48" spans="1:11" x14ac:dyDescent="0.2">
      <c r="A48" s="1" t="s">
        <v>210</v>
      </c>
      <c r="B48" s="2">
        <v>45843</v>
      </c>
      <c r="C48" s="1" t="s">
        <v>211</v>
      </c>
      <c r="D48" s="1" t="s">
        <v>212</v>
      </c>
      <c r="E48" s="1" t="s">
        <v>37</v>
      </c>
      <c r="F48" s="1" t="s">
        <v>165</v>
      </c>
      <c r="G48" s="1" t="s">
        <v>166</v>
      </c>
      <c r="H48" s="1" t="s">
        <v>24</v>
      </c>
      <c r="I48">
        <v>38269</v>
      </c>
      <c r="J48" s="3">
        <v>14.79</v>
      </c>
      <c r="K48" s="3">
        <v>565998.51</v>
      </c>
    </row>
    <row r="49" spans="1:11" x14ac:dyDescent="0.2">
      <c r="A49" s="1" t="s">
        <v>213</v>
      </c>
      <c r="B49" s="2">
        <v>45448</v>
      </c>
      <c r="C49" s="1" t="s">
        <v>111</v>
      </c>
      <c r="D49" s="1" t="s">
        <v>112</v>
      </c>
      <c r="E49" s="1" t="s">
        <v>14</v>
      </c>
      <c r="F49" s="1" t="s">
        <v>81</v>
      </c>
      <c r="G49" s="1" t="s">
        <v>82</v>
      </c>
      <c r="H49" s="1" t="s">
        <v>72</v>
      </c>
      <c r="I49">
        <v>69737</v>
      </c>
      <c r="J49" s="3">
        <v>15.82</v>
      </c>
      <c r="K49" s="3">
        <v>1103239.3400000001</v>
      </c>
    </row>
    <row r="50" spans="1:11" x14ac:dyDescent="0.2">
      <c r="A50" s="1" t="s">
        <v>214</v>
      </c>
      <c r="B50" s="2">
        <v>45761</v>
      </c>
      <c r="C50" s="1" t="s">
        <v>215</v>
      </c>
      <c r="D50" s="1" t="s">
        <v>216</v>
      </c>
      <c r="E50" s="1" t="s">
        <v>21</v>
      </c>
      <c r="F50" s="1" t="s">
        <v>217</v>
      </c>
      <c r="G50" s="1" t="s">
        <v>218</v>
      </c>
      <c r="H50" s="1" t="s">
        <v>72</v>
      </c>
      <c r="I50">
        <v>72484</v>
      </c>
      <c r="J50" s="3">
        <v>28.72</v>
      </c>
      <c r="K50" s="3">
        <v>2081740.48</v>
      </c>
    </row>
    <row r="51" spans="1:11" x14ac:dyDescent="0.2">
      <c r="A51" s="1" t="s">
        <v>219</v>
      </c>
      <c r="B51" s="2">
        <v>45697</v>
      </c>
      <c r="C51" s="1" t="s">
        <v>220</v>
      </c>
      <c r="D51" s="1" t="s">
        <v>221</v>
      </c>
      <c r="E51" s="1" t="s">
        <v>21</v>
      </c>
      <c r="F51" s="1" t="s">
        <v>165</v>
      </c>
      <c r="G51" s="1" t="s">
        <v>166</v>
      </c>
      <c r="H51" s="1" t="s">
        <v>24</v>
      </c>
      <c r="I51">
        <v>73353</v>
      </c>
      <c r="J51" s="3">
        <v>34.700000000000003</v>
      </c>
      <c r="K51" s="3">
        <v>2545349.1</v>
      </c>
    </row>
    <row r="52" spans="1:11" x14ac:dyDescent="0.2">
      <c r="A52" s="1" t="s">
        <v>222</v>
      </c>
      <c r="B52" s="2">
        <v>45821</v>
      </c>
      <c r="C52" s="1" t="s">
        <v>223</v>
      </c>
      <c r="D52" s="1" t="s">
        <v>224</v>
      </c>
      <c r="E52" s="1" t="s">
        <v>28</v>
      </c>
      <c r="F52" s="1" t="s">
        <v>70</v>
      </c>
      <c r="G52" s="1" t="s">
        <v>71</v>
      </c>
      <c r="H52" s="1" t="s">
        <v>72</v>
      </c>
      <c r="I52">
        <v>71632</v>
      </c>
      <c r="J52" s="3">
        <v>6.95</v>
      </c>
      <c r="K52" s="3">
        <v>497842.4</v>
      </c>
    </row>
    <row r="53" spans="1:11" x14ac:dyDescent="0.2">
      <c r="A53" s="1" t="s">
        <v>225</v>
      </c>
      <c r="B53" s="2">
        <v>45536</v>
      </c>
      <c r="C53" s="1" t="s">
        <v>226</v>
      </c>
      <c r="D53" s="1" t="s">
        <v>227</v>
      </c>
      <c r="E53" s="1" t="s">
        <v>34</v>
      </c>
      <c r="F53" s="1" t="s">
        <v>228</v>
      </c>
      <c r="G53" s="1" t="s">
        <v>229</v>
      </c>
      <c r="H53" s="1" t="s">
        <v>48</v>
      </c>
      <c r="I53">
        <v>26236</v>
      </c>
      <c r="J53" s="3">
        <v>22.18</v>
      </c>
      <c r="K53" s="3">
        <v>581914.48</v>
      </c>
    </row>
    <row r="54" spans="1:11" x14ac:dyDescent="0.2">
      <c r="A54" s="1" t="s">
        <v>230</v>
      </c>
      <c r="B54" s="2">
        <v>45874</v>
      </c>
      <c r="C54" s="1" t="s">
        <v>231</v>
      </c>
      <c r="D54" s="1" t="s">
        <v>232</v>
      </c>
      <c r="E54" s="1" t="s">
        <v>34</v>
      </c>
      <c r="F54" s="1" t="s">
        <v>15</v>
      </c>
      <c r="G54" s="1" t="s">
        <v>16</v>
      </c>
      <c r="H54" s="1" t="s">
        <v>17</v>
      </c>
      <c r="I54">
        <v>50178</v>
      </c>
      <c r="J54" s="3">
        <v>21.43</v>
      </c>
      <c r="K54" s="3">
        <v>1075314.54</v>
      </c>
    </row>
    <row r="55" spans="1:11" x14ac:dyDescent="0.2">
      <c r="A55" s="1" t="s">
        <v>233</v>
      </c>
      <c r="B55" s="2">
        <v>45666</v>
      </c>
      <c r="C55" s="1" t="s">
        <v>163</v>
      </c>
      <c r="D55" s="1" t="s">
        <v>164</v>
      </c>
      <c r="E55" s="1" t="s">
        <v>14</v>
      </c>
      <c r="F55" s="1" t="s">
        <v>165</v>
      </c>
      <c r="G55" s="1" t="s">
        <v>166</v>
      </c>
      <c r="H55" s="1" t="s">
        <v>24</v>
      </c>
      <c r="I55">
        <v>65367</v>
      </c>
      <c r="J55" s="3">
        <v>31.8</v>
      </c>
      <c r="K55" s="3">
        <v>2078670.6</v>
      </c>
    </row>
    <row r="56" spans="1:11" x14ac:dyDescent="0.2">
      <c r="A56" s="1" t="s">
        <v>234</v>
      </c>
      <c r="B56" s="2">
        <v>45800</v>
      </c>
      <c r="C56" s="1" t="s">
        <v>235</v>
      </c>
      <c r="D56" s="1" t="s">
        <v>236</v>
      </c>
      <c r="E56" s="1" t="s">
        <v>14</v>
      </c>
      <c r="F56" s="1" t="s">
        <v>237</v>
      </c>
      <c r="G56" s="1" t="s">
        <v>238</v>
      </c>
      <c r="H56" s="1" t="s">
        <v>17</v>
      </c>
      <c r="I56">
        <v>59861</v>
      </c>
      <c r="J56" s="3">
        <v>46.17</v>
      </c>
      <c r="K56" s="3">
        <v>2763782.37</v>
      </c>
    </row>
    <row r="57" spans="1:11" x14ac:dyDescent="0.2">
      <c r="A57" s="1" t="s">
        <v>239</v>
      </c>
      <c r="B57" s="2">
        <v>46007</v>
      </c>
      <c r="C57" s="1" t="s">
        <v>240</v>
      </c>
      <c r="D57" s="1" t="s">
        <v>241</v>
      </c>
      <c r="E57" s="1" t="s">
        <v>28</v>
      </c>
      <c r="F57" s="1" t="s">
        <v>35</v>
      </c>
      <c r="G57" s="1" t="s">
        <v>36</v>
      </c>
      <c r="H57" s="1" t="s">
        <v>37</v>
      </c>
      <c r="I57">
        <v>71224</v>
      </c>
      <c r="J57" s="3">
        <v>12.56</v>
      </c>
      <c r="K57" s="3">
        <v>894573.44</v>
      </c>
    </row>
    <row r="58" spans="1:11" x14ac:dyDescent="0.2">
      <c r="A58" s="1" t="s">
        <v>242</v>
      </c>
      <c r="B58" s="2">
        <v>45712</v>
      </c>
      <c r="C58" s="1" t="s">
        <v>243</v>
      </c>
      <c r="D58" s="1" t="s">
        <v>244</v>
      </c>
      <c r="E58" s="1" t="s">
        <v>21</v>
      </c>
      <c r="F58" s="1" t="s">
        <v>176</v>
      </c>
      <c r="G58" s="1" t="s">
        <v>177</v>
      </c>
      <c r="H58" s="1" t="s">
        <v>37</v>
      </c>
      <c r="I58">
        <v>67542</v>
      </c>
      <c r="J58" s="3">
        <v>5.13</v>
      </c>
      <c r="K58" s="3">
        <v>346490.46</v>
      </c>
    </row>
    <row r="59" spans="1:11" x14ac:dyDescent="0.2">
      <c r="A59" s="1" t="s">
        <v>245</v>
      </c>
      <c r="B59" s="2">
        <v>45861</v>
      </c>
      <c r="C59" s="1" t="s">
        <v>246</v>
      </c>
      <c r="D59" s="1" t="s">
        <v>247</v>
      </c>
      <c r="E59" s="1" t="s">
        <v>21</v>
      </c>
      <c r="F59" s="1" t="s">
        <v>228</v>
      </c>
      <c r="G59" s="1" t="s">
        <v>229</v>
      </c>
      <c r="H59" s="1" t="s">
        <v>48</v>
      </c>
      <c r="I59">
        <v>56123</v>
      </c>
      <c r="J59" s="3">
        <v>49.01</v>
      </c>
      <c r="K59" s="3">
        <v>2750588.23</v>
      </c>
    </row>
    <row r="60" spans="1:11" x14ac:dyDescent="0.2">
      <c r="A60" s="1" t="s">
        <v>248</v>
      </c>
      <c r="B60" s="2">
        <v>45754</v>
      </c>
      <c r="C60" s="1" t="s">
        <v>249</v>
      </c>
      <c r="D60" s="1" t="s">
        <v>250</v>
      </c>
      <c r="E60" s="1" t="s">
        <v>21</v>
      </c>
      <c r="F60" s="1" t="s">
        <v>251</v>
      </c>
      <c r="G60" s="1" t="s">
        <v>252</v>
      </c>
      <c r="H60" s="1" t="s">
        <v>72</v>
      </c>
      <c r="I60">
        <v>56557</v>
      </c>
      <c r="J60" s="3">
        <v>8.3800000000000008</v>
      </c>
      <c r="K60" s="3">
        <v>473947.66</v>
      </c>
    </row>
    <row r="61" spans="1:11" x14ac:dyDescent="0.2">
      <c r="A61" s="1" t="s">
        <v>253</v>
      </c>
      <c r="B61" s="2">
        <v>45721</v>
      </c>
      <c r="C61" s="1" t="s">
        <v>254</v>
      </c>
      <c r="D61" s="1" t="s">
        <v>255</v>
      </c>
      <c r="E61" s="1" t="s">
        <v>14</v>
      </c>
      <c r="F61" s="1" t="s">
        <v>46</v>
      </c>
      <c r="G61" s="1" t="s">
        <v>47</v>
      </c>
      <c r="H61" s="1" t="s">
        <v>48</v>
      </c>
      <c r="I61">
        <v>78162</v>
      </c>
      <c r="J61" s="3">
        <v>24.09</v>
      </c>
      <c r="K61" s="3">
        <v>1882922.58</v>
      </c>
    </row>
    <row r="62" spans="1:11" x14ac:dyDescent="0.2">
      <c r="A62" s="1" t="s">
        <v>256</v>
      </c>
      <c r="B62" s="2">
        <v>45746</v>
      </c>
      <c r="C62" s="1" t="s">
        <v>257</v>
      </c>
      <c r="D62" s="1" t="s">
        <v>258</v>
      </c>
      <c r="E62" s="1" t="s">
        <v>28</v>
      </c>
      <c r="F62" s="1" t="s">
        <v>152</v>
      </c>
      <c r="G62" s="1" t="s">
        <v>153</v>
      </c>
      <c r="H62" s="1" t="s">
        <v>17</v>
      </c>
      <c r="I62">
        <v>35581</v>
      </c>
      <c r="J62" s="3">
        <v>48.15</v>
      </c>
      <c r="K62" s="3">
        <v>1713225.15</v>
      </c>
    </row>
    <row r="63" spans="1:11" x14ac:dyDescent="0.2">
      <c r="A63" s="1" t="s">
        <v>259</v>
      </c>
      <c r="B63" s="2">
        <v>45861</v>
      </c>
      <c r="C63" s="1" t="s">
        <v>260</v>
      </c>
      <c r="D63" s="1" t="s">
        <v>261</v>
      </c>
      <c r="E63" s="1" t="s">
        <v>34</v>
      </c>
      <c r="F63" s="1" t="s">
        <v>57</v>
      </c>
      <c r="G63" s="1" t="s">
        <v>58</v>
      </c>
      <c r="H63" s="1" t="s">
        <v>48</v>
      </c>
      <c r="I63">
        <v>9312</v>
      </c>
      <c r="J63" s="3">
        <v>16.559999999999999</v>
      </c>
      <c r="K63" s="3">
        <v>154206.72</v>
      </c>
    </row>
    <row r="64" spans="1:11" x14ac:dyDescent="0.2">
      <c r="A64" s="1" t="s">
        <v>262</v>
      </c>
      <c r="B64" s="2">
        <v>45686</v>
      </c>
      <c r="C64" s="1" t="s">
        <v>39</v>
      </c>
      <c r="D64" s="1" t="s">
        <v>40</v>
      </c>
      <c r="E64" s="1" t="s">
        <v>21</v>
      </c>
      <c r="F64" s="1" t="s">
        <v>263</v>
      </c>
      <c r="G64" s="1" t="s">
        <v>264</v>
      </c>
      <c r="H64" s="1" t="s">
        <v>17</v>
      </c>
      <c r="I64">
        <v>53310</v>
      </c>
      <c r="J64" s="3">
        <v>34.06</v>
      </c>
      <c r="K64" s="3">
        <v>1815738.6</v>
      </c>
    </row>
    <row r="65" spans="1:11" x14ac:dyDescent="0.2">
      <c r="A65" s="1" t="s">
        <v>265</v>
      </c>
      <c r="B65" s="2">
        <v>45410</v>
      </c>
      <c r="C65" s="1" t="s">
        <v>266</v>
      </c>
      <c r="D65" s="1" t="s">
        <v>267</v>
      </c>
      <c r="E65" s="1" t="s">
        <v>14</v>
      </c>
      <c r="F65" s="1" t="s">
        <v>268</v>
      </c>
      <c r="G65" s="1" t="s">
        <v>269</v>
      </c>
      <c r="H65" s="1" t="s">
        <v>72</v>
      </c>
      <c r="I65">
        <v>68607</v>
      </c>
      <c r="J65" s="3">
        <v>36.21</v>
      </c>
      <c r="K65" s="3">
        <v>2484259.4700000002</v>
      </c>
    </row>
    <row r="66" spans="1:11" x14ac:dyDescent="0.2">
      <c r="A66" s="1" t="s">
        <v>270</v>
      </c>
      <c r="B66" s="2">
        <v>45482</v>
      </c>
      <c r="C66" s="1" t="s">
        <v>271</v>
      </c>
      <c r="D66" s="1" t="s">
        <v>272</v>
      </c>
      <c r="E66" s="1" t="s">
        <v>37</v>
      </c>
      <c r="F66" s="1" t="s">
        <v>273</v>
      </c>
      <c r="G66" s="1" t="s">
        <v>274</v>
      </c>
      <c r="H66" s="1" t="s">
        <v>24</v>
      </c>
      <c r="I66">
        <v>88899</v>
      </c>
      <c r="J66" s="3">
        <v>48.21</v>
      </c>
      <c r="K66" s="3">
        <v>4285820.79</v>
      </c>
    </row>
    <row r="67" spans="1:11" x14ac:dyDescent="0.2">
      <c r="A67" s="1" t="s">
        <v>275</v>
      </c>
      <c r="B67" s="2">
        <v>45977</v>
      </c>
      <c r="C67" s="1" t="s">
        <v>276</v>
      </c>
      <c r="D67" s="1" t="s">
        <v>277</v>
      </c>
      <c r="E67" s="1" t="s">
        <v>34</v>
      </c>
      <c r="F67" s="1" t="s">
        <v>70</v>
      </c>
      <c r="G67" s="1" t="s">
        <v>71</v>
      </c>
      <c r="H67" s="1" t="s">
        <v>72</v>
      </c>
      <c r="I67">
        <v>29031</v>
      </c>
      <c r="J67" s="3">
        <v>41.02</v>
      </c>
      <c r="K67" s="3">
        <v>1190851.6200000001</v>
      </c>
    </row>
    <row r="68" spans="1:11" x14ac:dyDescent="0.2">
      <c r="A68" s="1" t="s">
        <v>278</v>
      </c>
      <c r="B68" s="2">
        <v>45368</v>
      </c>
      <c r="C68" s="1" t="s">
        <v>279</v>
      </c>
      <c r="D68" s="1" t="s">
        <v>280</v>
      </c>
      <c r="E68" s="1" t="s">
        <v>37</v>
      </c>
      <c r="F68" s="1" t="s">
        <v>217</v>
      </c>
      <c r="G68" s="1" t="s">
        <v>218</v>
      </c>
      <c r="H68" s="1" t="s">
        <v>72</v>
      </c>
      <c r="I68">
        <v>22762</v>
      </c>
      <c r="J68" s="3">
        <v>27.3</v>
      </c>
      <c r="K68" s="3">
        <v>621402.6</v>
      </c>
    </row>
    <row r="69" spans="1:11" x14ac:dyDescent="0.2">
      <c r="A69" s="1" t="s">
        <v>281</v>
      </c>
      <c r="B69" s="2">
        <v>45907</v>
      </c>
      <c r="C69" s="1" t="s">
        <v>282</v>
      </c>
      <c r="D69" s="1" t="s">
        <v>283</v>
      </c>
      <c r="E69" s="1" t="s">
        <v>21</v>
      </c>
      <c r="F69" s="1" t="s">
        <v>284</v>
      </c>
      <c r="G69" s="1" t="s">
        <v>285</v>
      </c>
      <c r="H69" s="1" t="s">
        <v>37</v>
      </c>
      <c r="I69">
        <v>91282</v>
      </c>
      <c r="J69" s="3">
        <v>13.29</v>
      </c>
      <c r="K69" s="3">
        <v>1213137.78</v>
      </c>
    </row>
    <row r="70" spans="1:11" x14ac:dyDescent="0.2">
      <c r="A70" s="1" t="s">
        <v>286</v>
      </c>
      <c r="B70" s="2">
        <v>45293</v>
      </c>
      <c r="C70" s="1" t="s">
        <v>287</v>
      </c>
      <c r="D70" s="1" t="s">
        <v>288</v>
      </c>
      <c r="E70" s="1" t="s">
        <v>21</v>
      </c>
      <c r="F70" s="1" t="s">
        <v>52</v>
      </c>
      <c r="G70" s="1" t="s">
        <v>53</v>
      </c>
      <c r="H70" s="1" t="s">
        <v>17</v>
      </c>
      <c r="I70">
        <v>57173</v>
      </c>
      <c r="J70" s="3">
        <v>15.94</v>
      </c>
      <c r="K70" s="3">
        <v>911337.62</v>
      </c>
    </row>
    <row r="71" spans="1:11" x14ac:dyDescent="0.2">
      <c r="A71" s="1" t="s">
        <v>289</v>
      </c>
      <c r="B71" s="2">
        <v>45659</v>
      </c>
      <c r="C71" s="1" t="s">
        <v>39</v>
      </c>
      <c r="D71" s="1" t="s">
        <v>40</v>
      </c>
      <c r="E71" s="1" t="s">
        <v>21</v>
      </c>
      <c r="F71" s="1" t="s">
        <v>157</v>
      </c>
      <c r="G71" s="1" t="s">
        <v>158</v>
      </c>
      <c r="H71" s="1" t="s">
        <v>48</v>
      </c>
      <c r="I71">
        <v>19540</v>
      </c>
      <c r="J71" s="3">
        <v>19.98</v>
      </c>
      <c r="K71" s="3">
        <v>390409.2</v>
      </c>
    </row>
    <row r="72" spans="1:11" x14ac:dyDescent="0.2">
      <c r="A72" s="1" t="s">
        <v>290</v>
      </c>
      <c r="B72" s="2">
        <v>45403</v>
      </c>
      <c r="C72" s="1" t="s">
        <v>291</v>
      </c>
      <c r="D72" s="1" t="s">
        <v>292</v>
      </c>
      <c r="E72" s="1" t="s">
        <v>14</v>
      </c>
      <c r="F72" s="1" t="s">
        <v>113</v>
      </c>
      <c r="G72" s="1" t="s">
        <v>114</v>
      </c>
      <c r="H72" s="1" t="s">
        <v>37</v>
      </c>
      <c r="I72">
        <v>4449</v>
      </c>
      <c r="J72" s="3">
        <v>15.21</v>
      </c>
      <c r="K72" s="3">
        <v>67669.289999999994</v>
      </c>
    </row>
    <row r="73" spans="1:11" x14ac:dyDescent="0.2">
      <c r="A73" s="1" t="s">
        <v>293</v>
      </c>
      <c r="B73" s="2">
        <v>45472</v>
      </c>
      <c r="C73" s="1" t="s">
        <v>294</v>
      </c>
      <c r="D73" s="1" t="s">
        <v>295</v>
      </c>
      <c r="E73" s="1" t="s">
        <v>37</v>
      </c>
      <c r="F73" s="1" t="s">
        <v>144</v>
      </c>
      <c r="G73" s="1" t="s">
        <v>145</v>
      </c>
      <c r="H73" s="1" t="s">
        <v>24</v>
      </c>
      <c r="I73">
        <v>57350</v>
      </c>
      <c r="J73" s="3">
        <v>33.729999999999997</v>
      </c>
      <c r="K73" s="3">
        <v>1934415.5</v>
      </c>
    </row>
    <row r="74" spans="1:11" x14ac:dyDescent="0.2">
      <c r="A74" s="1" t="s">
        <v>296</v>
      </c>
      <c r="B74" s="2">
        <v>45781</v>
      </c>
      <c r="C74" s="1" t="s">
        <v>297</v>
      </c>
      <c r="D74" s="1" t="s">
        <v>298</v>
      </c>
      <c r="E74" s="1" t="s">
        <v>21</v>
      </c>
      <c r="F74" s="1" t="s">
        <v>103</v>
      </c>
      <c r="G74" s="1" t="s">
        <v>104</v>
      </c>
      <c r="H74" s="1" t="s">
        <v>37</v>
      </c>
      <c r="I74">
        <v>84417</v>
      </c>
      <c r="J74" s="3">
        <v>24.25</v>
      </c>
      <c r="K74" s="3">
        <v>2047112.25</v>
      </c>
    </row>
    <row r="75" spans="1:11" x14ac:dyDescent="0.2">
      <c r="A75" s="1" t="s">
        <v>299</v>
      </c>
      <c r="B75" s="2">
        <v>45956</v>
      </c>
      <c r="C75" s="1" t="s">
        <v>300</v>
      </c>
      <c r="D75" s="1" t="s">
        <v>301</v>
      </c>
      <c r="E75" s="1" t="s">
        <v>14</v>
      </c>
      <c r="F75" s="1" t="s">
        <v>228</v>
      </c>
      <c r="G75" s="1" t="s">
        <v>229</v>
      </c>
      <c r="H75" s="1" t="s">
        <v>48</v>
      </c>
      <c r="I75">
        <v>46256</v>
      </c>
      <c r="J75" s="3">
        <v>34.799999999999997</v>
      </c>
      <c r="K75" s="3">
        <v>1609708.8</v>
      </c>
    </row>
    <row r="76" spans="1:11" x14ac:dyDescent="0.2">
      <c r="A76" s="1" t="s">
        <v>302</v>
      </c>
      <c r="B76" s="2">
        <v>45423</v>
      </c>
      <c r="C76" s="1" t="s">
        <v>303</v>
      </c>
      <c r="D76" s="1" t="s">
        <v>304</v>
      </c>
      <c r="E76" s="1" t="s">
        <v>28</v>
      </c>
      <c r="F76" s="1" t="s">
        <v>76</v>
      </c>
      <c r="G76" s="1" t="s">
        <v>77</v>
      </c>
      <c r="H76" s="1" t="s">
        <v>48</v>
      </c>
      <c r="I76">
        <v>7661</v>
      </c>
      <c r="J76" s="3">
        <v>17.05</v>
      </c>
      <c r="K76" s="3">
        <v>130620.05</v>
      </c>
    </row>
    <row r="77" spans="1:11" x14ac:dyDescent="0.2">
      <c r="A77" s="1" t="s">
        <v>305</v>
      </c>
      <c r="B77" s="2">
        <v>46014</v>
      </c>
      <c r="C77" s="1" t="s">
        <v>87</v>
      </c>
      <c r="D77" s="1" t="s">
        <v>88</v>
      </c>
      <c r="E77" s="1" t="s">
        <v>14</v>
      </c>
      <c r="F77" s="1" t="s">
        <v>113</v>
      </c>
      <c r="G77" s="1" t="s">
        <v>114</v>
      </c>
      <c r="H77" s="1" t="s">
        <v>37</v>
      </c>
      <c r="I77">
        <v>69426</v>
      </c>
      <c r="J77" s="3">
        <v>18.510000000000002</v>
      </c>
      <c r="K77" s="3">
        <v>1285075.26</v>
      </c>
    </row>
    <row r="78" spans="1:11" x14ac:dyDescent="0.2">
      <c r="A78" s="1" t="s">
        <v>306</v>
      </c>
      <c r="B78" s="2">
        <v>45515</v>
      </c>
      <c r="C78" s="1" t="s">
        <v>307</v>
      </c>
      <c r="D78" s="1" t="s">
        <v>308</v>
      </c>
      <c r="E78" s="1" t="s">
        <v>14</v>
      </c>
      <c r="F78" s="1" t="s">
        <v>203</v>
      </c>
      <c r="G78" s="1" t="s">
        <v>204</v>
      </c>
      <c r="H78" s="1" t="s">
        <v>72</v>
      </c>
      <c r="I78">
        <v>53166</v>
      </c>
      <c r="J78" s="3">
        <v>20.88</v>
      </c>
      <c r="K78" s="3">
        <v>1110106.08</v>
      </c>
    </row>
    <row r="79" spans="1:11" x14ac:dyDescent="0.2">
      <c r="A79" s="1" t="s">
        <v>309</v>
      </c>
      <c r="B79" s="2">
        <v>46018</v>
      </c>
      <c r="C79" s="1" t="s">
        <v>310</v>
      </c>
      <c r="D79" s="1" t="s">
        <v>311</v>
      </c>
      <c r="E79" s="1" t="s">
        <v>37</v>
      </c>
      <c r="F79" s="1" t="s">
        <v>103</v>
      </c>
      <c r="G79" s="1" t="s">
        <v>104</v>
      </c>
      <c r="H79" s="1" t="s">
        <v>37</v>
      </c>
      <c r="I79">
        <v>26977</v>
      </c>
      <c r="J79" s="3">
        <v>27.92</v>
      </c>
      <c r="K79" s="3">
        <v>753197.84</v>
      </c>
    </row>
    <row r="80" spans="1:11" x14ac:dyDescent="0.2">
      <c r="A80" s="1" t="s">
        <v>312</v>
      </c>
      <c r="B80" s="2">
        <v>46013</v>
      </c>
      <c r="C80" s="1" t="s">
        <v>313</v>
      </c>
      <c r="D80" s="1" t="s">
        <v>314</v>
      </c>
      <c r="E80" s="1" t="s">
        <v>37</v>
      </c>
      <c r="F80" s="1" t="s">
        <v>195</v>
      </c>
      <c r="G80" s="1" t="s">
        <v>196</v>
      </c>
      <c r="H80" s="1" t="s">
        <v>48</v>
      </c>
      <c r="I80">
        <v>86194</v>
      </c>
      <c r="J80" s="3">
        <v>28.54</v>
      </c>
      <c r="K80" s="3">
        <v>2459976.7599999998</v>
      </c>
    </row>
    <row r="81" spans="1:11" x14ac:dyDescent="0.2">
      <c r="A81" s="1" t="s">
        <v>315</v>
      </c>
      <c r="B81" s="2">
        <v>45541</v>
      </c>
      <c r="C81" s="1" t="s">
        <v>316</v>
      </c>
      <c r="D81" s="1" t="s">
        <v>317</v>
      </c>
      <c r="E81" s="1" t="s">
        <v>14</v>
      </c>
      <c r="F81" s="1" t="s">
        <v>237</v>
      </c>
      <c r="G81" s="1" t="s">
        <v>238</v>
      </c>
      <c r="H81" s="1" t="s">
        <v>17</v>
      </c>
      <c r="I81">
        <v>60051</v>
      </c>
      <c r="J81" s="3">
        <v>6.25</v>
      </c>
      <c r="K81" s="3">
        <v>375318.75</v>
      </c>
    </row>
    <row r="82" spans="1:11" x14ac:dyDescent="0.2">
      <c r="A82" s="1" t="s">
        <v>318</v>
      </c>
      <c r="B82" s="2">
        <v>45319</v>
      </c>
      <c r="C82" s="1" t="s">
        <v>319</v>
      </c>
      <c r="D82" s="1" t="s">
        <v>320</v>
      </c>
      <c r="E82" s="1" t="s">
        <v>21</v>
      </c>
      <c r="F82" s="1" t="s">
        <v>195</v>
      </c>
      <c r="G82" s="1" t="s">
        <v>196</v>
      </c>
      <c r="H82" s="1" t="s">
        <v>48</v>
      </c>
      <c r="I82">
        <v>84031</v>
      </c>
      <c r="J82" s="3">
        <v>31.52</v>
      </c>
      <c r="K82" s="3">
        <v>2648657.12</v>
      </c>
    </row>
    <row r="83" spans="1:11" x14ac:dyDescent="0.2">
      <c r="A83" s="1" t="s">
        <v>321</v>
      </c>
      <c r="B83" s="2">
        <v>45642</v>
      </c>
      <c r="C83" s="1" t="s">
        <v>322</v>
      </c>
      <c r="D83" s="1" t="s">
        <v>323</v>
      </c>
      <c r="E83" s="1" t="s">
        <v>14</v>
      </c>
      <c r="F83" s="1" t="s">
        <v>324</v>
      </c>
      <c r="G83" s="1" t="s">
        <v>325</v>
      </c>
      <c r="H83" s="1" t="s">
        <v>24</v>
      </c>
      <c r="I83">
        <v>65757</v>
      </c>
      <c r="J83" s="3">
        <v>35.130000000000003</v>
      </c>
      <c r="K83" s="3">
        <v>2310043.41</v>
      </c>
    </row>
    <row r="84" spans="1:11" x14ac:dyDescent="0.2">
      <c r="A84" s="1" t="s">
        <v>326</v>
      </c>
      <c r="B84" s="2">
        <v>45852</v>
      </c>
      <c r="C84" s="1" t="s">
        <v>327</v>
      </c>
      <c r="D84" s="1" t="s">
        <v>328</v>
      </c>
      <c r="E84" s="1" t="s">
        <v>21</v>
      </c>
      <c r="F84" s="1" t="s">
        <v>165</v>
      </c>
      <c r="G84" s="1" t="s">
        <v>166</v>
      </c>
      <c r="H84" s="1" t="s">
        <v>24</v>
      </c>
      <c r="I84">
        <v>89035</v>
      </c>
      <c r="J84" s="3">
        <v>22.74</v>
      </c>
      <c r="K84" s="3">
        <v>2024655.9</v>
      </c>
    </row>
    <row r="85" spans="1:11" x14ac:dyDescent="0.2">
      <c r="A85" s="1" t="s">
        <v>329</v>
      </c>
      <c r="B85" s="2">
        <v>45819</v>
      </c>
      <c r="C85" s="1" t="s">
        <v>106</v>
      </c>
      <c r="D85" s="1" t="s">
        <v>107</v>
      </c>
      <c r="E85" s="1" t="s">
        <v>14</v>
      </c>
      <c r="F85" s="1" t="s">
        <v>330</v>
      </c>
      <c r="G85" s="1" t="s">
        <v>331</v>
      </c>
      <c r="H85" s="1" t="s">
        <v>72</v>
      </c>
      <c r="I85">
        <v>78632</v>
      </c>
      <c r="J85" s="3">
        <v>11.98</v>
      </c>
      <c r="K85" s="3">
        <v>942011.36</v>
      </c>
    </row>
    <row r="86" spans="1:11" x14ac:dyDescent="0.2">
      <c r="A86" s="1" t="s">
        <v>332</v>
      </c>
      <c r="B86" s="2">
        <v>45588</v>
      </c>
      <c r="C86" s="1" t="s">
        <v>333</v>
      </c>
      <c r="D86" s="1" t="s">
        <v>334</v>
      </c>
      <c r="E86" s="1" t="s">
        <v>21</v>
      </c>
      <c r="F86" s="1" t="s">
        <v>98</v>
      </c>
      <c r="G86" s="1" t="s">
        <v>99</v>
      </c>
      <c r="H86" s="1" t="s">
        <v>72</v>
      </c>
      <c r="I86">
        <v>64404</v>
      </c>
      <c r="J86" s="3">
        <v>33.380000000000003</v>
      </c>
      <c r="K86" s="3">
        <v>2149805.52</v>
      </c>
    </row>
    <row r="87" spans="1:11" x14ac:dyDescent="0.2">
      <c r="A87" s="1" t="s">
        <v>335</v>
      </c>
      <c r="B87" s="2">
        <v>45675</v>
      </c>
      <c r="C87" s="1" t="s">
        <v>336</v>
      </c>
      <c r="D87" s="1" t="s">
        <v>337</v>
      </c>
      <c r="E87" s="1" t="s">
        <v>21</v>
      </c>
      <c r="F87" s="1" t="s">
        <v>263</v>
      </c>
      <c r="G87" s="1" t="s">
        <v>264</v>
      </c>
      <c r="H87" s="1" t="s">
        <v>17</v>
      </c>
      <c r="I87">
        <v>36013</v>
      </c>
      <c r="J87" s="3">
        <v>30.05</v>
      </c>
      <c r="K87" s="3">
        <v>1082190.6499999999</v>
      </c>
    </row>
    <row r="88" spans="1:11" x14ac:dyDescent="0.2">
      <c r="A88" s="1" t="s">
        <v>338</v>
      </c>
      <c r="B88" s="2">
        <v>45429</v>
      </c>
      <c r="C88" s="1" t="s">
        <v>201</v>
      </c>
      <c r="D88" s="1" t="s">
        <v>202</v>
      </c>
      <c r="E88" s="1" t="s">
        <v>14</v>
      </c>
      <c r="F88" s="1" t="s">
        <v>339</v>
      </c>
      <c r="G88" s="1" t="s">
        <v>340</v>
      </c>
      <c r="H88" s="1" t="s">
        <v>24</v>
      </c>
      <c r="I88">
        <v>2702</v>
      </c>
      <c r="J88" s="3">
        <v>46.77</v>
      </c>
      <c r="K88" s="3">
        <v>126372.54</v>
      </c>
    </row>
    <row r="89" spans="1:11" x14ac:dyDescent="0.2">
      <c r="A89" s="1" t="s">
        <v>341</v>
      </c>
      <c r="B89" s="2">
        <v>45941</v>
      </c>
      <c r="C89" s="1" t="s">
        <v>342</v>
      </c>
      <c r="D89" s="1" t="s">
        <v>343</v>
      </c>
      <c r="E89" s="1" t="s">
        <v>37</v>
      </c>
      <c r="F89" s="1" t="s">
        <v>139</v>
      </c>
      <c r="G89" s="1" t="s">
        <v>140</v>
      </c>
      <c r="H89" s="1" t="s">
        <v>24</v>
      </c>
      <c r="I89">
        <v>35907</v>
      </c>
      <c r="J89" s="3">
        <v>42.98</v>
      </c>
      <c r="K89" s="3">
        <v>1543282.86</v>
      </c>
    </row>
    <row r="90" spans="1:11" x14ac:dyDescent="0.2">
      <c r="A90" s="1" t="s">
        <v>344</v>
      </c>
      <c r="B90" s="2">
        <v>45811</v>
      </c>
      <c r="C90" s="1" t="s">
        <v>345</v>
      </c>
      <c r="D90" s="1" t="s">
        <v>346</v>
      </c>
      <c r="E90" s="1" t="s">
        <v>37</v>
      </c>
      <c r="F90" s="1" t="s">
        <v>35</v>
      </c>
      <c r="G90" s="1" t="s">
        <v>36</v>
      </c>
      <c r="H90" s="1" t="s">
        <v>37</v>
      </c>
      <c r="I90">
        <v>89620</v>
      </c>
      <c r="J90" s="3">
        <v>25.07</v>
      </c>
      <c r="K90" s="3">
        <v>2246773.4</v>
      </c>
    </row>
    <row r="91" spans="1:11" x14ac:dyDescent="0.2">
      <c r="A91" s="1" t="s">
        <v>347</v>
      </c>
      <c r="B91" s="2">
        <v>45602</v>
      </c>
      <c r="C91" s="1" t="s">
        <v>348</v>
      </c>
      <c r="D91" s="1" t="s">
        <v>349</v>
      </c>
      <c r="E91" s="1" t="s">
        <v>28</v>
      </c>
      <c r="F91" s="1" t="s">
        <v>350</v>
      </c>
      <c r="G91" s="1" t="s">
        <v>351</v>
      </c>
      <c r="H91" s="1" t="s">
        <v>37</v>
      </c>
      <c r="I91">
        <v>2310</v>
      </c>
      <c r="J91" s="3">
        <v>49.37</v>
      </c>
      <c r="K91" s="3">
        <v>114044.7</v>
      </c>
    </row>
    <row r="92" spans="1:11" x14ac:dyDescent="0.2">
      <c r="A92" s="1" t="s">
        <v>352</v>
      </c>
      <c r="B92" s="2">
        <v>45802</v>
      </c>
      <c r="C92" s="1" t="s">
        <v>353</v>
      </c>
      <c r="D92" s="1" t="s">
        <v>354</v>
      </c>
      <c r="E92" s="1" t="s">
        <v>14</v>
      </c>
      <c r="F92" s="1" t="s">
        <v>108</v>
      </c>
      <c r="G92" s="1" t="s">
        <v>109</v>
      </c>
      <c r="H92" s="1" t="s">
        <v>37</v>
      </c>
      <c r="I92">
        <v>95550</v>
      </c>
      <c r="J92" s="3">
        <v>16.489999999999998</v>
      </c>
      <c r="K92" s="3">
        <v>1575619.5</v>
      </c>
    </row>
    <row r="93" spans="1:11" x14ac:dyDescent="0.2">
      <c r="A93" s="1" t="s">
        <v>355</v>
      </c>
      <c r="B93" s="2">
        <v>46020</v>
      </c>
      <c r="C93" s="1" t="s">
        <v>356</v>
      </c>
      <c r="D93" s="1" t="s">
        <v>357</v>
      </c>
      <c r="E93" s="1" t="s">
        <v>14</v>
      </c>
      <c r="F93" s="1" t="s">
        <v>65</v>
      </c>
      <c r="G93" s="1" t="s">
        <v>66</v>
      </c>
      <c r="H93" s="1" t="s">
        <v>48</v>
      </c>
      <c r="I93">
        <v>91500</v>
      </c>
      <c r="J93" s="3">
        <v>47.11</v>
      </c>
      <c r="K93" s="3">
        <v>4310565</v>
      </c>
    </row>
    <row r="94" spans="1:11" x14ac:dyDescent="0.2">
      <c r="A94" s="1" t="s">
        <v>358</v>
      </c>
      <c r="B94" s="2">
        <v>45861</v>
      </c>
      <c r="C94" s="1" t="s">
        <v>359</v>
      </c>
      <c r="D94" s="1" t="s">
        <v>360</v>
      </c>
      <c r="E94" s="1" t="s">
        <v>34</v>
      </c>
      <c r="F94" s="1" t="s">
        <v>263</v>
      </c>
      <c r="G94" s="1" t="s">
        <v>264</v>
      </c>
      <c r="H94" s="1" t="s">
        <v>17</v>
      </c>
      <c r="I94">
        <v>32626</v>
      </c>
      <c r="J94" s="3">
        <v>24.34</v>
      </c>
      <c r="K94" s="3">
        <v>794116.84</v>
      </c>
    </row>
    <row r="95" spans="1:11" x14ac:dyDescent="0.2">
      <c r="A95" s="1" t="s">
        <v>361</v>
      </c>
      <c r="B95" s="2">
        <v>45807</v>
      </c>
      <c r="C95" s="1" t="s">
        <v>362</v>
      </c>
      <c r="D95" s="1" t="s">
        <v>363</v>
      </c>
      <c r="E95" s="1" t="s">
        <v>37</v>
      </c>
      <c r="F95" s="1" t="s">
        <v>176</v>
      </c>
      <c r="G95" s="1" t="s">
        <v>177</v>
      </c>
      <c r="H95" s="1" t="s">
        <v>37</v>
      </c>
      <c r="I95">
        <v>41105</v>
      </c>
      <c r="J95" s="3">
        <v>19.48</v>
      </c>
      <c r="K95" s="3">
        <v>800725.4</v>
      </c>
    </row>
    <row r="96" spans="1:11" x14ac:dyDescent="0.2">
      <c r="A96" s="1" t="s">
        <v>364</v>
      </c>
      <c r="B96" s="2">
        <v>45948</v>
      </c>
      <c r="C96" s="1" t="s">
        <v>365</v>
      </c>
      <c r="D96" s="1" t="s">
        <v>366</v>
      </c>
      <c r="E96" s="1" t="s">
        <v>14</v>
      </c>
      <c r="F96" s="1" t="s">
        <v>103</v>
      </c>
      <c r="G96" s="1" t="s">
        <v>104</v>
      </c>
      <c r="H96" s="1" t="s">
        <v>37</v>
      </c>
      <c r="I96">
        <v>31517</v>
      </c>
      <c r="J96" s="3">
        <v>12.38</v>
      </c>
      <c r="K96" s="3">
        <v>390180.46</v>
      </c>
    </row>
    <row r="97" spans="1:11" x14ac:dyDescent="0.2">
      <c r="A97" s="1" t="s">
        <v>367</v>
      </c>
      <c r="B97" s="2">
        <v>45454</v>
      </c>
      <c r="C97" s="1" t="s">
        <v>368</v>
      </c>
      <c r="D97" s="1" t="s">
        <v>369</v>
      </c>
      <c r="E97" s="1" t="s">
        <v>37</v>
      </c>
      <c r="F97" s="1" t="s">
        <v>139</v>
      </c>
      <c r="G97" s="1" t="s">
        <v>140</v>
      </c>
      <c r="H97" s="1" t="s">
        <v>24</v>
      </c>
      <c r="I97">
        <v>85027</v>
      </c>
      <c r="J97" s="3">
        <v>5.29</v>
      </c>
      <c r="K97" s="3">
        <v>449792.83</v>
      </c>
    </row>
    <row r="98" spans="1:11" x14ac:dyDescent="0.2">
      <c r="A98" s="1" t="s">
        <v>370</v>
      </c>
      <c r="B98" s="2">
        <v>45304</v>
      </c>
      <c r="C98" s="1" t="s">
        <v>371</v>
      </c>
      <c r="D98" s="1" t="s">
        <v>372</v>
      </c>
      <c r="E98" s="1" t="s">
        <v>14</v>
      </c>
      <c r="F98" s="1" t="s">
        <v>22</v>
      </c>
      <c r="G98" s="1" t="s">
        <v>23</v>
      </c>
      <c r="H98" s="1" t="s">
        <v>24</v>
      </c>
      <c r="I98">
        <v>33349</v>
      </c>
      <c r="J98" s="3">
        <v>18.440000000000001</v>
      </c>
      <c r="K98" s="3">
        <v>614955.56000000006</v>
      </c>
    </row>
    <row r="99" spans="1:11" x14ac:dyDescent="0.2">
      <c r="A99" s="1" t="s">
        <v>373</v>
      </c>
      <c r="B99" s="2">
        <v>45752</v>
      </c>
      <c r="C99" s="1" t="s">
        <v>374</v>
      </c>
      <c r="D99" s="1" t="s">
        <v>375</v>
      </c>
      <c r="E99" s="1" t="s">
        <v>14</v>
      </c>
      <c r="F99" s="1" t="s">
        <v>144</v>
      </c>
      <c r="G99" s="1" t="s">
        <v>145</v>
      </c>
      <c r="H99" s="1" t="s">
        <v>24</v>
      </c>
      <c r="I99">
        <v>50894</v>
      </c>
      <c r="J99" s="3">
        <v>48.27</v>
      </c>
      <c r="K99" s="3">
        <v>2456653.38</v>
      </c>
    </row>
    <row r="100" spans="1:11" x14ac:dyDescent="0.2">
      <c r="A100" s="1" t="s">
        <v>376</v>
      </c>
      <c r="B100" s="2">
        <v>46015</v>
      </c>
      <c r="C100" s="1" t="s">
        <v>377</v>
      </c>
      <c r="D100" s="1" t="s">
        <v>378</v>
      </c>
      <c r="E100" s="1" t="s">
        <v>37</v>
      </c>
      <c r="F100" s="1" t="s">
        <v>41</v>
      </c>
      <c r="G100" s="1" t="s">
        <v>42</v>
      </c>
      <c r="H100" s="1" t="s">
        <v>24</v>
      </c>
      <c r="I100">
        <v>50202</v>
      </c>
      <c r="J100" s="3">
        <v>48.03</v>
      </c>
      <c r="K100" s="3">
        <v>2411202.06</v>
      </c>
    </row>
    <row r="101" spans="1:11" x14ac:dyDescent="0.2">
      <c r="A101" s="1" t="s">
        <v>379</v>
      </c>
      <c r="B101" s="2">
        <v>45522</v>
      </c>
      <c r="C101" s="1" t="s">
        <v>368</v>
      </c>
      <c r="D101" s="1" t="s">
        <v>369</v>
      </c>
      <c r="E101" s="1" t="s">
        <v>37</v>
      </c>
      <c r="F101" s="1" t="s">
        <v>263</v>
      </c>
      <c r="G101" s="1" t="s">
        <v>264</v>
      </c>
      <c r="H101" s="1" t="s">
        <v>17</v>
      </c>
      <c r="I101">
        <v>88601</v>
      </c>
      <c r="J101" s="3">
        <v>45.42</v>
      </c>
      <c r="K101" s="3">
        <v>4024257.42</v>
      </c>
    </row>
    <row r="102" spans="1:11" x14ac:dyDescent="0.2">
      <c r="A102" s="1" t="s">
        <v>380</v>
      </c>
      <c r="B102" s="2">
        <v>45894</v>
      </c>
      <c r="C102" s="1" t="s">
        <v>226</v>
      </c>
      <c r="D102" s="1" t="s">
        <v>227</v>
      </c>
      <c r="E102" s="1" t="s">
        <v>34</v>
      </c>
      <c r="F102" s="1" t="s">
        <v>324</v>
      </c>
      <c r="G102" s="1" t="s">
        <v>325</v>
      </c>
      <c r="H102" s="1" t="s">
        <v>24</v>
      </c>
      <c r="I102">
        <v>81614</v>
      </c>
      <c r="J102" s="3">
        <v>32.04</v>
      </c>
      <c r="K102" s="3">
        <v>2614912.56</v>
      </c>
    </row>
    <row r="103" spans="1:11" x14ac:dyDescent="0.2">
      <c r="A103" s="1" t="s">
        <v>381</v>
      </c>
      <c r="B103" s="2">
        <v>45973</v>
      </c>
      <c r="C103" s="1" t="s">
        <v>382</v>
      </c>
      <c r="D103" s="1" t="s">
        <v>383</v>
      </c>
      <c r="E103" s="1" t="s">
        <v>34</v>
      </c>
      <c r="F103" s="1" t="s">
        <v>144</v>
      </c>
      <c r="G103" s="1" t="s">
        <v>145</v>
      </c>
      <c r="H103" s="1" t="s">
        <v>24</v>
      </c>
      <c r="I103">
        <v>80842</v>
      </c>
      <c r="J103" s="3">
        <v>14.41</v>
      </c>
      <c r="K103" s="3">
        <v>1164933.22</v>
      </c>
    </row>
    <row r="104" spans="1:11" x14ac:dyDescent="0.2">
      <c r="A104" s="1" t="s">
        <v>384</v>
      </c>
      <c r="B104" s="2">
        <v>45951</v>
      </c>
      <c r="C104" s="1" t="s">
        <v>385</v>
      </c>
      <c r="D104" s="1" t="s">
        <v>386</v>
      </c>
      <c r="E104" s="1" t="s">
        <v>34</v>
      </c>
      <c r="F104" s="1" t="s">
        <v>15</v>
      </c>
      <c r="G104" s="1" t="s">
        <v>16</v>
      </c>
      <c r="H104" s="1" t="s">
        <v>17</v>
      </c>
      <c r="I104">
        <v>6036</v>
      </c>
      <c r="J104" s="3">
        <v>19.93</v>
      </c>
      <c r="K104" s="3">
        <v>120297.48</v>
      </c>
    </row>
    <row r="105" spans="1:11" x14ac:dyDescent="0.2">
      <c r="A105" s="1" t="s">
        <v>387</v>
      </c>
      <c r="B105" s="2">
        <v>45704</v>
      </c>
      <c r="C105" s="1" t="s">
        <v>388</v>
      </c>
      <c r="D105" s="1" t="s">
        <v>389</v>
      </c>
      <c r="E105" s="1" t="s">
        <v>14</v>
      </c>
      <c r="F105" s="1" t="s">
        <v>165</v>
      </c>
      <c r="G105" s="1" t="s">
        <v>166</v>
      </c>
      <c r="H105" s="1" t="s">
        <v>24</v>
      </c>
      <c r="I105">
        <v>55758</v>
      </c>
      <c r="J105" s="3">
        <v>16.68</v>
      </c>
      <c r="K105" s="3">
        <v>930043.44</v>
      </c>
    </row>
    <row r="106" spans="1:11" x14ac:dyDescent="0.2">
      <c r="A106" s="1" t="s">
        <v>390</v>
      </c>
      <c r="B106" s="2">
        <v>45450</v>
      </c>
      <c r="C106" s="1" t="s">
        <v>391</v>
      </c>
      <c r="D106" s="1" t="s">
        <v>392</v>
      </c>
      <c r="E106" s="1" t="s">
        <v>37</v>
      </c>
      <c r="F106" s="1" t="s">
        <v>184</v>
      </c>
      <c r="G106" s="1" t="s">
        <v>185</v>
      </c>
      <c r="H106" s="1" t="s">
        <v>17</v>
      </c>
      <c r="I106">
        <v>48318</v>
      </c>
      <c r="J106" s="3">
        <v>25.11</v>
      </c>
      <c r="K106" s="3">
        <v>1213264.98</v>
      </c>
    </row>
    <row r="107" spans="1:11" x14ac:dyDescent="0.2">
      <c r="A107" s="1" t="s">
        <v>393</v>
      </c>
      <c r="B107" s="2">
        <v>45934</v>
      </c>
      <c r="C107" s="1" t="s">
        <v>223</v>
      </c>
      <c r="D107" s="1" t="s">
        <v>224</v>
      </c>
      <c r="E107" s="1" t="s">
        <v>28</v>
      </c>
      <c r="F107" s="1" t="s">
        <v>394</v>
      </c>
      <c r="G107" s="1" t="s">
        <v>395</v>
      </c>
      <c r="H107" s="1" t="s">
        <v>48</v>
      </c>
      <c r="I107">
        <v>12678</v>
      </c>
      <c r="J107" s="3">
        <v>13.41</v>
      </c>
      <c r="K107" s="3">
        <v>170011.98</v>
      </c>
    </row>
    <row r="108" spans="1:11" x14ac:dyDescent="0.2">
      <c r="A108" s="1" t="s">
        <v>396</v>
      </c>
      <c r="B108" s="2">
        <v>45732</v>
      </c>
      <c r="C108" s="1" t="s">
        <v>397</v>
      </c>
      <c r="D108" s="1" t="s">
        <v>398</v>
      </c>
      <c r="E108" s="1" t="s">
        <v>34</v>
      </c>
      <c r="F108" s="1" t="s">
        <v>152</v>
      </c>
      <c r="G108" s="1" t="s">
        <v>153</v>
      </c>
      <c r="H108" s="1" t="s">
        <v>17</v>
      </c>
      <c r="I108">
        <v>37720</v>
      </c>
      <c r="J108" s="3">
        <v>25.73</v>
      </c>
      <c r="K108" s="3">
        <v>970535.6</v>
      </c>
    </row>
    <row r="109" spans="1:11" x14ac:dyDescent="0.2">
      <c r="A109" s="1" t="s">
        <v>399</v>
      </c>
      <c r="B109" s="2">
        <v>45792</v>
      </c>
      <c r="C109" s="1" t="s">
        <v>400</v>
      </c>
      <c r="D109" s="1" t="s">
        <v>401</v>
      </c>
      <c r="E109" s="1" t="s">
        <v>21</v>
      </c>
      <c r="F109" s="1" t="s">
        <v>29</v>
      </c>
      <c r="G109" s="1" t="s">
        <v>30</v>
      </c>
      <c r="H109" s="1" t="s">
        <v>24</v>
      </c>
      <c r="I109">
        <v>43951</v>
      </c>
      <c r="J109" s="3">
        <v>20.88</v>
      </c>
      <c r="K109" s="3">
        <v>917696.88</v>
      </c>
    </row>
    <row r="110" spans="1:11" x14ac:dyDescent="0.2">
      <c r="A110" s="1" t="s">
        <v>402</v>
      </c>
      <c r="B110" s="2">
        <v>45944</v>
      </c>
      <c r="C110" s="1" t="s">
        <v>44</v>
      </c>
      <c r="D110" s="1" t="s">
        <v>45</v>
      </c>
      <c r="E110" s="1" t="s">
        <v>34</v>
      </c>
      <c r="F110" s="1" t="s">
        <v>144</v>
      </c>
      <c r="G110" s="1" t="s">
        <v>145</v>
      </c>
      <c r="H110" s="1" t="s">
        <v>24</v>
      </c>
      <c r="I110">
        <v>38935</v>
      </c>
      <c r="J110" s="3">
        <v>21.61</v>
      </c>
      <c r="K110" s="3">
        <v>841385.35</v>
      </c>
    </row>
    <row r="111" spans="1:11" x14ac:dyDescent="0.2">
      <c r="A111" s="1" t="s">
        <v>403</v>
      </c>
      <c r="B111" s="2">
        <v>45646</v>
      </c>
      <c r="C111" s="1" t="s">
        <v>404</v>
      </c>
      <c r="D111" s="1" t="s">
        <v>405</v>
      </c>
      <c r="E111" s="1" t="s">
        <v>37</v>
      </c>
      <c r="F111" s="1" t="s">
        <v>406</v>
      </c>
      <c r="G111" s="1" t="s">
        <v>407</v>
      </c>
      <c r="H111" s="1" t="s">
        <v>17</v>
      </c>
      <c r="I111">
        <v>5408</v>
      </c>
      <c r="J111" s="3">
        <v>31.72</v>
      </c>
      <c r="K111" s="3">
        <v>171541.76000000001</v>
      </c>
    </row>
    <row r="112" spans="1:11" x14ac:dyDescent="0.2">
      <c r="A112" s="1" t="s">
        <v>408</v>
      </c>
      <c r="B112" s="2">
        <v>45613</v>
      </c>
      <c r="C112" s="1" t="s">
        <v>409</v>
      </c>
      <c r="D112" s="1" t="s">
        <v>410</v>
      </c>
      <c r="E112" s="1" t="s">
        <v>14</v>
      </c>
      <c r="F112" s="1" t="s">
        <v>284</v>
      </c>
      <c r="G112" s="1" t="s">
        <v>285</v>
      </c>
      <c r="H112" s="1" t="s">
        <v>37</v>
      </c>
      <c r="I112">
        <v>16609</v>
      </c>
      <c r="J112" s="3">
        <v>7.83</v>
      </c>
      <c r="K112" s="3">
        <v>130048.47</v>
      </c>
    </row>
    <row r="113" spans="1:11" x14ac:dyDescent="0.2">
      <c r="A113" s="1" t="s">
        <v>411</v>
      </c>
      <c r="B113" s="2">
        <v>45844</v>
      </c>
      <c r="C113" s="1" t="s">
        <v>101</v>
      </c>
      <c r="D113" s="1" t="s">
        <v>102</v>
      </c>
      <c r="E113" s="1" t="s">
        <v>37</v>
      </c>
      <c r="F113" s="1" t="s">
        <v>412</v>
      </c>
      <c r="G113" s="1" t="s">
        <v>413</v>
      </c>
      <c r="H113" s="1" t="s">
        <v>72</v>
      </c>
      <c r="I113">
        <v>6440</v>
      </c>
      <c r="J113" s="3">
        <v>15.39</v>
      </c>
      <c r="K113" s="3">
        <v>99111.6</v>
      </c>
    </row>
    <row r="114" spans="1:11" x14ac:dyDescent="0.2">
      <c r="A114" s="1" t="s">
        <v>414</v>
      </c>
      <c r="B114" s="2">
        <v>45595</v>
      </c>
      <c r="C114" s="1" t="s">
        <v>415</v>
      </c>
      <c r="D114" s="1" t="s">
        <v>416</v>
      </c>
      <c r="E114" s="1" t="s">
        <v>14</v>
      </c>
      <c r="F114" s="1" t="s">
        <v>81</v>
      </c>
      <c r="G114" s="1" t="s">
        <v>82</v>
      </c>
      <c r="H114" s="1" t="s">
        <v>72</v>
      </c>
      <c r="I114">
        <v>7734</v>
      </c>
      <c r="J114" s="3">
        <v>47.18</v>
      </c>
      <c r="K114" s="3">
        <v>364890.12</v>
      </c>
    </row>
    <row r="115" spans="1:11" x14ac:dyDescent="0.2">
      <c r="A115" s="1" t="s">
        <v>417</v>
      </c>
      <c r="B115" s="2">
        <v>45747</v>
      </c>
      <c r="C115" s="1" t="s">
        <v>418</v>
      </c>
      <c r="D115" s="1" t="s">
        <v>419</v>
      </c>
      <c r="E115" s="1" t="s">
        <v>14</v>
      </c>
      <c r="F115" s="1" t="s">
        <v>324</v>
      </c>
      <c r="G115" s="1" t="s">
        <v>325</v>
      </c>
      <c r="H115" s="1" t="s">
        <v>24</v>
      </c>
      <c r="I115">
        <v>33419</v>
      </c>
      <c r="J115" s="3">
        <v>24.13</v>
      </c>
      <c r="K115" s="3">
        <v>806400.47</v>
      </c>
    </row>
    <row r="116" spans="1:11" x14ac:dyDescent="0.2">
      <c r="A116" s="1" t="s">
        <v>420</v>
      </c>
      <c r="B116" s="2">
        <v>45485</v>
      </c>
      <c r="C116" s="1" t="s">
        <v>421</v>
      </c>
      <c r="D116" s="1" t="s">
        <v>422</v>
      </c>
      <c r="E116" s="1" t="s">
        <v>21</v>
      </c>
      <c r="F116" s="1" t="s">
        <v>65</v>
      </c>
      <c r="G116" s="1" t="s">
        <v>66</v>
      </c>
      <c r="H116" s="1" t="s">
        <v>48</v>
      </c>
      <c r="I116">
        <v>34516</v>
      </c>
      <c r="J116" s="3">
        <v>25.52</v>
      </c>
      <c r="K116" s="3">
        <v>880848.32</v>
      </c>
    </row>
    <row r="117" spans="1:11" x14ac:dyDescent="0.2">
      <c r="A117" s="1" t="s">
        <v>423</v>
      </c>
      <c r="B117" s="2">
        <v>45376</v>
      </c>
      <c r="C117" s="1" t="s">
        <v>424</v>
      </c>
      <c r="D117" s="1" t="s">
        <v>425</v>
      </c>
      <c r="E117" s="1" t="s">
        <v>28</v>
      </c>
      <c r="F117" s="1" t="s">
        <v>108</v>
      </c>
      <c r="G117" s="1" t="s">
        <v>109</v>
      </c>
      <c r="H117" s="1" t="s">
        <v>37</v>
      </c>
      <c r="I117">
        <v>18726</v>
      </c>
      <c r="J117" s="3">
        <v>39.58</v>
      </c>
      <c r="K117" s="3">
        <v>741175.08</v>
      </c>
    </row>
    <row r="118" spans="1:11" x14ac:dyDescent="0.2">
      <c r="A118" s="1" t="s">
        <v>426</v>
      </c>
      <c r="B118" s="2">
        <v>45769</v>
      </c>
      <c r="C118" s="1" t="s">
        <v>427</v>
      </c>
      <c r="D118" s="1" t="s">
        <v>428</v>
      </c>
      <c r="E118" s="1" t="s">
        <v>21</v>
      </c>
      <c r="F118" s="1" t="s">
        <v>152</v>
      </c>
      <c r="G118" s="1" t="s">
        <v>153</v>
      </c>
      <c r="H118" s="1" t="s">
        <v>17</v>
      </c>
      <c r="I118">
        <v>93272</v>
      </c>
      <c r="J118" s="3">
        <v>39.49</v>
      </c>
      <c r="K118" s="3">
        <v>3683311.28</v>
      </c>
    </row>
    <row r="119" spans="1:11" x14ac:dyDescent="0.2">
      <c r="A119" s="1" t="s">
        <v>429</v>
      </c>
      <c r="B119" s="2">
        <v>45713</v>
      </c>
      <c r="C119" s="1" t="s">
        <v>220</v>
      </c>
      <c r="D119" s="1" t="s">
        <v>221</v>
      </c>
      <c r="E119" s="1" t="s">
        <v>21</v>
      </c>
      <c r="F119" s="1" t="s">
        <v>203</v>
      </c>
      <c r="G119" s="1" t="s">
        <v>204</v>
      </c>
      <c r="H119" s="1" t="s">
        <v>72</v>
      </c>
      <c r="I119">
        <v>75181</v>
      </c>
      <c r="J119" s="3">
        <v>42.33</v>
      </c>
      <c r="K119" s="3">
        <v>3182411.73</v>
      </c>
    </row>
    <row r="120" spans="1:11" x14ac:dyDescent="0.2">
      <c r="A120" s="1" t="s">
        <v>430</v>
      </c>
      <c r="B120" s="2">
        <v>45913</v>
      </c>
      <c r="C120" s="1" t="s">
        <v>431</v>
      </c>
      <c r="D120" s="1" t="s">
        <v>432</v>
      </c>
      <c r="E120" s="1" t="s">
        <v>14</v>
      </c>
      <c r="F120" s="1" t="s">
        <v>46</v>
      </c>
      <c r="G120" s="1" t="s">
        <v>47</v>
      </c>
      <c r="H120" s="1" t="s">
        <v>48</v>
      </c>
      <c r="I120">
        <v>50778</v>
      </c>
      <c r="J120" s="3">
        <v>45.37</v>
      </c>
      <c r="K120" s="3">
        <v>2303797.86</v>
      </c>
    </row>
    <row r="121" spans="1:11" x14ac:dyDescent="0.2">
      <c r="A121" s="1" t="s">
        <v>433</v>
      </c>
      <c r="B121" s="2">
        <v>45570</v>
      </c>
      <c r="C121" s="1" t="s">
        <v>434</v>
      </c>
      <c r="D121" s="1" t="s">
        <v>435</v>
      </c>
      <c r="E121" s="1" t="s">
        <v>21</v>
      </c>
      <c r="F121" s="1" t="s">
        <v>436</v>
      </c>
      <c r="G121" s="1" t="s">
        <v>437</v>
      </c>
      <c r="H121" s="1" t="s">
        <v>24</v>
      </c>
      <c r="I121">
        <v>13767</v>
      </c>
      <c r="J121" s="3">
        <v>38.44</v>
      </c>
      <c r="K121" s="3">
        <v>529203.48</v>
      </c>
    </row>
    <row r="122" spans="1:11" x14ac:dyDescent="0.2">
      <c r="A122" s="1" t="s">
        <v>438</v>
      </c>
      <c r="B122" s="2">
        <v>45383</v>
      </c>
      <c r="C122" s="1" t="s">
        <v>439</v>
      </c>
      <c r="D122" s="1" t="s">
        <v>440</v>
      </c>
      <c r="E122" s="1" t="s">
        <v>28</v>
      </c>
      <c r="F122" s="1" t="s">
        <v>35</v>
      </c>
      <c r="G122" s="1" t="s">
        <v>36</v>
      </c>
      <c r="H122" s="1" t="s">
        <v>37</v>
      </c>
      <c r="I122">
        <v>39531</v>
      </c>
      <c r="J122" s="3">
        <v>3.4</v>
      </c>
      <c r="K122" s="3">
        <v>134405.4</v>
      </c>
    </row>
    <row r="123" spans="1:11" x14ac:dyDescent="0.2">
      <c r="A123" s="1" t="s">
        <v>441</v>
      </c>
      <c r="B123" s="2">
        <v>45465</v>
      </c>
      <c r="C123" s="1" t="s">
        <v>442</v>
      </c>
      <c r="D123" s="1" t="s">
        <v>443</v>
      </c>
      <c r="E123" s="1" t="s">
        <v>34</v>
      </c>
      <c r="F123" s="1" t="s">
        <v>203</v>
      </c>
      <c r="G123" s="1" t="s">
        <v>204</v>
      </c>
      <c r="H123" s="1" t="s">
        <v>72</v>
      </c>
      <c r="I123">
        <v>97299</v>
      </c>
      <c r="J123" s="3">
        <v>42.68</v>
      </c>
      <c r="K123" s="3">
        <v>4152721.32</v>
      </c>
    </row>
    <row r="124" spans="1:11" x14ac:dyDescent="0.2">
      <c r="A124" s="1" t="s">
        <v>444</v>
      </c>
      <c r="B124" s="2">
        <v>45924</v>
      </c>
      <c r="C124" s="1" t="s">
        <v>445</v>
      </c>
      <c r="D124" s="1" t="s">
        <v>446</v>
      </c>
      <c r="E124" s="1" t="s">
        <v>34</v>
      </c>
      <c r="F124" s="1" t="s">
        <v>394</v>
      </c>
      <c r="G124" s="1" t="s">
        <v>395</v>
      </c>
      <c r="H124" s="1" t="s">
        <v>48</v>
      </c>
      <c r="I124">
        <v>43131</v>
      </c>
      <c r="J124" s="3">
        <v>48.6</v>
      </c>
      <c r="K124" s="3">
        <v>2096166.6</v>
      </c>
    </row>
    <row r="125" spans="1:11" x14ac:dyDescent="0.2">
      <c r="A125" s="1" t="s">
        <v>447</v>
      </c>
      <c r="B125" s="2">
        <v>45501</v>
      </c>
      <c r="C125" s="1" t="s">
        <v>448</v>
      </c>
      <c r="D125" s="1" t="s">
        <v>449</v>
      </c>
      <c r="E125" s="1" t="s">
        <v>28</v>
      </c>
      <c r="F125" s="1" t="s">
        <v>144</v>
      </c>
      <c r="G125" s="1" t="s">
        <v>145</v>
      </c>
      <c r="H125" s="1" t="s">
        <v>24</v>
      </c>
      <c r="I125">
        <v>79665</v>
      </c>
      <c r="J125" s="3">
        <v>21.97</v>
      </c>
      <c r="K125" s="3">
        <v>1750240.05</v>
      </c>
    </row>
    <row r="126" spans="1:11" x14ac:dyDescent="0.2">
      <c r="A126" s="1" t="s">
        <v>450</v>
      </c>
      <c r="B126" s="2">
        <v>45579</v>
      </c>
      <c r="C126" s="1" t="s">
        <v>451</v>
      </c>
      <c r="D126" s="1" t="s">
        <v>452</v>
      </c>
      <c r="E126" s="1" t="s">
        <v>28</v>
      </c>
      <c r="F126" s="1" t="s">
        <v>324</v>
      </c>
      <c r="G126" s="1" t="s">
        <v>325</v>
      </c>
      <c r="H126" s="1" t="s">
        <v>24</v>
      </c>
      <c r="I126">
        <v>75824</v>
      </c>
      <c r="J126" s="3">
        <v>29.54</v>
      </c>
      <c r="K126" s="3">
        <v>2239840.96</v>
      </c>
    </row>
    <row r="127" spans="1:11" x14ac:dyDescent="0.2">
      <c r="A127" s="1" t="s">
        <v>453</v>
      </c>
      <c r="B127" s="2">
        <v>45410</v>
      </c>
      <c r="C127" s="1" t="s">
        <v>87</v>
      </c>
      <c r="D127" s="1" t="s">
        <v>88</v>
      </c>
      <c r="E127" s="1" t="s">
        <v>14</v>
      </c>
      <c r="F127" s="1" t="s">
        <v>52</v>
      </c>
      <c r="G127" s="1" t="s">
        <v>53</v>
      </c>
      <c r="H127" s="1" t="s">
        <v>17</v>
      </c>
      <c r="I127">
        <v>78329</v>
      </c>
      <c r="J127" s="3">
        <v>7.17</v>
      </c>
      <c r="K127" s="3">
        <v>561618.93000000005</v>
      </c>
    </row>
    <row r="128" spans="1:11" x14ac:dyDescent="0.2">
      <c r="A128" s="1" t="s">
        <v>454</v>
      </c>
      <c r="B128" s="2">
        <v>45710</v>
      </c>
      <c r="C128" s="1" t="s">
        <v>374</v>
      </c>
      <c r="D128" s="1" t="s">
        <v>375</v>
      </c>
      <c r="E128" s="1" t="s">
        <v>14</v>
      </c>
      <c r="F128" s="1" t="s">
        <v>263</v>
      </c>
      <c r="G128" s="1" t="s">
        <v>264</v>
      </c>
      <c r="H128" s="1" t="s">
        <v>17</v>
      </c>
      <c r="I128">
        <v>26927</v>
      </c>
      <c r="J128" s="3">
        <v>5.75</v>
      </c>
      <c r="K128" s="3">
        <v>154830.25</v>
      </c>
    </row>
    <row r="129" spans="1:11" x14ac:dyDescent="0.2">
      <c r="A129" s="1" t="s">
        <v>455</v>
      </c>
      <c r="B129" s="2">
        <v>45978</v>
      </c>
      <c r="C129" s="1" t="s">
        <v>456</v>
      </c>
      <c r="D129" s="1" t="s">
        <v>457</v>
      </c>
      <c r="E129" s="1" t="s">
        <v>37</v>
      </c>
      <c r="F129" s="1" t="s">
        <v>458</v>
      </c>
      <c r="G129" s="1" t="s">
        <v>459</v>
      </c>
      <c r="H129" s="1" t="s">
        <v>72</v>
      </c>
      <c r="I129">
        <v>31988</v>
      </c>
      <c r="J129" s="3">
        <v>3.8</v>
      </c>
      <c r="K129" s="3">
        <v>121554.4</v>
      </c>
    </row>
    <row r="130" spans="1:11" x14ac:dyDescent="0.2">
      <c r="A130" s="1" t="s">
        <v>460</v>
      </c>
      <c r="B130" s="2">
        <v>45395</v>
      </c>
      <c r="C130" s="1" t="s">
        <v>461</v>
      </c>
      <c r="D130" s="1" t="s">
        <v>462</v>
      </c>
      <c r="E130" s="1" t="s">
        <v>28</v>
      </c>
      <c r="F130" s="1" t="s">
        <v>463</v>
      </c>
      <c r="G130" s="1" t="s">
        <v>464</v>
      </c>
      <c r="H130" s="1" t="s">
        <v>37</v>
      </c>
      <c r="I130">
        <v>62154</v>
      </c>
      <c r="J130" s="3">
        <v>34.590000000000003</v>
      </c>
      <c r="K130" s="3">
        <v>2149906.86</v>
      </c>
    </row>
    <row r="131" spans="1:11" x14ac:dyDescent="0.2">
      <c r="A131" s="1" t="s">
        <v>465</v>
      </c>
      <c r="B131" s="2">
        <v>45832</v>
      </c>
      <c r="C131" s="1" t="s">
        <v>466</v>
      </c>
      <c r="D131" s="1" t="s">
        <v>467</v>
      </c>
      <c r="E131" s="1" t="s">
        <v>28</v>
      </c>
      <c r="F131" s="1" t="s">
        <v>76</v>
      </c>
      <c r="G131" s="1" t="s">
        <v>77</v>
      </c>
      <c r="H131" s="1" t="s">
        <v>48</v>
      </c>
      <c r="I131">
        <v>75348</v>
      </c>
      <c r="J131" s="3">
        <v>38.97</v>
      </c>
      <c r="K131" s="3">
        <v>2936311.56</v>
      </c>
    </row>
    <row r="132" spans="1:11" x14ac:dyDescent="0.2">
      <c r="A132" s="1" t="s">
        <v>468</v>
      </c>
      <c r="B132" s="2">
        <v>45818</v>
      </c>
      <c r="C132" s="1" t="s">
        <v>469</v>
      </c>
      <c r="D132" s="1" t="s">
        <v>470</v>
      </c>
      <c r="E132" s="1" t="s">
        <v>21</v>
      </c>
      <c r="F132" s="1" t="s">
        <v>268</v>
      </c>
      <c r="G132" s="1" t="s">
        <v>269</v>
      </c>
      <c r="H132" s="1" t="s">
        <v>72</v>
      </c>
      <c r="I132">
        <v>2314</v>
      </c>
      <c r="J132" s="3">
        <v>23.32</v>
      </c>
      <c r="K132" s="3">
        <v>53962.48</v>
      </c>
    </row>
    <row r="133" spans="1:11" x14ac:dyDescent="0.2">
      <c r="A133" s="1" t="s">
        <v>471</v>
      </c>
      <c r="B133" s="2">
        <v>45375</v>
      </c>
      <c r="C133" s="1" t="s">
        <v>472</v>
      </c>
      <c r="D133" s="1" t="s">
        <v>473</v>
      </c>
      <c r="E133" s="1" t="s">
        <v>14</v>
      </c>
      <c r="F133" s="1" t="s">
        <v>474</v>
      </c>
      <c r="G133" s="1" t="s">
        <v>475</v>
      </c>
      <c r="H133" s="1" t="s">
        <v>48</v>
      </c>
      <c r="I133">
        <v>59998</v>
      </c>
      <c r="J133" s="3">
        <v>35.15</v>
      </c>
      <c r="K133" s="3">
        <v>2108929.7000000002</v>
      </c>
    </row>
    <row r="134" spans="1:11" x14ac:dyDescent="0.2">
      <c r="A134" s="1" t="s">
        <v>476</v>
      </c>
      <c r="B134" s="2">
        <v>45482</v>
      </c>
      <c r="C134" s="1" t="s">
        <v>451</v>
      </c>
      <c r="D134" s="1" t="s">
        <v>452</v>
      </c>
      <c r="E134" s="1" t="s">
        <v>28</v>
      </c>
      <c r="F134" s="1" t="s">
        <v>406</v>
      </c>
      <c r="G134" s="1" t="s">
        <v>407</v>
      </c>
      <c r="H134" s="1" t="s">
        <v>17</v>
      </c>
      <c r="I134">
        <v>79539</v>
      </c>
      <c r="J134" s="3">
        <v>2.2200000000000002</v>
      </c>
      <c r="K134" s="3">
        <v>176576.58</v>
      </c>
    </row>
    <row r="135" spans="1:11" x14ac:dyDescent="0.2">
      <c r="A135" s="1" t="s">
        <v>477</v>
      </c>
      <c r="B135" s="2">
        <v>45411</v>
      </c>
      <c r="C135" s="1" t="s">
        <v>478</v>
      </c>
      <c r="D135" s="1" t="s">
        <v>479</v>
      </c>
      <c r="E135" s="1" t="s">
        <v>34</v>
      </c>
      <c r="F135" s="1" t="s">
        <v>350</v>
      </c>
      <c r="G135" s="1" t="s">
        <v>351</v>
      </c>
      <c r="H135" s="1" t="s">
        <v>37</v>
      </c>
      <c r="I135">
        <v>4551</v>
      </c>
      <c r="J135" s="3">
        <v>24.5</v>
      </c>
      <c r="K135" s="3">
        <v>111499.5</v>
      </c>
    </row>
    <row r="136" spans="1:11" x14ac:dyDescent="0.2">
      <c r="A136" s="1" t="s">
        <v>480</v>
      </c>
      <c r="B136" s="2">
        <v>45354</v>
      </c>
      <c r="C136" s="1" t="s">
        <v>481</v>
      </c>
      <c r="D136" s="1" t="s">
        <v>482</v>
      </c>
      <c r="E136" s="1" t="s">
        <v>34</v>
      </c>
      <c r="F136" s="1" t="s">
        <v>203</v>
      </c>
      <c r="G136" s="1" t="s">
        <v>204</v>
      </c>
      <c r="H136" s="1" t="s">
        <v>72</v>
      </c>
      <c r="I136">
        <v>87497</v>
      </c>
      <c r="J136" s="3">
        <v>10.119999999999999</v>
      </c>
      <c r="K136" s="3">
        <v>885469.64</v>
      </c>
    </row>
    <row r="137" spans="1:11" x14ac:dyDescent="0.2">
      <c r="A137" s="1" t="s">
        <v>483</v>
      </c>
      <c r="B137" s="2">
        <v>45527</v>
      </c>
      <c r="C137" s="1" t="s">
        <v>397</v>
      </c>
      <c r="D137" s="1" t="s">
        <v>398</v>
      </c>
      <c r="E137" s="1" t="s">
        <v>34</v>
      </c>
      <c r="F137" s="1" t="s">
        <v>113</v>
      </c>
      <c r="G137" s="1" t="s">
        <v>114</v>
      </c>
      <c r="H137" s="1" t="s">
        <v>37</v>
      </c>
      <c r="I137">
        <v>15275</v>
      </c>
      <c r="J137" s="3">
        <v>39.03</v>
      </c>
      <c r="K137" s="3">
        <v>596183.25</v>
      </c>
    </row>
    <row r="138" spans="1:11" x14ac:dyDescent="0.2">
      <c r="A138" s="1" t="s">
        <v>484</v>
      </c>
      <c r="B138" s="2">
        <v>45406</v>
      </c>
      <c r="C138" s="1" t="s">
        <v>300</v>
      </c>
      <c r="D138" s="1" t="s">
        <v>301</v>
      </c>
      <c r="E138" s="1" t="s">
        <v>14</v>
      </c>
      <c r="F138" s="1" t="s">
        <v>324</v>
      </c>
      <c r="G138" s="1" t="s">
        <v>325</v>
      </c>
      <c r="H138" s="1" t="s">
        <v>24</v>
      </c>
      <c r="I138">
        <v>78990</v>
      </c>
      <c r="J138" s="3">
        <v>46.75</v>
      </c>
      <c r="K138" s="3">
        <v>3692782.5</v>
      </c>
    </row>
    <row r="139" spans="1:11" x14ac:dyDescent="0.2">
      <c r="A139" s="1" t="s">
        <v>485</v>
      </c>
      <c r="B139" s="2">
        <v>45716</v>
      </c>
      <c r="C139" s="1" t="s">
        <v>174</v>
      </c>
      <c r="D139" s="1" t="s">
        <v>175</v>
      </c>
      <c r="E139" s="1" t="s">
        <v>37</v>
      </c>
      <c r="F139" s="1" t="s">
        <v>152</v>
      </c>
      <c r="G139" s="1" t="s">
        <v>153</v>
      </c>
      <c r="H139" s="1" t="s">
        <v>17</v>
      </c>
      <c r="I139">
        <v>53071</v>
      </c>
      <c r="J139" s="3">
        <v>39.14</v>
      </c>
      <c r="K139" s="3">
        <v>2077198.94</v>
      </c>
    </row>
    <row r="140" spans="1:11" x14ac:dyDescent="0.2">
      <c r="A140" s="1" t="s">
        <v>486</v>
      </c>
      <c r="B140" s="2">
        <v>45461</v>
      </c>
      <c r="C140" s="1" t="s">
        <v>487</v>
      </c>
      <c r="D140" s="1" t="s">
        <v>488</v>
      </c>
      <c r="E140" s="1" t="s">
        <v>28</v>
      </c>
      <c r="F140" s="1" t="s">
        <v>35</v>
      </c>
      <c r="G140" s="1" t="s">
        <v>36</v>
      </c>
      <c r="H140" s="1" t="s">
        <v>37</v>
      </c>
      <c r="I140">
        <v>76434</v>
      </c>
      <c r="J140" s="3">
        <v>17.59</v>
      </c>
      <c r="K140" s="3">
        <v>1344474.06</v>
      </c>
    </row>
    <row r="141" spans="1:11" x14ac:dyDescent="0.2">
      <c r="A141" s="1" t="s">
        <v>489</v>
      </c>
      <c r="B141" s="2">
        <v>45329</v>
      </c>
      <c r="C141" s="1" t="s">
        <v>168</v>
      </c>
      <c r="D141" s="1" t="s">
        <v>169</v>
      </c>
      <c r="E141" s="1" t="s">
        <v>21</v>
      </c>
      <c r="F141" s="1" t="s">
        <v>350</v>
      </c>
      <c r="G141" s="1" t="s">
        <v>351</v>
      </c>
      <c r="H141" s="1" t="s">
        <v>37</v>
      </c>
      <c r="I141">
        <v>26408</v>
      </c>
      <c r="J141" s="3">
        <v>11.92</v>
      </c>
      <c r="K141" s="3">
        <v>314783.35999999999</v>
      </c>
    </row>
    <row r="142" spans="1:11" x14ac:dyDescent="0.2">
      <c r="A142" s="1" t="s">
        <v>490</v>
      </c>
      <c r="B142" s="2">
        <v>45556</v>
      </c>
      <c r="C142" s="1" t="s">
        <v>44</v>
      </c>
      <c r="D142" s="1" t="s">
        <v>45</v>
      </c>
      <c r="E142" s="1" t="s">
        <v>34</v>
      </c>
      <c r="F142" s="1" t="s">
        <v>474</v>
      </c>
      <c r="G142" s="1" t="s">
        <v>475</v>
      </c>
      <c r="H142" s="1" t="s">
        <v>48</v>
      </c>
      <c r="I142">
        <v>76158</v>
      </c>
      <c r="J142" s="3">
        <v>24.7</v>
      </c>
      <c r="K142" s="3">
        <v>1881102.6</v>
      </c>
    </row>
    <row r="143" spans="1:11" x14ac:dyDescent="0.2">
      <c r="A143" s="1" t="s">
        <v>491</v>
      </c>
      <c r="B143" s="2">
        <v>45703</v>
      </c>
      <c r="C143" s="1" t="s">
        <v>492</v>
      </c>
      <c r="D143" s="1" t="s">
        <v>493</v>
      </c>
      <c r="E143" s="1" t="s">
        <v>37</v>
      </c>
      <c r="F143" s="1" t="s">
        <v>29</v>
      </c>
      <c r="G143" s="1" t="s">
        <v>30</v>
      </c>
      <c r="H143" s="1" t="s">
        <v>24</v>
      </c>
      <c r="I143">
        <v>90218</v>
      </c>
      <c r="J143" s="3">
        <v>27.23</v>
      </c>
      <c r="K143" s="3">
        <v>2456636.14</v>
      </c>
    </row>
    <row r="144" spans="1:11" x14ac:dyDescent="0.2">
      <c r="A144" s="1" t="s">
        <v>494</v>
      </c>
      <c r="B144" s="2">
        <v>45638</v>
      </c>
      <c r="C144" s="1" t="s">
        <v>495</v>
      </c>
      <c r="D144" s="1" t="s">
        <v>496</v>
      </c>
      <c r="E144" s="1" t="s">
        <v>37</v>
      </c>
      <c r="F144" s="1" t="s">
        <v>406</v>
      </c>
      <c r="G144" s="1" t="s">
        <v>407</v>
      </c>
      <c r="H144" s="1" t="s">
        <v>17</v>
      </c>
      <c r="I144">
        <v>89811</v>
      </c>
      <c r="J144" s="3">
        <v>6.34</v>
      </c>
      <c r="K144" s="3">
        <v>569401.74</v>
      </c>
    </row>
    <row r="145" spans="1:11" x14ac:dyDescent="0.2">
      <c r="A145" s="1" t="s">
        <v>497</v>
      </c>
      <c r="B145" s="2">
        <v>45542</v>
      </c>
      <c r="C145" s="1" t="s">
        <v>498</v>
      </c>
      <c r="D145" s="1" t="s">
        <v>499</v>
      </c>
      <c r="E145" s="1" t="s">
        <v>14</v>
      </c>
      <c r="F145" s="1" t="s">
        <v>339</v>
      </c>
      <c r="G145" s="1" t="s">
        <v>340</v>
      </c>
      <c r="H145" s="1" t="s">
        <v>24</v>
      </c>
      <c r="I145">
        <v>17891</v>
      </c>
      <c r="J145" s="3">
        <v>7.28</v>
      </c>
      <c r="K145" s="3">
        <v>130246.48</v>
      </c>
    </row>
    <row r="146" spans="1:11" x14ac:dyDescent="0.2">
      <c r="A146" s="1" t="s">
        <v>500</v>
      </c>
      <c r="B146" s="2">
        <v>45808</v>
      </c>
      <c r="C146" s="1" t="s">
        <v>469</v>
      </c>
      <c r="D146" s="1" t="s">
        <v>470</v>
      </c>
      <c r="E146" s="1" t="s">
        <v>21</v>
      </c>
      <c r="F146" s="1" t="s">
        <v>463</v>
      </c>
      <c r="G146" s="1" t="s">
        <v>464</v>
      </c>
      <c r="H146" s="1" t="s">
        <v>37</v>
      </c>
      <c r="I146">
        <v>86615</v>
      </c>
      <c r="J146" s="3">
        <v>5.32</v>
      </c>
      <c r="K146" s="3">
        <v>460791.8</v>
      </c>
    </row>
    <row r="147" spans="1:11" x14ac:dyDescent="0.2">
      <c r="A147" s="1" t="s">
        <v>501</v>
      </c>
      <c r="B147" s="2">
        <v>45355</v>
      </c>
      <c r="C147" s="1" t="s">
        <v>502</v>
      </c>
      <c r="D147" s="1" t="s">
        <v>503</v>
      </c>
      <c r="E147" s="1" t="s">
        <v>14</v>
      </c>
      <c r="F147" s="1" t="s">
        <v>189</v>
      </c>
      <c r="G147" s="1" t="s">
        <v>190</v>
      </c>
      <c r="H147" s="1" t="s">
        <v>17</v>
      </c>
      <c r="I147">
        <v>61524</v>
      </c>
      <c r="J147" s="3">
        <v>37.01</v>
      </c>
      <c r="K147" s="3">
        <v>2277003.2400000002</v>
      </c>
    </row>
    <row r="148" spans="1:11" x14ac:dyDescent="0.2">
      <c r="A148" s="1" t="s">
        <v>504</v>
      </c>
      <c r="B148" s="2">
        <v>45964</v>
      </c>
      <c r="C148" s="1" t="s">
        <v>505</v>
      </c>
      <c r="D148" s="1" t="s">
        <v>506</v>
      </c>
      <c r="E148" s="1" t="s">
        <v>21</v>
      </c>
      <c r="F148" s="1" t="s">
        <v>139</v>
      </c>
      <c r="G148" s="1" t="s">
        <v>140</v>
      </c>
      <c r="H148" s="1" t="s">
        <v>24</v>
      </c>
      <c r="I148">
        <v>7466</v>
      </c>
      <c r="J148" s="3">
        <v>2.76</v>
      </c>
      <c r="K148" s="3">
        <v>20606.16</v>
      </c>
    </row>
    <row r="149" spans="1:11" x14ac:dyDescent="0.2">
      <c r="A149" s="1" t="s">
        <v>507</v>
      </c>
      <c r="B149" s="2">
        <v>45876</v>
      </c>
      <c r="C149" s="1" t="s">
        <v>508</v>
      </c>
      <c r="D149" s="1" t="s">
        <v>509</v>
      </c>
      <c r="E149" s="1" t="s">
        <v>34</v>
      </c>
      <c r="F149" s="1" t="s">
        <v>510</v>
      </c>
      <c r="G149" s="1" t="s">
        <v>511</v>
      </c>
      <c r="H149" s="1" t="s">
        <v>17</v>
      </c>
      <c r="I149">
        <v>66263</v>
      </c>
      <c r="J149" s="3">
        <v>3.99</v>
      </c>
      <c r="K149" s="3">
        <v>264389.37</v>
      </c>
    </row>
    <row r="150" spans="1:11" x14ac:dyDescent="0.2">
      <c r="A150" s="1" t="s">
        <v>512</v>
      </c>
      <c r="B150" s="2">
        <v>45714</v>
      </c>
      <c r="C150" s="1" t="s">
        <v>174</v>
      </c>
      <c r="D150" s="1" t="s">
        <v>175</v>
      </c>
      <c r="E150" s="1" t="s">
        <v>37</v>
      </c>
      <c r="F150" s="1" t="s">
        <v>41</v>
      </c>
      <c r="G150" s="1" t="s">
        <v>42</v>
      </c>
      <c r="H150" s="1" t="s">
        <v>24</v>
      </c>
      <c r="I150">
        <v>17141</v>
      </c>
      <c r="J150" s="3">
        <v>19.89</v>
      </c>
      <c r="K150" s="3">
        <v>340934.49</v>
      </c>
    </row>
    <row r="151" spans="1:11" x14ac:dyDescent="0.2">
      <c r="A151" s="1" t="s">
        <v>513</v>
      </c>
      <c r="B151" s="2">
        <v>45316</v>
      </c>
      <c r="C151" s="1" t="s">
        <v>514</v>
      </c>
      <c r="D151" s="1" t="s">
        <v>515</v>
      </c>
      <c r="E151" s="1" t="s">
        <v>28</v>
      </c>
      <c r="F151" s="1" t="s">
        <v>76</v>
      </c>
      <c r="G151" s="1" t="s">
        <v>77</v>
      </c>
      <c r="H151" s="1" t="s">
        <v>48</v>
      </c>
      <c r="I151">
        <v>48965</v>
      </c>
      <c r="J151" s="3">
        <v>31.27</v>
      </c>
      <c r="K151" s="3">
        <v>1531135.55</v>
      </c>
    </row>
    <row r="152" spans="1:11" x14ac:dyDescent="0.2">
      <c r="A152" s="1" t="s">
        <v>516</v>
      </c>
      <c r="B152" s="2">
        <v>45313</v>
      </c>
      <c r="C152" s="1" t="s">
        <v>517</v>
      </c>
      <c r="D152" s="1" t="s">
        <v>518</v>
      </c>
      <c r="E152" s="1" t="s">
        <v>21</v>
      </c>
      <c r="F152" s="1" t="s">
        <v>22</v>
      </c>
      <c r="G152" s="1" t="s">
        <v>23</v>
      </c>
      <c r="H152" s="1" t="s">
        <v>24</v>
      </c>
      <c r="I152">
        <v>52338</v>
      </c>
      <c r="J152" s="3">
        <v>28.47</v>
      </c>
      <c r="K152" s="3">
        <v>1490062.86</v>
      </c>
    </row>
    <row r="153" spans="1:11" x14ac:dyDescent="0.2">
      <c r="A153" s="1" t="s">
        <v>519</v>
      </c>
      <c r="B153" s="2">
        <v>45730</v>
      </c>
      <c r="C153" s="1" t="s">
        <v>520</v>
      </c>
      <c r="D153" s="1" t="s">
        <v>521</v>
      </c>
      <c r="E153" s="1" t="s">
        <v>37</v>
      </c>
      <c r="F153" s="1" t="s">
        <v>237</v>
      </c>
      <c r="G153" s="1" t="s">
        <v>238</v>
      </c>
      <c r="H153" s="1" t="s">
        <v>17</v>
      </c>
      <c r="I153">
        <v>35280</v>
      </c>
      <c r="J153" s="3">
        <v>8.86</v>
      </c>
      <c r="K153" s="3">
        <v>312580.8</v>
      </c>
    </row>
    <row r="154" spans="1:11" x14ac:dyDescent="0.2">
      <c r="A154" s="1" t="s">
        <v>522</v>
      </c>
      <c r="B154" s="2">
        <v>45859</v>
      </c>
      <c r="C154" s="1" t="s">
        <v>523</v>
      </c>
      <c r="D154" s="1" t="s">
        <v>524</v>
      </c>
      <c r="E154" s="1" t="s">
        <v>14</v>
      </c>
      <c r="F154" s="1" t="s">
        <v>268</v>
      </c>
      <c r="G154" s="1" t="s">
        <v>269</v>
      </c>
      <c r="H154" s="1" t="s">
        <v>72</v>
      </c>
      <c r="I154">
        <v>84174</v>
      </c>
      <c r="J154" s="3">
        <v>48.23</v>
      </c>
      <c r="K154" s="3">
        <v>4059712.02</v>
      </c>
    </row>
    <row r="155" spans="1:11" x14ac:dyDescent="0.2">
      <c r="A155" s="1" t="s">
        <v>525</v>
      </c>
      <c r="B155" s="2">
        <v>45462</v>
      </c>
      <c r="C155" s="1" t="s">
        <v>526</v>
      </c>
      <c r="D155" s="1" t="s">
        <v>527</v>
      </c>
      <c r="E155" s="1" t="s">
        <v>34</v>
      </c>
      <c r="F155" s="1" t="s">
        <v>57</v>
      </c>
      <c r="G155" s="1" t="s">
        <v>58</v>
      </c>
      <c r="H155" s="1" t="s">
        <v>48</v>
      </c>
      <c r="I155">
        <v>91135</v>
      </c>
      <c r="J155" s="3">
        <v>49.14</v>
      </c>
      <c r="K155" s="3">
        <v>4478373.9000000004</v>
      </c>
    </row>
    <row r="156" spans="1:11" x14ac:dyDescent="0.2">
      <c r="A156" s="1" t="s">
        <v>528</v>
      </c>
      <c r="B156" s="2">
        <v>45995</v>
      </c>
      <c r="C156" s="1" t="s">
        <v>529</v>
      </c>
      <c r="D156" s="1" t="s">
        <v>530</v>
      </c>
      <c r="E156" s="1" t="s">
        <v>34</v>
      </c>
      <c r="F156" s="1" t="s">
        <v>350</v>
      </c>
      <c r="G156" s="1" t="s">
        <v>351</v>
      </c>
      <c r="H156" s="1" t="s">
        <v>37</v>
      </c>
      <c r="I156">
        <v>46435</v>
      </c>
      <c r="J156" s="3">
        <v>14.15</v>
      </c>
      <c r="K156" s="3">
        <v>657055.25</v>
      </c>
    </row>
    <row r="157" spans="1:11" x14ac:dyDescent="0.2">
      <c r="A157" s="1" t="s">
        <v>531</v>
      </c>
      <c r="B157" s="2">
        <v>45999</v>
      </c>
      <c r="C157" s="1" t="s">
        <v>532</v>
      </c>
      <c r="D157" s="1" t="s">
        <v>533</v>
      </c>
      <c r="E157" s="1" t="s">
        <v>28</v>
      </c>
      <c r="F157" s="1" t="s">
        <v>81</v>
      </c>
      <c r="G157" s="1" t="s">
        <v>82</v>
      </c>
      <c r="H157" s="1" t="s">
        <v>72</v>
      </c>
      <c r="I157">
        <v>85967</v>
      </c>
      <c r="J157" s="3">
        <v>48.29</v>
      </c>
      <c r="K157" s="3">
        <v>4151346.43</v>
      </c>
    </row>
    <row r="158" spans="1:11" x14ac:dyDescent="0.2">
      <c r="A158" s="1" t="s">
        <v>534</v>
      </c>
      <c r="B158" s="2">
        <v>45901</v>
      </c>
      <c r="C158" s="1" t="s">
        <v>535</v>
      </c>
      <c r="D158" s="1" t="s">
        <v>536</v>
      </c>
      <c r="E158" s="1" t="s">
        <v>28</v>
      </c>
      <c r="F158" s="1" t="s">
        <v>157</v>
      </c>
      <c r="G158" s="1" t="s">
        <v>158</v>
      </c>
      <c r="H158" s="1" t="s">
        <v>48</v>
      </c>
      <c r="I158">
        <v>74269</v>
      </c>
      <c r="J158" s="3">
        <v>26.17</v>
      </c>
      <c r="K158" s="3">
        <v>1943619.73</v>
      </c>
    </row>
    <row r="159" spans="1:11" x14ac:dyDescent="0.2">
      <c r="A159" s="1" t="s">
        <v>537</v>
      </c>
      <c r="B159" s="2">
        <v>45981</v>
      </c>
      <c r="C159" s="1" t="s">
        <v>538</v>
      </c>
      <c r="D159" s="1" t="s">
        <v>539</v>
      </c>
      <c r="E159" s="1" t="s">
        <v>21</v>
      </c>
      <c r="F159" s="1" t="s">
        <v>540</v>
      </c>
      <c r="G159" s="1" t="s">
        <v>541</v>
      </c>
      <c r="H159" s="1" t="s">
        <v>37</v>
      </c>
      <c r="I159">
        <v>4934</v>
      </c>
      <c r="J159" s="3">
        <v>10.37</v>
      </c>
      <c r="K159" s="3">
        <v>51165.58</v>
      </c>
    </row>
    <row r="160" spans="1:11" x14ac:dyDescent="0.2">
      <c r="A160" s="1" t="s">
        <v>542</v>
      </c>
      <c r="B160" s="2">
        <v>46000</v>
      </c>
      <c r="C160" s="1" t="s">
        <v>543</v>
      </c>
      <c r="D160" s="1" t="s">
        <v>544</v>
      </c>
      <c r="E160" s="1" t="s">
        <v>28</v>
      </c>
      <c r="F160" s="1" t="s">
        <v>57</v>
      </c>
      <c r="G160" s="1" t="s">
        <v>58</v>
      </c>
      <c r="H160" s="1" t="s">
        <v>48</v>
      </c>
      <c r="I160">
        <v>61328</v>
      </c>
      <c r="J160" s="3">
        <v>18.75</v>
      </c>
      <c r="K160" s="3">
        <v>1149900</v>
      </c>
    </row>
    <row r="161" spans="1:11" x14ac:dyDescent="0.2">
      <c r="A161" s="1" t="s">
        <v>545</v>
      </c>
      <c r="B161" s="2">
        <v>45998</v>
      </c>
      <c r="C161" s="1" t="s">
        <v>546</v>
      </c>
      <c r="D161" s="1" t="s">
        <v>547</v>
      </c>
      <c r="E161" s="1" t="s">
        <v>34</v>
      </c>
      <c r="F161" s="1" t="s">
        <v>184</v>
      </c>
      <c r="G161" s="1" t="s">
        <v>185</v>
      </c>
      <c r="H161" s="1" t="s">
        <v>17</v>
      </c>
      <c r="I161">
        <v>61673</v>
      </c>
      <c r="J161" s="3">
        <v>27.28</v>
      </c>
      <c r="K161" s="3">
        <v>1682439.44</v>
      </c>
    </row>
    <row r="162" spans="1:11" x14ac:dyDescent="0.2">
      <c r="A162" s="1" t="s">
        <v>548</v>
      </c>
      <c r="B162" s="2">
        <v>45365</v>
      </c>
      <c r="C162" s="1" t="s">
        <v>353</v>
      </c>
      <c r="D162" s="1" t="s">
        <v>354</v>
      </c>
      <c r="E162" s="1" t="s">
        <v>14</v>
      </c>
      <c r="F162" s="1" t="s">
        <v>228</v>
      </c>
      <c r="G162" s="1" t="s">
        <v>229</v>
      </c>
      <c r="H162" s="1" t="s">
        <v>48</v>
      </c>
      <c r="I162">
        <v>39732</v>
      </c>
      <c r="J162" s="3">
        <v>28.61</v>
      </c>
      <c r="K162" s="3">
        <v>1136732.52</v>
      </c>
    </row>
    <row r="163" spans="1:11" x14ac:dyDescent="0.2">
      <c r="A163" s="1" t="s">
        <v>549</v>
      </c>
      <c r="B163" s="2">
        <v>45422</v>
      </c>
      <c r="C163" s="1" t="s">
        <v>550</v>
      </c>
      <c r="D163" s="1" t="s">
        <v>551</v>
      </c>
      <c r="E163" s="1" t="s">
        <v>34</v>
      </c>
      <c r="F163" s="1" t="s">
        <v>552</v>
      </c>
      <c r="G163" s="1" t="s">
        <v>553</v>
      </c>
      <c r="H163" s="1" t="s">
        <v>37</v>
      </c>
      <c r="I163">
        <v>28164</v>
      </c>
      <c r="J163" s="3">
        <v>5.0999999999999996</v>
      </c>
      <c r="K163" s="3">
        <v>143636.4</v>
      </c>
    </row>
    <row r="164" spans="1:11" x14ac:dyDescent="0.2">
      <c r="A164" s="1" t="s">
        <v>554</v>
      </c>
      <c r="B164" s="2">
        <v>45873</v>
      </c>
      <c r="C164" s="1" t="s">
        <v>555</v>
      </c>
      <c r="D164" s="1" t="s">
        <v>556</v>
      </c>
      <c r="E164" s="1" t="s">
        <v>21</v>
      </c>
      <c r="F164" s="1" t="s">
        <v>57</v>
      </c>
      <c r="G164" s="1" t="s">
        <v>58</v>
      </c>
      <c r="H164" s="1" t="s">
        <v>48</v>
      </c>
      <c r="I164">
        <v>18087</v>
      </c>
      <c r="J164" s="3">
        <v>24.96</v>
      </c>
      <c r="K164" s="3">
        <v>451451.52</v>
      </c>
    </row>
    <row r="165" spans="1:11" x14ac:dyDescent="0.2">
      <c r="A165" s="1" t="s">
        <v>557</v>
      </c>
      <c r="B165" s="2">
        <v>45491</v>
      </c>
      <c r="C165" s="1" t="s">
        <v>226</v>
      </c>
      <c r="D165" s="1" t="s">
        <v>227</v>
      </c>
      <c r="E165" s="1" t="s">
        <v>34</v>
      </c>
      <c r="F165" s="1" t="s">
        <v>474</v>
      </c>
      <c r="G165" s="1" t="s">
        <v>475</v>
      </c>
      <c r="H165" s="1" t="s">
        <v>48</v>
      </c>
      <c r="I165">
        <v>10816</v>
      </c>
      <c r="J165" s="3">
        <v>48.96</v>
      </c>
      <c r="K165" s="3">
        <v>529551.35999999999</v>
      </c>
    </row>
    <row r="166" spans="1:11" x14ac:dyDescent="0.2">
      <c r="A166" s="1" t="s">
        <v>558</v>
      </c>
      <c r="B166" s="2">
        <v>45701</v>
      </c>
      <c r="C166" s="1" t="s">
        <v>559</v>
      </c>
      <c r="D166" s="1" t="s">
        <v>560</v>
      </c>
      <c r="E166" s="1" t="s">
        <v>14</v>
      </c>
      <c r="F166" s="1" t="s">
        <v>273</v>
      </c>
      <c r="G166" s="1" t="s">
        <v>274</v>
      </c>
      <c r="H166" s="1" t="s">
        <v>24</v>
      </c>
      <c r="I166">
        <v>87492</v>
      </c>
      <c r="J166" s="3">
        <v>39.47</v>
      </c>
      <c r="K166" s="3">
        <v>3453309.24</v>
      </c>
    </row>
    <row r="167" spans="1:11" x14ac:dyDescent="0.2">
      <c r="A167" s="1" t="s">
        <v>561</v>
      </c>
      <c r="B167" s="2">
        <v>45815</v>
      </c>
      <c r="C167" s="1" t="s">
        <v>106</v>
      </c>
      <c r="D167" s="1" t="s">
        <v>107</v>
      </c>
      <c r="E167" s="1" t="s">
        <v>14</v>
      </c>
      <c r="F167" s="1" t="s">
        <v>113</v>
      </c>
      <c r="G167" s="1" t="s">
        <v>114</v>
      </c>
      <c r="H167" s="1" t="s">
        <v>37</v>
      </c>
      <c r="I167">
        <v>17705</v>
      </c>
      <c r="J167" s="3">
        <v>36.43</v>
      </c>
      <c r="K167" s="3">
        <v>644993.15</v>
      </c>
    </row>
    <row r="168" spans="1:11" x14ac:dyDescent="0.2">
      <c r="A168" s="1" t="s">
        <v>562</v>
      </c>
      <c r="B168" s="2">
        <v>45596</v>
      </c>
      <c r="C168" s="1" t="s">
        <v>563</v>
      </c>
      <c r="D168" s="1" t="s">
        <v>564</v>
      </c>
      <c r="E168" s="1" t="s">
        <v>37</v>
      </c>
      <c r="F168" s="1" t="s">
        <v>217</v>
      </c>
      <c r="G168" s="1" t="s">
        <v>218</v>
      </c>
      <c r="H168" s="1" t="s">
        <v>72</v>
      </c>
      <c r="I168">
        <v>13231</v>
      </c>
      <c r="J168" s="3">
        <v>36.79</v>
      </c>
      <c r="K168" s="3">
        <v>486768.49</v>
      </c>
    </row>
    <row r="169" spans="1:11" x14ac:dyDescent="0.2">
      <c r="A169" s="1" t="s">
        <v>565</v>
      </c>
      <c r="B169" s="2">
        <v>45858</v>
      </c>
      <c r="C169" s="1" t="s">
        <v>566</v>
      </c>
      <c r="D169" s="1" t="s">
        <v>567</v>
      </c>
      <c r="E169" s="1" t="s">
        <v>28</v>
      </c>
      <c r="F169" s="1" t="s">
        <v>540</v>
      </c>
      <c r="G169" s="1" t="s">
        <v>541</v>
      </c>
      <c r="H169" s="1" t="s">
        <v>37</v>
      </c>
      <c r="I169">
        <v>99573</v>
      </c>
      <c r="J169" s="3">
        <v>4.37</v>
      </c>
      <c r="K169" s="3">
        <v>435134.01</v>
      </c>
    </row>
    <row r="170" spans="1:11" x14ac:dyDescent="0.2">
      <c r="A170" s="1" t="s">
        <v>568</v>
      </c>
      <c r="B170" s="2">
        <v>45876</v>
      </c>
      <c r="C170" s="1" t="s">
        <v>50</v>
      </c>
      <c r="D170" s="1" t="s">
        <v>51</v>
      </c>
      <c r="E170" s="1" t="s">
        <v>21</v>
      </c>
      <c r="F170" s="1" t="s">
        <v>463</v>
      </c>
      <c r="G170" s="1" t="s">
        <v>464</v>
      </c>
      <c r="H170" s="1" t="s">
        <v>37</v>
      </c>
      <c r="I170">
        <v>39923</v>
      </c>
      <c r="J170" s="3">
        <v>41.67</v>
      </c>
      <c r="K170" s="3">
        <v>1663591.41</v>
      </c>
    </row>
    <row r="171" spans="1:11" x14ac:dyDescent="0.2">
      <c r="A171" s="1" t="s">
        <v>569</v>
      </c>
      <c r="B171" s="2">
        <v>45900</v>
      </c>
      <c r="C171" s="1" t="s">
        <v>570</v>
      </c>
      <c r="D171" s="1" t="s">
        <v>571</v>
      </c>
      <c r="E171" s="1" t="s">
        <v>28</v>
      </c>
      <c r="F171" s="1" t="s">
        <v>284</v>
      </c>
      <c r="G171" s="1" t="s">
        <v>285</v>
      </c>
      <c r="H171" s="1" t="s">
        <v>37</v>
      </c>
      <c r="I171">
        <v>27576</v>
      </c>
      <c r="J171" s="3">
        <v>6.73</v>
      </c>
      <c r="K171" s="3">
        <v>185586.48</v>
      </c>
    </row>
    <row r="172" spans="1:11" x14ac:dyDescent="0.2">
      <c r="A172" s="1" t="s">
        <v>572</v>
      </c>
      <c r="B172" s="2">
        <v>45741</v>
      </c>
      <c r="C172" s="1" t="s">
        <v>573</v>
      </c>
      <c r="D172" s="1" t="s">
        <v>574</v>
      </c>
      <c r="E172" s="1" t="s">
        <v>14</v>
      </c>
      <c r="F172" s="1" t="s">
        <v>474</v>
      </c>
      <c r="G172" s="1" t="s">
        <v>475</v>
      </c>
      <c r="H172" s="1" t="s">
        <v>48</v>
      </c>
      <c r="I172">
        <v>91905</v>
      </c>
      <c r="J172" s="3">
        <v>34.76</v>
      </c>
      <c r="K172" s="3">
        <v>3194617.8</v>
      </c>
    </row>
    <row r="173" spans="1:11" x14ac:dyDescent="0.2">
      <c r="A173" s="1" t="s">
        <v>575</v>
      </c>
      <c r="B173" s="2">
        <v>45653</v>
      </c>
      <c r="C173" s="1" t="s">
        <v>576</v>
      </c>
      <c r="D173" s="1" t="s">
        <v>577</v>
      </c>
      <c r="E173" s="1" t="s">
        <v>14</v>
      </c>
      <c r="F173" s="1" t="s">
        <v>273</v>
      </c>
      <c r="G173" s="1" t="s">
        <v>274</v>
      </c>
      <c r="H173" s="1" t="s">
        <v>24</v>
      </c>
      <c r="I173">
        <v>66122</v>
      </c>
      <c r="J173" s="3">
        <v>19.71</v>
      </c>
      <c r="K173" s="3">
        <v>1303264.6200000001</v>
      </c>
    </row>
    <row r="174" spans="1:11" x14ac:dyDescent="0.2">
      <c r="A174" s="1" t="s">
        <v>578</v>
      </c>
      <c r="B174" s="2">
        <v>45337</v>
      </c>
      <c r="C174" s="1" t="s">
        <v>231</v>
      </c>
      <c r="D174" s="1" t="s">
        <v>232</v>
      </c>
      <c r="E174" s="1" t="s">
        <v>34</v>
      </c>
      <c r="F174" s="1" t="s">
        <v>22</v>
      </c>
      <c r="G174" s="1" t="s">
        <v>23</v>
      </c>
      <c r="H174" s="1" t="s">
        <v>24</v>
      </c>
      <c r="I174">
        <v>73241</v>
      </c>
      <c r="J174" s="3">
        <v>31.34</v>
      </c>
      <c r="K174" s="3">
        <v>2295372.94</v>
      </c>
    </row>
    <row r="175" spans="1:11" x14ac:dyDescent="0.2">
      <c r="A175" s="1" t="s">
        <v>579</v>
      </c>
      <c r="B175" s="2">
        <v>45753</v>
      </c>
      <c r="C175" s="1" t="s">
        <v>580</v>
      </c>
      <c r="D175" s="1" t="s">
        <v>581</v>
      </c>
      <c r="E175" s="1" t="s">
        <v>21</v>
      </c>
      <c r="F175" s="1" t="s">
        <v>139</v>
      </c>
      <c r="G175" s="1" t="s">
        <v>140</v>
      </c>
      <c r="H175" s="1" t="s">
        <v>24</v>
      </c>
      <c r="I175">
        <v>78188</v>
      </c>
      <c r="J175" s="3">
        <v>44</v>
      </c>
      <c r="K175" s="3">
        <v>3440272</v>
      </c>
    </row>
    <row r="176" spans="1:11" x14ac:dyDescent="0.2">
      <c r="A176" s="1" t="s">
        <v>582</v>
      </c>
      <c r="B176" s="2">
        <v>45471</v>
      </c>
      <c r="C176" s="1" t="s">
        <v>583</v>
      </c>
      <c r="D176" s="1" t="s">
        <v>584</v>
      </c>
      <c r="E176" s="1" t="s">
        <v>37</v>
      </c>
      <c r="F176" s="1" t="s">
        <v>103</v>
      </c>
      <c r="G176" s="1" t="s">
        <v>104</v>
      </c>
      <c r="H176" s="1" t="s">
        <v>37</v>
      </c>
      <c r="I176">
        <v>76101</v>
      </c>
      <c r="J176" s="3">
        <v>38.42</v>
      </c>
      <c r="K176" s="3">
        <v>2923800.42</v>
      </c>
    </row>
    <row r="177" spans="1:11" x14ac:dyDescent="0.2">
      <c r="A177" s="1" t="s">
        <v>585</v>
      </c>
      <c r="B177" s="2">
        <v>45307</v>
      </c>
      <c r="C177" s="1" t="s">
        <v>563</v>
      </c>
      <c r="D177" s="1" t="s">
        <v>564</v>
      </c>
      <c r="E177" s="1" t="s">
        <v>37</v>
      </c>
      <c r="F177" s="1" t="s">
        <v>35</v>
      </c>
      <c r="G177" s="1" t="s">
        <v>36</v>
      </c>
      <c r="H177" s="1" t="s">
        <v>37</v>
      </c>
      <c r="I177">
        <v>27674</v>
      </c>
      <c r="J177" s="3">
        <v>20.09</v>
      </c>
      <c r="K177" s="3">
        <v>555970.66</v>
      </c>
    </row>
    <row r="178" spans="1:11" x14ac:dyDescent="0.2">
      <c r="A178" s="1" t="s">
        <v>586</v>
      </c>
      <c r="B178" s="2">
        <v>45957</v>
      </c>
      <c r="C178" s="1" t="s">
        <v>587</v>
      </c>
      <c r="D178" s="1" t="s">
        <v>588</v>
      </c>
      <c r="E178" s="1" t="s">
        <v>21</v>
      </c>
      <c r="F178" s="1" t="s">
        <v>144</v>
      </c>
      <c r="G178" s="1" t="s">
        <v>145</v>
      </c>
      <c r="H178" s="1" t="s">
        <v>24</v>
      </c>
      <c r="I178">
        <v>23429</v>
      </c>
      <c r="J178" s="3">
        <v>3.42</v>
      </c>
      <c r="K178" s="3">
        <v>80127.179999999993</v>
      </c>
    </row>
    <row r="179" spans="1:11" x14ac:dyDescent="0.2">
      <c r="A179" s="1" t="s">
        <v>589</v>
      </c>
      <c r="B179" s="2">
        <v>45474</v>
      </c>
      <c r="C179" s="1" t="s">
        <v>590</v>
      </c>
      <c r="D179" s="1" t="s">
        <v>591</v>
      </c>
      <c r="E179" s="1" t="s">
        <v>37</v>
      </c>
      <c r="F179" s="1" t="s">
        <v>412</v>
      </c>
      <c r="G179" s="1" t="s">
        <v>413</v>
      </c>
      <c r="H179" s="1" t="s">
        <v>72</v>
      </c>
      <c r="I179">
        <v>33089</v>
      </c>
      <c r="J179" s="3">
        <v>2.04</v>
      </c>
      <c r="K179" s="3">
        <v>67501.56</v>
      </c>
    </row>
    <row r="180" spans="1:11" x14ac:dyDescent="0.2">
      <c r="A180" s="1" t="s">
        <v>592</v>
      </c>
      <c r="B180" s="2">
        <v>45762</v>
      </c>
      <c r="C180" s="1" t="s">
        <v>593</v>
      </c>
      <c r="D180" s="1" t="s">
        <v>594</v>
      </c>
      <c r="E180" s="1" t="s">
        <v>37</v>
      </c>
      <c r="F180" s="1" t="s">
        <v>157</v>
      </c>
      <c r="G180" s="1" t="s">
        <v>158</v>
      </c>
      <c r="H180" s="1" t="s">
        <v>48</v>
      </c>
      <c r="I180">
        <v>29673</v>
      </c>
      <c r="J180" s="3">
        <v>12.3</v>
      </c>
      <c r="K180" s="3">
        <v>364977.9</v>
      </c>
    </row>
    <row r="181" spans="1:11" x14ac:dyDescent="0.2">
      <c r="A181" s="1" t="s">
        <v>595</v>
      </c>
      <c r="B181" s="2">
        <v>45389</v>
      </c>
      <c r="C181" s="1" t="s">
        <v>596</v>
      </c>
      <c r="D181" s="1" t="s">
        <v>597</v>
      </c>
      <c r="E181" s="1" t="s">
        <v>37</v>
      </c>
      <c r="F181" s="1" t="s">
        <v>98</v>
      </c>
      <c r="G181" s="1" t="s">
        <v>99</v>
      </c>
      <c r="H181" s="1" t="s">
        <v>72</v>
      </c>
      <c r="I181">
        <v>79695</v>
      </c>
      <c r="J181" s="3">
        <v>49.98</v>
      </c>
      <c r="K181" s="3">
        <v>3983156.1</v>
      </c>
    </row>
    <row r="182" spans="1:11" x14ac:dyDescent="0.2">
      <c r="A182" s="1" t="s">
        <v>598</v>
      </c>
      <c r="B182" s="2">
        <v>45749</v>
      </c>
      <c r="C182" s="1" t="s">
        <v>599</v>
      </c>
      <c r="D182" s="1" t="s">
        <v>600</v>
      </c>
      <c r="E182" s="1" t="s">
        <v>37</v>
      </c>
      <c r="F182" s="1" t="s">
        <v>195</v>
      </c>
      <c r="G182" s="1" t="s">
        <v>196</v>
      </c>
      <c r="H182" s="1" t="s">
        <v>48</v>
      </c>
      <c r="I182">
        <v>4540</v>
      </c>
      <c r="J182" s="3">
        <v>16.21</v>
      </c>
      <c r="K182" s="3">
        <v>73593.399999999994</v>
      </c>
    </row>
    <row r="183" spans="1:11" x14ac:dyDescent="0.2">
      <c r="A183" s="1" t="s">
        <v>601</v>
      </c>
      <c r="B183" s="2">
        <v>45673</v>
      </c>
      <c r="C183" s="1" t="s">
        <v>602</v>
      </c>
      <c r="D183" s="1" t="s">
        <v>603</v>
      </c>
      <c r="E183" s="1" t="s">
        <v>28</v>
      </c>
      <c r="F183" s="1" t="s">
        <v>139</v>
      </c>
      <c r="G183" s="1" t="s">
        <v>140</v>
      </c>
      <c r="H183" s="1" t="s">
        <v>24</v>
      </c>
      <c r="I183">
        <v>77382</v>
      </c>
      <c r="J183" s="3">
        <v>3.82</v>
      </c>
      <c r="K183" s="3">
        <v>295599.24</v>
      </c>
    </row>
    <row r="184" spans="1:11" x14ac:dyDescent="0.2">
      <c r="A184" s="1" t="s">
        <v>604</v>
      </c>
      <c r="B184" s="2">
        <v>45707</v>
      </c>
      <c r="C184" s="1" t="s">
        <v>605</v>
      </c>
      <c r="D184" s="1" t="s">
        <v>606</v>
      </c>
      <c r="E184" s="1" t="s">
        <v>14</v>
      </c>
      <c r="F184" s="1" t="s">
        <v>52</v>
      </c>
      <c r="G184" s="1" t="s">
        <v>53</v>
      </c>
      <c r="H184" s="1" t="s">
        <v>17</v>
      </c>
      <c r="I184">
        <v>42050</v>
      </c>
      <c r="J184" s="3">
        <v>24.45</v>
      </c>
      <c r="K184" s="3">
        <v>1028122.5</v>
      </c>
    </row>
    <row r="185" spans="1:11" x14ac:dyDescent="0.2">
      <c r="A185" s="1" t="s">
        <v>607</v>
      </c>
      <c r="B185" s="2">
        <v>45431</v>
      </c>
      <c r="C185" s="1" t="s">
        <v>608</v>
      </c>
      <c r="D185" s="1" t="s">
        <v>609</v>
      </c>
      <c r="E185" s="1" t="s">
        <v>28</v>
      </c>
      <c r="F185" s="1" t="s">
        <v>176</v>
      </c>
      <c r="G185" s="1" t="s">
        <v>177</v>
      </c>
      <c r="H185" s="1" t="s">
        <v>37</v>
      </c>
      <c r="I185">
        <v>8895</v>
      </c>
      <c r="J185" s="3">
        <v>23.51</v>
      </c>
      <c r="K185" s="3">
        <v>209121.45</v>
      </c>
    </row>
    <row r="186" spans="1:11" x14ac:dyDescent="0.2">
      <c r="A186" s="1" t="s">
        <v>610</v>
      </c>
      <c r="B186" s="2">
        <v>45335</v>
      </c>
      <c r="C186" s="1" t="s">
        <v>587</v>
      </c>
      <c r="D186" s="1" t="s">
        <v>588</v>
      </c>
      <c r="E186" s="1" t="s">
        <v>21</v>
      </c>
      <c r="F186" s="1" t="s">
        <v>113</v>
      </c>
      <c r="G186" s="1" t="s">
        <v>114</v>
      </c>
      <c r="H186" s="1" t="s">
        <v>37</v>
      </c>
      <c r="I186">
        <v>65134</v>
      </c>
      <c r="J186" s="3">
        <v>44.16</v>
      </c>
      <c r="K186" s="3">
        <v>2876317.44</v>
      </c>
    </row>
    <row r="187" spans="1:11" x14ac:dyDescent="0.2">
      <c r="A187" s="1" t="s">
        <v>611</v>
      </c>
      <c r="B187" s="2">
        <v>45809</v>
      </c>
      <c r="C187" s="1" t="s">
        <v>478</v>
      </c>
      <c r="D187" s="1" t="s">
        <v>479</v>
      </c>
      <c r="E187" s="1" t="s">
        <v>34</v>
      </c>
      <c r="F187" s="1" t="s">
        <v>251</v>
      </c>
      <c r="G187" s="1" t="s">
        <v>252</v>
      </c>
      <c r="H187" s="1" t="s">
        <v>72</v>
      </c>
      <c r="I187">
        <v>13054</v>
      </c>
      <c r="J187" s="3">
        <v>6.55</v>
      </c>
      <c r="K187" s="3">
        <v>85503.7</v>
      </c>
    </row>
    <row r="188" spans="1:11" x14ac:dyDescent="0.2">
      <c r="A188" s="1" t="s">
        <v>612</v>
      </c>
      <c r="B188" s="2">
        <v>45863</v>
      </c>
      <c r="C188" s="1" t="s">
        <v>613</v>
      </c>
      <c r="D188" s="1" t="s">
        <v>614</v>
      </c>
      <c r="E188" s="1" t="s">
        <v>34</v>
      </c>
      <c r="F188" s="1" t="s">
        <v>22</v>
      </c>
      <c r="G188" s="1" t="s">
        <v>23</v>
      </c>
      <c r="H188" s="1" t="s">
        <v>24</v>
      </c>
      <c r="I188">
        <v>78775</v>
      </c>
      <c r="J188" s="3">
        <v>18.29</v>
      </c>
      <c r="K188" s="3">
        <v>1440794.75</v>
      </c>
    </row>
    <row r="189" spans="1:11" x14ac:dyDescent="0.2">
      <c r="A189" s="1" t="s">
        <v>615</v>
      </c>
      <c r="B189" s="2">
        <v>45482</v>
      </c>
      <c r="C189" s="1" t="s">
        <v>550</v>
      </c>
      <c r="D189" s="1" t="s">
        <v>551</v>
      </c>
      <c r="E189" s="1" t="s">
        <v>34</v>
      </c>
      <c r="F189" s="1" t="s">
        <v>350</v>
      </c>
      <c r="G189" s="1" t="s">
        <v>351</v>
      </c>
      <c r="H189" s="1" t="s">
        <v>37</v>
      </c>
      <c r="I189">
        <v>72957</v>
      </c>
      <c r="J189" s="3">
        <v>4.38</v>
      </c>
      <c r="K189" s="3">
        <v>319551.65999999997</v>
      </c>
    </row>
    <row r="190" spans="1:11" x14ac:dyDescent="0.2">
      <c r="A190" s="1" t="s">
        <v>616</v>
      </c>
      <c r="B190" s="2">
        <v>45356</v>
      </c>
      <c r="C190" s="1" t="s">
        <v>617</v>
      </c>
      <c r="D190" s="1" t="s">
        <v>618</v>
      </c>
      <c r="E190" s="1" t="s">
        <v>37</v>
      </c>
      <c r="F190" s="1" t="s">
        <v>184</v>
      </c>
      <c r="G190" s="1" t="s">
        <v>185</v>
      </c>
      <c r="H190" s="1" t="s">
        <v>17</v>
      </c>
      <c r="I190">
        <v>18523</v>
      </c>
      <c r="J190" s="3">
        <v>27.66</v>
      </c>
      <c r="K190" s="3">
        <v>512346.18</v>
      </c>
    </row>
    <row r="191" spans="1:11" x14ac:dyDescent="0.2">
      <c r="A191" s="1" t="s">
        <v>619</v>
      </c>
      <c r="B191" s="2">
        <v>45422</v>
      </c>
      <c r="C191" s="1" t="s">
        <v>374</v>
      </c>
      <c r="D191" s="1" t="s">
        <v>375</v>
      </c>
      <c r="E191" s="1" t="s">
        <v>14</v>
      </c>
      <c r="F191" s="1" t="s">
        <v>152</v>
      </c>
      <c r="G191" s="1" t="s">
        <v>153</v>
      </c>
      <c r="H191" s="1" t="s">
        <v>17</v>
      </c>
      <c r="I191">
        <v>74260</v>
      </c>
      <c r="J191" s="3">
        <v>12.15</v>
      </c>
      <c r="K191" s="3">
        <v>902259</v>
      </c>
    </row>
    <row r="192" spans="1:11" x14ac:dyDescent="0.2">
      <c r="A192" s="1" t="s">
        <v>620</v>
      </c>
      <c r="B192" s="2">
        <v>45815</v>
      </c>
      <c r="C192" s="1" t="s">
        <v>617</v>
      </c>
      <c r="D192" s="1" t="s">
        <v>618</v>
      </c>
      <c r="E192" s="1" t="s">
        <v>37</v>
      </c>
      <c r="F192" s="1" t="s">
        <v>263</v>
      </c>
      <c r="G192" s="1" t="s">
        <v>264</v>
      </c>
      <c r="H192" s="1" t="s">
        <v>17</v>
      </c>
      <c r="I192">
        <v>35974</v>
      </c>
      <c r="J192" s="3">
        <v>23.77</v>
      </c>
      <c r="K192" s="3">
        <v>855101.98</v>
      </c>
    </row>
    <row r="193" spans="1:11" x14ac:dyDescent="0.2">
      <c r="A193" s="1" t="s">
        <v>621</v>
      </c>
      <c r="B193" s="2">
        <v>45367</v>
      </c>
      <c r="C193" s="1" t="s">
        <v>90</v>
      </c>
      <c r="D193" s="1" t="s">
        <v>91</v>
      </c>
      <c r="E193" s="1" t="s">
        <v>28</v>
      </c>
      <c r="F193" s="1" t="s">
        <v>65</v>
      </c>
      <c r="G193" s="1" t="s">
        <v>66</v>
      </c>
      <c r="H193" s="1" t="s">
        <v>48</v>
      </c>
      <c r="I193">
        <v>50960</v>
      </c>
      <c r="J193" s="3">
        <v>10.34</v>
      </c>
      <c r="K193" s="3">
        <v>526926.4</v>
      </c>
    </row>
    <row r="194" spans="1:11" x14ac:dyDescent="0.2">
      <c r="A194" s="1" t="s">
        <v>622</v>
      </c>
      <c r="B194" s="2">
        <v>45929</v>
      </c>
      <c r="C194" s="1" t="s">
        <v>271</v>
      </c>
      <c r="D194" s="1" t="s">
        <v>272</v>
      </c>
      <c r="E194" s="1" t="s">
        <v>37</v>
      </c>
      <c r="F194" s="1" t="s">
        <v>268</v>
      </c>
      <c r="G194" s="1" t="s">
        <v>269</v>
      </c>
      <c r="H194" s="1" t="s">
        <v>72</v>
      </c>
      <c r="I194">
        <v>80361</v>
      </c>
      <c r="J194" s="3">
        <v>4.12</v>
      </c>
      <c r="K194" s="3">
        <v>331087.32</v>
      </c>
    </row>
    <row r="195" spans="1:11" x14ac:dyDescent="0.2">
      <c r="A195" s="1" t="s">
        <v>623</v>
      </c>
      <c r="B195" s="2">
        <v>45581</v>
      </c>
      <c r="C195" s="1" t="s">
        <v>211</v>
      </c>
      <c r="D195" s="1" t="s">
        <v>212</v>
      </c>
      <c r="E195" s="1" t="s">
        <v>37</v>
      </c>
      <c r="F195" s="1" t="s">
        <v>324</v>
      </c>
      <c r="G195" s="1" t="s">
        <v>325</v>
      </c>
      <c r="H195" s="1" t="s">
        <v>24</v>
      </c>
      <c r="I195">
        <v>92707</v>
      </c>
      <c r="J195" s="3">
        <v>40.15</v>
      </c>
      <c r="K195" s="3">
        <v>3722186.05</v>
      </c>
    </row>
    <row r="196" spans="1:11" x14ac:dyDescent="0.2">
      <c r="A196" s="1" t="s">
        <v>624</v>
      </c>
      <c r="B196" s="2">
        <v>45599</v>
      </c>
      <c r="C196" s="1" t="s">
        <v>625</v>
      </c>
      <c r="D196" s="1" t="s">
        <v>626</v>
      </c>
      <c r="E196" s="1" t="s">
        <v>34</v>
      </c>
      <c r="F196" s="1" t="s">
        <v>458</v>
      </c>
      <c r="G196" s="1" t="s">
        <v>459</v>
      </c>
      <c r="H196" s="1" t="s">
        <v>72</v>
      </c>
      <c r="I196">
        <v>15936</v>
      </c>
      <c r="J196" s="3">
        <v>28.64</v>
      </c>
      <c r="K196" s="3">
        <v>456407.03999999998</v>
      </c>
    </row>
    <row r="197" spans="1:11" x14ac:dyDescent="0.2">
      <c r="A197" s="1" t="s">
        <v>627</v>
      </c>
      <c r="B197" s="2">
        <v>45897</v>
      </c>
      <c r="C197" s="1" t="s">
        <v>628</v>
      </c>
      <c r="D197" s="1" t="s">
        <v>629</v>
      </c>
      <c r="E197" s="1" t="s">
        <v>14</v>
      </c>
      <c r="F197" s="1" t="s">
        <v>29</v>
      </c>
      <c r="G197" s="1" t="s">
        <v>30</v>
      </c>
      <c r="H197" s="1" t="s">
        <v>24</v>
      </c>
      <c r="I197">
        <v>24043</v>
      </c>
      <c r="J197" s="3">
        <v>3.44</v>
      </c>
      <c r="K197" s="3">
        <v>82707.92</v>
      </c>
    </row>
    <row r="198" spans="1:11" x14ac:dyDescent="0.2">
      <c r="A198" s="1" t="s">
        <v>630</v>
      </c>
      <c r="B198" s="2">
        <v>46006</v>
      </c>
      <c r="C198" s="1" t="s">
        <v>276</v>
      </c>
      <c r="D198" s="1" t="s">
        <v>277</v>
      </c>
      <c r="E198" s="1" t="s">
        <v>34</v>
      </c>
      <c r="F198" s="1" t="s">
        <v>463</v>
      </c>
      <c r="G198" s="1" t="s">
        <v>464</v>
      </c>
      <c r="H198" s="1" t="s">
        <v>37</v>
      </c>
      <c r="I198">
        <v>81228</v>
      </c>
      <c r="J198" s="3">
        <v>17.63</v>
      </c>
      <c r="K198" s="3">
        <v>1432049.64</v>
      </c>
    </row>
    <row r="199" spans="1:11" x14ac:dyDescent="0.2">
      <c r="A199" s="1" t="s">
        <v>631</v>
      </c>
      <c r="B199" s="2">
        <v>45872</v>
      </c>
      <c r="C199" s="1" t="s">
        <v>276</v>
      </c>
      <c r="D199" s="1" t="s">
        <v>277</v>
      </c>
      <c r="E199" s="1" t="s">
        <v>34</v>
      </c>
      <c r="F199" s="1" t="s">
        <v>350</v>
      </c>
      <c r="G199" s="1" t="s">
        <v>351</v>
      </c>
      <c r="H199" s="1" t="s">
        <v>37</v>
      </c>
      <c r="I199">
        <v>5781</v>
      </c>
      <c r="J199" s="3">
        <v>35.840000000000003</v>
      </c>
      <c r="K199" s="3">
        <v>207191.04000000001</v>
      </c>
    </row>
    <row r="200" spans="1:11" x14ac:dyDescent="0.2">
      <c r="A200" s="1" t="s">
        <v>632</v>
      </c>
      <c r="B200" s="2">
        <v>45573</v>
      </c>
      <c r="C200" s="1" t="s">
        <v>633</v>
      </c>
      <c r="D200" s="1" t="s">
        <v>634</v>
      </c>
      <c r="E200" s="1" t="s">
        <v>34</v>
      </c>
      <c r="F200" s="1" t="s">
        <v>251</v>
      </c>
      <c r="G200" s="1" t="s">
        <v>252</v>
      </c>
      <c r="H200" s="1" t="s">
        <v>72</v>
      </c>
      <c r="I200">
        <v>1802</v>
      </c>
      <c r="J200" s="3">
        <v>47.38</v>
      </c>
      <c r="K200" s="3">
        <v>85378.76</v>
      </c>
    </row>
    <row r="201" spans="1:11" x14ac:dyDescent="0.2">
      <c r="A201" s="1" t="s">
        <v>635</v>
      </c>
      <c r="B201" s="2">
        <v>45765</v>
      </c>
      <c r="C201" s="1" t="s">
        <v>636</v>
      </c>
      <c r="D201" s="1" t="s">
        <v>637</v>
      </c>
      <c r="E201" s="1" t="s">
        <v>21</v>
      </c>
      <c r="F201" s="1" t="s">
        <v>324</v>
      </c>
      <c r="G201" s="1" t="s">
        <v>325</v>
      </c>
      <c r="H201" s="1" t="s">
        <v>24</v>
      </c>
      <c r="I201">
        <v>69627</v>
      </c>
      <c r="J201" s="3">
        <v>11.99</v>
      </c>
      <c r="K201" s="3">
        <v>834827.73</v>
      </c>
    </row>
    <row r="202" spans="1:11" x14ac:dyDescent="0.2">
      <c r="A202" s="1" t="s">
        <v>638</v>
      </c>
      <c r="B202" s="2">
        <v>45486</v>
      </c>
      <c r="C202" s="1" t="s">
        <v>639</v>
      </c>
      <c r="D202" s="1" t="s">
        <v>640</v>
      </c>
      <c r="E202" s="1" t="s">
        <v>28</v>
      </c>
      <c r="F202" s="1" t="s">
        <v>217</v>
      </c>
      <c r="G202" s="1" t="s">
        <v>218</v>
      </c>
      <c r="H202" s="1" t="s">
        <v>72</v>
      </c>
      <c r="I202">
        <v>56366</v>
      </c>
      <c r="J202" s="3">
        <v>5.16</v>
      </c>
      <c r="K202" s="3">
        <v>290848.56</v>
      </c>
    </row>
    <row r="203" spans="1:11" x14ac:dyDescent="0.2">
      <c r="A203" s="1" t="s">
        <v>641</v>
      </c>
      <c r="B203" s="2">
        <v>45297</v>
      </c>
      <c r="C203" s="1" t="s">
        <v>404</v>
      </c>
      <c r="D203" s="1" t="s">
        <v>405</v>
      </c>
      <c r="E203" s="1" t="s">
        <v>37</v>
      </c>
      <c r="F203" s="1" t="s">
        <v>350</v>
      </c>
      <c r="G203" s="1" t="s">
        <v>351</v>
      </c>
      <c r="H203" s="1" t="s">
        <v>37</v>
      </c>
      <c r="I203">
        <v>54006</v>
      </c>
      <c r="J203" s="3">
        <v>10</v>
      </c>
      <c r="K203" s="3">
        <v>540060</v>
      </c>
    </row>
    <row r="204" spans="1:11" x14ac:dyDescent="0.2">
      <c r="A204" s="1" t="s">
        <v>642</v>
      </c>
      <c r="B204" s="2">
        <v>45596</v>
      </c>
      <c r="C204" s="1" t="s">
        <v>643</v>
      </c>
      <c r="D204" s="1" t="s">
        <v>644</v>
      </c>
      <c r="E204" s="1" t="s">
        <v>37</v>
      </c>
      <c r="F204" s="1" t="s">
        <v>65</v>
      </c>
      <c r="G204" s="1" t="s">
        <v>66</v>
      </c>
      <c r="H204" s="1" t="s">
        <v>48</v>
      </c>
      <c r="I204">
        <v>48007</v>
      </c>
      <c r="J204" s="3">
        <v>23.68</v>
      </c>
      <c r="K204" s="3">
        <v>1136805.76</v>
      </c>
    </row>
    <row r="205" spans="1:11" x14ac:dyDescent="0.2">
      <c r="A205" s="1" t="s">
        <v>645</v>
      </c>
      <c r="B205" s="2">
        <v>45667</v>
      </c>
      <c r="C205" s="1" t="s">
        <v>163</v>
      </c>
      <c r="D205" s="1" t="s">
        <v>164</v>
      </c>
      <c r="E205" s="1" t="s">
        <v>14</v>
      </c>
      <c r="F205" s="1" t="s">
        <v>52</v>
      </c>
      <c r="G205" s="1" t="s">
        <v>53</v>
      </c>
      <c r="H205" s="1" t="s">
        <v>17</v>
      </c>
      <c r="I205">
        <v>53278</v>
      </c>
      <c r="J205" s="3">
        <v>32.549999999999997</v>
      </c>
      <c r="K205" s="3">
        <v>1734198.9</v>
      </c>
    </row>
    <row r="206" spans="1:11" x14ac:dyDescent="0.2">
      <c r="A206" s="1" t="s">
        <v>646</v>
      </c>
      <c r="B206" s="2">
        <v>45758</v>
      </c>
      <c r="C206" s="1" t="s">
        <v>434</v>
      </c>
      <c r="D206" s="1" t="s">
        <v>435</v>
      </c>
      <c r="E206" s="1" t="s">
        <v>21</v>
      </c>
      <c r="F206" s="1" t="s">
        <v>184</v>
      </c>
      <c r="G206" s="1" t="s">
        <v>185</v>
      </c>
      <c r="H206" s="1" t="s">
        <v>17</v>
      </c>
      <c r="I206">
        <v>16849</v>
      </c>
      <c r="J206" s="3">
        <v>49.62</v>
      </c>
      <c r="K206" s="3">
        <v>836047.38</v>
      </c>
    </row>
    <row r="207" spans="1:11" x14ac:dyDescent="0.2">
      <c r="A207" s="1" t="s">
        <v>647</v>
      </c>
      <c r="B207" s="2">
        <v>45367</v>
      </c>
      <c r="C207" s="1" t="s">
        <v>648</v>
      </c>
      <c r="D207" s="1" t="s">
        <v>649</v>
      </c>
      <c r="E207" s="1" t="s">
        <v>28</v>
      </c>
      <c r="F207" s="1" t="s">
        <v>228</v>
      </c>
      <c r="G207" s="1" t="s">
        <v>229</v>
      </c>
      <c r="H207" s="1" t="s">
        <v>48</v>
      </c>
      <c r="I207">
        <v>91356</v>
      </c>
      <c r="J207" s="3">
        <v>9.85</v>
      </c>
      <c r="K207" s="3">
        <v>899856.6</v>
      </c>
    </row>
    <row r="208" spans="1:11" x14ac:dyDescent="0.2">
      <c r="A208" s="1" t="s">
        <v>650</v>
      </c>
      <c r="B208" s="2">
        <v>45319</v>
      </c>
      <c r="C208" s="1" t="s">
        <v>651</v>
      </c>
      <c r="D208" s="1" t="s">
        <v>652</v>
      </c>
      <c r="E208" s="1" t="s">
        <v>28</v>
      </c>
      <c r="F208" s="1" t="s">
        <v>22</v>
      </c>
      <c r="G208" s="1" t="s">
        <v>23</v>
      </c>
      <c r="H208" s="1" t="s">
        <v>24</v>
      </c>
      <c r="I208">
        <v>36959</v>
      </c>
      <c r="J208" s="3">
        <v>32.49</v>
      </c>
      <c r="K208" s="3">
        <v>1200797.9099999999</v>
      </c>
    </row>
    <row r="209" spans="1:11" x14ac:dyDescent="0.2">
      <c r="A209" s="1" t="s">
        <v>653</v>
      </c>
      <c r="B209" s="2">
        <v>45736</v>
      </c>
      <c r="C209" s="1" t="s">
        <v>654</v>
      </c>
      <c r="D209" s="1" t="s">
        <v>655</v>
      </c>
      <c r="E209" s="1" t="s">
        <v>14</v>
      </c>
      <c r="F209" s="1" t="s">
        <v>458</v>
      </c>
      <c r="G209" s="1" t="s">
        <v>459</v>
      </c>
      <c r="H209" s="1" t="s">
        <v>72</v>
      </c>
      <c r="I209">
        <v>51602</v>
      </c>
      <c r="J209" s="3">
        <v>20.73</v>
      </c>
      <c r="K209" s="3">
        <v>1069709.46</v>
      </c>
    </row>
    <row r="210" spans="1:11" x14ac:dyDescent="0.2">
      <c r="A210" s="1" t="s">
        <v>656</v>
      </c>
      <c r="B210" s="2">
        <v>45960</v>
      </c>
      <c r="C210" s="1" t="s">
        <v>657</v>
      </c>
      <c r="D210" s="1" t="s">
        <v>658</v>
      </c>
      <c r="E210" s="1" t="s">
        <v>37</v>
      </c>
      <c r="F210" s="1" t="s">
        <v>540</v>
      </c>
      <c r="G210" s="1" t="s">
        <v>541</v>
      </c>
      <c r="H210" s="1" t="s">
        <v>37</v>
      </c>
      <c r="I210">
        <v>32528</v>
      </c>
      <c r="J210" s="3">
        <v>13.08</v>
      </c>
      <c r="K210" s="3">
        <v>425466.24</v>
      </c>
    </row>
    <row r="211" spans="1:11" x14ac:dyDescent="0.2">
      <c r="A211" s="1" t="s">
        <v>659</v>
      </c>
      <c r="B211" s="2">
        <v>45449</v>
      </c>
      <c r="C211" s="1" t="s">
        <v>660</v>
      </c>
      <c r="D211" s="1" t="s">
        <v>661</v>
      </c>
      <c r="E211" s="1" t="s">
        <v>34</v>
      </c>
      <c r="F211" s="1" t="s">
        <v>540</v>
      </c>
      <c r="G211" s="1" t="s">
        <v>541</v>
      </c>
      <c r="H211" s="1" t="s">
        <v>37</v>
      </c>
      <c r="I211">
        <v>5507</v>
      </c>
      <c r="J211" s="3">
        <v>10.210000000000001</v>
      </c>
      <c r="K211" s="3">
        <v>56226.47</v>
      </c>
    </row>
    <row r="212" spans="1:11" x14ac:dyDescent="0.2">
      <c r="A212" s="1" t="s">
        <v>662</v>
      </c>
      <c r="B212" s="2">
        <v>45752</v>
      </c>
      <c r="C212" s="1" t="s">
        <v>179</v>
      </c>
      <c r="D212" s="1" t="s">
        <v>180</v>
      </c>
      <c r="E212" s="1" t="s">
        <v>37</v>
      </c>
      <c r="F212" s="1" t="s">
        <v>35</v>
      </c>
      <c r="G212" s="1" t="s">
        <v>36</v>
      </c>
      <c r="H212" s="1" t="s">
        <v>37</v>
      </c>
      <c r="I212">
        <v>51579</v>
      </c>
      <c r="J212" s="3">
        <v>23.37</v>
      </c>
      <c r="K212" s="3">
        <v>1205401.23</v>
      </c>
    </row>
    <row r="213" spans="1:11" x14ac:dyDescent="0.2">
      <c r="A213" s="1" t="s">
        <v>663</v>
      </c>
      <c r="B213" s="2">
        <v>45973</v>
      </c>
      <c r="C213" s="1" t="s">
        <v>664</v>
      </c>
      <c r="D213" s="1" t="s">
        <v>665</v>
      </c>
      <c r="E213" s="1" t="s">
        <v>21</v>
      </c>
      <c r="F213" s="1" t="s">
        <v>237</v>
      </c>
      <c r="G213" s="1" t="s">
        <v>238</v>
      </c>
      <c r="H213" s="1" t="s">
        <v>17</v>
      </c>
      <c r="I213">
        <v>71965</v>
      </c>
      <c r="J213" s="3">
        <v>9.25</v>
      </c>
      <c r="K213" s="3">
        <v>665676.25</v>
      </c>
    </row>
    <row r="214" spans="1:11" x14ac:dyDescent="0.2">
      <c r="A214" s="1" t="s">
        <v>666</v>
      </c>
      <c r="B214" s="2">
        <v>45633</v>
      </c>
      <c r="C214" s="1" t="s">
        <v>526</v>
      </c>
      <c r="D214" s="1" t="s">
        <v>527</v>
      </c>
      <c r="E214" s="1" t="s">
        <v>34</v>
      </c>
      <c r="F214" s="1" t="s">
        <v>203</v>
      </c>
      <c r="G214" s="1" t="s">
        <v>204</v>
      </c>
      <c r="H214" s="1" t="s">
        <v>72</v>
      </c>
      <c r="I214">
        <v>80659</v>
      </c>
      <c r="J214" s="3">
        <v>5.27</v>
      </c>
      <c r="K214" s="3">
        <v>425072.93</v>
      </c>
    </row>
    <row r="215" spans="1:11" x14ac:dyDescent="0.2">
      <c r="A215" s="1" t="s">
        <v>667</v>
      </c>
      <c r="B215" s="2">
        <v>45421</v>
      </c>
      <c r="C215" s="1" t="s">
        <v>469</v>
      </c>
      <c r="D215" s="1" t="s">
        <v>470</v>
      </c>
      <c r="E215" s="1" t="s">
        <v>21</v>
      </c>
      <c r="F215" s="1" t="s">
        <v>251</v>
      </c>
      <c r="G215" s="1" t="s">
        <v>252</v>
      </c>
      <c r="H215" s="1" t="s">
        <v>72</v>
      </c>
      <c r="I215">
        <v>63265</v>
      </c>
      <c r="J215" s="3">
        <v>36.56</v>
      </c>
      <c r="K215" s="3">
        <v>2312968.4</v>
      </c>
    </row>
    <row r="216" spans="1:11" x14ac:dyDescent="0.2">
      <c r="A216" s="1" t="s">
        <v>668</v>
      </c>
      <c r="B216" s="2">
        <v>45607</v>
      </c>
      <c r="C216" s="1" t="s">
        <v>669</v>
      </c>
      <c r="D216" s="1" t="s">
        <v>670</v>
      </c>
      <c r="E216" s="1" t="s">
        <v>34</v>
      </c>
      <c r="F216" s="1" t="s">
        <v>65</v>
      </c>
      <c r="G216" s="1" t="s">
        <v>66</v>
      </c>
      <c r="H216" s="1" t="s">
        <v>48</v>
      </c>
      <c r="I216">
        <v>75975</v>
      </c>
      <c r="J216" s="3">
        <v>30.33</v>
      </c>
      <c r="K216" s="3">
        <v>2304321.75</v>
      </c>
    </row>
    <row r="217" spans="1:11" x14ac:dyDescent="0.2">
      <c r="A217" s="1" t="s">
        <v>671</v>
      </c>
      <c r="B217" s="2">
        <v>45516</v>
      </c>
      <c r="C217" s="1" t="s">
        <v>672</v>
      </c>
      <c r="D217" s="1" t="s">
        <v>673</v>
      </c>
      <c r="E217" s="1" t="s">
        <v>21</v>
      </c>
      <c r="F217" s="1" t="s">
        <v>108</v>
      </c>
      <c r="G217" s="1" t="s">
        <v>109</v>
      </c>
      <c r="H217" s="1" t="s">
        <v>37</v>
      </c>
      <c r="I217">
        <v>61317</v>
      </c>
      <c r="J217" s="3">
        <v>14.93</v>
      </c>
      <c r="K217" s="3">
        <v>915462.81</v>
      </c>
    </row>
    <row r="218" spans="1:11" x14ac:dyDescent="0.2">
      <c r="A218" s="1" t="s">
        <v>674</v>
      </c>
      <c r="B218" s="2">
        <v>45943</v>
      </c>
      <c r="C218" s="1" t="s">
        <v>605</v>
      </c>
      <c r="D218" s="1" t="s">
        <v>606</v>
      </c>
      <c r="E218" s="1" t="s">
        <v>14</v>
      </c>
      <c r="F218" s="1" t="s">
        <v>463</v>
      </c>
      <c r="G218" s="1" t="s">
        <v>464</v>
      </c>
      <c r="H218" s="1" t="s">
        <v>37</v>
      </c>
      <c r="I218">
        <v>98089</v>
      </c>
      <c r="J218" s="3">
        <v>23.04</v>
      </c>
      <c r="K218" s="3">
        <v>2259970.56</v>
      </c>
    </row>
    <row r="219" spans="1:11" x14ac:dyDescent="0.2">
      <c r="A219" s="1" t="s">
        <v>675</v>
      </c>
      <c r="B219" s="2">
        <v>45332</v>
      </c>
      <c r="C219" s="1" t="s">
        <v>478</v>
      </c>
      <c r="D219" s="1" t="s">
        <v>479</v>
      </c>
      <c r="E219" s="1" t="s">
        <v>34</v>
      </c>
      <c r="F219" s="1" t="s">
        <v>339</v>
      </c>
      <c r="G219" s="1" t="s">
        <v>340</v>
      </c>
      <c r="H219" s="1" t="s">
        <v>24</v>
      </c>
      <c r="I219">
        <v>9720</v>
      </c>
      <c r="J219" s="3">
        <v>31.74</v>
      </c>
      <c r="K219" s="3">
        <v>308512.8</v>
      </c>
    </row>
    <row r="220" spans="1:11" x14ac:dyDescent="0.2">
      <c r="A220" s="1" t="s">
        <v>676</v>
      </c>
      <c r="B220" s="2">
        <v>45610</v>
      </c>
      <c r="C220" s="1" t="s">
        <v>538</v>
      </c>
      <c r="D220" s="1" t="s">
        <v>539</v>
      </c>
      <c r="E220" s="1" t="s">
        <v>21</v>
      </c>
      <c r="F220" s="1" t="s">
        <v>228</v>
      </c>
      <c r="G220" s="1" t="s">
        <v>229</v>
      </c>
      <c r="H220" s="1" t="s">
        <v>48</v>
      </c>
      <c r="I220">
        <v>14091</v>
      </c>
      <c r="J220" s="3">
        <v>42.23</v>
      </c>
      <c r="K220" s="3">
        <v>595062.93000000005</v>
      </c>
    </row>
    <row r="221" spans="1:11" x14ac:dyDescent="0.2">
      <c r="A221" s="1" t="s">
        <v>677</v>
      </c>
      <c r="B221" s="2">
        <v>45861</v>
      </c>
      <c r="C221" s="1" t="s">
        <v>678</v>
      </c>
      <c r="D221" s="1" t="s">
        <v>679</v>
      </c>
      <c r="E221" s="1" t="s">
        <v>28</v>
      </c>
      <c r="F221" s="1" t="s">
        <v>176</v>
      </c>
      <c r="G221" s="1" t="s">
        <v>177</v>
      </c>
      <c r="H221" s="1" t="s">
        <v>37</v>
      </c>
      <c r="I221">
        <v>32137</v>
      </c>
      <c r="J221" s="3">
        <v>11.77</v>
      </c>
      <c r="K221" s="3">
        <v>378252.49</v>
      </c>
    </row>
    <row r="222" spans="1:11" x14ac:dyDescent="0.2">
      <c r="A222" s="1" t="s">
        <v>680</v>
      </c>
      <c r="B222" s="2">
        <v>45908</v>
      </c>
      <c r="C222" s="1" t="s">
        <v>681</v>
      </c>
      <c r="D222" s="1" t="s">
        <v>682</v>
      </c>
      <c r="E222" s="1" t="s">
        <v>28</v>
      </c>
      <c r="F222" s="1" t="s">
        <v>263</v>
      </c>
      <c r="G222" s="1" t="s">
        <v>264</v>
      </c>
      <c r="H222" s="1" t="s">
        <v>17</v>
      </c>
      <c r="I222">
        <v>67319</v>
      </c>
      <c r="J222" s="3">
        <v>27.2</v>
      </c>
      <c r="K222" s="3">
        <v>1831076.8</v>
      </c>
    </row>
    <row r="223" spans="1:11" x14ac:dyDescent="0.2">
      <c r="A223" s="1" t="s">
        <v>683</v>
      </c>
      <c r="B223" s="2">
        <v>45779</v>
      </c>
      <c r="C223" s="1" t="s">
        <v>684</v>
      </c>
      <c r="D223" s="1" t="s">
        <v>685</v>
      </c>
      <c r="E223" s="1" t="s">
        <v>37</v>
      </c>
      <c r="F223" s="1" t="s">
        <v>41</v>
      </c>
      <c r="G223" s="1" t="s">
        <v>42</v>
      </c>
      <c r="H223" s="1" t="s">
        <v>24</v>
      </c>
      <c r="I223">
        <v>93891</v>
      </c>
      <c r="J223" s="3">
        <v>44.42</v>
      </c>
      <c r="K223" s="3">
        <v>4170638.22</v>
      </c>
    </row>
    <row r="224" spans="1:11" x14ac:dyDescent="0.2">
      <c r="A224" s="1" t="s">
        <v>686</v>
      </c>
      <c r="B224" s="2">
        <v>45686</v>
      </c>
      <c r="C224" s="1" t="s">
        <v>359</v>
      </c>
      <c r="D224" s="1" t="s">
        <v>360</v>
      </c>
      <c r="E224" s="1" t="s">
        <v>34</v>
      </c>
      <c r="F224" s="1" t="s">
        <v>176</v>
      </c>
      <c r="G224" s="1" t="s">
        <v>177</v>
      </c>
      <c r="H224" s="1" t="s">
        <v>37</v>
      </c>
      <c r="I224">
        <v>83805</v>
      </c>
      <c r="J224" s="3">
        <v>7.58</v>
      </c>
      <c r="K224" s="3">
        <v>635241.9</v>
      </c>
    </row>
    <row r="225" spans="1:11" x14ac:dyDescent="0.2">
      <c r="A225" s="1" t="s">
        <v>687</v>
      </c>
      <c r="B225" s="2">
        <v>45443</v>
      </c>
      <c r="C225" s="1" t="s">
        <v>688</v>
      </c>
      <c r="D225" s="1" t="s">
        <v>689</v>
      </c>
      <c r="E225" s="1" t="s">
        <v>37</v>
      </c>
      <c r="F225" s="1" t="s">
        <v>139</v>
      </c>
      <c r="G225" s="1" t="s">
        <v>140</v>
      </c>
      <c r="H225" s="1" t="s">
        <v>24</v>
      </c>
      <c r="I225">
        <v>78744</v>
      </c>
      <c r="J225" s="3">
        <v>31.79</v>
      </c>
      <c r="K225" s="3">
        <v>2503271.7599999998</v>
      </c>
    </row>
    <row r="226" spans="1:11" x14ac:dyDescent="0.2">
      <c r="A226" s="1" t="s">
        <v>690</v>
      </c>
      <c r="B226" s="2">
        <v>45706</v>
      </c>
      <c r="C226" s="1" t="s">
        <v>566</v>
      </c>
      <c r="D226" s="1" t="s">
        <v>567</v>
      </c>
      <c r="E226" s="1" t="s">
        <v>28</v>
      </c>
      <c r="F226" s="1" t="s">
        <v>268</v>
      </c>
      <c r="G226" s="1" t="s">
        <v>269</v>
      </c>
      <c r="H226" s="1" t="s">
        <v>72</v>
      </c>
      <c r="I226">
        <v>91871</v>
      </c>
      <c r="J226" s="3">
        <v>12.43</v>
      </c>
      <c r="K226" s="3">
        <v>1141956.53</v>
      </c>
    </row>
    <row r="227" spans="1:11" x14ac:dyDescent="0.2">
      <c r="A227" s="1" t="s">
        <v>691</v>
      </c>
      <c r="B227" s="2">
        <v>45641</v>
      </c>
      <c r="C227" s="1" t="s">
        <v>692</v>
      </c>
      <c r="D227" s="1" t="s">
        <v>693</v>
      </c>
      <c r="E227" s="1" t="s">
        <v>28</v>
      </c>
      <c r="F227" s="1" t="s">
        <v>273</v>
      </c>
      <c r="G227" s="1" t="s">
        <v>274</v>
      </c>
      <c r="H227" s="1" t="s">
        <v>24</v>
      </c>
      <c r="I227">
        <v>84512</v>
      </c>
      <c r="J227" s="3">
        <v>29.74</v>
      </c>
      <c r="K227" s="3">
        <v>2513386.88</v>
      </c>
    </row>
    <row r="228" spans="1:11" x14ac:dyDescent="0.2">
      <c r="A228" s="1" t="s">
        <v>694</v>
      </c>
      <c r="B228" s="2">
        <v>45658</v>
      </c>
      <c r="C228" s="1" t="s">
        <v>695</v>
      </c>
      <c r="D228" s="1" t="s">
        <v>696</v>
      </c>
      <c r="E228" s="1" t="s">
        <v>14</v>
      </c>
      <c r="F228" s="1" t="s">
        <v>81</v>
      </c>
      <c r="G228" s="1" t="s">
        <v>82</v>
      </c>
      <c r="H228" s="1" t="s">
        <v>72</v>
      </c>
      <c r="I228">
        <v>4698</v>
      </c>
      <c r="J228" s="3">
        <v>26.93</v>
      </c>
      <c r="K228" s="3">
        <v>126517.14</v>
      </c>
    </row>
    <row r="229" spans="1:11" x14ac:dyDescent="0.2">
      <c r="A229" s="1" t="s">
        <v>697</v>
      </c>
      <c r="B229" s="2">
        <v>45753</v>
      </c>
      <c r="C229" s="1" t="s">
        <v>698</v>
      </c>
      <c r="D229" s="1" t="s">
        <v>699</v>
      </c>
      <c r="E229" s="1" t="s">
        <v>28</v>
      </c>
      <c r="F229" s="1" t="s">
        <v>203</v>
      </c>
      <c r="G229" s="1" t="s">
        <v>204</v>
      </c>
      <c r="H229" s="1" t="s">
        <v>72</v>
      </c>
      <c r="I229">
        <v>82344</v>
      </c>
      <c r="J229" s="3">
        <v>14.75</v>
      </c>
      <c r="K229" s="3">
        <v>1214574</v>
      </c>
    </row>
    <row r="230" spans="1:11" x14ac:dyDescent="0.2">
      <c r="A230" s="1" t="s">
        <v>700</v>
      </c>
      <c r="B230" s="2">
        <v>46016</v>
      </c>
      <c r="C230" s="1" t="s">
        <v>19</v>
      </c>
      <c r="D230" s="1" t="s">
        <v>20</v>
      </c>
      <c r="E230" s="1" t="s">
        <v>21</v>
      </c>
      <c r="F230" s="1" t="s">
        <v>70</v>
      </c>
      <c r="G230" s="1" t="s">
        <v>71</v>
      </c>
      <c r="H230" s="1" t="s">
        <v>72</v>
      </c>
      <c r="I230">
        <v>5099</v>
      </c>
      <c r="J230" s="3">
        <v>4.78</v>
      </c>
      <c r="K230" s="3">
        <v>24373.22</v>
      </c>
    </row>
    <row r="231" spans="1:11" x14ac:dyDescent="0.2">
      <c r="A231" s="1" t="s">
        <v>701</v>
      </c>
      <c r="B231" s="2">
        <v>45630</v>
      </c>
      <c r="C231" s="1" t="s">
        <v>702</v>
      </c>
      <c r="D231" s="1" t="s">
        <v>703</v>
      </c>
      <c r="E231" s="1" t="s">
        <v>34</v>
      </c>
      <c r="F231" s="1" t="s">
        <v>540</v>
      </c>
      <c r="G231" s="1" t="s">
        <v>541</v>
      </c>
      <c r="H231" s="1" t="s">
        <v>37</v>
      </c>
      <c r="I231">
        <v>52672</v>
      </c>
      <c r="J231" s="3">
        <v>28.41</v>
      </c>
      <c r="K231" s="3">
        <v>1496411.52</v>
      </c>
    </row>
    <row r="232" spans="1:11" x14ac:dyDescent="0.2">
      <c r="A232" s="1" t="s">
        <v>704</v>
      </c>
      <c r="B232" s="2">
        <v>45501</v>
      </c>
      <c r="C232" s="1" t="s">
        <v>705</v>
      </c>
      <c r="D232" s="1" t="s">
        <v>706</v>
      </c>
      <c r="E232" s="1" t="s">
        <v>28</v>
      </c>
      <c r="F232" s="1" t="s">
        <v>98</v>
      </c>
      <c r="G232" s="1" t="s">
        <v>99</v>
      </c>
      <c r="H232" s="1" t="s">
        <v>72</v>
      </c>
      <c r="I232">
        <v>66606</v>
      </c>
      <c r="J232" s="3">
        <v>39.44</v>
      </c>
      <c r="K232" s="3">
        <v>2626940.64</v>
      </c>
    </row>
    <row r="233" spans="1:11" x14ac:dyDescent="0.2">
      <c r="A233" s="1" t="s">
        <v>707</v>
      </c>
      <c r="B233" s="2">
        <v>45402</v>
      </c>
      <c r="C233" s="1" t="s">
        <v>535</v>
      </c>
      <c r="D233" s="1" t="s">
        <v>536</v>
      </c>
      <c r="E233" s="1" t="s">
        <v>28</v>
      </c>
      <c r="F233" s="1" t="s">
        <v>552</v>
      </c>
      <c r="G233" s="1" t="s">
        <v>553</v>
      </c>
      <c r="H233" s="1" t="s">
        <v>37</v>
      </c>
      <c r="I233">
        <v>32370</v>
      </c>
      <c r="J233" s="3">
        <v>25.35</v>
      </c>
      <c r="K233" s="3">
        <v>820579.5</v>
      </c>
    </row>
    <row r="234" spans="1:11" x14ac:dyDescent="0.2">
      <c r="A234" s="1" t="s">
        <v>708</v>
      </c>
      <c r="B234" s="2">
        <v>45584</v>
      </c>
      <c r="C234" s="1" t="s">
        <v>599</v>
      </c>
      <c r="D234" s="1" t="s">
        <v>600</v>
      </c>
      <c r="E234" s="1" t="s">
        <v>37</v>
      </c>
      <c r="F234" s="1" t="s">
        <v>268</v>
      </c>
      <c r="G234" s="1" t="s">
        <v>269</v>
      </c>
      <c r="H234" s="1" t="s">
        <v>72</v>
      </c>
      <c r="I234">
        <v>90404</v>
      </c>
      <c r="J234" s="3">
        <v>21.56</v>
      </c>
      <c r="K234" s="3">
        <v>1949110.24</v>
      </c>
    </row>
    <row r="235" spans="1:11" x14ac:dyDescent="0.2">
      <c r="A235" s="1" t="s">
        <v>709</v>
      </c>
      <c r="B235" s="2">
        <v>45885</v>
      </c>
      <c r="C235" s="1" t="s">
        <v>710</v>
      </c>
      <c r="D235" s="1" t="s">
        <v>711</v>
      </c>
      <c r="E235" s="1" t="s">
        <v>21</v>
      </c>
      <c r="F235" s="1" t="s">
        <v>350</v>
      </c>
      <c r="G235" s="1" t="s">
        <v>351</v>
      </c>
      <c r="H235" s="1" t="s">
        <v>37</v>
      </c>
      <c r="I235">
        <v>6470</v>
      </c>
      <c r="J235" s="3">
        <v>24.97</v>
      </c>
      <c r="K235" s="3">
        <v>161555.9</v>
      </c>
    </row>
    <row r="236" spans="1:11" x14ac:dyDescent="0.2">
      <c r="A236" s="1" t="s">
        <v>712</v>
      </c>
      <c r="B236" s="2">
        <v>45663</v>
      </c>
      <c r="C236" s="1" t="s">
        <v>713</v>
      </c>
      <c r="D236" s="1" t="s">
        <v>714</v>
      </c>
      <c r="E236" s="1" t="s">
        <v>34</v>
      </c>
      <c r="F236" s="1" t="s">
        <v>552</v>
      </c>
      <c r="G236" s="1" t="s">
        <v>553</v>
      </c>
      <c r="H236" s="1" t="s">
        <v>37</v>
      </c>
      <c r="I236">
        <v>10749</v>
      </c>
      <c r="J236" s="3">
        <v>45.33</v>
      </c>
      <c r="K236" s="3">
        <v>487252.17</v>
      </c>
    </row>
    <row r="237" spans="1:11" x14ac:dyDescent="0.2">
      <c r="A237" s="1" t="s">
        <v>715</v>
      </c>
      <c r="B237" s="2">
        <v>45935</v>
      </c>
      <c r="C237" s="1" t="s">
        <v>716</v>
      </c>
      <c r="D237" s="1" t="s">
        <v>717</v>
      </c>
      <c r="E237" s="1" t="s">
        <v>34</v>
      </c>
      <c r="F237" s="1" t="s">
        <v>458</v>
      </c>
      <c r="G237" s="1" t="s">
        <v>459</v>
      </c>
      <c r="H237" s="1" t="s">
        <v>72</v>
      </c>
      <c r="I237">
        <v>75757</v>
      </c>
      <c r="J237" s="3">
        <v>12.29</v>
      </c>
      <c r="K237" s="3">
        <v>931053.53</v>
      </c>
    </row>
    <row r="238" spans="1:11" x14ac:dyDescent="0.2">
      <c r="A238" s="1" t="s">
        <v>718</v>
      </c>
      <c r="B238" s="2">
        <v>45312</v>
      </c>
      <c r="C238" s="1" t="s">
        <v>719</v>
      </c>
      <c r="D238" s="1" t="s">
        <v>720</v>
      </c>
      <c r="E238" s="1" t="s">
        <v>37</v>
      </c>
      <c r="F238" s="1" t="s">
        <v>189</v>
      </c>
      <c r="G238" s="1" t="s">
        <v>190</v>
      </c>
      <c r="H238" s="1" t="s">
        <v>17</v>
      </c>
      <c r="I238">
        <v>79590</v>
      </c>
      <c r="J238" s="3">
        <v>10.130000000000001</v>
      </c>
      <c r="K238" s="3">
        <v>806246.7</v>
      </c>
    </row>
    <row r="239" spans="1:11" x14ac:dyDescent="0.2">
      <c r="A239" s="1" t="s">
        <v>721</v>
      </c>
      <c r="B239" s="2">
        <v>45994</v>
      </c>
      <c r="C239" s="1" t="s">
        <v>722</v>
      </c>
      <c r="D239" s="1" t="s">
        <v>723</v>
      </c>
      <c r="E239" s="1" t="s">
        <v>21</v>
      </c>
      <c r="F239" s="1" t="s">
        <v>52</v>
      </c>
      <c r="G239" s="1" t="s">
        <v>53</v>
      </c>
      <c r="H239" s="1" t="s">
        <v>17</v>
      </c>
      <c r="I239">
        <v>73847</v>
      </c>
      <c r="J239" s="3">
        <v>42.09</v>
      </c>
      <c r="K239" s="3">
        <v>3108220.23</v>
      </c>
    </row>
    <row r="240" spans="1:11" x14ac:dyDescent="0.2">
      <c r="A240" s="1" t="s">
        <v>724</v>
      </c>
      <c r="B240" s="2">
        <v>45323</v>
      </c>
      <c r="C240" s="1" t="s">
        <v>415</v>
      </c>
      <c r="D240" s="1" t="s">
        <v>416</v>
      </c>
      <c r="E240" s="1" t="s">
        <v>14</v>
      </c>
      <c r="F240" s="1" t="s">
        <v>458</v>
      </c>
      <c r="G240" s="1" t="s">
        <v>459</v>
      </c>
      <c r="H240" s="1" t="s">
        <v>72</v>
      </c>
      <c r="I240">
        <v>3391</v>
      </c>
      <c r="J240" s="3">
        <v>39.17</v>
      </c>
      <c r="K240" s="3">
        <v>132825.47</v>
      </c>
    </row>
    <row r="241" spans="1:11" x14ac:dyDescent="0.2">
      <c r="A241" s="1" t="s">
        <v>725</v>
      </c>
      <c r="B241" s="2">
        <v>45629</v>
      </c>
      <c r="C241" s="1" t="s">
        <v>226</v>
      </c>
      <c r="D241" s="1" t="s">
        <v>227</v>
      </c>
      <c r="E241" s="1" t="s">
        <v>34</v>
      </c>
      <c r="F241" s="1" t="s">
        <v>46</v>
      </c>
      <c r="G241" s="1" t="s">
        <v>47</v>
      </c>
      <c r="H241" s="1" t="s">
        <v>48</v>
      </c>
      <c r="I241">
        <v>47946</v>
      </c>
      <c r="J241" s="3">
        <v>14.1</v>
      </c>
      <c r="K241" s="3">
        <v>676038.6</v>
      </c>
    </row>
    <row r="242" spans="1:11" x14ac:dyDescent="0.2">
      <c r="A242" s="1" t="s">
        <v>726</v>
      </c>
      <c r="B242" s="2">
        <v>45556</v>
      </c>
      <c r="C242" s="1" t="s">
        <v>727</v>
      </c>
      <c r="D242" s="1" t="s">
        <v>728</v>
      </c>
      <c r="E242" s="1" t="s">
        <v>37</v>
      </c>
      <c r="F242" s="1" t="s">
        <v>57</v>
      </c>
      <c r="G242" s="1" t="s">
        <v>58</v>
      </c>
      <c r="H242" s="1" t="s">
        <v>48</v>
      </c>
      <c r="I242">
        <v>65820</v>
      </c>
      <c r="J242" s="3">
        <v>33.25</v>
      </c>
      <c r="K242" s="3">
        <v>2188515</v>
      </c>
    </row>
    <row r="243" spans="1:11" x14ac:dyDescent="0.2">
      <c r="A243" s="1" t="s">
        <v>729</v>
      </c>
      <c r="B243" s="2">
        <v>45846</v>
      </c>
      <c r="C243" s="1" t="s">
        <v>730</v>
      </c>
      <c r="D243" s="1" t="s">
        <v>731</v>
      </c>
      <c r="E243" s="1" t="s">
        <v>14</v>
      </c>
      <c r="F243" s="1" t="s">
        <v>52</v>
      </c>
      <c r="G243" s="1" t="s">
        <v>53</v>
      </c>
      <c r="H243" s="1" t="s">
        <v>17</v>
      </c>
      <c r="I243">
        <v>10727</v>
      </c>
      <c r="J243" s="3">
        <v>25.39</v>
      </c>
      <c r="K243" s="3">
        <v>272358.53000000003</v>
      </c>
    </row>
    <row r="244" spans="1:11" x14ac:dyDescent="0.2">
      <c r="A244" s="1" t="s">
        <v>732</v>
      </c>
      <c r="B244" s="2">
        <v>45639</v>
      </c>
      <c r="C244" s="1" t="s">
        <v>243</v>
      </c>
      <c r="D244" s="1" t="s">
        <v>244</v>
      </c>
      <c r="E244" s="1" t="s">
        <v>21</v>
      </c>
      <c r="F244" s="1" t="s">
        <v>65</v>
      </c>
      <c r="G244" s="1" t="s">
        <v>66</v>
      </c>
      <c r="H244" s="1" t="s">
        <v>48</v>
      </c>
      <c r="I244">
        <v>64111</v>
      </c>
      <c r="J244" s="3">
        <v>25.32</v>
      </c>
      <c r="K244" s="3">
        <v>1623290.52</v>
      </c>
    </row>
    <row r="245" spans="1:11" x14ac:dyDescent="0.2">
      <c r="A245" s="1" t="s">
        <v>733</v>
      </c>
      <c r="B245" s="2">
        <v>45713</v>
      </c>
      <c r="C245" s="1" t="s">
        <v>734</v>
      </c>
      <c r="D245" s="1" t="s">
        <v>735</v>
      </c>
      <c r="E245" s="1" t="s">
        <v>28</v>
      </c>
      <c r="F245" s="1" t="s">
        <v>510</v>
      </c>
      <c r="G245" s="1" t="s">
        <v>511</v>
      </c>
      <c r="H245" s="1" t="s">
        <v>17</v>
      </c>
      <c r="I245">
        <v>92602</v>
      </c>
      <c r="J245" s="3">
        <v>38.979999999999997</v>
      </c>
      <c r="K245" s="3">
        <v>3609625.96</v>
      </c>
    </row>
    <row r="246" spans="1:11" x14ac:dyDescent="0.2">
      <c r="A246" s="1" t="s">
        <v>736</v>
      </c>
      <c r="B246" s="2">
        <v>45364</v>
      </c>
      <c r="C246" s="1" t="s">
        <v>737</v>
      </c>
      <c r="D246" s="1" t="s">
        <v>738</v>
      </c>
      <c r="E246" s="1" t="s">
        <v>37</v>
      </c>
      <c r="F246" s="1" t="s">
        <v>22</v>
      </c>
      <c r="G246" s="1" t="s">
        <v>23</v>
      </c>
      <c r="H246" s="1" t="s">
        <v>24</v>
      </c>
      <c r="I246">
        <v>79522</v>
      </c>
      <c r="J246" s="3">
        <v>24.59</v>
      </c>
      <c r="K246" s="3">
        <v>1955445.98</v>
      </c>
    </row>
    <row r="247" spans="1:11" x14ac:dyDescent="0.2">
      <c r="A247" s="1" t="s">
        <v>739</v>
      </c>
      <c r="B247" s="2">
        <v>45378</v>
      </c>
      <c r="C247" s="1" t="s">
        <v>740</v>
      </c>
      <c r="D247" s="1" t="s">
        <v>741</v>
      </c>
      <c r="E247" s="1" t="s">
        <v>14</v>
      </c>
      <c r="F247" s="1" t="s">
        <v>108</v>
      </c>
      <c r="G247" s="1" t="s">
        <v>109</v>
      </c>
      <c r="H247" s="1" t="s">
        <v>37</v>
      </c>
      <c r="I247">
        <v>93187</v>
      </c>
      <c r="J247" s="3">
        <v>18.27</v>
      </c>
      <c r="K247" s="3">
        <v>1702526.49</v>
      </c>
    </row>
    <row r="248" spans="1:11" x14ac:dyDescent="0.2">
      <c r="A248" s="1" t="s">
        <v>742</v>
      </c>
      <c r="B248" s="2">
        <v>45671</v>
      </c>
      <c r="C248" s="1" t="s">
        <v>743</v>
      </c>
      <c r="D248" s="1" t="s">
        <v>744</v>
      </c>
      <c r="E248" s="1" t="s">
        <v>14</v>
      </c>
      <c r="F248" s="1" t="s">
        <v>394</v>
      </c>
      <c r="G248" s="1" t="s">
        <v>395</v>
      </c>
      <c r="H248" s="1" t="s">
        <v>48</v>
      </c>
      <c r="I248">
        <v>52070</v>
      </c>
      <c r="J248" s="3">
        <v>36.14</v>
      </c>
      <c r="K248" s="3">
        <v>1881809.8</v>
      </c>
    </row>
    <row r="249" spans="1:11" x14ac:dyDescent="0.2">
      <c r="A249" s="1" t="s">
        <v>745</v>
      </c>
      <c r="B249" s="2">
        <v>45870</v>
      </c>
      <c r="C249" s="1" t="s">
        <v>746</v>
      </c>
      <c r="D249" s="1" t="s">
        <v>747</v>
      </c>
      <c r="E249" s="1" t="s">
        <v>37</v>
      </c>
      <c r="F249" s="1" t="s">
        <v>76</v>
      </c>
      <c r="G249" s="1" t="s">
        <v>77</v>
      </c>
      <c r="H249" s="1" t="s">
        <v>48</v>
      </c>
      <c r="I249">
        <v>57112</v>
      </c>
      <c r="J249" s="3">
        <v>37.47</v>
      </c>
      <c r="K249" s="3">
        <v>2139986.64</v>
      </c>
    </row>
    <row r="250" spans="1:11" x14ac:dyDescent="0.2">
      <c r="A250" s="1" t="s">
        <v>748</v>
      </c>
      <c r="B250" s="2">
        <v>45997</v>
      </c>
      <c r="C250" s="1" t="s">
        <v>749</v>
      </c>
      <c r="D250" s="1" t="s">
        <v>750</v>
      </c>
      <c r="E250" s="1" t="s">
        <v>28</v>
      </c>
      <c r="F250" s="1" t="s">
        <v>144</v>
      </c>
      <c r="G250" s="1" t="s">
        <v>145</v>
      </c>
      <c r="H250" s="1" t="s">
        <v>24</v>
      </c>
      <c r="I250">
        <v>20540</v>
      </c>
      <c r="J250" s="3">
        <v>36.090000000000003</v>
      </c>
      <c r="K250" s="3">
        <v>741288.6</v>
      </c>
    </row>
    <row r="251" spans="1:11" x14ac:dyDescent="0.2">
      <c r="A251" s="1" t="s">
        <v>751</v>
      </c>
      <c r="B251" s="2">
        <v>46001</v>
      </c>
      <c r="C251" s="1" t="s">
        <v>752</v>
      </c>
      <c r="D251" s="1" t="s">
        <v>753</v>
      </c>
      <c r="E251" s="1" t="s">
        <v>34</v>
      </c>
      <c r="F251" s="1" t="s">
        <v>217</v>
      </c>
      <c r="G251" s="1" t="s">
        <v>218</v>
      </c>
      <c r="H251" s="1" t="s">
        <v>72</v>
      </c>
      <c r="I251">
        <v>30664</v>
      </c>
      <c r="J251" s="3">
        <v>16.149999999999999</v>
      </c>
      <c r="K251" s="3">
        <v>495223.6</v>
      </c>
    </row>
    <row r="252" spans="1:11" x14ac:dyDescent="0.2">
      <c r="A252" s="1" t="s">
        <v>754</v>
      </c>
      <c r="B252" s="2">
        <v>45644</v>
      </c>
      <c r="C252" s="1" t="s">
        <v>546</v>
      </c>
      <c r="D252" s="1" t="s">
        <v>547</v>
      </c>
      <c r="E252" s="1" t="s">
        <v>34</v>
      </c>
      <c r="F252" s="1" t="s">
        <v>540</v>
      </c>
      <c r="G252" s="1" t="s">
        <v>541</v>
      </c>
      <c r="H252" s="1" t="s">
        <v>37</v>
      </c>
      <c r="I252">
        <v>68611</v>
      </c>
      <c r="J252" s="3">
        <v>25.08</v>
      </c>
      <c r="K252" s="3">
        <v>1720763.88</v>
      </c>
    </row>
    <row r="253" spans="1:11" x14ac:dyDescent="0.2">
      <c r="A253" s="1" t="s">
        <v>755</v>
      </c>
      <c r="B253" s="2">
        <v>45374</v>
      </c>
      <c r="C253" s="1" t="s">
        <v>756</v>
      </c>
      <c r="D253" s="1" t="s">
        <v>757</v>
      </c>
      <c r="E253" s="1" t="s">
        <v>34</v>
      </c>
      <c r="F253" s="1" t="s">
        <v>52</v>
      </c>
      <c r="G253" s="1" t="s">
        <v>53</v>
      </c>
      <c r="H253" s="1" t="s">
        <v>17</v>
      </c>
      <c r="I253">
        <v>9965</v>
      </c>
      <c r="J253" s="3">
        <v>11.05</v>
      </c>
      <c r="K253" s="3">
        <v>110113.25</v>
      </c>
    </row>
    <row r="254" spans="1:11" x14ac:dyDescent="0.2">
      <c r="A254" s="1" t="s">
        <v>758</v>
      </c>
      <c r="B254" s="2">
        <v>45456</v>
      </c>
      <c r="C254" s="1" t="s">
        <v>759</v>
      </c>
      <c r="D254" s="1" t="s">
        <v>760</v>
      </c>
      <c r="E254" s="1" t="s">
        <v>37</v>
      </c>
      <c r="F254" s="1" t="s">
        <v>761</v>
      </c>
      <c r="G254" s="1" t="s">
        <v>762</v>
      </c>
      <c r="H254" s="1" t="s">
        <v>48</v>
      </c>
      <c r="I254">
        <v>96461</v>
      </c>
      <c r="J254" s="3">
        <v>28</v>
      </c>
      <c r="K254" s="3">
        <v>2700908</v>
      </c>
    </row>
    <row r="255" spans="1:11" x14ac:dyDescent="0.2">
      <c r="A255" s="1" t="s">
        <v>763</v>
      </c>
      <c r="B255" s="2">
        <v>45646</v>
      </c>
      <c r="C255" s="1" t="s">
        <v>356</v>
      </c>
      <c r="D255" s="1" t="s">
        <v>357</v>
      </c>
      <c r="E255" s="1" t="s">
        <v>14</v>
      </c>
      <c r="F255" s="1" t="s">
        <v>330</v>
      </c>
      <c r="G255" s="1" t="s">
        <v>331</v>
      </c>
      <c r="H255" s="1" t="s">
        <v>72</v>
      </c>
      <c r="I255">
        <v>48125</v>
      </c>
      <c r="J255" s="3">
        <v>3.26</v>
      </c>
      <c r="K255" s="3">
        <v>156887.5</v>
      </c>
    </row>
    <row r="256" spans="1:11" x14ac:dyDescent="0.2">
      <c r="A256" s="1" t="s">
        <v>764</v>
      </c>
      <c r="B256" s="2">
        <v>45580</v>
      </c>
      <c r="C256" s="1" t="s">
        <v>160</v>
      </c>
      <c r="D256" s="1" t="s">
        <v>161</v>
      </c>
      <c r="E256" s="1" t="s">
        <v>21</v>
      </c>
      <c r="F256" s="1" t="s">
        <v>65</v>
      </c>
      <c r="G256" s="1" t="s">
        <v>66</v>
      </c>
      <c r="H256" s="1" t="s">
        <v>48</v>
      </c>
      <c r="I256">
        <v>12186</v>
      </c>
      <c r="J256" s="3">
        <v>43.14</v>
      </c>
      <c r="K256" s="3">
        <v>525704.04</v>
      </c>
    </row>
    <row r="257" spans="1:11" x14ac:dyDescent="0.2">
      <c r="A257" s="1" t="s">
        <v>765</v>
      </c>
      <c r="B257" s="2">
        <v>45541</v>
      </c>
      <c r="C257" s="1" t="s">
        <v>150</v>
      </c>
      <c r="D257" s="1" t="s">
        <v>151</v>
      </c>
      <c r="E257" s="1" t="s">
        <v>14</v>
      </c>
      <c r="F257" s="1" t="s">
        <v>406</v>
      </c>
      <c r="G257" s="1" t="s">
        <v>407</v>
      </c>
      <c r="H257" s="1" t="s">
        <v>17</v>
      </c>
      <c r="I257">
        <v>98956</v>
      </c>
      <c r="J257" s="3">
        <v>37.700000000000003</v>
      </c>
      <c r="K257" s="3">
        <v>3730641.2</v>
      </c>
    </row>
    <row r="258" spans="1:11" x14ac:dyDescent="0.2">
      <c r="A258" s="1" t="s">
        <v>766</v>
      </c>
      <c r="B258" s="2">
        <v>45523</v>
      </c>
      <c r="C258" s="1" t="s">
        <v>767</v>
      </c>
      <c r="D258" s="1" t="s">
        <v>768</v>
      </c>
      <c r="E258" s="1" t="s">
        <v>28</v>
      </c>
      <c r="F258" s="1" t="s">
        <v>15</v>
      </c>
      <c r="G258" s="1" t="s">
        <v>16</v>
      </c>
      <c r="H258" s="1" t="s">
        <v>17</v>
      </c>
      <c r="I258">
        <v>69630</v>
      </c>
      <c r="J258" s="3">
        <v>18.87</v>
      </c>
      <c r="K258" s="3">
        <v>1313918.1000000001</v>
      </c>
    </row>
    <row r="259" spans="1:11" x14ac:dyDescent="0.2">
      <c r="A259" s="1" t="s">
        <v>769</v>
      </c>
      <c r="B259" s="2">
        <v>45469</v>
      </c>
      <c r="C259" s="1" t="s">
        <v>770</v>
      </c>
      <c r="D259" s="1" t="s">
        <v>771</v>
      </c>
      <c r="E259" s="1" t="s">
        <v>34</v>
      </c>
      <c r="F259" s="1" t="s">
        <v>184</v>
      </c>
      <c r="G259" s="1" t="s">
        <v>185</v>
      </c>
      <c r="H259" s="1" t="s">
        <v>17</v>
      </c>
      <c r="I259">
        <v>73814</v>
      </c>
      <c r="J259" s="3">
        <v>35.75</v>
      </c>
      <c r="K259" s="3">
        <v>2638850.5</v>
      </c>
    </row>
    <row r="260" spans="1:11" x14ac:dyDescent="0.2">
      <c r="A260" s="1" t="s">
        <v>772</v>
      </c>
      <c r="B260" s="2">
        <v>45341</v>
      </c>
      <c r="C260" s="1" t="s">
        <v>235</v>
      </c>
      <c r="D260" s="1" t="s">
        <v>236</v>
      </c>
      <c r="E260" s="1" t="s">
        <v>14</v>
      </c>
      <c r="F260" s="1" t="s">
        <v>217</v>
      </c>
      <c r="G260" s="1" t="s">
        <v>218</v>
      </c>
      <c r="H260" s="1" t="s">
        <v>72</v>
      </c>
      <c r="I260">
        <v>27097</v>
      </c>
      <c r="J260" s="3">
        <v>38.35</v>
      </c>
      <c r="K260" s="3">
        <v>1039169.95</v>
      </c>
    </row>
    <row r="261" spans="1:11" x14ac:dyDescent="0.2">
      <c r="A261" s="1" t="s">
        <v>773</v>
      </c>
      <c r="B261" s="2">
        <v>45787</v>
      </c>
      <c r="C261" s="1" t="s">
        <v>774</v>
      </c>
      <c r="D261" s="1" t="s">
        <v>775</v>
      </c>
      <c r="E261" s="1" t="s">
        <v>37</v>
      </c>
      <c r="F261" s="1" t="s">
        <v>284</v>
      </c>
      <c r="G261" s="1" t="s">
        <v>285</v>
      </c>
      <c r="H261" s="1" t="s">
        <v>37</v>
      </c>
      <c r="I261">
        <v>29856</v>
      </c>
      <c r="J261" s="3">
        <v>39.869999999999997</v>
      </c>
      <c r="K261" s="3">
        <v>1190358.72</v>
      </c>
    </row>
    <row r="262" spans="1:11" x14ac:dyDescent="0.2">
      <c r="A262" s="1" t="s">
        <v>776</v>
      </c>
      <c r="B262" s="2">
        <v>45958</v>
      </c>
      <c r="C262" s="1" t="s">
        <v>182</v>
      </c>
      <c r="D262" s="1" t="s">
        <v>183</v>
      </c>
      <c r="E262" s="1" t="s">
        <v>14</v>
      </c>
      <c r="F262" s="1" t="s">
        <v>208</v>
      </c>
      <c r="G262" s="1" t="s">
        <v>209</v>
      </c>
      <c r="H262" s="1" t="s">
        <v>17</v>
      </c>
      <c r="I262">
        <v>35985</v>
      </c>
      <c r="J262" s="3">
        <v>30.82</v>
      </c>
      <c r="K262" s="3">
        <v>1109057.7</v>
      </c>
    </row>
    <row r="263" spans="1:11" x14ac:dyDescent="0.2">
      <c r="A263" s="1" t="s">
        <v>777</v>
      </c>
      <c r="B263" s="2">
        <v>45499</v>
      </c>
      <c r="C263" s="1" t="s">
        <v>257</v>
      </c>
      <c r="D263" s="1" t="s">
        <v>258</v>
      </c>
      <c r="E263" s="1" t="s">
        <v>28</v>
      </c>
      <c r="F263" s="1" t="s">
        <v>65</v>
      </c>
      <c r="G263" s="1" t="s">
        <v>66</v>
      </c>
      <c r="H263" s="1" t="s">
        <v>48</v>
      </c>
      <c r="I263">
        <v>94518</v>
      </c>
      <c r="J263" s="3">
        <v>46.52</v>
      </c>
      <c r="K263" s="3">
        <v>4396977.3600000003</v>
      </c>
    </row>
    <row r="264" spans="1:11" x14ac:dyDescent="0.2">
      <c r="A264" s="1" t="s">
        <v>778</v>
      </c>
      <c r="B264" s="2">
        <v>45998</v>
      </c>
      <c r="C264" s="1" t="s">
        <v>779</v>
      </c>
      <c r="D264" s="1" t="s">
        <v>780</v>
      </c>
      <c r="E264" s="1" t="s">
        <v>21</v>
      </c>
      <c r="F264" s="1" t="s">
        <v>406</v>
      </c>
      <c r="G264" s="1" t="s">
        <v>407</v>
      </c>
      <c r="H264" s="1" t="s">
        <v>17</v>
      </c>
      <c r="I264">
        <v>61471</v>
      </c>
      <c r="J264" s="3">
        <v>6.27</v>
      </c>
      <c r="K264" s="3">
        <v>385423.17</v>
      </c>
    </row>
    <row r="265" spans="1:11" x14ac:dyDescent="0.2">
      <c r="A265" s="1" t="s">
        <v>781</v>
      </c>
      <c r="B265" s="2">
        <v>45727</v>
      </c>
      <c r="C265" s="1" t="s">
        <v>171</v>
      </c>
      <c r="D265" s="1" t="s">
        <v>172</v>
      </c>
      <c r="E265" s="1" t="s">
        <v>28</v>
      </c>
      <c r="F265" s="1" t="s">
        <v>208</v>
      </c>
      <c r="G265" s="1" t="s">
        <v>209</v>
      </c>
      <c r="H265" s="1" t="s">
        <v>17</v>
      </c>
      <c r="I265">
        <v>38388</v>
      </c>
      <c r="J265" s="3">
        <v>48.38</v>
      </c>
      <c r="K265" s="3">
        <v>1857211.44</v>
      </c>
    </row>
    <row r="266" spans="1:11" x14ac:dyDescent="0.2">
      <c r="A266" s="1" t="s">
        <v>782</v>
      </c>
      <c r="B266" s="2">
        <v>45413</v>
      </c>
      <c r="C266" s="1" t="s">
        <v>783</v>
      </c>
      <c r="D266" s="1" t="s">
        <v>784</v>
      </c>
      <c r="E266" s="1" t="s">
        <v>14</v>
      </c>
      <c r="F266" s="1" t="s">
        <v>761</v>
      </c>
      <c r="G266" s="1" t="s">
        <v>762</v>
      </c>
      <c r="H266" s="1" t="s">
        <v>48</v>
      </c>
      <c r="I266">
        <v>92564</v>
      </c>
      <c r="J266" s="3">
        <v>25.89</v>
      </c>
      <c r="K266" s="3">
        <v>2396481.96</v>
      </c>
    </row>
    <row r="267" spans="1:11" x14ac:dyDescent="0.2">
      <c r="A267" s="1" t="s">
        <v>785</v>
      </c>
      <c r="B267" s="2">
        <v>45878</v>
      </c>
      <c r="C267" s="1" t="s">
        <v>150</v>
      </c>
      <c r="D267" s="1" t="s">
        <v>151</v>
      </c>
      <c r="E267" s="1" t="s">
        <v>14</v>
      </c>
      <c r="F267" s="1" t="s">
        <v>208</v>
      </c>
      <c r="G267" s="1" t="s">
        <v>209</v>
      </c>
      <c r="H267" s="1" t="s">
        <v>17</v>
      </c>
      <c r="I267">
        <v>34678</v>
      </c>
      <c r="J267" s="3">
        <v>7.66</v>
      </c>
      <c r="K267" s="3">
        <v>265633.48</v>
      </c>
    </row>
    <row r="268" spans="1:11" x14ac:dyDescent="0.2">
      <c r="A268" s="1" t="s">
        <v>786</v>
      </c>
      <c r="B268" s="2">
        <v>45445</v>
      </c>
      <c r="C268" s="1" t="s">
        <v>235</v>
      </c>
      <c r="D268" s="1" t="s">
        <v>236</v>
      </c>
      <c r="E268" s="1" t="s">
        <v>14</v>
      </c>
      <c r="F268" s="1" t="s">
        <v>263</v>
      </c>
      <c r="G268" s="1" t="s">
        <v>264</v>
      </c>
      <c r="H268" s="1" t="s">
        <v>17</v>
      </c>
      <c r="I268">
        <v>19313</v>
      </c>
      <c r="J268" s="3">
        <v>24.78</v>
      </c>
      <c r="K268" s="3">
        <v>478576.14</v>
      </c>
    </row>
    <row r="269" spans="1:11" x14ac:dyDescent="0.2">
      <c r="A269" s="1" t="s">
        <v>787</v>
      </c>
      <c r="B269" s="2">
        <v>45896</v>
      </c>
      <c r="C269" s="1" t="s">
        <v>788</v>
      </c>
      <c r="D269" s="1" t="s">
        <v>789</v>
      </c>
      <c r="E269" s="1" t="s">
        <v>14</v>
      </c>
      <c r="F269" s="1" t="s">
        <v>46</v>
      </c>
      <c r="G269" s="1" t="s">
        <v>47</v>
      </c>
      <c r="H269" s="1" t="s">
        <v>48</v>
      </c>
      <c r="I269">
        <v>54183</v>
      </c>
      <c r="J269" s="3">
        <v>45.44</v>
      </c>
      <c r="K269" s="3">
        <v>2462075.52</v>
      </c>
    </row>
    <row r="270" spans="1:11" x14ac:dyDescent="0.2">
      <c r="A270" s="1" t="s">
        <v>790</v>
      </c>
      <c r="B270" s="2">
        <v>45682</v>
      </c>
      <c r="C270" s="1" t="s">
        <v>791</v>
      </c>
      <c r="D270" s="1" t="s">
        <v>792</v>
      </c>
      <c r="E270" s="1" t="s">
        <v>34</v>
      </c>
      <c r="F270" s="1" t="s">
        <v>139</v>
      </c>
      <c r="G270" s="1" t="s">
        <v>140</v>
      </c>
      <c r="H270" s="1" t="s">
        <v>24</v>
      </c>
      <c r="I270">
        <v>67015</v>
      </c>
      <c r="J270" s="3">
        <v>47.02</v>
      </c>
      <c r="K270" s="3">
        <v>3151045.3</v>
      </c>
    </row>
    <row r="271" spans="1:11" x14ac:dyDescent="0.2">
      <c r="A271" s="1" t="s">
        <v>793</v>
      </c>
      <c r="B271" s="2">
        <v>45634</v>
      </c>
      <c r="C271" s="1" t="s">
        <v>794</v>
      </c>
      <c r="D271" s="1" t="s">
        <v>795</v>
      </c>
      <c r="E271" s="1" t="s">
        <v>28</v>
      </c>
      <c r="F271" s="1" t="s">
        <v>98</v>
      </c>
      <c r="G271" s="1" t="s">
        <v>99</v>
      </c>
      <c r="H271" s="1" t="s">
        <v>72</v>
      </c>
      <c r="I271">
        <v>3349</v>
      </c>
      <c r="J271" s="3">
        <v>2.72</v>
      </c>
      <c r="K271" s="3">
        <v>9109.2800000000007</v>
      </c>
    </row>
    <row r="272" spans="1:11" x14ac:dyDescent="0.2">
      <c r="A272" s="1" t="s">
        <v>796</v>
      </c>
      <c r="B272" s="2">
        <v>45685</v>
      </c>
      <c r="C272" s="1" t="s">
        <v>271</v>
      </c>
      <c r="D272" s="1" t="s">
        <v>272</v>
      </c>
      <c r="E272" s="1" t="s">
        <v>37</v>
      </c>
      <c r="F272" s="1" t="s">
        <v>268</v>
      </c>
      <c r="G272" s="1" t="s">
        <v>269</v>
      </c>
      <c r="H272" s="1" t="s">
        <v>72</v>
      </c>
      <c r="I272">
        <v>62750</v>
      </c>
      <c r="J272" s="3">
        <v>18.64</v>
      </c>
      <c r="K272" s="3">
        <v>1169660</v>
      </c>
    </row>
    <row r="273" spans="1:11" x14ac:dyDescent="0.2">
      <c r="A273" s="1" t="s">
        <v>797</v>
      </c>
      <c r="B273" s="2">
        <v>45435</v>
      </c>
      <c r="C273" s="1" t="s">
        <v>798</v>
      </c>
      <c r="D273" s="1" t="s">
        <v>799</v>
      </c>
      <c r="E273" s="1" t="s">
        <v>34</v>
      </c>
      <c r="F273" s="1" t="s">
        <v>184</v>
      </c>
      <c r="G273" s="1" t="s">
        <v>185</v>
      </c>
      <c r="H273" s="1" t="s">
        <v>17</v>
      </c>
      <c r="I273">
        <v>43381</v>
      </c>
      <c r="J273" s="3">
        <v>28.41</v>
      </c>
      <c r="K273" s="3">
        <v>1232454.21</v>
      </c>
    </row>
    <row r="274" spans="1:11" x14ac:dyDescent="0.2">
      <c r="A274" s="1" t="s">
        <v>800</v>
      </c>
      <c r="B274" s="2">
        <v>45319</v>
      </c>
      <c r="C274" s="1" t="s">
        <v>801</v>
      </c>
      <c r="D274" s="1" t="s">
        <v>802</v>
      </c>
      <c r="E274" s="1" t="s">
        <v>14</v>
      </c>
      <c r="F274" s="1" t="s">
        <v>35</v>
      </c>
      <c r="G274" s="1" t="s">
        <v>36</v>
      </c>
      <c r="H274" s="1" t="s">
        <v>37</v>
      </c>
      <c r="I274">
        <v>19079</v>
      </c>
      <c r="J274" s="3">
        <v>13.75</v>
      </c>
      <c r="K274" s="3">
        <v>262336.25</v>
      </c>
    </row>
    <row r="275" spans="1:11" x14ac:dyDescent="0.2">
      <c r="A275" s="1" t="s">
        <v>803</v>
      </c>
      <c r="B275" s="2">
        <v>45606</v>
      </c>
      <c r="C275" s="1" t="s">
        <v>804</v>
      </c>
      <c r="D275" s="1" t="s">
        <v>805</v>
      </c>
      <c r="E275" s="1" t="s">
        <v>34</v>
      </c>
      <c r="F275" s="1" t="s">
        <v>52</v>
      </c>
      <c r="G275" s="1" t="s">
        <v>53</v>
      </c>
      <c r="H275" s="1" t="s">
        <v>17</v>
      </c>
      <c r="I275">
        <v>19164</v>
      </c>
      <c r="J275" s="3">
        <v>22.76</v>
      </c>
      <c r="K275" s="3">
        <v>436172.64</v>
      </c>
    </row>
    <row r="276" spans="1:11" x14ac:dyDescent="0.2">
      <c r="A276" s="1" t="s">
        <v>806</v>
      </c>
      <c r="B276" s="2">
        <v>45778</v>
      </c>
      <c r="C276" s="1" t="s">
        <v>783</v>
      </c>
      <c r="D276" s="1" t="s">
        <v>784</v>
      </c>
      <c r="E276" s="1" t="s">
        <v>14</v>
      </c>
      <c r="F276" s="1" t="s">
        <v>237</v>
      </c>
      <c r="G276" s="1" t="s">
        <v>238</v>
      </c>
      <c r="H276" s="1" t="s">
        <v>17</v>
      </c>
      <c r="I276">
        <v>18293</v>
      </c>
      <c r="J276" s="3">
        <v>22.39</v>
      </c>
      <c r="K276" s="3">
        <v>409580.27</v>
      </c>
    </row>
    <row r="277" spans="1:11" x14ac:dyDescent="0.2">
      <c r="A277" s="1" t="s">
        <v>807</v>
      </c>
      <c r="B277" s="2">
        <v>45870</v>
      </c>
      <c r="C277" s="1" t="s">
        <v>808</v>
      </c>
      <c r="D277" s="1" t="s">
        <v>809</v>
      </c>
      <c r="E277" s="1" t="s">
        <v>28</v>
      </c>
      <c r="F277" s="1" t="s">
        <v>65</v>
      </c>
      <c r="G277" s="1" t="s">
        <v>66</v>
      </c>
      <c r="H277" s="1" t="s">
        <v>48</v>
      </c>
      <c r="I277">
        <v>19948</v>
      </c>
      <c r="J277" s="3">
        <v>12</v>
      </c>
      <c r="K277" s="3">
        <v>239376</v>
      </c>
    </row>
    <row r="278" spans="1:11" x14ac:dyDescent="0.2">
      <c r="A278" s="1" t="s">
        <v>810</v>
      </c>
      <c r="B278" s="2">
        <v>45634</v>
      </c>
      <c r="C278" s="1" t="s">
        <v>811</v>
      </c>
      <c r="D278" s="1" t="s">
        <v>812</v>
      </c>
      <c r="E278" s="1" t="s">
        <v>14</v>
      </c>
      <c r="F278" s="1" t="s">
        <v>144</v>
      </c>
      <c r="G278" s="1" t="s">
        <v>145</v>
      </c>
      <c r="H278" s="1" t="s">
        <v>24</v>
      </c>
      <c r="I278">
        <v>76969</v>
      </c>
      <c r="J278" s="3">
        <v>22.19</v>
      </c>
      <c r="K278" s="3">
        <v>1707942.11</v>
      </c>
    </row>
    <row r="279" spans="1:11" x14ac:dyDescent="0.2">
      <c r="A279" s="1" t="s">
        <v>813</v>
      </c>
      <c r="B279" s="2">
        <v>45340</v>
      </c>
      <c r="C279" s="1" t="s">
        <v>814</v>
      </c>
      <c r="D279" s="1" t="s">
        <v>815</v>
      </c>
      <c r="E279" s="1" t="s">
        <v>14</v>
      </c>
      <c r="F279" s="1" t="s">
        <v>251</v>
      </c>
      <c r="G279" s="1" t="s">
        <v>252</v>
      </c>
      <c r="H279" s="1" t="s">
        <v>72</v>
      </c>
      <c r="I279">
        <v>41768</v>
      </c>
      <c r="J279" s="3">
        <v>39.409999999999997</v>
      </c>
      <c r="K279" s="3">
        <v>1646076.88</v>
      </c>
    </row>
    <row r="280" spans="1:11" x14ac:dyDescent="0.2">
      <c r="A280" s="1" t="s">
        <v>816</v>
      </c>
      <c r="B280" s="2">
        <v>45374</v>
      </c>
      <c r="C280" s="1" t="s">
        <v>817</v>
      </c>
      <c r="D280" s="1" t="s">
        <v>818</v>
      </c>
      <c r="E280" s="1" t="s">
        <v>14</v>
      </c>
      <c r="F280" s="1" t="s">
        <v>217</v>
      </c>
      <c r="G280" s="1" t="s">
        <v>218</v>
      </c>
      <c r="H280" s="1" t="s">
        <v>72</v>
      </c>
      <c r="I280">
        <v>44155</v>
      </c>
      <c r="J280" s="3">
        <v>22.21</v>
      </c>
      <c r="K280" s="3">
        <v>980682.55</v>
      </c>
    </row>
    <row r="281" spans="1:11" x14ac:dyDescent="0.2">
      <c r="A281" s="1" t="s">
        <v>819</v>
      </c>
      <c r="B281" s="2">
        <v>45297</v>
      </c>
      <c r="C281" s="1" t="s">
        <v>820</v>
      </c>
      <c r="D281" s="1" t="s">
        <v>821</v>
      </c>
      <c r="E281" s="1" t="s">
        <v>28</v>
      </c>
      <c r="F281" s="1" t="s">
        <v>29</v>
      </c>
      <c r="G281" s="1" t="s">
        <v>30</v>
      </c>
      <c r="H281" s="1" t="s">
        <v>24</v>
      </c>
      <c r="I281">
        <v>95797</v>
      </c>
      <c r="J281" s="3">
        <v>6.75</v>
      </c>
      <c r="K281" s="3">
        <v>646629.75</v>
      </c>
    </row>
    <row r="282" spans="1:11" x14ac:dyDescent="0.2">
      <c r="A282" s="1" t="s">
        <v>822</v>
      </c>
      <c r="B282" s="2">
        <v>45607</v>
      </c>
      <c r="C282" s="1" t="s">
        <v>823</v>
      </c>
      <c r="D282" s="1" t="s">
        <v>824</v>
      </c>
      <c r="E282" s="1" t="s">
        <v>21</v>
      </c>
      <c r="F282" s="1" t="s">
        <v>350</v>
      </c>
      <c r="G282" s="1" t="s">
        <v>351</v>
      </c>
      <c r="H282" s="1" t="s">
        <v>37</v>
      </c>
      <c r="I282">
        <v>15222</v>
      </c>
      <c r="J282" s="3">
        <v>10.63</v>
      </c>
      <c r="K282" s="3">
        <v>161809.85999999999</v>
      </c>
    </row>
    <row r="283" spans="1:11" x14ac:dyDescent="0.2">
      <c r="A283" s="1" t="s">
        <v>825</v>
      </c>
      <c r="B283" s="2">
        <v>45316</v>
      </c>
      <c r="C283" s="1" t="s">
        <v>826</v>
      </c>
      <c r="D283" s="1" t="s">
        <v>827</v>
      </c>
      <c r="E283" s="1" t="s">
        <v>37</v>
      </c>
      <c r="F283" s="1" t="s">
        <v>208</v>
      </c>
      <c r="G283" s="1" t="s">
        <v>209</v>
      </c>
      <c r="H283" s="1" t="s">
        <v>17</v>
      </c>
      <c r="I283">
        <v>77800</v>
      </c>
      <c r="J283" s="3">
        <v>12.2</v>
      </c>
      <c r="K283" s="3">
        <v>949160</v>
      </c>
    </row>
    <row r="284" spans="1:11" x14ac:dyDescent="0.2">
      <c r="A284" s="1" t="s">
        <v>828</v>
      </c>
      <c r="B284" s="2">
        <v>45939</v>
      </c>
      <c r="C284" s="1" t="s">
        <v>829</v>
      </c>
      <c r="D284" s="1" t="s">
        <v>830</v>
      </c>
      <c r="E284" s="1" t="s">
        <v>14</v>
      </c>
      <c r="F284" s="1" t="s">
        <v>394</v>
      </c>
      <c r="G284" s="1" t="s">
        <v>395</v>
      </c>
      <c r="H284" s="1" t="s">
        <v>48</v>
      </c>
      <c r="I284">
        <v>57109</v>
      </c>
      <c r="J284" s="3">
        <v>15.05</v>
      </c>
      <c r="K284" s="3">
        <v>859490.45</v>
      </c>
    </row>
    <row r="285" spans="1:11" x14ac:dyDescent="0.2">
      <c r="A285" s="1" t="s">
        <v>831</v>
      </c>
      <c r="B285" s="2">
        <v>45859</v>
      </c>
      <c r="C285" s="1" t="s">
        <v>832</v>
      </c>
      <c r="D285" s="1" t="s">
        <v>833</v>
      </c>
      <c r="E285" s="1" t="s">
        <v>28</v>
      </c>
      <c r="F285" s="1" t="s">
        <v>81</v>
      </c>
      <c r="G285" s="1" t="s">
        <v>82</v>
      </c>
      <c r="H285" s="1" t="s">
        <v>72</v>
      </c>
      <c r="I285">
        <v>96582</v>
      </c>
      <c r="J285" s="3">
        <v>42.69</v>
      </c>
      <c r="K285" s="3">
        <v>4123085.58</v>
      </c>
    </row>
    <row r="286" spans="1:11" x14ac:dyDescent="0.2">
      <c r="A286" s="1" t="s">
        <v>834</v>
      </c>
      <c r="B286" s="2">
        <v>45450</v>
      </c>
      <c r="C286" s="1" t="s">
        <v>835</v>
      </c>
      <c r="D286" s="1" t="s">
        <v>836</v>
      </c>
      <c r="E286" s="1" t="s">
        <v>21</v>
      </c>
      <c r="F286" s="1" t="s">
        <v>41</v>
      </c>
      <c r="G286" s="1" t="s">
        <v>42</v>
      </c>
      <c r="H286" s="1" t="s">
        <v>24</v>
      </c>
      <c r="I286">
        <v>54812</v>
      </c>
      <c r="J286" s="3">
        <v>24.6</v>
      </c>
      <c r="K286" s="3">
        <v>1348375.2</v>
      </c>
    </row>
    <row r="287" spans="1:11" x14ac:dyDescent="0.2">
      <c r="A287" s="1" t="s">
        <v>837</v>
      </c>
      <c r="B287" s="2">
        <v>45900</v>
      </c>
      <c r="C287" s="1" t="s">
        <v>838</v>
      </c>
      <c r="D287" s="1" t="s">
        <v>839</v>
      </c>
      <c r="E287" s="1" t="s">
        <v>28</v>
      </c>
      <c r="F287" s="1" t="s">
        <v>284</v>
      </c>
      <c r="G287" s="1" t="s">
        <v>285</v>
      </c>
      <c r="H287" s="1" t="s">
        <v>37</v>
      </c>
      <c r="I287">
        <v>60574</v>
      </c>
      <c r="J287" s="3">
        <v>10.89</v>
      </c>
      <c r="K287" s="3">
        <v>659650.86</v>
      </c>
    </row>
    <row r="288" spans="1:11" x14ac:dyDescent="0.2">
      <c r="A288" s="1" t="s">
        <v>840</v>
      </c>
      <c r="B288" s="2">
        <v>45714</v>
      </c>
      <c r="C288" s="1" t="s">
        <v>303</v>
      </c>
      <c r="D288" s="1" t="s">
        <v>304</v>
      </c>
      <c r="E288" s="1" t="s">
        <v>28</v>
      </c>
      <c r="F288" s="1" t="s">
        <v>540</v>
      </c>
      <c r="G288" s="1" t="s">
        <v>541</v>
      </c>
      <c r="H288" s="1" t="s">
        <v>37</v>
      </c>
      <c r="I288">
        <v>80145</v>
      </c>
      <c r="J288" s="3">
        <v>47.97</v>
      </c>
      <c r="K288" s="3">
        <v>3844555.65</v>
      </c>
    </row>
    <row r="289" spans="1:11" x14ac:dyDescent="0.2">
      <c r="A289" s="1" t="s">
        <v>841</v>
      </c>
      <c r="B289" s="2">
        <v>45563</v>
      </c>
      <c r="C289" s="1" t="s">
        <v>125</v>
      </c>
      <c r="D289" s="1" t="s">
        <v>126</v>
      </c>
      <c r="E289" s="1" t="s">
        <v>21</v>
      </c>
      <c r="F289" s="1" t="s">
        <v>176</v>
      </c>
      <c r="G289" s="1" t="s">
        <v>177</v>
      </c>
      <c r="H289" s="1" t="s">
        <v>37</v>
      </c>
      <c r="I289">
        <v>26433</v>
      </c>
      <c r="J289" s="3">
        <v>21.45</v>
      </c>
      <c r="K289" s="3">
        <v>566987.85</v>
      </c>
    </row>
    <row r="290" spans="1:11" x14ac:dyDescent="0.2">
      <c r="A290" s="1" t="s">
        <v>842</v>
      </c>
      <c r="B290" s="2">
        <v>45975</v>
      </c>
      <c r="C290" s="1" t="s">
        <v>783</v>
      </c>
      <c r="D290" s="1" t="s">
        <v>784</v>
      </c>
      <c r="E290" s="1" t="s">
        <v>14</v>
      </c>
      <c r="F290" s="1" t="s">
        <v>273</v>
      </c>
      <c r="G290" s="1" t="s">
        <v>274</v>
      </c>
      <c r="H290" s="1" t="s">
        <v>24</v>
      </c>
      <c r="I290">
        <v>44216</v>
      </c>
      <c r="J290" s="3">
        <v>15.4</v>
      </c>
      <c r="K290" s="3">
        <v>680926.4</v>
      </c>
    </row>
    <row r="291" spans="1:11" x14ac:dyDescent="0.2">
      <c r="A291" s="1" t="s">
        <v>843</v>
      </c>
      <c r="B291" s="2">
        <v>45518</v>
      </c>
      <c r="C291" s="1" t="s">
        <v>844</v>
      </c>
      <c r="D291" s="1" t="s">
        <v>845</v>
      </c>
      <c r="E291" s="1" t="s">
        <v>37</v>
      </c>
      <c r="F291" s="1" t="s">
        <v>273</v>
      </c>
      <c r="G291" s="1" t="s">
        <v>274</v>
      </c>
      <c r="H291" s="1" t="s">
        <v>24</v>
      </c>
      <c r="I291">
        <v>43811</v>
      </c>
      <c r="J291" s="3">
        <v>2.2200000000000002</v>
      </c>
      <c r="K291" s="3">
        <v>97260.42</v>
      </c>
    </row>
    <row r="292" spans="1:11" x14ac:dyDescent="0.2">
      <c r="A292" s="1" t="s">
        <v>846</v>
      </c>
      <c r="B292" s="2">
        <v>45846</v>
      </c>
      <c r="C292" s="1" t="s">
        <v>847</v>
      </c>
      <c r="D292" s="1" t="s">
        <v>848</v>
      </c>
      <c r="E292" s="1" t="s">
        <v>34</v>
      </c>
      <c r="F292" s="1" t="s">
        <v>284</v>
      </c>
      <c r="G292" s="1" t="s">
        <v>285</v>
      </c>
      <c r="H292" s="1" t="s">
        <v>37</v>
      </c>
      <c r="I292">
        <v>48486</v>
      </c>
      <c r="J292" s="3">
        <v>36.82</v>
      </c>
      <c r="K292" s="3">
        <v>1785254.52</v>
      </c>
    </row>
    <row r="293" spans="1:11" x14ac:dyDescent="0.2">
      <c r="A293" s="1" t="s">
        <v>849</v>
      </c>
      <c r="B293" s="2">
        <v>45772</v>
      </c>
      <c r="C293" s="1" t="s">
        <v>495</v>
      </c>
      <c r="D293" s="1" t="s">
        <v>496</v>
      </c>
      <c r="E293" s="1" t="s">
        <v>37</v>
      </c>
      <c r="F293" s="1" t="s">
        <v>268</v>
      </c>
      <c r="G293" s="1" t="s">
        <v>269</v>
      </c>
      <c r="H293" s="1" t="s">
        <v>72</v>
      </c>
      <c r="I293">
        <v>19110</v>
      </c>
      <c r="J293" s="3">
        <v>19.75</v>
      </c>
      <c r="K293" s="3">
        <v>377422.5</v>
      </c>
    </row>
    <row r="294" spans="1:11" x14ac:dyDescent="0.2">
      <c r="A294" s="1" t="s">
        <v>850</v>
      </c>
      <c r="B294" s="2">
        <v>45829</v>
      </c>
      <c r="C294" s="1" t="s">
        <v>851</v>
      </c>
      <c r="D294" s="1" t="s">
        <v>852</v>
      </c>
      <c r="E294" s="1" t="s">
        <v>21</v>
      </c>
      <c r="F294" s="1" t="s">
        <v>70</v>
      </c>
      <c r="G294" s="1" t="s">
        <v>71</v>
      </c>
      <c r="H294" s="1" t="s">
        <v>72</v>
      </c>
      <c r="I294">
        <v>39520</v>
      </c>
      <c r="J294" s="3">
        <v>2.0499999999999998</v>
      </c>
      <c r="K294" s="3">
        <v>81016</v>
      </c>
    </row>
    <row r="295" spans="1:11" x14ac:dyDescent="0.2">
      <c r="A295" s="1" t="s">
        <v>853</v>
      </c>
      <c r="B295" s="2">
        <v>45298</v>
      </c>
      <c r="C295" s="1" t="s">
        <v>254</v>
      </c>
      <c r="D295" s="1" t="s">
        <v>255</v>
      </c>
      <c r="E295" s="1" t="s">
        <v>14</v>
      </c>
      <c r="F295" s="1" t="s">
        <v>15</v>
      </c>
      <c r="G295" s="1" t="s">
        <v>16</v>
      </c>
      <c r="H295" s="1" t="s">
        <v>17</v>
      </c>
      <c r="I295">
        <v>32466</v>
      </c>
      <c r="J295" s="3">
        <v>4.79</v>
      </c>
      <c r="K295" s="3">
        <v>155512.14000000001</v>
      </c>
    </row>
    <row r="296" spans="1:11" x14ac:dyDescent="0.2">
      <c r="A296" s="1" t="s">
        <v>854</v>
      </c>
      <c r="B296" s="2">
        <v>45787</v>
      </c>
      <c r="C296" s="1" t="s">
        <v>131</v>
      </c>
      <c r="D296" s="1" t="s">
        <v>132</v>
      </c>
      <c r="E296" s="1" t="s">
        <v>37</v>
      </c>
      <c r="F296" s="1" t="s">
        <v>284</v>
      </c>
      <c r="G296" s="1" t="s">
        <v>285</v>
      </c>
      <c r="H296" s="1" t="s">
        <v>37</v>
      </c>
      <c r="I296">
        <v>44479</v>
      </c>
      <c r="J296" s="3">
        <v>36.57</v>
      </c>
      <c r="K296" s="3">
        <v>1626597.03</v>
      </c>
    </row>
    <row r="297" spans="1:11" x14ac:dyDescent="0.2">
      <c r="A297" s="1" t="s">
        <v>855</v>
      </c>
      <c r="B297" s="2">
        <v>45820</v>
      </c>
      <c r="C297" s="1" t="s">
        <v>743</v>
      </c>
      <c r="D297" s="1" t="s">
        <v>744</v>
      </c>
      <c r="E297" s="1" t="s">
        <v>14</v>
      </c>
      <c r="F297" s="1" t="s">
        <v>217</v>
      </c>
      <c r="G297" s="1" t="s">
        <v>218</v>
      </c>
      <c r="H297" s="1" t="s">
        <v>72</v>
      </c>
      <c r="I297">
        <v>24402</v>
      </c>
      <c r="J297" s="3">
        <v>39.26</v>
      </c>
      <c r="K297" s="3">
        <v>958022.52</v>
      </c>
    </row>
    <row r="298" spans="1:11" x14ac:dyDescent="0.2">
      <c r="A298" s="1" t="s">
        <v>856</v>
      </c>
      <c r="B298" s="2">
        <v>45794</v>
      </c>
      <c r="C298" s="1" t="s">
        <v>857</v>
      </c>
      <c r="D298" s="1" t="s">
        <v>858</v>
      </c>
      <c r="E298" s="1" t="s">
        <v>34</v>
      </c>
      <c r="F298" s="1" t="s">
        <v>463</v>
      </c>
      <c r="G298" s="1" t="s">
        <v>464</v>
      </c>
      <c r="H298" s="1" t="s">
        <v>37</v>
      </c>
      <c r="I298">
        <v>34755</v>
      </c>
      <c r="J298" s="3">
        <v>29.39</v>
      </c>
      <c r="K298" s="3">
        <v>1021449.45</v>
      </c>
    </row>
    <row r="299" spans="1:11" x14ac:dyDescent="0.2">
      <c r="A299" s="1" t="s">
        <v>859</v>
      </c>
      <c r="B299" s="2">
        <v>45493</v>
      </c>
      <c r="C299" s="1" t="s">
        <v>860</v>
      </c>
      <c r="D299" s="1" t="s">
        <v>861</v>
      </c>
      <c r="E299" s="1" t="s">
        <v>21</v>
      </c>
      <c r="F299" s="1" t="s">
        <v>52</v>
      </c>
      <c r="G299" s="1" t="s">
        <v>53</v>
      </c>
      <c r="H299" s="1" t="s">
        <v>17</v>
      </c>
      <c r="I299">
        <v>23430</v>
      </c>
      <c r="J299" s="3">
        <v>45.69</v>
      </c>
      <c r="K299" s="3">
        <v>1070516.7</v>
      </c>
    </row>
    <row r="300" spans="1:11" x14ac:dyDescent="0.2">
      <c r="A300" s="1" t="s">
        <v>862</v>
      </c>
      <c r="B300" s="2">
        <v>45543</v>
      </c>
      <c r="C300" s="1" t="s">
        <v>863</v>
      </c>
      <c r="D300" s="1" t="s">
        <v>864</v>
      </c>
      <c r="E300" s="1" t="s">
        <v>37</v>
      </c>
      <c r="F300" s="1" t="s">
        <v>52</v>
      </c>
      <c r="G300" s="1" t="s">
        <v>53</v>
      </c>
      <c r="H300" s="1" t="s">
        <v>17</v>
      </c>
      <c r="I300">
        <v>63292</v>
      </c>
      <c r="J300" s="3">
        <v>44.24</v>
      </c>
      <c r="K300" s="3">
        <v>2800038.08</v>
      </c>
    </row>
    <row r="301" spans="1:11" x14ac:dyDescent="0.2">
      <c r="A301" s="1" t="s">
        <v>865</v>
      </c>
      <c r="B301" s="2">
        <v>45353</v>
      </c>
      <c r="C301" s="1" t="s">
        <v>866</v>
      </c>
      <c r="D301" s="1" t="s">
        <v>867</v>
      </c>
      <c r="E301" s="1" t="s">
        <v>14</v>
      </c>
      <c r="F301" s="1" t="s">
        <v>474</v>
      </c>
      <c r="G301" s="1" t="s">
        <v>475</v>
      </c>
      <c r="H301" s="1" t="s">
        <v>48</v>
      </c>
      <c r="I301">
        <v>74034</v>
      </c>
      <c r="J301" s="3">
        <v>30.59</v>
      </c>
      <c r="K301" s="3">
        <v>2264700.06</v>
      </c>
    </row>
    <row r="302" spans="1:11" x14ac:dyDescent="0.2">
      <c r="A302" s="1" t="s">
        <v>868</v>
      </c>
      <c r="B302" s="2">
        <v>45685</v>
      </c>
      <c r="C302" s="1" t="s">
        <v>756</v>
      </c>
      <c r="D302" s="1" t="s">
        <v>757</v>
      </c>
      <c r="E302" s="1" t="s">
        <v>34</v>
      </c>
      <c r="F302" s="1" t="s">
        <v>165</v>
      </c>
      <c r="G302" s="1" t="s">
        <v>166</v>
      </c>
      <c r="H302" s="1" t="s">
        <v>24</v>
      </c>
      <c r="I302">
        <v>4183</v>
      </c>
      <c r="J302" s="3">
        <v>32.17</v>
      </c>
      <c r="K302" s="3">
        <v>134567.10999999999</v>
      </c>
    </row>
    <row r="303" spans="1:11" x14ac:dyDescent="0.2">
      <c r="A303" s="1" t="s">
        <v>869</v>
      </c>
      <c r="B303" s="2">
        <v>45960</v>
      </c>
      <c r="C303" s="1" t="s">
        <v>345</v>
      </c>
      <c r="D303" s="1" t="s">
        <v>346</v>
      </c>
      <c r="E303" s="1" t="s">
        <v>37</v>
      </c>
      <c r="F303" s="1" t="s">
        <v>22</v>
      </c>
      <c r="G303" s="1" t="s">
        <v>23</v>
      </c>
      <c r="H303" s="1" t="s">
        <v>24</v>
      </c>
      <c r="I303">
        <v>26500</v>
      </c>
      <c r="J303" s="3">
        <v>17.89</v>
      </c>
      <c r="K303" s="3">
        <v>474085</v>
      </c>
    </row>
    <row r="304" spans="1:11" x14ac:dyDescent="0.2">
      <c r="A304" s="1" t="s">
        <v>870</v>
      </c>
      <c r="B304" s="2">
        <v>45675</v>
      </c>
      <c r="C304" s="1" t="s">
        <v>871</v>
      </c>
      <c r="D304" s="1" t="s">
        <v>872</v>
      </c>
      <c r="E304" s="1" t="s">
        <v>14</v>
      </c>
      <c r="F304" s="1" t="s">
        <v>157</v>
      </c>
      <c r="G304" s="1" t="s">
        <v>158</v>
      </c>
      <c r="H304" s="1" t="s">
        <v>48</v>
      </c>
      <c r="I304">
        <v>21147</v>
      </c>
      <c r="J304" s="3">
        <v>25.76</v>
      </c>
      <c r="K304" s="3">
        <v>544746.72</v>
      </c>
    </row>
    <row r="305" spans="1:11" x14ac:dyDescent="0.2">
      <c r="A305" s="1" t="s">
        <v>873</v>
      </c>
      <c r="B305" s="2">
        <v>45912</v>
      </c>
      <c r="C305" s="1" t="s">
        <v>874</v>
      </c>
      <c r="D305" s="1" t="s">
        <v>875</v>
      </c>
      <c r="E305" s="1" t="s">
        <v>21</v>
      </c>
      <c r="F305" s="1" t="s">
        <v>157</v>
      </c>
      <c r="G305" s="1" t="s">
        <v>158</v>
      </c>
      <c r="H305" s="1" t="s">
        <v>48</v>
      </c>
      <c r="I305">
        <v>32470</v>
      </c>
      <c r="J305" s="3">
        <v>33.07</v>
      </c>
      <c r="K305" s="3">
        <v>1073782.8999999999</v>
      </c>
    </row>
    <row r="306" spans="1:11" x14ac:dyDescent="0.2">
      <c r="A306" s="1" t="s">
        <v>876</v>
      </c>
      <c r="B306" s="2">
        <v>45338</v>
      </c>
      <c r="C306" s="1" t="s">
        <v>877</v>
      </c>
      <c r="D306" s="1" t="s">
        <v>878</v>
      </c>
      <c r="E306" s="1" t="s">
        <v>37</v>
      </c>
      <c r="F306" s="1" t="s">
        <v>113</v>
      </c>
      <c r="G306" s="1" t="s">
        <v>114</v>
      </c>
      <c r="H306" s="1" t="s">
        <v>37</v>
      </c>
      <c r="I306">
        <v>30813</v>
      </c>
      <c r="J306" s="3">
        <v>6.14</v>
      </c>
      <c r="K306" s="3">
        <v>189191.82</v>
      </c>
    </row>
    <row r="307" spans="1:11" x14ac:dyDescent="0.2">
      <c r="A307" s="1" t="s">
        <v>879</v>
      </c>
      <c r="B307" s="2">
        <v>45544</v>
      </c>
      <c r="C307" s="1" t="s">
        <v>880</v>
      </c>
      <c r="D307" s="1" t="s">
        <v>881</v>
      </c>
      <c r="E307" s="1" t="s">
        <v>21</v>
      </c>
      <c r="F307" s="1" t="s">
        <v>108</v>
      </c>
      <c r="G307" s="1" t="s">
        <v>109</v>
      </c>
      <c r="H307" s="1" t="s">
        <v>37</v>
      </c>
      <c r="I307">
        <v>31562</v>
      </c>
      <c r="J307" s="3">
        <v>46.21</v>
      </c>
      <c r="K307" s="3">
        <v>1458480.02</v>
      </c>
    </row>
    <row r="308" spans="1:11" x14ac:dyDescent="0.2">
      <c r="A308" s="1" t="s">
        <v>882</v>
      </c>
      <c r="B308" s="2">
        <v>45672</v>
      </c>
      <c r="C308" s="1" t="s">
        <v>883</v>
      </c>
      <c r="D308" s="1" t="s">
        <v>884</v>
      </c>
      <c r="E308" s="1" t="s">
        <v>37</v>
      </c>
      <c r="F308" s="1" t="s">
        <v>35</v>
      </c>
      <c r="G308" s="1" t="s">
        <v>36</v>
      </c>
      <c r="H308" s="1" t="s">
        <v>37</v>
      </c>
      <c r="I308">
        <v>37035</v>
      </c>
      <c r="J308" s="3">
        <v>49.42</v>
      </c>
      <c r="K308" s="3">
        <v>1830269.7</v>
      </c>
    </row>
    <row r="309" spans="1:11" x14ac:dyDescent="0.2">
      <c r="A309" s="1" t="s">
        <v>885</v>
      </c>
      <c r="B309" s="2">
        <v>45362</v>
      </c>
      <c r="C309" s="1" t="s">
        <v>886</v>
      </c>
      <c r="D309" s="1" t="s">
        <v>887</v>
      </c>
      <c r="E309" s="1" t="s">
        <v>21</v>
      </c>
      <c r="F309" s="1" t="s">
        <v>57</v>
      </c>
      <c r="G309" s="1" t="s">
        <v>58</v>
      </c>
      <c r="H309" s="1" t="s">
        <v>48</v>
      </c>
      <c r="I309">
        <v>87792</v>
      </c>
      <c r="J309" s="3">
        <v>20.14</v>
      </c>
      <c r="K309" s="3">
        <v>1768130.88</v>
      </c>
    </row>
    <row r="310" spans="1:11" x14ac:dyDescent="0.2">
      <c r="A310" s="1" t="s">
        <v>888</v>
      </c>
      <c r="B310" s="2">
        <v>45807</v>
      </c>
      <c r="C310" s="1" t="s">
        <v>770</v>
      </c>
      <c r="D310" s="1" t="s">
        <v>771</v>
      </c>
      <c r="E310" s="1" t="s">
        <v>34</v>
      </c>
      <c r="F310" s="1" t="s">
        <v>324</v>
      </c>
      <c r="G310" s="1" t="s">
        <v>325</v>
      </c>
      <c r="H310" s="1" t="s">
        <v>24</v>
      </c>
      <c r="I310">
        <v>26855</v>
      </c>
      <c r="J310" s="3">
        <v>36.369999999999997</v>
      </c>
      <c r="K310" s="3">
        <v>976716.35</v>
      </c>
    </row>
    <row r="311" spans="1:11" x14ac:dyDescent="0.2">
      <c r="A311" s="1" t="s">
        <v>889</v>
      </c>
      <c r="B311" s="2">
        <v>45457</v>
      </c>
      <c r="C311" s="1" t="s">
        <v>890</v>
      </c>
      <c r="D311" s="1" t="s">
        <v>891</v>
      </c>
      <c r="E311" s="1" t="s">
        <v>37</v>
      </c>
      <c r="F311" s="1" t="s">
        <v>394</v>
      </c>
      <c r="G311" s="1" t="s">
        <v>395</v>
      </c>
      <c r="H311" s="1" t="s">
        <v>48</v>
      </c>
      <c r="I311">
        <v>34491</v>
      </c>
      <c r="J311" s="3">
        <v>5.52</v>
      </c>
      <c r="K311" s="3">
        <v>190390.32</v>
      </c>
    </row>
    <row r="312" spans="1:11" x14ac:dyDescent="0.2">
      <c r="A312" s="1" t="s">
        <v>892</v>
      </c>
      <c r="B312" s="2">
        <v>45976</v>
      </c>
      <c r="C312" s="1" t="s">
        <v>702</v>
      </c>
      <c r="D312" s="1" t="s">
        <v>703</v>
      </c>
      <c r="E312" s="1" t="s">
        <v>34</v>
      </c>
      <c r="F312" s="1" t="s">
        <v>350</v>
      </c>
      <c r="G312" s="1" t="s">
        <v>351</v>
      </c>
      <c r="H312" s="1" t="s">
        <v>37</v>
      </c>
      <c r="I312">
        <v>72776</v>
      </c>
      <c r="J312" s="3">
        <v>3.81</v>
      </c>
      <c r="K312" s="3">
        <v>277276.56</v>
      </c>
    </row>
    <row r="313" spans="1:11" x14ac:dyDescent="0.2">
      <c r="A313" s="1" t="s">
        <v>893</v>
      </c>
      <c r="B313" s="2">
        <v>45727</v>
      </c>
      <c r="C313" s="1" t="s">
        <v>529</v>
      </c>
      <c r="D313" s="1" t="s">
        <v>530</v>
      </c>
      <c r="E313" s="1" t="s">
        <v>34</v>
      </c>
      <c r="F313" s="1" t="s">
        <v>165</v>
      </c>
      <c r="G313" s="1" t="s">
        <v>166</v>
      </c>
      <c r="H313" s="1" t="s">
        <v>24</v>
      </c>
      <c r="I313">
        <v>1457</v>
      </c>
      <c r="J313" s="3">
        <v>10.18</v>
      </c>
      <c r="K313" s="3">
        <v>14832.26</v>
      </c>
    </row>
    <row r="314" spans="1:11" x14ac:dyDescent="0.2">
      <c r="A314" s="1" t="s">
        <v>894</v>
      </c>
      <c r="B314" s="2">
        <v>45686</v>
      </c>
      <c r="C314" s="1" t="s">
        <v>445</v>
      </c>
      <c r="D314" s="1" t="s">
        <v>446</v>
      </c>
      <c r="E314" s="1" t="s">
        <v>34</v>
      </c>
      <c r="F314" s="1" t="s">
        <v>208</v>
      </c>
      <c r="G314" s="1" t="s">
        <v>209</v>
      </c>
      <c r="H314" s="1" t="s">
        <v>17</v>
      </c>
      <c r="I314">
        <v>69872</v>
      </c>
      <c r="J314" s="3">
        <v>7.78</v>
      </c>
      <c r="K314" s="3">
        <v>543604.16</v>
      </c>
    </row>
    <row r="315" spans="1:11" x14ac:dyDescent="0.2">
      <c r="A315" s="1" t="s">
        <v>895</v>
      </c>
      <c r="B315" s="2">
        <v>45801</v>
      </c>
      <c r="C315" s="1" t="s">
        <v>587</v>
      </c>
      <c r="D315" s="1" t="s">
        <v>588</v>
      </c>
      <c r="E315" s="1" t="s">
        <v>21</v>
      </c>
      <c r="F315" s="1" t="s">
        <v>195</v>
      </c>
      <c r="G315" s="1" t="s">
        <v>196</v>
      </c>
      <c r="H315" s="1" t="s">
        <v>48</v>
      </c>
      <c r="I315">
        <v>69977</v>
      </c>
      <c r="J315" s="3">
        <v>43.2</v>
      </c>
      <c r="K315" s="3">
        <v>3023006.4</v>
      </c>
    </row>
    <row r="316" spans="1:11" x14ac:dyDescent="0.2">
      <c r="A316" s="1" t="s">
        <v>896</v>
      </c>
      <c r="B316" s="2">
        <v>45954</v>
      </c>
      <c r="C316" s="1" t="s">
        <v>783</v>
      </c>
      <c r="D316" s="1" t="s">
        <v>784</v>
      </c>
      <c r="E316" s="1" t="s">
        <v>14</v>
      </c>
      <c r="F316" s="1" t="s">
        <v>184</v>
      </c>
      <c r="G316" s="1" t="s">
        <v>185</v>
      </c>
      <c r="H316" s="1" t="s">
        <v>17</v>
      </c>
      <c r="I316">
        <v>27953</v>
      </c>
      <c r="J316" s="3">
        <v>45.42</v>
      </c>
      <c r="K316" s="3">
        <v>1269625.26</v>
      </c>
    </row>
    <row r="317" spans="1:11" x14ac:dyDescent="0.2">
      <c r="A317" s="1" t="s">
        <v>897</v>
      </c>
      <c r="B317" s="2">
        <v>45956</v>
      </c>
      <c r="C317" s="1" t="s">
        <v>705</v>
      </c>
      <c r="D317" s="1" t="s">
        <v>706</v>
      </c>
      <c r="E317" s="1" t="s">
        <v>28</v>
      </c>
      <c r="F317" s="1" t="s">
        <v>552</v>
      </c>
      <c r="G317" s="1" t="s">
        <v>553</v>
      </c>
      <c r="H317" s="1" t="s">
        <v>37</v>
      </c>
      <c r="I317">
        <v>94949</v>
      </c>
      <c r="J317" s="3">
        <v>30.92</v>
      </c>
      <c r="K317" s="3">
        <v>2935823.08</v>
      </c>
    </row>
    <row r="318" spans="1:11" x14ac:dyDescent="0.2">
      <c r="A318" s="1" t="s">
        <v>898</v>
      </c>
      <c r="B318" s="2">
        <v>45988</v>
      </c>
      <c r="C318" s="1" t="s">
        <v>55</v>
      </c>
      <c r="D318" s="1" t="s">
        <v>56</v>
      </c>
      <c r="E318" s="1" t="s">
        <v>21</v>
      </c>
      <c r="F318" s="1" t="s">
        <v>540</v>
      </c>
      <c r="G318" s="1" t="s">
        <v>541</v>
      </c>
      <c r="H318" s="1" t="s">
        <v>37</v>
      </c>
      <c r="I318">
        <v>78428</v>
      </c>
      <c r="J318" s="3">
        <v>16.37</v>
      </c>
      <c r="K318" s="3">
        <v>1283866.3600000001</v>
      </c>
    </row>
    <row r="319" spans="1:11" x14ac:dyDescent="0.2">
      <c r="A319" s="1" t="s">
        <v>899</v>
      </c>
      <c r="B319" s="2">
        <v>45759</v>
      </c>
      <c r="C319" s="1" t="s">
        <v>235</v>
      </c>
      <c r="D319" s="1" t="s">
        <v>236</v>
      </c>
      <c r="E319" s="1" t="s">
        <v>14</v>
      </c>
      <c r="F319" s="1" t="s">
        <v>29</v>
      </c>
      <c r="G319" s="1" t="s">
        <v>30</v>
      </c>
      <c r="H319" s="1" t="s">
        <v>24</v>
      </c>
      <c r="I319">
        <v>69523</v>
      </c>
      <c r="J319" s="3">
        <v>38.22</v>
      </c>
      <c r="K319" s="3">
        <v>2657169.06</v>
      </c>
    </row>
    <row r="320" spans="1:11" x14ac:dyDescent="0.2">
      <c r="A320" s="1" t="s">
        <v>900</v>
      </c>
      <c r="B320" s="2">
        <v>45701</v>
      </c>
      <c r="C320" s="1" t="s">
        <v>901</v>
      </c>
      <c r="D320" s="1" t="s">
        <v>902</v>
      </c>
      <c r="E320" s="1" t="s">
        <v>21</v>
      </c>
      <c r="F320" s="1" t="s">
        <v>237</v>
      </c>
      <c r="G320" s="1" t="s">
        <v>238</v>
      </c>
      <c r="H320" s="1" t="s">
        <v>17</v>
      </c>
      <c r="I320">
        <v>94308</v>
      </c>
      <c r="J320" s="3">
        <v>32.65</v>
      </c>
      <c r="K320" s="3">
        <v>3079156.2</v>
      </c>
    </row>
    <row r="321" spans="1:11" x14ac:dyDescent="0.2">
      <c r="A321" s="1" t="s">
        <v>903</v>
      </c>
      <c r="B321" s="2">
        <v>45847</v>
      </c>
      <c r="C321" s="1" t="s">
        <v>664</v>
      </c>
      <c r="D321" s="1" t="s">
        <v>665</v>
      </c>
      <c r="E321" s="1" t="s">
        <v>21</v>
      </c>
      <c r="F321" s="1" t="s">
        <v>552</v>
      </c>
      <c r="G321" s="1" t="s">
        <v>553</v>
      </c>
      <c r="H321" s="1" t="s">
        <v>37</v>
      </c>
      <c r="I321">
        <v>2290</v>
      </c>
      <c r="J321" s="3">
        <v>20.92</v>
      </c>
      <c r="K321" s="3">
        <v>47906.8</v>
      </c>
    </row>
    <row r="322" spans="1:11" x14ac:dyDescent="0.2">
      <c r="A322" s="1" t="s">
        <v>904</v>
      </c>
      <c r="B322" s="2">
        <v>45661</v>
      </c>
      <c r="C322" s="1" t="s">
        <v>905</v>
      </c>
      <c r="D322" s="1" t="s">
        <v>906</v>
      </c>
      <c r="E322" s="1" t="s">
        <v>14</v>
      </c>
      <c r="F322" s="1" t="s">
        <v>474</v>
      </c>
      <c r="G322" s="1" t="s">
        <v>475</v>
      </c>
      <c r="H322" s="1" t="s">
        <v>48</v>
      </c>
      <c r="I322">
        <v>75667</v>
      </c>
      <c r="J322" s="3">
        <v>47.89</v>
      </c>
      <c r="K322" s="3">
        <v>3623692.63</v>
      </c>
    </row>
    <row r="323" spans="1:11" x14ac:dyDescent="0.2">
      <c r="A323" s="1" t="s">
        <v>907</v>
      </c>
      <c r="B323" s="2">
        <v>45598</v>
      </c>
      <c r="C323" s="1" t="s">
        <v>794</v>
      </c>
      <c r="D323" s="1" t="s">
        <v>795</v>
      </c>
      <c r="E323" s="1" t="s">
        <v>28</v>
      </c>
      <c r="F323" s="1" t="s">
        <v>350</v>
      </c>
      <c r="G323" s="1" t="s">
        <v>351</v>
      </c>
      <c r="H323" s="1" t="s">
        <v>37</v>
      </c>
      <c r="I323">
        <v>49724</v>
      </c>
      <c r="J323" s="3">
        <v>30.36</v>
      </c>
      <c r="K323" s="3">
        <v>1509620.64</v>
      </c>
    </row>
    <row r="324" spans="1:11" x14ac:dyDescent="0.2">
      <c r="A324" s="1" t="s">
        <v>908</v>
      </c>
      <c r="B324" s="2">
        <v>45741</v>
      </c>
      <c r="C324" s="1" t="s">
        <v>223</v>
      </c>
      <c r="D324" s="1" t="s">
        <v>224</v>
      </c>
      <c r="E324" s="1" t="s">
        <v>28</v>
      </c>
      <c r="F324" s="1" t="s">
        <v>76</v>
      </c>
      <c r="G324" s="1" t="s">
        <v>77</v>
      </c>
      <c r="H324" s="1" t="s">
        <v>48</v>
      </c>
      <c r="I324">
        <v>6503</v>
      </c>
      <c r="J324" s="3">
        <v>11.61</v>
      </c>
      <c r="K324" s="3">
        <v>75499.83</v>
      </c>
    </row>
    <row r="325" spans="1:11" x14ac:dyDescent="0.2">
      <c r="A325" s="1" t="s">
        <v>909</v>
      </c>
      <c r="B325" s="2">
        <v>45905</v>
      </c>
      <c r="C325" s="1" t="s">
        <v>910</v>
      </c>
      <c r="D325" s="1" t="s">
        <v>911</v>
      </c>
      <c r="E325" s="1" t="s">
        <v>28</v>
      </c>
      <c r="F325" s="1" t="s">
        <v>139</v>
      </c>
      <c r="G325" s="1" t="s">
        <v>140</v>
      </c>
      <c r="H325" s="1" t="s">
        <v>24</v>
      </c>
      <c r="I325">
        <v>56163</v>
      </c>
      <c r="J325" s="3">
        <v>10.69</v>
      </c>
      <c r="K325" s="3">
        <v>600382.47</v>
      </c>
    </row>
    <row r="326" spans="1:11" x14ac:dyDescent="0.2">
      <c r="A326" s="1" t="s">
        <v>912</v>
      </c>
      <c r="B326" s="2">
        <v>45721</v>
      </c>
      <c r="C326" s="1" t="s">
        <v>913</v>
      </c>
      <c r="D326" s="1" t="s">
        <v>914</v>
      </c>
      <c r="E326" s="1" t="s">
        <v>37</v>
      </c>
      <c r="F326" s="1" t="s">
        <v>22</v>
      </c>
      <c r="G326" s="1" t="s">
        <v>23</v>
      </c>
      <c r="H326" s="1" t="s">
        <v>24</v>
      </c>
      <c r="I326">
        <v>17058</v>
      </c>
      <c r="J326" s="3">
        <v>33.409999999999997</v>
      </c>
      <c r="K326" s="3">
        <v>569907.78</v>
      </c>
    </row>
    <row r="327" spans="1:11" x14ac:dyDescent="0.2">
      <c r="A327" s="1" t="s">
        <v>915</v>
      </c>
      <c r="B327" s="2">
        <v>45677</v>
      </c>
      <c r="C327" s="1" t="s">
        <v>916</v>
      </c>
      <c r="D327" s="1" t="s">
        <v>917</v>
      </c>
      <c r="E327" s="1" t="s">
        <v>28</v>
      </c>
      <c r="F327" s="1" t="s">
        <v>46</v>
      </c>
      <c r="G327" s="1" t="s">
        <v>47</v>
      </c>
      <c r="H327" s="1" t="s">
        <v>48</v>
      </c>
      <c r="I327">
        <v>51775</v>
      </c>
      <c r="J327" s="3">
        <v>16.88</v>
      </c>
      <c r="K327" s="3">
        <v>873962</v>
      </c>
    </row>
    <row r="328" spans="1:11" x14ac:dyDescent="0.2">
      <c r="A328" s="1" t="s">
        <v>918</v>
      </c>
      <c r="B328" s="2">
        <v>45476</v>
      </c>
      <c r="C328" s="1" t="s">
        <v>257</v>
      </c>
      <c r="D328" s="1" t="s">
        <v>258</v>
      </c>
      <c r="E328" s="1" t="s">
        <v>28</v>
      </c>
      <c r="F328" s="1" t="s">
        <v>350</v>
      </c>
      <c r="G328" s="1" t="s">
        <v>351</v>
      </c>
      <c r="H328" s="1" t="s">
        <v>37</v>
      </c>
      <c r="I328">
        <v>78573</v>
      </c>
      <c r="J328" s="3">
        <v>16.649999999999999</v>
      </c>
      <c r="K328" s="3">
        <v>1308240.45</v>
      </c>
    </row>
    <row r="329" spans="1:11" x14ac:dyDescent="0.2">
      <c r="A329" s="1" t="s">
        <v>919</v>
      </c>
      <c r="B329" s="2">
        <v>45887</v>
      </c>
      <c r="C329" s="1" t="s">
        <v>920</v>
      </c>
      <c r="D329" s="1" t="s">
        <v>921</v>
      </c>
      <c r="E329" s="1" t="s">
        <v>14</v>
      </c>
      <c r="F329" s="1" t="s">
        <v>70</v>
      </c>
      <c r="G329" s="1" t="s">
        <v>71</v>
      </c>
      <c r="H329" s="1" t="s">
        <v>72</v>
      </c>
      <c r="I329">
        <v>77533</v>
      </c>
      <c r="J329" s="3">
        <v>33.299999999999997</v>
      </c>
      <c r="K329" s="3">
        <v>2581848.9</v>
      </c>
    </row>
    <row r="330" spans="1:11" x14ac:dyDescent="0.2">
      <c r="A330" s="1" t="s">
        <v>922</v>
      </c>
      <c r="B330" s="2">
        <v>45773</v>
      </c>
      <c r="C330" s="1" t="s">
        <v>923</v>
      </c>
      <c r="D330" s="1" t="s">
        <v>924</v>
      </c>
      <c r="E330" s="1" t="s">
        <v>37</v>
      </c>
      <c r="F330" s="1" t="s">
        <v>251</v>
      </c>
      <c r="G330" s="1" t="s">
        <v>252</v>
      </c>
      <c r="H330" s="1" t="s">
        <v>72</v>
      </c>
      <c r="I330">
        <v>54584</v>
      </c>
      <c r="J330" s="3">
        <v>21.74</v>
      </c>
      <c r="K330" s="3">
        <v>1186656.1599999999</v>
      </c>
    </row>
    <row r="331" spans="1:11" x14ac:dyDescent="0.2">
      <c r="A331" s="1" t="s">
        <v>925</v>
      </c>
      <c r="B331" s="2">
        <v>45411</v>
      </c>
      <c r="C331" s="1" t="s">
        <v>926</v>
      </c>
      <c r="D331" s="1" t="s">
        <v>927</v>
      </c>
      <c r="E331" s="1" t="s">
        <v>28</v>
      </c>
      <c r="F331" s="1" t="s">
        <v>144</v>
      </c>
      <c r="G331" s="1" t="s">
        <v>145</v>
      </c>
      <c r="H331" s="1" t="s">
        <v>24</v>
      </c>
      <c r="I331">
        <v>75635</v>
      </c>
      <c r="J331" s="3">
        <v>9.9</v>
      </c>
      <c r="K331" s="3">
        <v>748786.5</v>
      </c>
    </row>
    <row r="332" spans="1:11" x14ac:dyDescent="0.2">
      <c r="A332" s="1" t="s">
        <v>928</v>
      </c>
      <c r="B332" s="2">
        <v>45794</v>
      </c>
      <c r="C332" s="1" t="s">
        <v>929</v>
      </c>
      <c r="D332" s="1" t="s">
        <v>930</v>
      </c>
      <c r="E332" s="1" t="s">
        <v>28</v>
      </c>
      <c r="F332" s="1" t="s">
        <v>152</v>
      </c>
      <c r="G332" s="1" t="s">
        <v>153</v>
      </c>
      <c r="H332" s="1" t="s">
        <v>17</v>
      </c>
      <c r="I332">
        <v>48634</v>
      </c>
      <c r="J332" s="3">
        <v>37.47</v>
      </c>
      <c r="K332" s="3">
        <v>1822315.98</v>
      </c>
    </row>
    <row r="333" spans="1:11" x14ac:dyDescent="0.2">
      <c r="A333" s="1" t="s">
        <v>931</v>
      </c>
      <c r="B333" s="2">
        <v>45825</v>
      </c>
      <c r="C333" s="1" t="s">
        <v>932</v>
      </c>
      <c r="D333" s="1" t="s">
        <v>933</v>
      </c>
      <c r="E333" s="1" t="s">
        <v>14</v>
      </c>
      <c r="F333" s="1" t="s">
        <v>152</v>
      </c>
      <c r="G333" s="1" t="s">
        <v>153</v>
      </c>
      <c r="H333" s="1" t="s">
        <v>17</v>
      </c>
      <c r="I333">
        <v>81996</v>
      </c>
      <c r="J333" s="3">
        <v>31.08</v>
      </c>
      <c r="K333" s="3">
        <v>2548435.6800000002</v>
      </c>
    </row>
    <row r="334" spans="1:11" x14ac:dyDescent="0.2">
      <c r="A334" s="1" t="s">
        <v>934</v>
      </c>
      <c r="B334" s="2">
        <v>45846</v>
      </c>
      <c r="C334" s="1" t="s">
        <v>445</v>
      </c>
      <c r="D334" s="1" t="s">
        <v>446</v>
      </c>
      <c r="E334" s="1" t="s">
        <v>34</v>
      </c>
      <c r="F334" s="1" t="s">
        <v>165</v>
      </c>
      <c r="G334" s="1" t="s">
        <v>166</v>
      </c>
      <c r="H334" s="1" t="s">
        <v>24</v>
      </c>
      <c r="I334">
        <v>37454</v>
      </c>
      <c r="J334" s="3">
        <v>44.36</v>
      </c>
      <c r="K334" s="3">
        <v>1661459.44</v>
      </c>
    </row>
    <row r="335" spans="1:11" x14ac:dyDescent="0.2">
      <c r="A335" s="1" t="s">
        <v>935</v>
      </c>
      <c r="B335" s="2">
        <v>45982</v>
      </c>
      <c r="C335" s="1" t="s">
        <v>936</v>
      </c>
      <c r="D335" s="1" t="s">
        <v>937</v>
      </c>
      <c r="E335" s="1" t="s">
        <v>28</v>
      </c>
      <c r="F335" s="1" t="s">
        <v>108</v>
      </c>
      <c r="G335" s="1" t="s">
        <v>109</v>
      </c>
      <c r="H335" s="1" t="s">
        <v>37</v>
      </c>
      <c r="I335">
        <v>19048</v>
      </c>
      <c r="J335" s="3">
        <v>31.58</v>
      </c>
      <c r="K335" s="3">
        <v>601535.84</v>
      </c>
    </row>
    <row r="336" spans="1:11" x14ac:dyDescent="0.2">
      <c r="A336" s="1" t="s">
        <v>938</v>
      </c>
      <c r="B336" s="2">
        <v>45831</v>
      </c>
      <c r="C336" s="1" t="s">
        <v>26</v>
      </c>
      <c r="D336" s="1" t="s">
        <v>27</v>
      </c>
      <c r="E336" s="1" t="s">
        <v>28</v>
      </c>
      <c r="F336" s="1" t="s">
        <v>98</v>
      </c>
      <c r="G336" s="1" t="s">
        <v>99</v>
      </c>
      <c r="H336" s="1" t="s">
        <v>72</v>
      </c>
      <c r="I336">
        <v>18700</v>
      </c>
      <c r="J336" s="3">
        <v>13.27</v>
      </c>
      <c r="K336" s="3">
        <v>248149</v>
      </c>
    </row>
    <row r="337" spans="1:11" x14ac:dyDescent="0.2">
      <c r="A337" s="1" t="s">
        <v>939</v>
      </c>
      <c r="B337" s="2">
        <v>45358</v>
      </c>
      <c r="C337" s="1" t="s">
        <v>874</v>
      </c>
      <c r="D337" s="1" t="s">
        <v>875</v>
      </c>
      <c r="E337" s="1" t="s">
        <v>21</v>
      </c>
      <c r="F337" s="1" t="s">
        <v>70</v>
      </c>
      <c r="G337" s="1" t="s">
        <v>71</v>
      </c>
      <c r="H337" s="1" t="s">
        <v>72</v>
      </c>
      <c r="I337">
        <v>46197</v>
      </c>
      <c r="J337" s="3">
        <v>40.89</v>
      </c>
      <c r="K337" s="3">
        <v>1888995.33</v>
      </c>
    </row>
    <row r="338" spans="1:11" x14ac:dyDescent="0.2">
      <c r="A338" s="1" t="s">
        <v>940</v>
      </c>
      <c r="B338" s="2">
        <v>45308</v>
      </c>
      <c r="C338" s="1" t="s">
        <v>730</v>
      </c>
      <c r="D338" s="1" t="s">
        <v>731</v>
      </c>
      <c r="E338" s="1" t="s">
        <v>14</v>
      </c>
      <c r="F338" s="1" t="s">
        <v>510</v>
      </c>
      <c r="G338" s="1" t="s">
        <v>511</v>
      </c>
      <c r="H338" s="1" t="s">
        <v>17</v>
      </c>
      <c r="I338">
        <v>60709</v>
      </c>
      <c r="J338" s="3">
        <v>42.21</v>
      </c>
      <c r="K338" s="3">
        <v>2562526.89</v>
      </c>
    </row>
    <row r="339" spans="1:11" x14ac:dyDescent="0.2">
      <c r="A339" s="1" t="s">
        <v>941</v>
      </c>
      <c r="B339" s="2">
        <v>45653</v>
      </c>
      <c r="C339" s="1" t="s">
        <v>942</v>
      </c>
      <c r="D339" s="1" t="s">
        <v>943</v>
      </c>
      <c r="E339" s="1" t="s">
        <v>28</v>
      </c>
      <c r="F339" s="1" t="s">
        <v>474</v>
      </c>
      <c r="G339" s="1" t="s">
        <v>475</v>
      </c>
      <c r="H339" s="1" t="s">
        <v>48</v>
      </c>
      <c r="I339">
        <v>70110</v>
      </c>
      <c r="J339" s="3">
        <v>19.97</v>
      </c>
      <c r="K339" s="3">
        <v>1400096.7</v>
      </c>
    </row>
    <row r="340" spans="1:11" x14ac:dyDescent="0.2">
      <c r="A340" s="1" t="s">
        <v>944</v>
      </c>
      <c r="B340" s="2">
        <v>45837</v>
      </c>
      <c r="C340" s="1" t="s">
        <v>945</v>
      </c>
      <c r="D340" s="1" t="s">
        <v>946</v>
      </c>
      <c r="E340" s="1" t="s">
        <v>14</v>
      </c>
      <c r="F340" s="1" t="s">
        <v>406</v>
      </c>
      <c r="G340" s="1" t="s">
        <v>407</v>
      </c>
      <c r="H340" s="1" t="s">
        <v>17</v>
      </c>
      <c r="I340">
        <v>91680</v>
      </c>
      <c r="J340" s="3">
        <v>16.559999999999999</v>
      </c>
      <c r="K340" s="3">
        <v>1518220.8</v>
      </c>
    </row>
    <row r="341" spans="1:11" x14ac:dyDescent="0.2">
      <c r="A341" s="1" t="s">
        <v>947</v>
      </c>
      <c r="B341" s="2">
        <v>45348</v>
      </c>
      <c r="C341" s="1" t="s">
        <v>948</v>
      </c>
      <c r="D341" s="1" t="s">
        <v>949</v>
      </c>
      <c r="E341" s="1" t="s">
        <v>21</v>
      </c>
      <c r="F341" s="1" t="s">
        <v>406</v>
      </c>
      <c r="G341" s="1" t="s">
        <v>407</v>
      </c>
      <c r="H341" s="1" t="s">
        <v>17</v>
      </c>
      <c r="I341">
        <v>38756</v>
      </c>
      <c r="J341" s="3">
        <v>24.98</v>
      </c>
      <c r="K341" s="3">
        <v>968124.88</v>
      </c>
    </row>
    <row r="342" spans="1:11" x14ac:dyDescent="0.2">
      <c r="A342" s="1" t="s">
        <v>950</v>
      </c>
      <c r="B342" s="2">
        <v>45331</v>
      </c>
      <c r="C342" s="1" t="s">
        <v>951</v>
      </c>
      <c r="D342" s="1" t="s">
        <v>952</v>
      </c>
      <c r="E342" s="1" t="s">
        <v>14</v>
      </c>
      <c r="F342" s="1" t="s">
        <v>113</v>
      </c>
      <c r="G342" s="1" t="s">
        <v>114</v>
      </c>
      <c r="H342" s="1" t="s">
        <v>37</v>
      </c>
      <c r="I342">
        <v>41406</v>
      </c>
      <c r="J342" s="3">
        <v>49.87</v>
      </c>
      <c r="K342" s="3">
        <v>2064917.22</v>
      </c>
    </row>
    <row r="343" spans="1:11" x14ac:dyDescent="0.2">
      <c r="A343" s="1" t="s">
        <v>953</v>
      </c>
      <c r="B343" s="2">
        <v>45445</v>
      </c>
      <c r="C343" s="1" t="s">
        <v>692</v>
      </c>
      <c r="D343" s="1" t="s">
        <v>693</v>
      </c>
      <c r="E343" s="1" t="s">
        <v>28</v>
      </c>
      <c r="F343" s="1" t="s">
        <v>458</v>
      </c>
      <c r="G343" s="1" t="s">
        <v>459</v>
      </c>
      <c r="H343" s="1" t="s">
        <v>72</v>
      </c>
      <c r="I343">
        <v>57014</v>
      </c>
      <c r="J343" s="3">
        <v>33.119999999999997</v>
      </c>
      <c r="K343" s="3">
        <v>1888303.68</v>
      </c>
    </row>
    <row r="344" spans="1:11" x14ac:dyDescent="0.2">
      <c r="A344" s="1" t="s">
        <v>954</v>
      </c>
      <c r="B344" s="2">
        <v>45746</v>
      </c>
      <c r="C344" s="1" t="s">
        <v>955</v>
      </c>
      <c r="D344" s="1" t="s">
        <v>956</v>
      </c>
      <c r="E344" s="1" t="s">
        <v>28</v>
      </c>
      <c r="F344" s="1" t="s">
        <v>463</v>
      </c>
      <c r="G344" s="1" t="s">
        <v>464</v>
      </c>
      <c r="H344" s="1" t="s">
        <v>37</v>
      </c>
      <c r="I344">
        <v>89606</v>
      </c>
      <c r="J344" s="3">
        <v>36.69</v>
      </c>
      <c r="K344" s="3">
        <v>3287644.14</v>
      </c>
    </row>
    <row r="345" spans="1:11" x14ac:dyDescent="0.2">
      <c r="A345" s="1" t="s">
        <v>957</v>
      </c>
      <c r="B345" s="2">
        <v>45771</v>
      </c>
      <c r="C345" s="1" t="s">
        <v>182</v>
      </c>
      <c r="D345" s="1" t="s">
        <v>183</v>
      </c>
      <c r="E345" s="1" t="s">
        <v>14</v>
      </c>
      <c r="F345" s="1" t="s">
        <v>46</v>
      </c>
      <c r="G345" s="1" t="s">
        <v>47</v>
      </c>
      <c r="H345" s="1" t="s">
        <v>48</v>
      </c>
      <c r="I345">
        <v>58406</v>
      </c>
      <c r="J345" s="3">
        <v>38.39</v>
      </c>
      <c r="K345" s="3">
        <v>2242206.34</v>
      </c>
    </row>
    <row r="346" spans="1:11" x14ac:dyDescent="0.2">
      <c r="A346" s="1" t="s">
        <v>958</v>
      </c>
      <c r="B346" s="2">
        <v>45534</v>
      </c>
      <c r="C346" s="1" t="s">
        <v>391</v>
      </c>
      <c r="D346" s="1" t="s">
        <v>392</v>
      </c>
      <c r="E346" s="1" t="s">
        <v>37</v>
      </c>
      <c r="F346" s="1" t="s">
        <v>81</v>
      </c>
      <c r="G346" s="1" t="s">
        <v>82</v>
      </c>
      <c r="H346" s="1" t="s">
        <v>72</v>
      </c>
      <c r="I346">
        <v>45929</v>
      </c>
      <c r="J346" s="3">
        <v>6.06</v>
      </c>
      <c r="K346" s="3">
        <v>278329.74</v>
      </c>
    </row>
    <row r="347" spans="1:11" x14ac:dyDescent="0.2">
      <c r="A347" s="1" t="s">
        <v>959</v>
      </c>
      <c r="B347" s="2">
        <v>45381</v>
      </c>
      <c r="C347" s="1" t="s">
        <v>608</v>
      </c>
      <c r="D347" s="1" t="s">
        <v>609</v>
      </c>
      <c r="E347" s="1" t="s">
        <v>28</v>
      </c>
      <c r="F347" s="1" t="s">
        <v>98</v>
      </c>
      <c r="G347" s="1" t="s">
        <v>99</v>
      </c>
      <c r="H347" s="1" t="s">
        <v>72</v>
      </c>
      <c r="I347">
        <v>96207</v>
      </c>
      <c r="J347" s="3">
        <v>10</v>
      </c>
      <c r="K347" s="3">
        <v>962070</v>
      </c>
    </row>
    <row r="348" spans="1:11" x14ac:dyDescent="0.2">
      <c r="A348" s="1" t="s">
        <v>960</v>
      </c>
      <c r="B348" s="2">
        <v>45299</v>
      </c>
      <c r="C348" s="1" t="s">
        <v>502</v>
      </c>
      <c r="D348" s="1" t="s">
        <v>503</v>
      </c>
      <c r="E348" s="1" t="s">
        <v>14</v>
      </c>
      <c r="F348" s="1" t="s">
        <v>15</v>
      </c>
      <c r="G348" s="1" t="s">
        <v>16</v>
      </c>
      <c r="H348" s="1" t="s">
        <v>17</v>
      </c>
      <c r="I348">
        <v>11714</v>
      </c>
      <c r="J348" s="3">
        <v>24.67</v>
      </c>
      <c r="K348" s="3">
        <v>288984.38</v>
      </c>
    </row>
    <row r="349" spans="1:11" x14ac:dyDescent="0.2">
      <c r="A349" s="1" t="s">
        <v>961</v>
      </c>
      <c r="B349" s="2">
        <v>45392</v>
      </c>
      <c r="C349" s="1" t="s">
        <v>282</v>
      </c>
      <c r="D349" s="1" t="s">
        <v>283</v>
      </c>
      <c r="E349" s="1" t="s">
        <v>21</v>
      </c>
      <c r="F349" s="1" t="s">
        <v>76</v>
      </c>
      <c r="G349" s="1" t="s">
        <v>77</v>
      </c>
      <c r="H349" s="1" t="s">
        <v>48</v>
      </c>
      <c r="I349">
        <v>53460</v>
      </c>
      <c r="J349" s="3">
        <v>41.5</v>
      </c>
      <c r="K349" s="3">
        <v>2218590</v>
      </c>
    </row>
    <row r="350" spans="1:11" x14ac:dyDescent="0.2">
      <c r="A350" s="1" t="s">
        <v>962</v>
      </c>
      <c r="B350" s="2">
        <v>45840</v>
      </c>
      <c r="C350" s="1" t="s">
        <v>963</v>
      </c>
      <c r="D350" s="1" t="s">
        <v>964</v>
      </c>
      <c r="E350" s="1" t="s">
        <v>37</v>
      </c>
      <c r="F350" s="1" t="s">
        <v>228</v>
      </c>
      <c r="G350" s="1" t="s">
        <v>229</v>
      </c>
      <c r="H350" s="1" t="s">
        <v>48</v>
      </c>
      <c r="I350">
        <v>27851</v>
      </c>
      <c r="J350" s="3">
        <v>6.71</v>
      </c>
      <c r="K350" s="3">
        <v>186880.21</v>
      </c>
    </row>
    <row r="351" spans="1:11" x14ac:dyDescent="0.2">
      <c r="A351" s="1" t="s">
        <v>965</v>
      </c>
      <c r="B351" s="2">
        <v>45321</v>
      </c>
      <c r="C351" s="1" t="s">
        <v>966</v>
      </c>
      <c r="D351" s="1" t="s">
        <v>967</v>
      </c>
      <c r="E351" s="1" t="s">
        <v>34</v>
      </c>
      <c r="F351" s="1" t="s">
        <v>324</v>
      </c>
      <c r="G351" s="1" t="s">
        <v>325</v>
      </c>
      <c r="H351" s="1" t="s">
        <v>24</v>
      </c>
      <c r="I351">
        <v>80403</v>
      </c>
      <c r="J351" s="3">
        <v>27.2</v>
      </c>
      <c r="K351" s="3">
        <v>2186961.6</v>
      </c>
    </row>
    <row r="352" spans="1:11" x14ac:dyDescent="0.2">
      <c r="A352" s="1" t="s">
        <v>968</v>
      </c>
      <c r="B352" s="2">
        <v>45901</v>
      </c>
      <c r="C352" s="1" t="s">
        <v>969</v>
      </c>
      <c r="D352" s="1" t="s">
        <v>970</v>
      </c>
      <c r="E352" s="1" t="s">
        <v>37</v>
      </c>
      <c r="F352" s="1" t="s">
        <v>228</v>
      </c>
      <c r="G352" s="1" t="s">
        <v>229</v>
      </c>
      <c r="H352" s="1" t="s">
        <v>48</v>
      </c>
      <c r="I352">
        <v>75186</v>
      </c>
      <c r="J352" s="3">
        <v>2.29</v>
      </c>
      <c r="K352" s="3">
        <v>172175.94</v>
      </c>
    </row>
    <row r="353" spans="1:11" x14ac:dyDescent="0.2">
      <c r="A353" s="1" t="s">
        <v>971</v>
      </c>
      <c r="B353" s="2">
        <v>45725</v>
      </c>
      <c r="C353" s="1" t="s">
        <v>972</v>
      </c>
      <c r="D353" s="1" t="s">
        <v>973</v>
      </c>
      <c r="E353" s="1" t="s">
        <v>34</v>
      </c>
      <c r="F353" s="1" t="s">
        <v>176</v>
      </c>
      <c r="G353" s="1" t="s">
        <v>177</v>
      </c>
      <c r="H353" s="1" t="s">
        <v>37</v>
      </c>
      <c r="I353">
        <v>45348</v>
      </c>
      <c r="J353" s="3">
        <v>11.07</v>
      </c>
      <c r="K353" s="3">
        <v>502002.36</v>
      </c>
    </row>
    <row r="354" spans="1:11" x14ac:dyDescent="0.2">
      <c r="A354" s="1" t="s">
        <v>974</v>
      </c>
      <c r="B354" s="2">
        <v>45746</v>
      </c>
      <c r="C354" s="1" t="s">
        <v>975</v>
      </c>
      <c r="D354" s="1" t="s">
        <v>976</v>
      </c>
      <c r="E354" s="1" t="s">
        <v>28</v>
      </c>
      <c r="F354" s="1" t="s">
        <v>406</v>
      </c>
      <c r="G354" s="1" t="s">
        <v>407</v>
      </c>
      <c r="H354" s="1" t="s">
        <v>17</v>
      </c>
      <c r="I354">
        <v>94023</v>
      </c>
      <c r="J354" s="3">
        <v>19.52</v>
      </c>
      <c r="K354" s="3">
        <v>1835328.96</v>
      </c>
    </row>
    <row r="355" spans="1:11" x14ac:dyDescent="0.2">
      <c r="A355" s="1" t="s">
        <v>977</v>
      </c>
      <c r="B355" s="2">
        <v>45954</v>
      </c>
      <c r="C355" s="1" t="s">
        <v>688</v>
      </c>
      <c r="D355" s="1" t="s">
        <v>689</v>
      </c>
      <c r="E355" s="1" t="s">
        <v>37</v>
      </c>
      <c r="F355" s="1" t="s">
        <v>284</v>
      </c>
      <c r="G355" s="1" t="s">
        <v>285</v>
      </c>
      <c r="H355" s="1" t="s">
        <v>37</v>
      </c>
      <c r="I355">
        <v>4477</v>
      </c>
      <c r="J355" s="3">
        <v>5.53</v>
      </c>
      <c r="K355" s="3">
        <v>24757.81</v>
      </c>
    </row>
    <row r="356" spans="1:11" x14ac:dyDescent="0.2">
      <c r="A356" s="1" t="s">
        <v>978</v>
      </c>
      <c r="B356" s="2">
        <v>45476</v>
      </c>
      <c r="C356" s="1" t="s">
        <v>979</v>
      </c>
      <c r="D356" s="1" t="s">
        <v>980</v>
      </c>
      <c r="E356" s="1" t="s">
        <v>37</v>
      </c>
      <c r="F356" s="1" t="s">
        <v>195</v>
      </c>
      <c r="G356" s="1" t="s">
        <v>196</v>
      </c>
      <c r="H356" s="1" t="s">
        <v>48</v>
      </c>
      <c r="I356">
        <v>80837</v>
      </c>
      <c r="J356" s="3">
        <v>29.23</v>
      </c>
      <c r="K356" s="3">
        <v>2362865.5099999998</v>
      </c>
    </row>
    <row r="357" spans="1:11" x14ac:dyDescent="0.2">
      <c r="A357" s="1" t="s">
        <v>981</v>
      </c>
      <c r="B357" s="2">
        <v>45557</v>
      </c>
      <c r="C357" s="1" t="s">
        <v>955</v>
      </c>
      <c r="D357" s="1" t="s">
        <v>956</v>
      </c>
      <c r="E357" s="1" t="s">
        <v>28</v>
      </c>
      <c r="F357" s="1" t="s">
        <v>474</v>
      </c>
      <c r="G357" s="1" t="s">
        <v>475</v>
      </c>
      <c r="H357" s="1" t="s">
        <v>48</v>
      </c>
      <c r="I357">
        <v>39291</v>
      </c>
      <c r="J357" s="3">
        <v>33.11</v>
      </c>
      <c r="K357" s="3">
        <v>1300925.01</v>
      </c>
    </row>
    <row r="358" spans="1:11" x14ac:dyDescent="0.2">
      <c r="A358" s="1" t="s">
        <v>982</v>
      </c>
      <c r="B358" s="2">
        <v>45648</v>
      </c>
      <c r="C358" s="1" t="s">
        <v>206</v>
      </c>
      <c r="D358" s="1" t="s">
        <v>207</v>
      </c>
      <c r="E358" s="1" t="s">
        <v>14</v>
      </c>
      <c r="F358" s="1" t="s">
        <v>35</v>
      </c>
      <c r="G358" s="1" t="s">
        <v>36</v>
      </c>
      <c r="H358" s="1" t="s">
        <v>37</v>
      </c>
      <c r="I358">
        <v>75292</v>
      </c>
      <c r="J358" s="3">
        <v>38.18</v>
      </c>
      <c r="K358" s="3">
        <v>2874648.56</v>
      </c>
    </row>
    <row r="359" spans="1:11" x14ac:dyDescent="0.2">
      <c r="A359" s="1" t="s">
        <v>983</v>
      </c>
      <c r="B359" s="2">
        <v>45339</v>
      </c>
      <c r="C359" s="1" t="s">
        <v>984</v>
      </c>
      <c r="D359" s="1" t="s">
        <v>985</v>
      </c>
      <c r="E359" s="1" t="s">
        <v>14</v>
      </c>
      <c r="F359" s="1" t="s">
        <v>35</v>
      </c>
      <c r="G359" s="1" t="s">
        <v>36</v>
      </c>
      <c r="H359" s="1" t="s">
        <v>37</v>
      </c>
      <c r="I359">
        <v>84988</v>
      </c>
      <c r="J359" s="3">
        <v>29.23</v>
      </c>
      <c r="K359" s="3">
        <v>2484199.2400000002</v>
      </c>
    </row>
    <row r="360" spans="1:11" x14ac:dyDescent="0.2">
      <c r="A360" s="1" t="s">
        <v>986</v>
      </c>
      <c r="B360" s="2">
        <v>45837</v>
      </c>
      <c r="C360" s="1" t="s">
        <v>587</v>
      </c>
      <c r="D360" s="1" t="s">
        <v>588</v>
      </c>
      <c r="E360" s="1" t="s">
        <v>21</v>
      </c>
      <c r="F360" s="1" t="s">
        <v>70</v>
      </c>
      <c r="G360" s="1" t="s">
        <v>71</v>
      </c>
      <c r="H360" s="1" t="s">
        <v>72</v>
      </c>
      <c r="I360">
        <v>27436</v>
      </c>
      <c r="J360" s="3">
        <v>15.35</v>
      </c>
      <c r="K360" s="3">
        <v>421142.6</v>
      </c>
    </row>
    <row r="361" spans="1:11" x14ac:dyDescent="0.2">
      <c r="A361" s="1" t="s">
        <v>987</v>
      </c>
      <c r="B361" s="2">
        <v>45452</v>
      </c>
      <c r="C361" s="1" t="s">
        <v>362</v>
      </c>
      <c r="D361" s="1" t="s">
        <v>363</v>
      </c>
      <c r="E361" s="1" t="s">
        <v>37</v>
      </c>
      <c r="F361" s="1" t="s">
        <v>394</v>
      </c>
      <c r="G361" s="1" t="s">
        <v>395</v>
      </c>
      <c r="H361" s="1" t="s">
        <v>48</v>
      </c>
      <c r="I361">
        <v>68528</v>
      </c>
      <c r="J361" s="3">
        <v>47.16</v>
      </c>
      <c r="K361" s="3">
        <v>3231780.48</v>
      </c>
    </row>
    <row r="362" spans="1:11" x14ac:dyDescent="0.2">
      <c r="A362" s="1" t="s">
        <v>988</v>
      </c>
      <c r="B362" s="2">
        <v>45300</v>
      </c>
      <c r="C362" s="1" t="s">
        <v>160</v>
      </c>
      <c r="D362" s="1" t="s">
        <v>161</v>
      </c>
      <c r="E362" s="1" t="s">
        <v>21</v>
      </c>
      <c r="F362" s="1" t="s">
        <v>540</v>
      </c>
      <c r="G362" s="1" t="s">
        <v>541</v>
      </c>
      <c r="H362" s="1" t="s">
        <v>37</v>
      </c>
      <c r="I362">
        <v>30473</v>
      </c>
      <c r="J362" s="3">
        <v>2.06</v>
      </c>
      <c r="K362" s="3">
        <v>62774.38</v>
      </c>
    </row>
    <row r="363" spans="1:11" x14ac:dyDescent="0.2">
      <c r="A363" s="1" t="s">
        <v>989</v>
      </c>
      <c r="B363" s="2">
        <v>45776</v>
      </c>
      <c r="C363" s="1" t="s">
        <v>990</v>
      </c>
      <c r="D363" s="1" t="s">
        <v>991</v>
      </c>
      <c r="E363" s="1" t="s">
        <v>34</v>
      </c>
      <c r="F363" s="1" t="s">
        <v>510</v>
      </c>
      <c r="G363" s="1" t="s">
        <v>511</v>
      </c>
      <c r="H363" s="1" t="s">
        <v>17</v>
      </c>
      <c r="I363">
        <v>85586</v>
      </c>
      <c r="J363" s="3">
        <v>16.850000000000001</v>
      </c>
      <c r="K363" s="3">
        <v>1442124.1</v>
      </c>
    </row>
    <row r="364" spans="1:11" x14ac:dyDescent="0.2">
      <c r="A364" s="1" t="s">
        <v>992</v>
      </c>
      <c r="B364" s="2">
        <v>45425</v>
      </c>
      <c r="C364" s="1" t="s">
        <v>294</v>
      </c>
      <c r="D364" s="1" t="s">
        <v>295</v>
      </c>
      <c r="E364" s="1" t="s">
        <v>37</v>
      </c>
      <c r="F364" s="1" t="s">
        <v>157</v>
      </c>
      <c r="G364" s="1" t="s">
        <v>158</v>
      </c>
      <c r="H364" s="1" t="s">
        <v>48</v>
      </c>
      <c r="I364">
        <v>10698</v>
      </c>
      <c r="J364" s="3">
        <v>3.31</v>
      </c>
      <c r="K364" s="3">
        <v>35410.379999999997</v>
      </c>
    </row>
    <row r="365" spans="1:11" x14ac:dyDescent="0.2">
      <c r="A365" s="1" t="s">
        <v>993</v>
      </c>
      <c r="B365" s="2">
        <v>45356</v>
      </c>
      <c r="C365" s="1" t="s">
        <v>994</v>
      </c>
      <c r="D365" s="1" t="s">
        <v>995</v>
      </c>
      <c r="E365" s="1" t="s">
        <v>21</v>
      </c>
      <c r="F365" s="1" t="s">
        <v>165</v>
      </c>
      <c r="G365" s="1" t="s">
        <v>166</v>
      </c>
      <c r="H365" s="1" t="s">
        <v>24</v>
      </c>
      <c r="I365">
        <v>58135</v>
      </c>
      <c r="J365" s="3">
        <v>37.909999999999997</v>
      </c>
      <c r="K365" s="3">
        <v>2203897.85</v>
      </c>
    </row>
    <row r="366" spans="1:11" x14ac:dyDescent="0.2">
      <c r="A366" s="1" t="s">
        <v>996</v>
      </c>
      <c r="B366" s="2">
        <v>45347</v>
      </c>
      <c r="C366" s="1" t="s">
        <v>705</v>
      </c>
      <c r="D366" s="1" t="s">
        <v>706</v>
      </c>
      <c r="E366" s="1" t="s">
        <v>28</v>
      </c>
      <c r="F366" s="1" t="s">
        <v>139</v>
      </c>
      <c r="G366" s="1" t="s">
        <v>140</v>
      </c>
      <c r="H366" s="1" t="s">
        <v>24</v>
      </c>
      <c r="I366">
        <v>60868</v>
      </c>
      <c r="J366" s="3">
        <v>20.79</v>
      </c>
      <c r="K366" s="3">
        <v>1265445.72</v>
      </c>
    </row>
    <row r="367" spans="1:11" x14ac:dyDescent="0.2">
      <c r="A367" s="1" t="s">
        <v>997</v>
      </c>
      <c r="B367" s="2">
        <v>45454</v>
      </c>
      <c r="C367" s="1" t="s">
        <v>969</v>
      </c>
      <c r="D367" s="1" t="s">
        <v>970</v>
      </c>
      <c r="E367" s="1" t="s">
        <v>37</v>
      </c>
      <c r="F367" s="1" t="s">
        <v>103</v>
      </c>
      <c r="G367" s="1" t="s">
        <v>104</v>
      </c>
      <c r="H367" s="1" t="s">
        <v>37</v>
      </c>
      <c r="I367">
        <v>64062</v>
      </c>
      <c r="J367" s="3">
        <v>5.0199999999999996</v>
      </c>
      <c r="K367" s="3">
        <v>321591.24</v>
      </c>
    </row>
    <row r="368" spans="1:11" x14ac:dyDescent="0.2">
      <c r="A368" s="1" t="s">
        <v>998</v>
      </c>
      <c r="B368" s="2">
        <v>45327</v>
      </c>
      <c r="C368" s="1" t="s">
        <v>844</v>
      </c>
      <c r="D368" s="1" t="s">
        <v>845</v>
      </c>
      <c r="E368" s="1" t="s">
        <v>37</v>
      </c>
      <c r="F368" s="1" t="s">
        <v>144</v>
      </c>
      <c r="G368" s="1" t="s">
        <v>145</v>
      </c>
      <c r="H368" s="1" t="s">
        <v>24</v>
      </c>
      <c r="I368">
        <v>94451</v>
      </c>
      <c r="J368" s="3">
        <v>18.420000000000002</v>
      </c>
      <c r="K368" s="3">
        <v>1739787.42</v>
      </c>
    </row>
    <row r="369" spans="1:11" x14ac:dyDescent="0.2">
      <c r="A369" s="1" t="s">
        <v>999</v>
      </c>
      <c r="B369" s="2">
        <v>45768</v>
      </c>
      <c r="C369" s="1" t="s">
        <v>910</v>
      </c>
      <c r="D369" s="1" t="s">
        <v>911</v>
      </c>
      <c r="E369" s="1" t="s">
        <v>28</v>
      </c>
      <c r="F369" s="1" t="s">
        <v>761</v>
      </c>
      <c r="G369" s="1" t="s">
        <v>762</v>
      </c>
      <c r="H369" s="1" t="s">
        <v>48</v>
      </c>
      <c r="I369">
        <v>37755</v>
      </c>
      <c r="J369" s="3">
        <v>46.14</v>
      </c>
      <c r="K369" s="3">
        <v>1742015.7</v>
      </c>
    </row>
    <row r="370" spans="1:11" x14ac:dyDescent="0.2">
      <c r="A370" s="1" t="s">
        <v>1000</v>
      </c>
      <c r="B370" s="2">
        <v>45301</v>
      </c>
      <c r="C370" s="1" t="s">
        <v>1001</v>
      </c>
      <c r="D370" s="1" t="s">
        <v>1002</v>
      </c>
      <c r="E370" s="1" t="s">
        <v>37</v>
      </c>
      <c r="F370" s="1" t="s">
        <v>103</v>
      </c>
      <c r="G370" s="1" t="s">
        <v>104</v>
      </c>
      <c r="H370" s="1" t="s">
        <v>37</v>
      </c>
      <c r="I370">
        <v>52666</v>
      </c>
      <c r="J370" s="3">
        <v>11.26</v>
      </c>
      <c r="K370" s="3">
        <v>593019.16</v>
      </c>
    </row>
    <row r="371" spans="1:11" x14ac:dyDescent="0.2">
      <c r="A371" s="1" t="s">
        <v>1003</v>
      </c>
      <c r="B371" s="2">
        <v>45646</v>
      </c>
      <c r="C371" s="1" t="s">
        <v>1004</v>
      </c>
      <c r="D371" s="1" t="s">
        <v>1005</v>
      </c>
      <c r="E371" s="1" t="s">
        <v>21</v>
      </c>
      <c r="F371" s="1" t="s">
        <v>176</v>
      </c>
      <c r="G371" s="1" t="s">
        <v>177</v>
      </c>
      <c r="H371" s="1" t="s">
        <v>37</v>
      </c>
      <c r="I371">
        <v>39888</v>
      </c>
      <c r="J371" s="3">
        <v>42.11</v>
      </c>
      <c r="K371" s="3">
        <v>1679683.68</v>
      </c>
    </row>
    <row r="372" spans="1:11" x14ac:dyDescent="0.2">
      <c r="A372" s="1" t="s">
        <v>1006</v>
      </c>
      <c r="B372" s="2">
        <v>45447</v>
      </c>
      <c r="C372" s="1" t="s">
        <v>1007</v>
      </c>
      <c r="D372" s="1" t="s">
        <v>1008</v>
      </c>
      <c r="E372" s="1" t="s">
        <v>37</v>
      </c>
      <c r="F372" s="1" t="s">
        <v>540</v>
      </c>
      <c r="G372" s="1" t="s">
        <v>541</v>
      </c>
      <c r="H372" s="1" t="s">
        <v>37</v>
      </c>
      <c r="I372">
        <v>99277</v>
      </c>
      <c r="J372" s="3">
        <v>10</v>
      </c>
      <c r="K372" s="3">
        <v>992770</v>
      </c>
    </row>
    <row r="373" spans="1:11" x14ac:dyDescent="0.2">
      <c r="A373" s="1" t="s">
        <v>1009</v>
      </c>
      <c r="B373" s="2">
        <v>45308</v>
      </c>
      <c r="C373" s="1" t="s">
        <v>404</v>
      </c>
      <c r="D373" s="1" t="s">
        <v>405</v>
      </c>
      <c r="E373" s="1" t="s">
        <v>37</v>
      </c>
      <c r="F373" s="1" t="s">
        <v>29</v>
      </c>
      <c r="G373" s="1" t="s">
        <v>30</v>
      </c>
      <c r="H373" s="1" t="s">
        <v>24</v>
      </c>
      <c r="I373">
        <v>90511</v>
      </c>
      <c r="J373" s="3">
        <v>17.62</v>
      </c>
      <c r="K373" s="3">
        <v>1594803.82</v>
      </c>
    </row>
    <row r="374" spans="1:11" x14ac:dyDescent="0.2">
      <c r="A374" s="1" t="s">
        <v>1010</v>
      </c>
      <c r="B374" s="2">
        <v>45541</v>
      </c>
      <c r="C374" s="1" t="s">
        <v>1011</v>
      </c>
      <c r="D374" s="1" t="s">
        <v>1012</v>
      </c>
      <c r="E374" s="1" t="s">
        <v>21</v>
      </c>
      <c r="F374" s="1" t="s">
        <v>157</v>
      </c>
      <c r="G374" s="1" t="s">
        <v>158</v>
      </c>
      <c r="H374" s="1" t="s">
        <v>48</v>
      </c>
      <c r="I374">
        <v>44907</v>
      </c>
      <c r="J374" s="3">
        <v>22.72</v>
      </c>
      <c r="K374" s="3">
        <v>1020287.04</v>
      </c>
    </row>
    <row r="375" spans="1:11" x14ac:dyDescent="0.2">
      <c r="A375" s="1" t="s">
        <v>1013</v>
      </c>
      <c r="B375" s="2">
        <v>45688</v>
      </c>
      <c r="C375" s="1" t="s">
        <v>1014</v>
      </c>
      <c r="D375" s="1" t="s">
        <v>1015</v>
      </c>
      <c r="E375" s="1" t="s">
        <v>34</v>
      </c>
      <c r="F375" s="1" t="s">
        <v>228</v>
      </c>
      <c r="G375" s="1" t="s">
        <v>229</v>
      </c>
      <c r="H375" s="1" t="s">
        <v>48</v>
      </c>
      <c r="I375">
        <v>97446</v>
      </c>
      <c r="J375" s="3">
        <v>33.99</v>
      </c>
      <c r="K375" s="3">
        <v>3312189.54</v>
      </c>
    </row>
    <row r="376" spans="1:11" x14ac:dyDescent="0.2">
      <c r="A376" s="1" t="s">
        <v>1016</v>
      </c>
      <c r="B376" s="2">
        <v>45906</v>
      </c>
      <c r="C376" s="1" t="s">
        <v>1017</v>
      </c>
      <c r="D376" s="1" t="s">
        <v>1018</v>
      </c>
      <c r="E376" s="1" t="s">
        <v>34</v>
      </c>
      <c r="F376" s="1" t="s">
        <v>113</v>
      </c>
      <c r="G376" s="1" t="s">
        <v>114</v>
      </c>
      <c r="H376" s="1" t="s">
        <v>37</v>
      </c>
      <c r="I376">
        <v>77925</v>
      </c>
      <c r="J376" s="3">
        <v>24.11</v>
      </c>
      <c r="K376" s="3">
        <v>1878771.75</v>
      </c>
    </row>
    <row r="377" spans="1:11" x14ac:dyDescent="0.2">
      <c r="A377" s="1" t="s">
        <v>1019</v>
      </c>
      <c r="B377" s="2">
        <v>45661</v>
      </c>
      <c r="C377" s="1" t="s">
        <v>1020</v>
      </c>
      <c r="D377" s="1" t="s">
        <v>1021</v>
      </c>
      <c r="E377" s="1" t="s">
        <v>14</v>
      </c>
      <c r="F377" s="1" t="s">
        <v>268</v>
      </c>
      <c r="G377" s="1" t="s">
        <v>269</v>
      </c>
      <c r="H377" s="1" t="s">
        <v>72</v>
      </c>
      <c r="I377">
        <v>91920</v>
      </c>
      <c r="J377" s="3">
        <v>9.0399999999999991</v>
      </c>
      <c r="K377" s="3">
        <v>830956.8</v>
      </c>
    </row>
    <row r="378" spans="1:11" x14ac:dyDescent="0.2">
      <c r="A378" s="1" t="s">
        <v>1022</v>
      </c>
      <c r="B378" s="2">
        <v>45698</v>
      </c>
      <c r="C378" s="1" t="s">
        <v>1023</v>
      </c>
      <c r="D378" s="1" t="s">
        <v>1024</v>
      </c>
      <c r="E378" s="1" t="s">
        <v>37</v>
      </c>
      <c r="F378" s="1" t="s">
        <v>474</v>
      </c>
      <c r="G378" s="1" t="s">
        <v>475</v>
      </c>
      <c r="H378" s="1" t="s">
        <v>48</v>
      </c>
      <c r="I378">
        <v>69191</v>
      </c>
      <c r="J378" s="3">
        <v>22.28</v>
      </c>
      <c r="K378" s="3">
        <v>1541575.48</v>
      </c>
    </row>
    <row r="379" spans="1:11" x14ac:dyDescent="0.2">
      <c r="A379" s="1" t="s">
        <v>1025</v>
      </c>
      <c r="B379" s="2">
        <v>45313</v>
      </c>
      <c r="C379" s="1" t="s">
        <v>445</v>
      </c>
      <c r="D379" s="1" t="s">
        <v>446</v>
      </c>
      <c r="E379" s="1" t="s">
        <v>34</v>
      </c>
      <c r="F379" s="1" t="s">
        <v>251</v>
      </c>
      <c r="G379" s="1" t="s">
        <v>252</v>
      </c>
      <c r="H379" s="1" t="s">
        <v>72</v>
      </c>
      <c r="I379">
        <v>66740</v>
      </c>
      <c r="J379" s="3">
        <v>32.35</v>
      </c>
      <c r="K379" s="3">
        <v>2159039</v>
      </c>
    </row>
    <row r="380" spans="1:11" x14ac:dyDescent="0.2">
      <c r="A380" s="1" t="s">
        <v>1026</v>
      </c>
      <c r="B380" s="2">
        <v>45903</v>
      </c>
      <c r="C380" s="1" t="s">
        <v>599</v>
      </c>
      <c r="D380" s="1" t="s">
        <v>600</v>
      </c>
      <c r="E380" s="1" t="s">
        <v>37</v>
      </c>
      <c r="F380" s="1" t="s">
        <v>81</v>
      </c>
      <c r="G380" s="1" t="s">
        <v>82</v>
      </c>
      <c r="H380" s="1" t="s">
        <v>72</v>
      </c>
      <c r="I380">
        <v>4526</v>
      </c>
      <c r="J380" s="3">
        <v>44.09</v>
      </c>
      <c r="K380" s="3">
        <v>199551.34</v>
      </c>
    </row>
    <row r="381" spans="1:11" x14ac:dyDescent="0.2">
      <c r="A381" s="1" t="s">
        <v>1027</v>
      </c>
      <c r="B381" s="2">
        <v>45663</v>
      </c>
      <c r="C381" s="1" t="s">
        <v>1028</v>
      </c>
      <c r="D381" s="1" t="s">
        <v>1029</v>
      </c>
      <c r="E381" s="1" t="s">
        <v>14</v>
      </c>
      <c r="F381" s="1" t="s">
        <v>510</v>
      </c>
      <c r="G381" s="1" t="s">
        <v>511</v>
      </c>
      <c r="H381" s="1" t="s">
        <v>17</v>
      </c>
      <c r="I381">
        <v>96692</v>
      </c>
      <c r="J381" s="3">
        <v>46.24</v>
      </c>
      <c r="K381" s="3">
        <v>4471038.08</v>
      </c>
    </row>
    <row r="382" spans="1:11" x14ac:dyDescent="0.2">
      <c r="A382" s="1" t="s">
        <v>1030</v>
      </c>
      <c r="B382" s="2">
        <v>45410</v>
      </c>
      <c r="C382" s="1" t="s">
        <v>767</v>
      </c>
      <c r="D382" s="1" t="s">
        <v>768</v>
      </c>
      <c r="E382" s="1" t="s">
        <v>28</v>
      </c>
      <c r="F382" s="1" t="s">
        <v>98</v>
      </c>
      <c r="G382" s="1" t="s">
        <v>99</v>
      </c>
      <c r="H382" s="1" t="s">
        <v>72</v>
      </c>
      <c r="I382">
        <v>43843</v>
      </c>
      <c r="J382" s="3">
        <v>15.24</v>
      </c>
      <c r="K382" s="3">
        <v>668167.31999999995</v>
      </c>
    </row>
    <row r="383" spans="1:11" x14ac:dyDescent="0.2">
      <c r="A383" s="1" t="s">
        <v>1031</v>
      </c>
      <c r="B383" s="2">
        <v>45458</v>
      </c>
      <c r="C383" s="1" t="s">
        <v>1032</v>
      </c>
      <c r="D383" s="1" t="s">
        <v>1033</v>
      </c>
      <c r="E383" s="1" t="s">
        <v>34</v>
      </c>
      <c r="F383" s="1" t="s">
        <v>273</v>
      </c>
      <c r="G383" s="1" t="s">
        <v>274</v>
      </c>
      <c r="H383" s="1" t="s">
        <v>24</v>
      </c>
      <c r="I383">
        <v>59791</v>
      </c>
      <c r="J383" s="3">
        <v>29.37</v>
      </c>
      <c r="K383" s="3">
        <v>1756061.67</v>
      </c>
    </row>
    <row r="384" spans="1:11" x14ac:dyDescent="0.2">
      <c r="A384" s="1" t="s">
        <v>1034</v>
      </c>
      <c r="B384" s="2">
        <v>45681</v>
      </c>
      <c r="C384" s="1" t="s">
        <v>434</v>
      </c>
      <c r="D384" s="1" t="s">
        <v>435</v>
      </c>
      <c r="E384" s="1" t="s">
        <v>21</v>
      </c>
      <c r="F384" s="1" t="s">
        <v>113</v>
      </c>
      <c r="G384" s="1" t="s">
        <v>114</v>
      </c>
      <c r="H384" s="1" t="s">
        <v>37</v>
      </c>
      <c r="I384">
        <v>40910</v>
      </c>
      <c r="J384" s="3">
        <v>25.73</v>
      </c>
      <c r="K384" s="3">
        <v>1052614.3</v>
      </c>
    </row>
    <row r="385" spans="1:11" x14ac:dyDescent="0.2">
      <c r="A385" s="1" t="s">
        <v>1035</v>
      </c>
      <c r="B385" s="2">
        <v>45431</v>
      </c>
      <c r="C385" s="1" t="s">
        <v>1036</v>
      </c>
      <c r="D385" s="1" t="s">
        <v>1037</v>
      </c>
      <c r="E385" s="1" t="s">
        <v>21</v>
      </c>
      <c r="F385" s="1" t="s">
        <v>52</v>
      </c>
      <c r="G385" s="1" t="s">
        <v>53</v>
      </c>
      <c r="H385" s="1" t="s">
        <v>17</v>
      </c>
      <c r="I385">
        <v>38980</v>
      </c>
      <c r="J385" s="3">
        <v>24.81</v>
      </c>
      <c r="K385" s="3">
        <v>967093.8</v>
      </c>
    </row>
    <row r="386" spans="1:11" x14ac:dyDescent="0.2">
      <c r="A386" s="1" t="s">
        <v>1038</v>
      </c>
      <c r="B386" s="2">
        <v>45308</v>
      </c>
      <c r="C386" s="1" t="s">
        <v>1039</v>
      </c>
      <c r="D386" s="1" t="s">
        <v>1040</v>
      </c>
      <c r="E386" s="1" t="s">
        <v>14</v>
      </c>
      <c r="F386" s="1" t="s">
        <v>57</v>
      </c>
      <c r="G386" s="1" t="s">
        <v>58</v>
      </c>
      <c r="H386" s="1" t="s">
        <v>48</v>
      </c>
      <c r="I386">
        <v>67546</v>
      </c>
      <c r="J386" s="3">
        <v>36.58</v>
      </c>
      <c r="K386" s="3">
        <v>2470832.6800000002</v>
      </c>
    </row>
    <row r="387" spans="1:11" x14ac:dyDescent="0.2">
      <c r="A387" s="1" t="s">
        <v>1041</v>
      </c>
      <c r="B387" s="2">
        <v>45807</v>
      </c>
      <c r="C387" s="1" t="s">
        <v>226</v>
      </c>
      <c r="D387" s="1" t="s">
        <v>227</v>
      </c>
      <c r="E387" s="1" t="s">
        <v>34</v>
      </c>
      <c r="F387" s="1" t="s">
        <v>412</v>
      </c>
      <c r="G387" s="1" t="s">
        <v>413</v>
      </c>
      <c r="H387" s="1" t="s">
        <v>72</v>
      </c>
      <c r="I387">
        <v>18629</v>
      </c>
      <c r="J387" s="3">
        <v>19.63</v>
      </c>
      <c r="K387" s="3">
        <v>365687.27</v>
      </c>
    </row>
    <row r="388" spans="1:11" x14ac:dyDescent="0.2">
      <c r="A388" s="1" t="s">
        <v>1042</v>
      </c>
      <c r="B388" s="2">
        <v>45388</v>
      </c>
      <c r="C388" s="1" t="s">
        <v>605</v>
      </c>
      <c r="D388" s="1" t="s">
        <v>606</v>
      </c>
      <c r="E388" s="1" t="s">
        <v>14</v>
      </c>
      <c r="F388" s="1" t="s">
        <v>76</v>
      </c>
      <c r="G388" s="1" t="s">
        <v>77</v>
      </c>
      <c r="H388" s="1" t="s">
        <v>48</v>
      </c>
      <c r="I388">
        <v>59984</v>
      </c>
      <c r="J388" s="3">
        <v>7.43</v>
      </c>
      <c r="K388" s="3">
        <v>445681.12</v>
      </c>
    </row>
    <row r="389" spans="1:11" x14ac:dyDescent="0.2">
      <c r="A389" s="1" t="s">
        <v>1043</v>
      </c>
      <c r="B389" s="2">
        <v>45422</v>
      </c>
      <c r="C389" s="1" t="s">
        <v>1044</v>
      </c>
      <c r="D389" s="1" t="s">
        <v>1045</v>
      </c>
      <c r="E389" s="1" t="s">
        <v>14</v>
      </c>
      <c r="F389" s="1" t="s">
        <v>474</v>
      </c>
      <c r="G389" s="1" t="s">
        <v>475</v>
      </c>
      <c r="H389" s="1" t="s">
        <v>48</v>
      </c>
      <c r="I389">
        <v>42239</v>
      </c>
      <c r="J389" s="3">
        <v>39.11</v>
      </c>
      <c r="K389" s="3">
        <v>1651967.29</v>
      </c>
    </row>
    <row r="390" spans="1:11" x14ac:dyDescent="0.2">
      <c r="A390" s="1" t="s">
        <v>1046</v>
      </c>
      <c r="B390" s="2">
        <v>45351</v>
      </c>
      <c r="C390" s="1" t="s">
        <v>128</v>
      </c>
      <c r="D390" s="1" t="s">
        <v>129</v>
      </c>
      <c r="E390" s="1" t="s">
        <v>28</v>
      </c>
      <c r="F390" s="1" t="s">
        <v>217</v>
      </c>
      <c r="G390" s="1" t="s">
        <v>218</v>
      </c>
      <c r="H390" s="1" t="s">
        <v>72</v>
      </c>
      <c r="I390">
        <v>47005</v>
      </c>
      <c r="J390" s="3">
        <v>37.909999999999997</v>
      </c>
      <c r="K390" s="3">
        <v>1781959.55</v>
      </c>
    </row>
    <row r="391" spans="1:11" x14ac:dyDescent="0.2">
      <c r="A391" s="1" t="s">
        <v>1047</v>
      </c>
      <c r="B391" s="2">
        <v>45593</v>
      </c>
      <c r="C391" s="1" t="s">
        <v>448</v>
      </c>
      <c r="D391" s="1" t="s">
        <v>449</v>
      </c>
      <c r="E391" s="1" t="s">
        <v>28</v>
      </c>
      <c r="F391" s="1" t="s">
        <v>510</v>
      </c>
      <c r="G391" s="1" t="s">
        <v>511</v>
      </c>
      <c r="H391" s="1" t="s">
        <v>17</v>
      </c>
      <c r="I391">
        <v>72452</v>
      </c>
      <c r="J391" s="3">
        <v>44.33</v>
      </c>
      <c r="K391" s="3">
        <v>3211797.16</v>
      </c>
    </row>
    <row r="392" spans="1:11" x14ac:dyDescent="0.2">
      <c r="A392" s="1" t="s">
        <v>1048</v>
      </c>
      <c r="B392" s="2">
        <v>45869</v>
      </c>
      <c r="C392" s="1" t="s">
        <v>192</v>
      </c>
      <c r="D392" s="1" t="s">
        <v>193</v>
      </c>
      <c r="E392" s="1" t="s">
        <v>37</v>
      </c>
      <c r="F392" s="1" t="s">
        <v>463</v>
      </c>
      <c r="G392" s="1" t="s">
        <v>464</v>
      </c>
      <c r="H392" s="1" t="s">
        <v>37</v>
      </c>
      <c r="I392">
        <v>59466</v>
      </c>
      <c r="J392" s="3">
        <v>12.81</v>
      </c>
      <c r="K392" s="3">
        <v>761759.46</v>
      </c>
    </row>
    <row r="393" spans="1:11" x14ac:dyDescent="0.2">
      <c r="A393" s="1" t="s">
        <v>1049</v>
      </c>
      <c r="B393" s="2">
        <v>45890</v>
      </c>
      <c r="C393" s="1" t="s">
        <v>1050</v>
      </c>
      <c r="D393" s="1" t="s">
        <v>1051</v>
      </c>
      <c r="E393" s="1" t="s">
        <v>14</v>
      </c>
      <c r="F393" s="1" t="s">
        <v>35</v>
      </c>
      <c r="G393" s="1" t="s">
        <v>36</v>
      </c>
      <c r="H393" s="1" t="s">
        <v>37</v>
      </c>
      <c r="I393">
        <v>61509</v>
      </c>
      <c r="J393" s="3">
        <v>16.27</v>
      </c>
      <c r="K393" s="3">
        <v>1000751.43</v>
      </c>
    </row>
    <row r="394" spans="1:11" x14ac:dyDescent="0.2">
      <c r="A394" s="1" t="s">
        <v>1052</v>
      </c>
      <c r="B394" s="2">
        <v>45842</v>
      </c>
      <c r="C394" s="1" t="s">
        <v>1053</v>
      </c>
      <c r="D394" s="1" t="s">
        <v>1054</v>
      </c>
      <c r="E394" s="1" t="s">
        <v>21</v>
      </c>
      <c r="F394" s="1" t="s">
        <v>157</v>
      </c>
      <c r="G394" s="1" t="s">
        <v>158</v>
      </c>
      <c r="H394" s="1" t="s">
        <v>48</v>
      </c>
      <c r="I394">
        <v>1029</v>
      </c>
      <c r="J394" s="3">
        <v>29.2</v>
      </c>
      <c r="K394" s="3">
        <v>30046.799999999999</v>
      </c>
    </row>
    <row r="395" spans="1:11" x14ac:dyDescent="0.2">
      <c r="A395" s="1" t="s">
        <v>1055</v>
      </c>
      <c r="B395" s="2">
        <v>45328</v>
      </c>
      <c r="C395" s="1" t="s">
        <v>316</v>
      </c>
      <c r="D395" s="1" t="s">
        <v>317</v>
      </c>
      <c r="E395" s="1" t="s">
        <v>14</v>
      </c>
      <c r="F395" s="1" t="s">
        <v>52</v>
      </c>
      <c r="G395" s="1" t="s">
        <v>53</v>
      </c>
      <c r="H395" s="1" t="s">
        <v>17</v>
      </c>
      <c r="I395">
        <v>46714</v>
      </c>
      <c r="J395" s="3">
        <v>13.2</v>
      </c>
      <c r="K395" s="3">
        <v>616624.80000000005</v>
      </c>
    </row>
    <row r="396" spans="1:11" x14ac:dyDescent="0.2">
      <c r="A396" s="1" t="s">
        <v>1056</v>
      </c>
      <c r="B396" s="2">
        <v>45883</v>
      </c>
      <c r="C396" s="1" t="s">
        <v>388</v>
      </c>
      <c r="D396" s="1" t="s">
        <v>389</v>
      </c>
      <c r="E396" s="1" t="s">
        <v>14</v>
      </c>
      <c r="F396" s="1" t="s">
        <v>195</v>
      </c>
      <c r="G396" s="1" t="s">
        <v>196</v>
      </c>
      <c r="H396" s="1" t="s">
        <v>48</v>
      </c>
      <c r="I396">
        <v>14248</v>
      </c>
      <c r="J396" s="3">
        <v>31.68</v>
      </c>
      <c r="K396" s="3">
        <v>451376.64000000001</v>
      </c>
    </row>
    <row r="397" spans="1:11" x14ac:dyDescent="0.2">
      <c r="A397" s="1" t="s">
        <v>1057</v>
      </c>
      <c r="B397" s="2">
        <v>45650</v>
      </c>
      <c r="C397" s="1" t="s">
        <v>1058</v>
      </c>
      <c r="D397" s="1" t="s">
        <v>1059</v>
      </c>
      <c r="E397" s="1" t="s">
        <v>14</v>
      </c>
      <c r="F397" s="1" t="s">
        <v>15</v>
      </c>
      <c r="G397" s="1" t="s">
        <v>16</v>
      </c>
      <c r="H397" s="1" t="s">
        <v>17</v>
      </c>
      <c r="I397">
        <v>13671</v>
      </c>
      <c r="J397" s="3">
        <v>7.01</v>
      </c>
      <c r="K397" s="3">
        <v>95833.71</v>
      </c>
    </row>
    <row r="398" spans="1:11" x14ac:dyDescent="0.2">
      <c r="A398" s="1" t="s">
        <v>1060</v>
      </c>
      <c r="B398" s="2">
        <v>45327</v>
      </c>
      <c r="C398" s="1" t="s">
        <v>1061</v>
      </c>
      <c r="D398" s="1" t="s">
        <v>1062</v>
      </c>
      <c r="E398" s="1" t="s">
        <v>14</v>
      </c>
      <c r="F398" s="1" t="s">
        <v>57</v>
      </c>
      <c r="G398" s="1" t="s">
        <v>58</v>
      </c>
      <c r="H398" s="1" t="s">
        <v>48</v>
      </c>
      <c r="I398">
        <v>98407</v>
      </c>
      <c r="J398" s="3">
        <v>5.81</v>
      </c>
      <c r="K398" s="3">
        <v>571744.67000000004</v>
      </c>
    </row>
    <row r="399" spans="1:11" x14ac:dyDescent="0.2">
      <c r="A399" s="1" t="s">
        <v>1063</v>
      </c>
      <c r="B399" s="2">
        <v>45953</v>
      </c>
      <c r="C399" s="1" t="s">
        <v>1064</v>
      </c>
      <c r="D399" s="1" t="s">
        <v>1065</v>
      </c>
      <c r="E399" s="1" t="s">
        <v>14</v>
      </c>
      <c r="F399" s="1" t="s">
        <v>284</v>
      </c>
      <c r="G399" s="1" t="s">
        <v>285</v>
      </c>
      <c r="H399" s="1" t="s">
        <v>37</v>
      </c>
      <c r="I399">
        <v>99266</v>
      </c>
      <c r="J399" s="3">
        <v>43.89</v>
      </c>
      <c r="K399" s="3">
        <v>4356784.74</v>
      </c>
    </row>
    <row r="400" spans="1:11" x14ac:dyDescent="0.2">
      <c r="A400" s="1" t="s">
        <v>1066</v>
      </c>
      <c r="B400" s="2">
        <v>45472</v>
      </c>
      <c r="C400" s="1" t="s">
        <v>74</v>
      </c>
      <c r="D400" s="1" t="s">
        <v>75</v>
      </c>
      <c r="E400" s="1" t="s">
        <v>37</v>
      </c>
      <c r="F400" s="1" t="s">
        <v>81</v>
      </c>
      <c r="G400" s="1" t="s">
        <v>82</v>
      </c>
      <c r="H400" s="1" t="s">
        <v>72</v>
      </c>
      <c r="I400">
        <v>98133</v>
      </c>
      <c r="J400" s="3">
        <v>21.07</v>
      </c>
      <c r="K400" s="3">
        <v>2067662.31</v>
      </c>
    </row>
    <row r="401" spans="1:11" x14ac:dyDescent="0.2">
      <c r="A401" s="1" t="s">
        <v>1067</v>
      </c>
      <c r="B401" s="2">
        <v>45923</v>
      </c>
      <c r="C401" s="1" t="s">
        <v>1068</v>
      </c>
      <c r="D401" s="1" t="s">
        <v>1069</v>
      </c>
      <c r="E401" s="1" t="s">
        <v>37</v>
      </c>
      <c r="F401" s="1" t="s">
        <v>65</v>
      </c>
      <c r="G401" s="1" t="s">
        <v>66</v>
      </c>
      <c r="H401" s="1" t="s">
        <v>48</v>
      </c>
      <c r="I401">
        <v>89579</v>
      </c>
      <c r="J401" s="3">
        <v>11.84</v>
      </c>
      <c r="K401" s="3">
        <v>1060615.3600000001</v>
      </c>
    </row>
    <row r="402" spans="1:11" x14ac:dyDescent="0.2">
      <c r="A402" s="1" t="s">
        <v>1070</v>
      </c>
      <c r="B402" s="2">
        <v>45616</v>
      </c>
      <c r="C402" s="1" t="s">
        <v>282</v>
      </c>
      <c r="D402" s="1" t="s">
        <v>283</v>
      </c>
      <c r="E402" s="1" t="s">
        <v>21</v>
      </c>
      <c r="F402" s="1" t="s">
        <v>228</v>
      </c>
      <c r="G402" s="1" t="s">
        <v>229</v>
      </c>
      <c r="H402" s="1" t="s">
        <v>48</v>
      </c>
      <c r="I402">
        <v>60705</v>
      </c>
      <c r="J402" s="3">
        <v>34.33</v>
      </c>
      <c r="K402" s="3">
        <v>2084002.65</v>
      </c>
    </row>
    <row r="403" spans="1:11" x14ac:dyDescent="0.2">
      <c r="A403" s="1" t="s">
        <v>1071</v>
      </c>
      <c r="B403" s="2">
        <v>45991</v>
      </c>
      <c r="C403" s="1" t="s">
        <v>608</v>
      </c>
      <c r="D403" s="1" t="s">
        <v>609</v>
      </c>
      <c r="E403" s="1" t="s">
        <v>28</v>
      </c>
      <c r="F403" s="1" t="s">
        <v>195</v>
      </c>
      <c r="G403" s="1" t="s">
        <v>196</v>
      </c>
      <c r="H403" s="1" t="s">
        <v>48</v>
      </c>
      <c r="I403">
        <v>95669</v>
      </c>
      <c r="J403" s="3">
        <v>32.4</v>
      </c>
      <c r="K403" s="3">
        <v>3099675.6</v>
      </c>
    </row>
    <row r="404" spans="1:11" x14ac:dyDescent="0.2">
      <c r="A404" s="1" t="s">
        <v>1072</v>
      </c>
      <c r="B404" s="2">
        <v>45846</v>
      </c>
      <c r="C404" s="1" t="s">
        <v>1073</v>
      </c>
      <c r="D404" s="1" t="s">
        <v>1074</v>
      </c>
      <c r="E404" s="1" t="s">
        <v>34</v>
      </c>
      <c r="F404" s="1" t="s">
        <v>65</v>
      </c>
      <c r="G404" s="1" t="s">
        <v>66</v>
      </c>
      <c r="H404" s="1" t="s">
        <v>48</v>
      </c>
      <c r="I404">
        <v>18198</v>
      </c>
      <c r="J404" s="3">
        <v>46.76</v>
      </c>
      <c r="K404" s="3">
        <v>850938.48</v>
      </c>
    </row>
    <row r="405" spans="1:11" x14ac:dyDescent="0.2">
      <c r="A405" s="1" t="s">
        <v>1075</v>
      </c>
      <c r="B405" s="2">
        <v>45628</v>
      </c>
      <c r="C405" s="1" t="s">
        <v>1076</v>
      </c>
      <c r="D405" s="1" t="s">
        <v>1077</v>
      </c>
      <c r="E405" s="1" t="s">
        <v>34</v>
      </c>
      <c r="F405" s="1" t="s">
        <v>98</v>
      </c>
      <c r="G405" s="1" t="s">
        <v>99</v>
      </c>
      <c r="H405" s="1" t="s">
        <v>72</v>
      </c>
      <c r="I405">
        <v>94455</v>
      </c>
      <c r="J405" s="3">
        <v>8.82</v>
      </c>
      <c r="K405" s="3">
        <v>833093.1</v>
      </c>
    </row>
    <row r="406" spans="1:11" x14ac:dyDescent="0.2">
      <c r="A406" s="1" t="s">
        <v>1078</v>
      </c>
      <c r="B406" s="2">
        <v>45931</v>
      </c>
      <c r="C406" s="1" t="s">
        <v>1079</v>
      </c>
      <c r="D406" s="1" t="s">
        <v>1080</v>
      </c>
      <c r="E406" s="1" t="s">
        <v>14</v>
      </c>
      <c r="F406" s="1" t="s">
        <v>144</v>
      </c>
      <c r="G406" s="1" t="s">
        <v>145</v>
      </c>
      <c r="H406" s="1" t="s">
        <v>24</v>
      </c>
      <c r="I406">
        <v>90792</v>
      </c>
      <c r="J406" s="3">
        <v>42.11</v>
      </c>
      <c r="K406" s="3">
        <v>3823251.12</v>
      </c>
    </row>
    <row r="407" spans="1:11" x14ac:dyDescent="0.2">
      <c r="A407" s="1" t="s">
        <v>1081</v>
      </c>
      <c r="B407" s="2">
        <v>45751</v>
      </c>
      <c r="C407" s="1" t="s">
        <v>1082</v>
      </c>
      <c r="D407" s="1" t="s">
        <v>1083</v>
      </c>
      <c r="E407" s="1" t="s">
        <v>28</v>
      </c>
      <c r="F407" s="1" t="s">
        <v>273</v>
      </c>
      <c r="G407" s="1" t="s">
        <v>274</v>
      </c>
      <c r="H407" s="1" t="s">
        <v>24</v>
      </c>
      <c r="I407">
        <v>93463</v>
      </c>
      <c r="J407" s="3">
        <v>43.37</v>
      </c>
      <c r="K407" s="3">
        <v>4053490.31</v>
      </c>
    </row>
    <row r="408" spans="1:11" x14ac:dyDescent="0.2">
      <c r="A408" s="1" t="s">
        <v>1084</v>
      </c>
      <c r="B408" s="2">
        <v>45549</v>
      </c>
      <c r="C408" s="1" t="s">
        <v>1085</v>
      </c>
      <c r="D408" s="1" t="s">
        <v>1086</v>
      </c>
      <c r="E408" s="1" t="s">
        <v>14</v>
      </c>
      <c r="F408" s="1" t="s">
        <v>165</v>
      </c>
      <c r="G408" s="1" t="s">
        <v>166</v>
      </c>
      <c r="H408" s="1" t="s">
        <v>24</v>
      </c>
      <c r="I408">
        <v>59703</v>
      </c>
      <c r="J408" s="3">
        <v>48.37</v>
      </c>
      <c r="K408" s="3">
        <v>2887834.11</v>
      </c>
    </row>
    <row r="409" spans="1:11" x14ac:dyDescent="0.2">
      <c r="A409" s="1" t="s">
        <v>1087</v>
      </c>
      <c r="B409" s="2">
        <v>45328</v>
      </c>
      <c r="C409" s="1" t="s">
        <v>291</v>
      </c>
      <c r="D409" s="1" t="s">
        <v>292</v>
      </c>
      <c r="E409" s="1" t="s">
        <v>14</v>
      </c>
      <c r="F409" s="1" t="s">
        <v>144</v>
      </c>
      <c r="G409" s="1" t="s">
        <v>145</v>
      </c>
      <c r="H409" s="1" t="s">
        <v>24</v>
      </c>
      <c r="I409">
        <v>4388</v>
      </c>
      <c r="J409" s="3">
        <v>35.42</v>
      </c>
      <c r="K409" s="3">
        <v>155422.96</v>
      </c>
    </row>
    <row r="410" spans="1:11" x14ac:dyDescent="0.2">
      <c r="A410" s="1" t="s">
        <v>1088</v>
      </c>
      <c r="B410" s="2">
        <v>45893</v>
      </c>
      <c r="C410" s="1" t="s">
        <v>916</v>
      </c>
      <c r="D410" s="1" t="s">
        <v>917</v>
      </c>
      <c r="E410" s="1" t="s">
        <v>28</v>
      </c>
      <c r="F410" s="1" t="s">
        <v>330</v>
      </c>
      <c r="G410" s="1" t="s">
        <v>331</v>
      </c>
      <c r="H410" s="1" t="s">
        <v>72</v>
      </c>
      <c r="I410">
        <v>91838</v>
      </c>
      <c r="J410" s="3">
        <v>26.66</v>
      </c>
      <c r="K410" s="3">
        <v>2448401.08</v>
      </c>
    </row>
    <row r="411" spans="1:11" x14ac:dyDescent="0.2">
      <c r="A411" s="1" t="s">
        <v>1089</v>
      </c>
      <c r="B411" s="2">
        <v>45494</v>
      </c>
      <c r="C411" s="1" t="s">
        <v>829</v>
      </c>
      <c r="D411" s="1" t="s">
        <v>830</v>
      </c>
      <c r="E411" s="1" t="s">
        <v>14</v>
      </c>
      <c r="F411" s="1" t="s">
        <v>540</v>
      </c>
      <c r="G411" s="1" t="s">
        <v>541</v>
      </c>
      <c r="H411" s="1" t="s">
        <v>37</v>
      </c>
      <c r="I411">
        <v>92757</v>
      </c>
      <c r="J411" s="3">
        <v>49.29</v>
      </c>
      <c r="K411" s="3">
        <v>4571992.53</v>
      </c>
    </row>
    <row r="412" spans="1:11" x14ac:dyDescent="0.2">
      <c r="A412" s="1" t="s">
        <v>1090</v>
      </c>
      <c r="B412" s="2">
        <v>45681</v>
      </c>
      <c r="C412" s="1" t="s">
        <v>266</v>
      </c>
      <c r="D412" s="1" t="s">
        <v>267</v>
      </c>
      <c r="E412" s="1" t="s">
        <v>14</v>
      </c>
      <c r="F412" s="1" t="s">
        <v>189</v>
      </c>
      <c r="G412" s="1" t="s">
        <v>190</v>
      </c>
      <c r="H412" s="1" t="s">
        <v>17</v>
      </c>
      <c r="I412">
        <v>79563</v>
      </c>
      <c r="J412" s="3">
        <v>22.52</v>
      </c>
      <c r="K412" s="3">
        <v>1791758.76</v>
      </c>
    </row>
    <row r="413" spans="1:11" x14ac:dyDescent="0.2">
      <c r="A413" s="1" t="s">
        <v>1091</v>
      </c>
      <c r="B413" s="2">
        <v>45354</v>
      </c>
      <c r="C413" s="1" t="s">
        <v>1092</v>
      </c>
      <c r="D413" s="1" t="s">
        <v>1093</v>
      </c>
      <c r="E413" s="1" t="s">
        <v>34</v>
      </c>
      <c r="F413" s="1" t="s">
        <v>157</v>
      </c>
      <c r="G413" s="1" t="s">
        <v>158</v>
      </c>
      <c r="H413" s="1" t="s">
        <v>48</v>
      </c>
      <c r="I413">
        <v>26218</v>
      </c>
      <c r="J413" s="3">
        <v>12.54</v>
      </c>
      <c r="K413" s="3">
        <v>328773.71999999997</v>
      </c>
    </row>
    <row r="414" spans="1:11" x14ac:dyDescent="0.2">
      <c r="A414" s="1" t="s">
        <v>1094</v>
      </c>
      <c r="B414" s="2">
        <v>45821</v>
      </c>
      <c r="C414" s="1" t="s">
        <v>1095</v>
      </c>
      <c r="D414" s="1" t="s">
        <v>1096</v>
      </c>
      <c r="E414" s="1" t="s">
        <v>14</v>
      </c>
      <c r="F414" s="1" t="s">
        <v>15</v>
      </c>
      <c r="G414" s="1" t="s">
        <v>16</v>
      </c>
      <c r="H414" s="1" t="s">
        <v>17</v>
      </c>
      <c r="I414">
        <v>65625</v>
      </c>
      <c r="J414" s="3">
        <v>23.56</v>
      </c>
      <c r="K414" s="3">
        <v>1546125</v>
      </c>
    </row>
    <row r="415" spans="1:11" x14ac:dyDescent="0.2">
      <c r="A415" s="1" t="s">
        <v>1097</v>
      </c>
      <c r="B415" s="2">
        <v>45592</v>
      </c>
      <c r="C415" s="1" t="s">
        <v>1082</v>
      </c>
      <c r="D415" s="1" t="s">
        <v>1083</v>
      </c>
      <c r="E415" s="1" t="s">
        <v>28</v>
      </c>
      <c r="F415" s="1" t="s">
        <v>412</v>
      </c>
      <c r="G415" s="1" t="s">
        <v>413</v>
      </c>
      <c r="H415" s="1" t="s">
        <v>72</v>
      </c>
      <c r="I415">
        <v>38901</v>
      </c>
      <c r="J415" s="3">
        <v>9.2200000000000006</v>
      </c>
      <c r="K415" s="3">
        <v>358667.22</v>
      </c>
    </row>
    <row r="416" spans="1:11" x14ac:dyDescent="0.2">
      <c r="A416" s="1" t="s">
        <v>1098</v>
      </c>
      <c r="B416" s="2">
        <v>45796</v>
      </c>
      <c r="C416" s="1" t="s">
        <v>1099</v>
      </c>
      <c r="D416" s="1" t="s">
        <v>1100</v>
      </c>
      <c r="E416" s="1" t="s">
        <v>34</v>
      </c>
      <c r="F416" s="1" t="s">
        <v>273</v>
      </c>
      <c r="G416" s="1" t="s">
        <v>274</v>
      </c>
      <c r="H416" s="1" t="s">
        <v>24</v>
      </c>
      <c r="I416">
        <v>60527</v>
      </c>
      <c r="J416" s="3">
        <v>17.84</v>
      </c>
      <c r="K416" s="3">
        <v>1079801.68</v>
      </c>
    </row>
    <row r="417" spans="1:11" x14ac:dyDescent="0.2">
      <c r="A417" s="1" t="s">
        <v>1101</v>
      </c>
      <c r="B417" s="2">
        <v>45750</v>
      </c>
      <c r="C417" s="1" t="s">
        <v>1102</v>
      </c>
      <c r="D417" s="1" t="s">
        <v>1103</v>
      </c>
      <c r="E417" s="1" t="s">
        <v>21</v>
      </c>
      <c r="F417" s="1" t="s">
        <v>152</v>
      </c>
      <c r="G417" s="1" t="s">
        <v>153</v>
      </c>
      <c r="H417" s="1" t="s">
        <v>17</v>
      </c>
      <c r="I417">
        <v>42471</v>
      </c>
      <c r="J417" s="3">
        <v>36.18</v>
      </c>
      <c r="K417" s="3">
        <v>1536600.78</v>
      </c>
    </row>
    <row r="418" spans="1:11" x14ac:dyDescent="0.2">
      <c r="A418" s="1" t="s">
        <v>1104</v>
      </c>
      <c r="B418" s="2">
        <v>45939</v>
      </c>
      <c r="C418" s="1" t="s">
        <v>1105</v>
      </c>
      <c r="D418" s="1" t="s">
        <v>1106</v>
      </c>
      <c r="E418" s="1" t="s">
        <v>34</v>
      </c>
      <c r="F418" s="1" t="s">
        <v>463</v>
      </c>
      <c r="G418" s="1" t="s">
        <v>464</v>
      </c>
      <c r="H418" s="1" t="s">
        <v>37</v>
      </c>
      <c r="I418">
        <v>9260</v>
      </c>
      <c r="J418" s="3">
        <v>31.31</v>
      </c>
      <c r="K418" s="3">
        <v>289930.59999999998</v>
      </c>
    </row>
    <row r="419" spans="1:11" x14ac:dyDescent="0.2">
      <c r="A419" s="1" t="s">
        <v>1107</v>
      </c>
      <c r="B419" s="2">
        <v>45418</v>
      </c>
      <c r="C419" s="1" t="s">
        <v>1108</v>
      </c>
      <c r="D419" s="1" t="s">
        <v>1109</v>
      </c>
      <c r="E419" s="1" t="s">
        <v>21</v>
      </c>
      <c r="F419" s="1" t="s">
        <v>458</v>
      </c>
      <c r="G419" s="1" t="s">
        <v>459</v>
      </c>
      <c r="H419" s="1" t="s">
        <v>72</v>
      </c>
      <c r="I419">
        <v>62423</v>
      </c>
      <c r="J419" s="3">
        <v>37.01</v>
      </c>
      <c r="K419" s="3">
        <v>2310275.23</v>
      </c>
    </row>
    <row r="420" spans="1:11" x14ac:dyDescent="0.2">
      <c r="A420" s="1" t="s">
        <v>1110</v>
      </c>
      <c r="B420" s="2">
        <v>45438</v>
      </c>
      <c r="C420" s="1" t="s">
        <v>580</v>
      </c>
      <c r="D420" s="1" t="s">
        <v>581</v>
      </c>
      <c r="E420" s="1" t="s">
        <v>21</v>
      </c>
      <c r="F420" s="1" t="s">
        <v>540</v>
      </c>
      <c r="G420" s="1" t="s">
        <v>541</v>
      </c>
      <c r="H420" s="1" t="s">
        <v>37</v>
      </c>
      <c r="I420">
        <v>80212</v>
      </c>
      <c r="J420" s="3">
        <v>31.8</v>
      </c>
      <c r="K420" s="3">
        <v>2550741.6</v>
      </c>
    </row>
    <row r="421" spans="1:11" x14ac:dyDescent="0.2">
      <c r="A421" s="1" t="s">
        <v>1111</v>
      </c>
      <c r="B421" s="2">
        <v>45869</v>
      </c>
      <c r="C421" s="1" t="s">
        <v>523</v>
      </c>
      <c r="D421" s="1" t="s">
        <v>524</v>
      </c>
      <c r="E421" s="1" t="s">
        <v>14</v>
      </c>
      <c r="F421" s="1" t="s">
        <v>463</v>
      </c>
      <c r="G421" s="1" t="s">
        <v>464</v>
      </c>
      <c r="H421" s="1" t="s">
        <v>37</v>
      </c>
      <c r="I421">
        <v>85743</v>
      </c>
      <c r="J421" s="3">
        <v>45.04</v>
      </c>
      <c r="K421" s="3">
        <v>3861864.72</v>
      </c>
    </row>
    <row r="422" spans="1:11" x14ac:dyDescent="0.2">
      <c r="A422" s="1" t="s">
        <v>1112</v>
      </c>
      <c r="B422" s="2">
        <v>45429</v>
      </c>
      <c r="C422" s="1" t="s">
        <v>1113</v>
      </c>
      <c r="D422" s="1" t="s">
        <v>1114</v>
      </c>
      <c r="E422" s="1" t="s">
        <v>14</v>
      </c>
      <c r="F422" s="1" t="s">
        <v>436</v>
      </c>
      <c r="G422" s="1" t="s">
        <v>437</v>
      </c>
      <c r="H422" s="1" t="s">
        <v>24</v>
      </c>
      <c r="I422">
        <v>59713</v>
      </c>
      <c r="J422" s="3">
        <v>2.0699999999999998</v>
      </c>
      <c r="K422" s="3">
        <v>123605.91</v>
      </c>
    </row>
    <row r="423" spans="1:11" x14ac:dyDescent="0.2">
      <c r="A423" s="1" t="s">
        <v>1115</v>
      </c>
      <c r="B423" s="2">
        <v>45501</v>
      </c>
      <c r="C423" s="1" t="s">
        <v>969</v>
      </c>
      <c r="D423" s="1" t="s">
        <v>970</v>
      </c>
      <c r="E423" s="1" t="s">
        <v>37</v>
      </c>
      <c r="F423" s="1" t="s">
        <v>350</v>
      </c>
      <c r="G423" s="1" t="s">
        <v>351</v>
      </c>
      <c r="H423" s="1" t="s">
        <v>37</v>
      </c>
      <c r="I423">
        <v>63589</v>
      </c>
      <c r="J423" s="3">
        <v>19.71</v>
      </c>
      <c r="K423" s="3">
        <v>1253339.19</v>
      </c>
    </row>
    <row r="424" spans="1:11" x14ac:dyDescent="0.2">
      <c r="A424" s="1" t="s">
        <v>1116</v>
      </c>
      <c r="B424" s="2">
        <v>45522</v>
      </c>
      <c r="C424" s="1" t="s">
        <v>1117</v>
      </c>
      <c r="D424" s="1" t="s">
        <v>1118</v>
      </c>
      <c r="E424" s="1" t="s">
        <v>37</v>
      </c>
      <c r="F424" s="1" t="s">
        <v>35</v>
      </c>
      <c r="G424" s="1" t="s">
        <v>36</v>
      </c>
      <c r="H424" s="1" t="s">
        <v>37</v>
      </c>
      <c r="I424">
        <v>18240</v>
      </c>
      <c r="J424" s="3">
        <v>43.26</v>
      </c>
      <c r="K424" s="3">
        <v>789062.4</v>
      </c>
    </row>
    <row r="425" spans="1:11" x14ac:dyDescent="0.2">
      <c r="A425" s="1" t="s">
        <v>1119</v>
      </c>
      <c r="B425" s="2">
        <v>45611</v>
      </c>
      <c r="C425" s="1" t="s">
        <v>466</v>
      </c>
      <c r="D425" s="1" t="s">
        <v>467</v>
      </c>
      <c r="E425" s="1" t="s">
        <v>28</v>
      </c>
      <c r="F425" s="1" t="s">
        <v>284</v>
      </c>
      <c r="G425" s="1" t="s">
        <v>285</v>
      </c>
      <c r="H425" s="1" t="s">
        <v>37</v>
      </c>
      <c r="I425">
        <v>2952</v>
      </c>
      <c r="J425" s="3">
        <v>32.11</v>
      </c>
      <c r="K425" s="3">
        <v>94788.72</v>
      </c>
    </row>
    <row r="426" spans="1:11" x14ac:dyDescent="0.2">
      <c r="A426" s="1" t="s">
        <v>1120</v>
      </c>
      <c r="B426" s="2">
        <v>45400</v>
      </c>
      <c r="C426" s="1" t="s">
        <v>1121</v>
      </c>
      <c r="D426" s="1" t="s">
        <v>1122</v>
      </c>
      <c r="E426" s="1" t="s">
        <v>28</v>
      </c>
      <c r="F426" s="1" t="s">
        <v>474</v>
      </c>
      <c r="G426" s="1" t="s">
        <v>475</v>
      </c>
      <c r="H426" s="1" t="s">
        <v>48</v>
      </c>
      <c r="I426">
        <v>26369</v>
      </c>
      <c r="J426" s="3">
        <v>20.68</v>
      </c>
      <c r="K426" s="3">
        <v>545310.92000000004</v>
      </c>
    </row>
    <row r="427" spans="1:11" x14ac:dyDescent="0.2">
      <c r="A427" s="1" t="s">
        <v>1123</v>
      </c>
      <c r="B427" s="2">
        <v>45771</v>
      </c>
      <c r="C427" s="1" t="s">
        <v>388</v>
      </c>
      <c r="D427" s="1" t="s">
        <v>389</v>
      </c>
      <c r="E427" s="1" t="s">
        <v>14</v>
      </c>
      <c r="F427" s="1" t="s">
        <v>203</v>
      </c>
      <c r="G427" s="1" t="s">
        <v>204</v>
      </c>
      <c r="H427" s="1" t="s">
        <v>72</v>
      </c>
      <c r="I427">
        <v>18258</v>
      </c>
      <c r="J427" s="3">
        <v>49.14</v>
      </c>
      <c r="K427" s="3">
        <v>897198.12</v>
      </c>
    </row>
    <row r="428" spans="1:11" x14ac:dyDescent="0.2">
      <c r="A428" s="1" t="s">
        <v>1124</v>
      </c>
      <c r="B428" s="2">
        <v>45960</v>
      </c>
      <c r="C428" s="1" t="s">
        <v>1125</v>
      </c>
      <c r="D428" s="1" t="s">
        <v>1126</v>
      </c>
      <c r="E428" s="1" t="s">
        <v>21</v>
      </c>
      <c r="F428" s="1" t="s">
        <v>65</v>
      </c>
      <c r="G428" s="1" t="s">
        <v>66</v>
      </c>
      <c r="H428" s="1" t="s">
        <v>48</v>
      </c>
      <c r="I428">
        <v>86095</v>
      </c>
      <c r="J428" s="3">
        <v>34.29</v>
      </c>
      <c r="K428" s="3">
        <v>2952197.55</v>
      </c>
    </row>
    <row r="429" spans="1:11" x14ac:dyDescent="0.2">
      <c r="A429" s="1" t="s">
        <v>1127</v>
      </c>
      <c r="B429" s="2">
        <v>45678</v>
      </c>
      <c r="C429" s="1" t="s">
        <v>1128</v>
      </c>
      <c r="D429" s="1" t="s">
        <v>1129</v>
      </c>
      <c r="E429" s="1" t="s">
        <v>34</v>
      </c>
      <c r="F429" s="1" t="s">
        <v>203</v>
      </c>
      <c r="G429" s="1" t="s">
        <v>204</v>
      </c>
      <c r="H429" s="1" t="s">
        <v>72</v>
      </c>
      <c r="I429">
        <v>48076</v>
      </c>
      <c r="J429" s="3">
        <v>26.73</v>
      </c>
      <c r="K429" s="3">
        <v>1285071.48</v>
      </c>
    </row>
    <row r="430" spans="1:11" x14ac:dyDescent="0.2">
      <c r="A430" s="1" t="s">
        <v>1130</v>
      </c>
      <c r="B430" s="2">
        <v>45875</v>
      </c>
      <c r="C430" s="1" t="s">
        <v>951</v>
      </c>
      <c r="D430" s="1" t="s">
        <v>952</v>
      </c>
      <c r="E430" s="1" t="s">
        <v>14</v>
      </c>
      <c r="F430" s="1" t="s">
        <v>113</v>
      </c>
      <c r="G430" s="1" t="s">
        <v>114</v>
      </c>
      <c r="H430" s="1" t="s">
        <v>37</v>
      </c>
      <c r="I430">
        <v>19253</v>
      </c>
      <c r="J430" s="3">
        <v>27.91</v>
      </c>
      <c r="K430" s="3">
        <v>537351.23</v>
      </c>
    </row>
    <row r="431" spans="1:11" x14ac:dyDescent="0.2">
      <c r="A431" s="1" t="s">
        <v>1131</v>
      </c>
      <c r="B431" s="2">
        <v>45991</v>
      </c>
      <c r="C431" s="1" t="s">
        <v>1132</v>
      </c>
      <c r="D431" s="1" t="s">
        <v>1133</v>
      </c>
      <c r="E431" s="1" t="s">
        <v>34</v>
      </c>
      <c r="F431" s="1" t="s">
        <v>406</v>
      </c>
      <c r="G431" s="1" t="s">
        <v>407</v>
      </c>
      <c r="H431" s="1" t="s">
        <v>17</v>
      </c>
      <c r="I431">
        <v>97102</v>
      </c>
      <c r="J431" s="3">
        <v>31.32</v>
      </c>
      <c r="K431" s="3">
        <v>3041234.64</v>
      </c>
    </row>
    <row r="432" spans="1:11" x14ac:dyDescent="0.2">
      <c r="A432" s="1" t="s">
        <v>1134</v>
      </c>
      <c r="B432" s="2">
        <v>45542</v>
      </c>
      <c r="C432" s="1" t="s">
        <v>1128</v>
      </c>
      <c r="D432" s="1" t="s">
        <v>1129</v>
      </c>
      <c r="E432" s="1" t="s">
        <v>34</v>
      </c>
      <c r="F432" s="1" t="s">
        <v>217</v>
      </c>
      <c r="G432" s="1" t="s">
        <v>218</v>
      </c>
      <c r="H432" s="1" t="s">
        <v>72</v>
      </c>
      <c r="I432">
        <v>19897</v>
      </c>
      <c r="J432" s="3">
        <v>10.99</v>
      </c>
      <c r="K432" s="3">
        <v>218668.03</v>
      </c>
    </row>
    <row r="433" spans="1:11" x14ac:dyDescent="0.2">
      <c r="A433" s="1" t="s">
        <v>1135</v>
      </c>
      <c r="B433" s="2">
        <v>45684</v>
      </c>
      <c r="C433" s="1" t="s">
        <v>63</v>
      </c>
      <c r="D433" s="1" t="s">
        <v>64</v>
      </c>
      <c r="E433" s="1" t="s">
        <v>37</v>
      </c>
      <c r="F433" s="1" t="s">
        <v>761</v>
      </c>
      <c r="G433" s="1" t="s">
        <v>762</v>
      </c>
      <c r="H433" s="1" t="s">
        <v>48</v>
      </c>
      <c r="I433">
        <v>2734</v>
      </c>
      <c r="J433" s="3">
        <v>23.71</v>
      </c>
      <c r="K433" s="3">
        <v>64823.14</v>
      </c>
    </row>
    <row r="434" spans="1:11" x14ac:dyDescent="0.2">
      <c r="A434" s="1" t="s">
        <v>1136</v>
      </c>
      <c r="B434" s="2">
        <v>45985</v>
      </c>
      <c r="C434" s="1" t="s">
        <v>1137</v>
      </c>
      <c r="D434" s="1" t="s">
        <v>1138</v>
      </c>
      <c r="E434" s="1" t="s">
        <v>21</v>
      </c>
      <c r="F434" s="1" t="s">
        <v>510</v>
      </c>
      <c r="G434" s="1" t="s">
        <v>511</v>
      </c>
      <c r="H434" s="1" t="s">
        <v>17</v>
      </c>
      <c r="I434">
        <v>58438</v>
      </c>
      <c r="J434" s="3">
        <v>17.52</v>
      </c>
      <c r="K434" s="3">
        <v>1023833.76</v>
      </c>
    </row>
    <row r="435" spans="1:11" x14ac:dyDescent="0.2">
      <c r="A435" s="1" t="s">
        <v>1139</v>
      </c>
      <c r="B435" s="2">
        <v>45414</v>
      </c>
      <c r="C435" s="1" t="s">
        <v>397</v>
      </c>
      <c r="D435" s="1" t="s">
        <v>398</v>
      </c>
      <c r="E435" s="1" t="s">
        <v>34</v>
      </c>
      <c r="F435" s="1" t="s">
        <v>65</v>
      </c>
      <c r="G435" s="1" t="s">
        <v>66</v>
      </c>
      <c r="H435" s="1" t="s">
        <v>48</v>
      </c>
      <c r="I435">
        <v>15727</v>
      </c>
      <c r="J435" s="3">
        <v>14.65</v>
      </c>
      <c r="K435" s="3">
        <v>230400.55</v>
      </c>
    </row>
    <row r="436" spans="1:11" x14ac:dyDescent="0.2">
      <c r="A436" s="1" t="s">
        <v>1140</v>
      </c>
      <c r="B436" s="2">
        <v>45954</v>
      </c>
      <c r="C436" s="1" t="s">
        <v>356</v>
      </c>
      <c r="D436" s="1" t="s">
        <v>357</v>
      </c>
      <c r="E436" s="1" t="s">
        <v>14</v>
      </c>
      <c r="F436" s="1" t="s">
        <v>406</v>
      </c>
      <c r="G436" s="1" t="s">
        <v>407</v>
      </c>
      <c r="H436" s="1" t="s">
        <v>17</v>
      </c>
      <c r="I436">
        <v>28027</v>
      </c>
      <c r="J436" s="3">
        <v>33.58</v>
      </c>
      <c r="K436" s="3">
        <v>941146.66</v>
      </c>
    </row>
    <row r="437" spans="1:11" x14ac:dyDescent="0.2">
      <c r="A437" s="1" t="s">
        <v>1141</v>
      </c>
      <c r="B437" s="2">
        <v>45771</v>
      </c>
      <c r="C437" s="1" t="s">
        <v>481</v>
      </c>
      <c r="D437" s="1" t="s">
        <v>482</v>
      </c>
      <c r="E437" s="1" t="s">
        <v>34</v>
      </c>
      <c r="F437" s="1" t="s">
        <v>510</v>
      </c>
      <c r="G437" s="1" t="s">
        <v>511</v>
      </c>
      <c r="H437" s="1" t="s">
        <v>17</v>
      </c>
      <c r="I437">
        <v>21019</v>
      </c>
      <c r="J437" s="3">
        <v>34.93</v>
      </c>
      <c r="K437" s="3">
        <v>734193.67</v>
      </c>
    </row>
    <row r="438" spans="1:11" x14ac:dyDescent="0.2">
      <c r="A438" s="1" t="s">
        <v>1142</v>
      </c>
      <c r="B438" s="2">
        <v>45337</v>
      </c>
      <c r="C438" s="1" t="s">
        <v>866</v>
      </c>
      <c r="D438" s="1" t="s">
        <v>867</v>
      </c>
      <c r="E438" s="1" t="s">
        <v>14</v>
      </c>
      <c r="F438" s="1" t="s">
        <v>144</v>
      </c>
      <c r="G438" s="1" t="s">
        <v>145</v>
      </c>
      <c r="H438" s="1" t="s">
        <v>24</v>
      </c>
      <c r="I438">
        <v>62981</v>
      </c>
      <c r="J438" s="3">
        <v>45.33</v>
      </c>
      <c r="K438" s="3">
        <v>2854928.73</v>
      </c>
    </row>
    <row r="439" spans="1:11" x14ac:dyDescent="0.2">
      <c r="A439" s="1" t="s">
        <v>1143</v>
      </c>
      <c r="B439" s="2">
        <v>45833</v>
      </c>
      <c r="C439" s="1" t="s">
        <v>779</v>
      </c>
      <c r="D439" s="1" t="s">
        <v>780</v>
      </c>
      <c r="E439" s="1" t="s">
        <v>21</v>
      </c>
      <c r="F439" s="1" t="s">
        <v>165</v>
      </c>
      <c r="G439" s="1" t="s">
        <v>166</v>
      </c>
      <c r="H439" s="1" t="s">
        <v>24</v>
      </c>
      <c r="I439">
        <v>87837</v>
      </c>
      <c r="J439" s="3">
        <v>26.99</v>
      </c>
      <c r="K439" s="3">
        <v>2370720.63</v>
      </c>
    </row>
    <row r="440" spans="1:11" x14ac:dyDescent="0.2">
      <c r="A440" s="1" t="s">
        <v>1144</v>
      </c>
      <c r="B440" s="2">
        <v>45903</v>
      </c>
      <c r="C440" s="1" t="s">
        <v>495</v>
      </c>
      <c r="D440" s="1" t="s">
        <v>496</v>
      </c>
      <c r="E440" s="1" t="s">
        <v>37</v>
      </c>
      <c r="F440" s="1" t="s">
        <v>195</v>
      </c>
      <c r="G440" s="1" t="s">
        <v>196</v>
      </c>
      <c r="H440" s="1" t="s">
        <v>48</v>
      </c>
      <c r="I440">
        <v>9378</v>
      </c>
      <c r="J440" s="3">
        <v>23.04</v>
      </c>
      <c r="K440" s="3">
        <v>216069.12</v>
      </c>
    </row>
    <row r="441" spans="1:11" x14ac:dyDescent="0.2">
      <c r="A441" s="1" t="s">
        <v>1145</v>
      </c>
      <c r="B441" s="2">
        <v>45411</v>
      </c>
      <c r="C441" s="1" t="s">
        <v>246</v>
      </c>
      <c r="D441" s="1" t="s">
        <v>247</v>
      </c>
      <c r="E441" s="1" t="s">
        <v>21</v>
      </c>
      <c r="F441" s="1" t="s">
        <v>406</v>
      </c>
      <c r="G441" s="1" t="s">
        <v>407</v>
      </c>
      <c r="H441" s="1" t="s">
        <v>17</v>
      </c>
      <c r="I441">
        <v>29575</v>
      </c>
      <c r="J441" s="3">
        <v>25.56</v>
      </c>
      <c r="K441" s="3">
        <v>755937</v>
      </c>
    </row>
    <row r="442" spans="1:11" x14ac:dyDescent="0.2">
      <c r="A442" s="1" t="s">
        <v>1146</v>
      </c>
      <c r="B442" s="2">
        <v>45925</v>
      </c>
      <c r="C442" s="1" t="s">
        <v>271</v>
      </c>
      <c r="D442" s="1" t="s">
        <v>272</v>
      </c>
      <c r="E442" s="1" t="s">
        <v>37</v>
      </c>
      <c r="F442" s="1" t="s">
        <v>57</v>
      </c>
      <c r="G442" s="1" t="s">
        <v>58</v>
      </c>
      <c r="H442" s="1" t="s">
        <v>48</v>
      </c>
      <c r="I442">
        <v>53883</v>
      </c>
      <c r="J442" s="3">
        <v>49.29</v>
      </c>
      <c r="K442" s="3">
        <v>2655893.0699999998</v>
      </c>
    </row>
    <row r="443" spans="1:11" x14ac:dyDescent="0.2">
      <c r="A443" s="1" t="s">
        <v>1147</v>
      </c>
      <c r="B443" s="2">
        <v>45791</v>
      </c>
      <c r="C443" s="1" t="s">
        <v>345</v>
      </c>
      <c r="D443" s="1" t="s">
        <v>346</v>
      </c>
      <c r="E443" s="1" t="s">
        <v>37</v>
      </c>
      <c r="F443" s="1" t="s">
        <v>237</v>
      </c>
      <c r="G443" s="1" t="s">
        <v>238</v>
      </c>
      <c r="H443" s="1" t="s">
        <v>17</v>
      </c>
      <c r="I443">
        <v>80303</v>
      </c>
      <c r="J443" s="3">
        <v>32.97</v>
      </c>
      <c r="K443" s="3">
        <v>2647589.91</v>
      </c>
    </row>
    <row r="444" spans="1:11" x14ac:dyDescent="0.2">
      <c r="A444" s="1" t="s">
        <v>1148</v>
      </c>
      <c r="B444" s="2">
        <v>45714</v>
      </c>
      <c r="C444" s="1" t="s">
        <v>1149</v>
      </c>
      <c r="D444" s="1" t="s">
        <v>1150</v>
      </c>
      <c r="E444" s="1" t="s">
        <v>14</v>
      </c>
      <c r="F444" s="1" t="s">
        <v>540</v>
      </c>
      <c r="G444" s="1" t="s">
        <v>541</v>
      </c>
      <c r="H444" s="1" t="s">
        <v>37</v>
      </c>
      <c r="I444">
        <v>87490</v>
      </c>
      <c r="J444" s="3">
        <v>31.82</v>
      </c>
      <c r="K444" s="3">
        <v>2783931.8</v>
      </c>
    </row>
    <row r="445" spans="1:11" x14ac:dyDescent="0.2">
      <c r="A445" s="1" t="s">
        <v>1151</v>
      </c>
      <c r="B445" s="2">
        <v>45915</v>
      </c>
      <c r="C445" s="1" t="s">
        <v>418</v>
      </c>
      <c r="D445" s="1" t="s">
        <v>419</v>
      </c>
      <c r="E445" s="1" t="s">
        <v>14</v>
      </c>
      <c r="F445" s="1" t="s">
        <v>103</v>
      </c>
      <c r="G445" s="1" t="s">
        <v>104</v>
      </c>
      <c r="H445" s="1" t="s">
        <v>37</v>
      </c>
      <c r="I445">
        <v>8629</v>
      </c>
      <c r="J445" s="3">
        <v>36.799999999999997</v>
      </c>
      <c r="K445" s="3">
        <v>317547.2</v>
      </c>
    </row>
    <row r="446" spans="1:11" x14ac:dyDescent="0.2">
      <c r="A446" s="1" t="s">
        <v>1152</v>
      </c>
      <c r="B446" s="2">
        <v>45566</v>
      </c>
      <c r="C446" s="1" t="s">
        <v>672</v>
      </c>
      <c r="D446" s="1" t="s">
        <v>673</v>
      </c>
      <c r="E446" s="1" t="s">
        <v>21</v>
      </c>
      <c r="F446" s="1" t="s">
        <v>46</v>
      </c>
      <c r="G446" s="1" t="s">
        <v>47</v>
      </c>
      <c r="H446" s="1" t="s">
        <v>48</v>
      </c>
      <c r="I446">
        <v>98056</v>
      </c>
      <c r="J446" s="3">
        <v>46.06</v>
      </c>
      <c r="K446" s="3">
        <v>4516459.3600000003</v>
      </c>
    </row>
    <row r="447" spans="1:11" x14ac:dyDescent="0.2">
      <c r="A447" s="1" t="s">
        <v>1153</v>
      </c>
      <c r="B447" s="2">
        <v>45891</v>
      </c>
      <c r="C447" s="1" t="s">
        <v>1154</v>
      </c>
      <c r="D447" s="1" t="s">
        <v>1155</v>
      </c>
      <c r="E447" s="1" t="s">
        <v>37</v>
      </c>
      <c r="F447" s="1" t="s">
        <v>52</v>
      </c>
      <c r="G447" s="1" t="s">
        <v>53</v>
      </c>
      <c r="H447" s="1" t="s">
        <v>17</v>
      </c>
      <c r="I447">
        <v>96860</v>
      </c>
      <c r="J447" s="3">
        <v>18.420000000000002</v>
      </c>
      <c r="K447" s="3">
        <v>1784161.2</v>
      </c>
    </row>
    <row r="448" spans="1:11" x14ac:dyDescent="0.2">
      <c r="A448" s="1" t="s">
        <v>1156</v>
      </c>
      <c r="B448" s="2">
        <v>45693</v>
      </c>
      <c r="C448" s="1" t="s">
        <v>1157</v>
      </c>
      <c r="D448" s="1" t="s">
        <v>1158</v>
      </c>
      <c r="E448" s="1" t="s">
        <v>28</v>
      </c>
      <c r="F448" s="1" t="s">
        <v>228</v>
      </c>
      <c r="G448" s="1" t="s">
        <v>229</v>
      </c>
      <c r="H448" s="1" t="s">
        <v>48</v>
      </c>
      <c r="I448">
        <v>4837</v>
      </c>
      <c r="J448" s="3">
        <v>5.37</v>
      </c>
      <c r="K448" s="3">
        <v>25974.69</v>
      </c>
    </row>
    <row r="449" spans="1:11" x14ac:dyDescent="0.2">
      <c r="A449" s="1" t="s">
        <v>1159</v>
      </c>
      <c r="B449" s="2">
        <v>45761</v>
      </c>
      <c r="C449" s="1" t="s">
        <v>198</v>
      </c>
      <c r="D449" s="1" t="s">
        <v>199</v>
      </c>
      <c r="E449" s="1" t="s">
        <v>21</v>
      </c>
      <c r="F449" s="1" t="s">
        <v>510</v>
      </c>
      <c r="G449" s="1" t="s">
        <v>511</v>
      </c>
      <c r="H449" s="1" t="s">
        <v>17</v>
      </c>
      <c r="I449">
        <v>4066</v>
      </c>
      <c r="J449" s="3">
        <v>5.08</v>
      </c>
      <c r="K449" s="3">
        <v>20655.28</v>
      </c>
    </row>
    <row r="450" spans="1:11" x14ac:dyDescent="0.2">
      <c r="A450" s="1" t="s">
        <v>1160</v>
      </c>
      <c r="B450" s="2">
        <v>45644</v>
      </c>
      <c r="C450" s="1" t="s">
        <v>1161</v>
      </c>
      <c r="D450" s="1" t="s">
        <v>1162</v>
      </c>
      <c r="E450" s="1" t="s">
        <v>21</v>
      </c>
      <c r="F450" s="1" t="s">
        <v>98</v>
      </c>
      <c r="G450" s="1" t="s">
        <v>99</v>
      </c>
      <c r="H450" s="1" t="s">
        <v>72</v>
      </c>
      <c r="I450">
        <v>12868</v>
      </c>
      <c r="J450" s="3">
        <v>47.39</v>
      </c>
      <c r="K450" s="3">
        <v>609814.52</v>
      </c>
    </row>
    <row r="451" spans="1:11" x14ac:dyDescent="0.2">
      <c r="A451" s="1" t="s">
        <v>1163</v>
      </c>
      <c r="B451" s="2">
        <v>45795</v>
      </c>
      <c r="C451" s="1" t="s">
        <v>1164</v>
      </c>
      <c r="D451" s="1" t="s">
        <v>1165</v>
      </c>
      <c r="E451" s="1" t="s">
        <v>37</v>
      </c>
      <c r="F451" s="1" t="s">
        <v>273</v>
      </c>
      <c r="G451" s="1" t="s">
        <v>274</v>
      </c>
      <c r="H451" s="1" t="s">
        <v>24</v>
      </c>
      <c r="I451">
        <v>2195</v>
      </c>
      <c r="J451" s="3">
        <v>47.97</v>
      </c>
      <c r="K451" s="3">
        <v>105294.15</v>
      </c>
    </row>
    <row r="452" spans="1:11" x14ac:dyDescent="0.2">
      <c r="A452" s="1" t="s">
        <v>1166</v>
      </c>
      <c r="B452" s="2">
        <v>45620</v>
      </c>
      <c r="C452" s="1" t="s">
        <v>520</v>
      </c>
      <c r="D452" s="1" t="s">
        <v>521</v>
      </c>
      <c r="E452" s="1" t="s">
        <v>37</v>
      </c>
      <c r="F452" s="1" t="s">
        <v>436</v>
      </c>
      <c r="G452" s="1" t="s">
        <v>437</v>
      </c>
      <c r="H452" s="1" t="s">
        <v>24</v>
      </c>
      <c r="I452">
        <v>83719</v>
      </c>
      <c r="J452" s="3">
        <v>8.68</v>
      </c>
      <c r="K452" s="3">
        <v>726680.92</v>
      </c>
    </row>
    <row r="453" spans="1:11" x14ac:dyDescent="0.2">
      <c r="A453" s="1" t="s">
        <v>1167</v>
      </c>
      <c r="B453" s="2">
        <v>45799</v>
      </c>
      <c r="C453" s="1" t="s">
        <v>948</v>
      </c>
      <c r="D453" s="1" t="s">
        <v>949</v>
      </c>
      <c r="E453" s="1" t="s">
        <v>21</v>
      </c>
      <c r="F453" s="1" t="s">
        <v>70</v>
      </c>
      <c r="G453" s="1" t="s">
        <v>71</v>
      </c>
      <c r="H453" s="1" t="s">
        <v>72</v>
      </c>
      <c r="I453">
        <v>67763</v>
      </c>
      <c r="J453" s="3">
        <v>44.58</v>
      </c>
      <c r="K453" s="3">
        <v>3020874.54</v>
      </c>
    </row>
    <row r="454" spans="1:11" x14ac:dyDescent="0.2">
      <c r="A454" s="1" t="s">
        <v>1168</v>
      </c>
      <c r="B454" s="2">
        <v>45642</v>
      </c>
      <c r="C454" s="1" t="s">
        <v>171</v>
      </c>
      <c r="D454" s="1" t="s">
        <v>172</v>
      </c>
      <c r="E454" s="1" t="s">
        <v>28</v>
      </c>
      <c r="F454" s="1" t="s">
        <v>217</v>
      </c>
      <c r="G454" s="1" t="s">
        <v>218</v>
      </c>
      <c r="H454" s="1" t="s">
        <v>72</v>
      </c>
      <c r="I454">
        <v>52173</v>
      </c>
      <c r="J454" s="3">
        <v>46.82</v>
      </c>
      <c r="K454" s="3">
        <v>2442739.86</v>
      </c>
    </row>
    <row r="455" spans="1:11" x14ac:dyDescent="0.2">
      <c r="A455" s="1" t="s">
        <v>1169</v>
      </c>
      <c r="B455" s="2">
        <v>45909</v>
      </c>
      <c r="C455" s="1" t="s">
        <v>231</v>
      </c>
      <c r="D455" s="1" t="s">
        <v>232</v>
      </c>
      <c r="E455" s="1" t="s">
        <v>34</v>
      </c>
      <c r="F455" s="1" t="s">
        <v>540</v>
      </c>
      <c r="G455" s="1" t="s">
        <v>541</v>
      </c>
      <c r="H455" s="1" t="s">
        <v>37</v>
      </c>
      <c r="I455">
        <v>63552</v>
      </c>
      <c r="J455" s="3">
        <v>6.24</v>
      </c>
      <c r="K455" s="3">
        <v>396564.47999999998</v>
      </c>
    </row>
    <row r="456" spans="1:11" x14ac:dyDescent="0.2">
      <c r="A456" s="1" t="s">
        <v>1170</v>
      </c>
      <c r="B456" s="2">
        <v>45821</v>
      </c>
      <c r="C456" s="1" t="s">
        <v>1171</v>
      </c>
      <c r="D456" s="1" t="s">
        <v>1172</v>
      </c>
      <c r="E456" s="1" t="s">
        <v>34</v>
      </c>
      <c r="F456" s="1" t="s">
        <v>189</v>
      </c>
      <c r="G456" s="1" t="s">
        <v>190</v>
      </c>
      <c r="H456" s="1" t="s">
        <v>17</v>
      </c>
      <c r="I456">
        <v>10634</v>
      </c>
      <c r="J456" s="3">
        <v>10.07</v>
      </c>
      <c r="K456" s="3">
        <v>107084.38</v>
      </c>
    </row>
    <row r="457" spans="1:11" x14ac:dyDescent="0.2">
      <c r="A457" s="1" t="s">
        <v>1173</v>
      </c>
      <c r="B457" s="2">
        <v>45972</v>
      </c>
      <c r="C457" s="1" t="s">
        <v>223</v>
      </c>
      <c r="D457" s="1" t="s">
        <v>224</v>
      </c>
      <c r="E457" s="1" t="s">
        <v>28</v>
      </c>
      <c r="F457" s="1" t="s">
        <v>324</v>
      </c>
      <c r="G457" s="1" t="s">
        <v>325</v>
      </c>
      <c r="H457" s="1" t="s">
        <v>24</v>
      </c>
      <c r="I457">
        <v>67122</v>
      </c>
      <c r="J457" s="3">
        <v>3.11</v>
      </c>
      <c r="K457" s="3">
        <v>208749.42</v>
      </c>
    </row>
    <row r="458" spans="1:11" x14ac:dyDescent="0.2">
      <c r="A458" s="1" t="s">
        <v>1174</v>
      </c>
      <c r="B458" s="2">
        <v>45386</v>
      </c>
      <c r="C458" s="1" t="s">
        <v>1102</v>
      </c>
      <c r="D458" s="1" t="s">
        <v>1103</v>
      </c>
      <c r="E458" s="1" t="s">
        <v>21</v>
      </c>
      <c r="F458" s="1" t="s">
        <v>176</v>
      </c>
      <c r="G458" s="1" t="s">
        <v>177</v>
      </c>
      <c r="H458" s="1" t="s">
        <v>37</v>
      </c>
      <c r="I458">
        <v>98807</v>
      </c>
      <c r="J458" s="3">
        <v>37.46</v>
      </c>
      <c r="K458" s="3">
        <v>3701310.22</v>
      </c>
    </row>
    <row r="459" spans="1:11" x14ac:dyDescent="0.2">
      <c r="A459" s="1" t="s">
        <v>1175</v>
      </c>
      <c r="B459" s="2">
        <v>45357</v>
      </c>
      <c r="C459" s="1" t="s">
        <v>63</v>
      </c>
      <c r="D459" s="1" t="s">
        <v>64</v>
      </c>
      <c r="E459" s="1" t="s">
        <v>37</v>
      </c>
      <c r="F459" s="1" t="s">
        <v>552</v>
      </c>
      <c r="G459" s="1" t="s">
        <v>553</v>
      </c>
      <c r="H459" s="1" t="s">
        <v>37</v>
      </c>
      <c r="I459">
        <v>95785</v>
      </c>
      <c r="J459" s="3">
        <v>22.43</v>
      </c>
      <c r="K459" s="3">
        <v>2148457.5499999998</v>
      </c>
    </row>
    <row r="460" spans="1:11" x14ac:dyDescent="0.2">
      <c r="A460" s="1" t="s">
        <v>1176</v>
      </c>
      <c r="B460" s="2">
        <v>45756</v>
      </c>
      <c r="C460" s="1" t="s">
        <v>969</v>
      </c>
      <c r="D460" s="1" t="s">
        <v>970</v>
      </c>
      <c r="E460" s="1" t="s">
        <v>37</v>
      </c>
      <c r="F460" s="1" t="s">
        <v>350</v>
      </c>
      <c r="G460" s="1" t="s">
        <v>351</v>
      </c>
      <c r="H460" s="1" t="s">
        <v>37</v>
      </c>
      <c r="I460">
        <v>85955</v>
      </c>
      <c r="J460" s="3">
        <v>10.29</v>
      </c>
      <c r="K460" s="3">
        <v>884476.95</v>
      </c>
    </row>
    <row r="461" spans="1:11" x14ac:dyDescent="0.2">
      <c r="A461" s="1" t="s">
        <v>1177</v>
      </c>
      <c r="B461" s="2">
        <v>45348</v>
      </c>
      <c r="C461" s="1" t="s">
        <v>1178</v>
      </c>
      <c r="D461" s="1" t="s">
        <v>1179</v>
      </c>
      <c r="E461" s="1" t="s">
        <v>34</v>
      </c>
      <c r="F461" s="1" t="s">
        <v>458</v>
      </c>
      <c r="G461" s="1" t="s">
        <v>459</v>
      </c>
      <c r="H461" s="1" t="s">
        <v>72</v>
      </c>
      <c r="I461">
        <v>89475</v>
      </c>
      <c r="J461" s="3">
        <v>47.94</v>
      </c>
      <c r="K461" s="3">
        <v>4289431.5</v>
      </c>
    </row>
    <row r="462" spans="1:11" x14ac:dyDescent="0.2">
      <c r="A462" s="1" t="s">
        <v>1180</v>
      </c>
      <c r="B462" s="2">
        <v>45948</v>
      </c>
      <c r="C462" s="1" t="s">
        <v>84</v>
      </c>
      <c r="D462" s="1" t="s">
        <v>85</v>
      </c>
      <c r="E462" s="1" t="s">
        <v>28</v>
      </c>
      <c r="F462" s="1" t="s">
        <v>463</v>
      </c>
      <c r="G462" s="1" t="s">
        <v>464</v>
      </c>
      <c r="H462" s="1" t="s">
        <v>37</v>
      </c>
      <c r="I462">
        <v>8659</v>
      </c>
      <c r="J462" s="3">
        <v>14.92</v>
      </c>
      <c r="K462" s="3">
        <v>129192.28</v>
      </c>
    </row>
    <row r="463" spans="1:11" x14ac:dyDescent="0.2">
      <c r="A463" s="1" t="s">
        <v>1181</v>
      </c>
      <c r="B463" s="2">
        <v>45949</v>
      </c>
      <c r="C463" s="1" t="s">
        <v>932</v>
      </c>
      <c r="D463" s="1" t="s">
        <v>933</v>
      </c>
      <c r="E463" s="1" t="s">
        <v>14</v>
      </c>
      <c r="F463" s="1" t="s">
        <v>273</v>
      </c>
      <c r="G463" s="1" t="s">
        <v>274</v>
      </c>
      <c r="H463" s="1" t="s">
        <v>24</v>
      </c>
      <c r="I463">
        <v>77433</v>
      </c>
      <c r="J463" s="3">
        <v>22.01</v>
      </c>
      <c r="K463" s="3">
        <v>1704300.33</v>
      </c>
    </row>
    <row r="464" spans="1:11" x14ac:dyDescent="0.2">
      <c r="A464" s="1" t="s">
        <v>1182</v>
      </c>
      <c r="B464" s="2">
        <v>45804</v>
      </c>
      <c r="C464" s="1" t="s">
        <v>498</v>
      </c>
      <c r="D464" s="1" t="s">
        <v>499</v>
      </c>
      <c r="E464" s="1" t="s">
        <v>14</v>
      </c>
      <c r="F464" s="1" t="s">
        <v>251</v>
      </c>
      <c r="G464" s="1" t="s">
        <v>252</v>
      </c>
      <c r="H464" s="1" t="s">
        <v>72</v>
      </c>
      <c r="I464">
        <v>26567</v>
      </c>
      <c r="J464" s="3">
        <v>48.31</v>
      </c>
      <c r="K464" s="3">
        <v>1283451.77</v>
      </c>
    </row>
    <row r="465" spans="1:11" x14ac:dyDescent="0.2">
      <c r="A465" s="1" t="s">
        <v>1183</v>
      </c>
      <c r="B465" s="2">
        <v>45692</v>
      </c>
      <c r="C465" s="1" t="s">
        <v>1184</v>
      </c>
      <c r="D465" s="1" t="s">
        <v>1185</v>
      </c>
      <c r="E465" s="1" t="s">
        <v>28</v>
      </c>
      <c r="F465" s="1" t="s">
        <v>406</v>
      </c>
      <c r="G465" s="1" t="s">
        <v>407</v>
      </c>
      <c r="H465" s="1" t="s">
        <v>17</v>
      </c>
      <c r="I465">
        <v>61489</v>
      </c>
      <c r="J465" s="3">
        <v>41.53</v>
      </c>
      <c r="K465" s="3">
        <v>2553638.17</v>
      </c>
    </row>
    <row r="466" spans="1:11" x14ac:dyDescent="0.2">
      <c r="A466" s="1" t="s">
        <v>1186</v>
      </c>
      <c r="B466" s="2">
        <v>45527</v>
      </c>
      <c r="C466" s="1" t="s">
        <v>563</v>
      </c>
      <c r="D466" s="1" t="s">
        <v>564</v>
      </c>
      <c r="E466" s="1" t="s">
        <v>37</v>
      </c>
      <c r="F466" s="1" t="s">
        <v>237</v>
      </c>
      <c r="G466" s="1" t="s">
        <v>238</v>
      </c>
      <c r="H466" s="1" t="s">
        <v>17</v>
      </c>
      <c r="I466">
        <v>24874</v>
      </c>
      <c r="J466" s="3">
        <v>30.49</v>
      </c>
      <c r="K466" s="3">
        <v>758408.26</v>
      </c>
    </row>
    <row r="467" spans="1:11" x14ac:dyDescent="0.2">
      <c r="A467" s="1" t="s">
        <v>1187</v>
      </c>
      <c r="B467" s="2">
        <v>45431</v>
      </c>
      <c r="C467" s="1" t="s">
        <v>617</v>
      </c>
      <c r="D467" s="1" t="s">
        <v>618</v>
      </c>
      <c r="E467" s="1" t="s">
        <v>37</v>
      </c>
      <c r="F467" s="1" t="s">
        <v>237</v>
      </c>
      <c r="G467" s="1" t="s">
        <v>238</v>
      </c>
      <c r="H467" s="1" t="s">
        <v>17</v>
      </c>
      <c r="I467">
        <v>84002</v>
      </c>
      <c r="J467" s="3">
        <v>2.33</v>
      </c>
      <c r="K467" s="3">
        <v>195724.66</v>
      </c>
    </row>
    <row r="468" spans="1:11" x14ac:dyDescent="0.2">
      <c r="A468" s="1" t="s">
        <v>1188</v>
      </c>
      <c r="B468" s="2">
        <v>45399</v>
      </c>
      <c r="C468" s="1" t="s">
        <v>257</v>
      </c>
      <c r="D468" s="1" t="s">
        <v>258</v>
      </c>
      <c r="E468" s="1" t="s">
        <v>28</v>
      </c>
      <c r="F468" s="1" t="s">
        <v>46</v>
      </c>
      <c r="G468" s="1" t="s">
        <v>47</v>
      </c>
      <c r="H468" s="1" t="s">
        <v>48</v>
      </c>
      <c r="I468">
        <v>69528</v>
      </c>
      <c r="J468" s="3">
        <v>40.119999999999997</v>
      </c>
      <c r="K468" s="3">
        <v>2789463.36</v>
      </c>
    </row>
    <row r="469" spans="1:11" x14ac:dyDescent="0.2">
      <c r="A469" s="1" t="s">
        <v>1189</v>
      </c>
      <c r="B469" s="2">
        <v>45310</v>
      </c>
      <c r="C469" s="1" t="s">
        <v>246</v>
      </c>
      <c r="D469" s="1" t="s">
        <v>247</v>
      </c>
      <c r="E469" s="1" t="s">
        <v>21</v>
      </c>
      <c r="F469" s="1" t="s">
        <v>540</v>
      </c>
      <c r="G469" s="1" t="s">
        <v>541</v>
      </c>
      <c r="H469" s="1" t="s">
        <v>37</v>
      </c>
      <c r="I469">
        <v>96341</v>
      </c>
      <c r="J469" s="3">
        <v>39.72</v>
      </c>
      <c r="K469" s="3">
        <v>3826664.52</v>
      </c>
    </row>
    <row r="470" spans="1:11" x14ac:dyDescent="0.2">
      <c r="A470" s="1" t="s">
        <v>1190</v>
      </c>
      <c r="B470" s="2">
        <v>45296</v>
      </c>
      <c r="C470" s="1" t="s">
        <v>1191</v>
      </c>
      <c r="D470" s="1" t="s">
        <v>1192</v>
      </c>
      <c r="E470" s="1" t="s">
        <v>21</v>
      </c>
      <c r="F470" s="1" t="s">
        <v>22</v>
      </c>
      <c r="G470" s="1" t="s">
        <v>23</v>
      </c>
      <c r="H470" s="1" t="s">
        <v>24</v>
      </c>
      <c r="I470">
        <v>64801</v>
      </c>
      <c r="J470" s="3">
        <v>9.34</v>
      </c>
      <c r="K470" s="3">
        <v>605241.34</v>
      </c>
    </row>
    <row r="471" spans="1:11" x14ac:dyDescent="0.2">
      <c r="A471" s="1" t="s">
        <v>1193</v>
      </c>
      <c r="B471" s="2">
        <v>45292</v>
      </c>
      <c r="C471" s="1" t="s">
        <v>1194</v>
      </c>
      <c r="D471" s="1" t="s">
        <v>1195</v>
      </c>
      <c r="E471" s="1" t="s">
        <v>28</v>
      </c>
      <c r="F471" s="1" t="s">
        <v>203</v>
      </c>
      <c r="G471" s="1" t="s">
        <v>204</v>
      </c>
      <c r="H471" s="1" t="s">
        <v>72</v>
      </c>
      <c r="I471">
        <v>24656</v>
      </c>
      <c r="J471" s="3">
        <v>31</v>
      </c>
      <c r="K471" s="3">
        <v>764336</v>
      </c>
    </row>
    <row r="472" spans="1:11" x14ac:dyDescent="0.2">
      <c r="A472" s="1" t="s">
        <v>1196</v>
      </c>
      <c r="B472" s="2">
        <v>45541</v>
      </c>
      <c r="C472" s="1" t="s">
        <v>1197</v>
      </c>
      <c r="D472" s="1" t="s">
        <v>1198</v>
      </c>
      <c r="E472" s="1" t="s">
        <v>34</v>
      </c>
      <c r="F472" s="1" t="s">
        <v>463</v>
      </c>
      <c r="G472" s="1" t="s">
        <v>464</v>
      </c>
      <c r="H472" s="1" t="s">
        <v>37</v>
      </c>
      <c r="I472">
        <v>71253</v>
      </c>
      <c r="J472" s="3">
        <v>31.59</v>
      </c>
      <c r="K472" s="3">
        <v>2250882.27</v>
      </c>
    </row>
    <row r="473" spans="1:11" x14ac:dyDescent="0.2">
      <c r="A473" s="1" t="s">
        <v>1199</v>
      </c>
      <c r="B473" s="2">
        <v>45743</v>
      </c>
      <c r="C473" s="1" t="s">
        <v>478</v>
      </c>
      <c r="D473" s="1" t="s">
        <v>479</v>
      </c>
      <c r="E473" s="1" t="s">
        <v>34</v>
      </c>
      <c r="F473" s="1" t="s">
        <v>157</v>
      </c>
      <c r="G473" s="1" t="s">
        <v>158</v>
      </c>
      <c r="H473" s="1" t="s">
        <v>48</v>
      </c>
      <c r="I473">
        <v>91883</v>
      </c>
      <c r="J473" s="3">
        <v>44.27</v>
      </c>
      <c r="K473" s="3">
        <v>4067660.41</v>
      </c>
    </row>
    <row r="474" spans="1:11" x14ac:dyDescent="0.2">
      <c r="A474" s="1" t="s">
        <v>1200</v>
      </c>
      <c r="B474" s="2">
        <v>45970</v>
      </c>
      <c r="C474" s="1" t="s">
        <v>1201</v>
      </c>
      <c r="D474" s="1" t="s">
        <v>1202</v>
      </c>
      <c r="E474" s="1" t="s">
        <v>37</v>
      </c>
      <c r="F474" s="1" t="s">
        <v>103</v>
      </c>
      <c r="G474" s="1" t="s">
        <v>104</v>
      </c>
      <c r="H474" s="1" t="s">
        <v>37</v>
      </c>
      <c r="I474">
        <v>2547</v>
      </c>
      <c r="J474" s="3">
        <v>15.9</v>
      </c>
      <c r="K474" s="3">
        <v>40497.300000000003</v>
      </c>
    </row>
    <row r="475" spans="1:11" x14ac:dyDescent="0.2">
      <c r="A475" s="1" t="s">
        <v>1203</v>
      </c>
      <c r="B475" s="2">
        <v>45746</v>
      </c>
      <c r="C475" s="1" t="s">
        <v>1204</v>
      </c>
      <c r="D475" s="1" t="s">
        <v>1205</v>
      </c>
      <c r="E475" s="1" t="s">
        <v>14</v>
      </c>
      <c r="F475" s="1" t="s">
        <v>552</v>
      </c>
      <c r="G475" s="1" t="s">
        <v>553</v>
      </c>
      <c r="H475" s="1" t="s">
        <v>37</v>
      </c>
      <c r="I475">
        <v>86296</v>
      </c>
      <c r="J475" s="3">
        <v>29.42</v>
      </c>
      <c r="K475" s="3">
        <v>2538828.3199999998</v>
      </c>
    </row>
    <row r="476" spans="1:11" x14ac:dyDescent="0.2">
      <c r="A476" s="1" t="s">
        <v>1206</v>
      </c>
      <c r="B476" s="2">
        <v>45425</v>
      </c>
      <c r="C476" s="1" t="s">
        <v>1207</v>
      </c>
      <c r="D476" s="1" t="s">
        <v>1208</v>
      </c>
      <c r="E476" s="1" t="s">
        <v>37</v>
      </c>
      <c r="F476" s="1" t="s">
        <v>76</v>
      </c>
      <c r="G476" s="1" t="s">
        <v>77</v>
      </c>
      <c r="H476" s="1" t="s">
        <v>48</v>
      </c>
      <c r="I476">
        <v>63680</v>
      </c>
      <c r="J476" s="3">
        <v>48.47</v>
      </c>
      <c r="K476" s="3">
        <v>3086569.6</v>
      </c>
    </row>
    <row r="477" spans="1:11" x14ac:dyDescent="0.2">
      <c r="A477" s="1" t="s">
        <v>1209</v>
      </c>
      <c r="B477" s="2">
        <v>45834</v>
      </c>
      <c r="C477" s="1" t="s">
        <v>695</v>
      </c>
      <c r="D477" s="1" t="s">
        <v>696</v>
      </c>
      <c r="E477" s="1" t="s">
        <v>14</v>
      </c>
      <c r="F477" s="1" t="s">
        <v>29</v>
      </c>
      <c r="G477" s="1" t="s">
        <v>30</v>
      </c>
      <c r="H477" s="1" t="s">
        <v>24</v>
      </c>
      <c r="I477">
        <v>70880</v>
      </c>
      <c r="J477" s="3">
        <v>18.78</v>
      </c>
      <c r="K477" s="3">
        <v>1331126.3999999999</v>
      </c>
    </row>
    <row r="478" spans="1:11" x14ac:dyDescent="0.2">
      <c r="A478" s="1" t="s">
        <v>1210</v>
      </c>
      <c r="B478" s="2">
        <v>45774</v>
      </c>
      <c r="C478" s="1" t="s">
        <v>1211</v>
      </c>
      <c r="D478" s="1" t="s">
        <v>1212</v>
      </c>
      <c r="E478" s="1" t="s">
        <v>37</v>
      </c>
      <c r="F478" s="1" t="s">
        <v>237</v>
      </c>
      <c r="G478" s="1" t="s">
        <v>238</v>
      </c>
      <c r="H478" s="1" t="s">
        <v>17</v>
      </c>
      <c r="I478">
        <v>2099</v>
      </c>
      <c r="J478" s="3">
        <v>47.97</v>
      </c>
      <c r="K478" s="3">
        <v>100689.03</v>
      </c>
    </row>
    <row r="479" spans="1:11" x14ac:dyDescent="0.2">
      <c r="A479" s="1" t="s">
        <v>1213</v>
      </c>
      <c r="B479" s="2">
        <v>45713</v>
      </c>
      <c r="C479" s="1" t="s">
        <v>916</v>
      </c>
      <c r="D479" s="1" t="s">
        <v>917</v>
      </c>
      <c r="E479" s="1" t="s">
        <v>28</v>
      </c>
      <c r="F479" s="1" t="s">
        <v>761</v>
      </c>
      <c r="G479" s="1" t="s">
        <v>762</v>
      </c>
      <c r="H479" s="1" t="s">
        <v>48</v>
      </c>
      <c r="I479">
        <v>20097</v>
      </c>
      <c r="J479" s="3">
        <v>21.19</v>
      </c>
      <c r="K479" s="3">
        <v>425855.43</v>
      </c>
    </row>
    <row r="480" spans="1:11" x14ac:dyDescent="0.2">
      <c r="A480" s="1" t="s">
        <v>1214</v>
      </c>
      <c r="B480" s="2">
        <v>45812</v>
      </c>
      <c r="C480" s="1" t="s">
        <v>543</v>
      </c>
      <c r="D480" s="1" t="s">
        <v>544</v>
      </c>
      <c r="E480" s="1" t="s">
        <v>28</v>
      </c>
      <c r="F480" s="1" t="s">
        <v>324</v>
      </c>
      <c r="G480" s="1" t="s">
        <v>325</v>
      </c>
      <c r="H480" s="1" t="s">
        <v>24</v>
      </c>
      <c r="I480">
        <v>63706</v>
      </c>
      <c r="J480" s="3">
        <v>20.02</v>
      </c>
      <c r="K480" s="3">
        <v>1275394.1200000001</v>
      </c>
    </row>
    <row r="481" spans="1:11" x14ac:dyDescent="0.2">
      <c r="A481" s="1" t="s">
        <v>1215</v>
      </c>
      <c r="B481" s="2">
        <v>45621</v>
      </c>
      <c r="C481" s="1" t="s">
        <v>1216</v>
      </c>
      <c r="D481" s="1" t="s">
        <v>1217</v>
      </c>
      <c r="E481" s="1" t="s">
        <v>37</v>
      </c>
      <c r="F481" s="1" t="s">
        <v>103</v>
      </c>
      <c r="G481" s="1" t="s">
        <v>104</v>
      </c>
      <c r="H481" s="1" t="s">
        <v>37</v>
      </c>
      <c r="I481">
        <v>78698</v>
      </c>
      <c r="J481" s="3">
        <v>38.090000000000003</v>
      </c>
      <c r="K481" s="3">
        <v>2997606.82</v>
      </c>
    </row>
    <row r="482" spans="1:11" x14ac:dyDescent="0.2">
      <c r="A482" s="1" t="s">
        <v>1218</v>
      </c>
      <c r="B482" s="2">
        <v>45439</v>
      </c>
      <c r="C482" s="1" t="s">
        <v>710</v>
      </c>
      <c r="D482" s="1" t="s">
        <v>711</v>
      </c>
      <c r="E482" s="1" t="s">
        <v>21</v>
      </c>
      <c r="F482" s="1" t="s">
        <v>113</v>
      </c>
      <c r="G482" s="1" t="s">
        <v>114</v>
      </c>
      <c r="H482" s="1" t="s">
        <v>37</v>
      </c>
      <c r="I482">
        <v>53763</v>
      </c>
      <c r="J482" s="3">
        <v>22.33</v>
      </c>
      <c r="K482" s="3">
        <v>1200527.79</v>
      </c>
    </row>
    <row r="483" spans="1:11" x14ac:dyDescent="0.2">
      <c r="A483" s="1" t="s">
        <v>1219</v>
      </c>
      <c r="B483" s="2">
        <v>45454</v>
      </c>
      <c r="C483" s="1" t="s">
        <v>1220</v>
      </c>
      <c r="D483" s="1" t="s">
        <v>1221</v>
      </c>
      <c r="E483" s="1" t="s">
        <v>34</v>
      </c>
      <c r="F483" s="1" t="s">
        <v>203</v>
      </c>
      <c r="G483" s="1" t="s">
        <v>204</v>
      </c>
      <c r="H483" s="1" t="s">
        <v>72</v>
      </c>
      <c r="I483">
        <v>79573</v>
      </c>
      <c r="J483" s="3">
        <v>40.98</v>
      </c>
      <c r="K483" s="3">
        <v>3260901.54</v>
      </c>
    </row>
    <row r="484" spans="1:11" x14ac:dyDescent="0.2">
      <c r="A484" s="1" t="s">
        <v>1222</v>
      </c>
      <c r="B484" s="2">
        <v>45808</v>
      </c>
      <c r="C484" s="1" t="s">
        <v>1223</v>
      </c>
      <c r="D484" s="1" t="s">
        <v>1224</v>
      </c>
      <c r="E484" s="1" t="s">
        <v>37</v>
      </c>
      <c r="F484" s="1" t="s">
        <v>463</v>
      </c>
      <c r="G484" s="1" t="s">
        <v>464</v>
      </c>
      <c r="H484" s="1" t="s">
        <v>37</v>
      </c>
      <c r="I484">
        <v>57004</v>
      </c>
      <c r="J484" s="3">
        <v>48.36</v>
      </c>
      <c r="K484" s="3">
        <v>2756713.44</v>
      </c>
    </row>
    <row r="485" spans="1:11" x14ac:dyDescent="0.2">
      <c r="A485" s="1" t="s">
        <v>1225</v>
      </c>
      <c r="B485" s="2">
        <v>46019</v>
      </c>
      <c r="C485" s="1" t="s">
        <v>84</v>
      </c>
      <c r="D485" s="1" t="s">
        <v>85</v>
      </c>
      <c r="E485" s="1" t="s">
        <v>28</v>
      </c>
      <c r="F485" s="1" t="s">
        <v>510</v>
      </c>
      <c r="G485" s="1" t="s">
        <v>511</v>
      </c>
      <c r="H485" s="1" t="s">
        <v>17</v>
      </c>
      <c r="I485">
        <v>88024</v>
      </c>
      <c r="J485" s="3">
        <v>48.77</v>
      </c>
      <c r="K485" s="3">
        <v>4292930.4800000004</v>
      </c>
    </row>
    <row r="486" spans="1:11" x14ac:dyDescent="0.2">
      <c r="A486" s="1" t="s">
        <v>1226</v>
      </c>
      <c r="B486" s="2">
        <v>45777</v>
      </c>
      <c r="C486" s="1" t="s">
        <v>1227</v>
      </c>
      <c r="D486" s="1" t="s">
        <v>1228</v>
      </c>
      <c r="E486" s="1" t="s">
        <v>34</v>
      </c>
      <c r="F486" s="1" t="s">
        <v>394</v>
      </c>
      <c r="G486" s="1" t="s">
        <v>395</v>
      </c>
      <c r="H486" s="1" t="s">
        <v>48</v>
      </c>
      <c r="I486">
        <v>66129</v>
      </c>
      <c r="J486" s="3">
        <v>39.26</v>
      </c>
      <c r="K486" s="3">
        <v>2596224.54</v>
      </c>
    </row>
    <row r="487" spans="1:11" x14ac:dyDescent="0.2">
      <c r="A487" s="1" t="s">
        <v>1229</v>
      </c>
      <c r="B487" s="2">
        <v>45929</v>
      </c>
      <c r="C487" s="1" t="s">
        <v>1230</v>
      </c>
      <c r="D487" s="1" t="s">
        <v>1231</v>
      </c>
      <c r="E487" s="1" t="s">
        <v>21</v>
      </c>
      <c r="F487" s="1" t="s">
        <v>203</v>
      </c>
      <c r="G487" s="1" t="s">
        <v>204</v>
      </c>
      <c r="H487" s="1" t="s">
        <v>72</v>
      </c>
      <c r="I487">
        <v>44291</v>
      </c>
      <c r="J487" s="3">
        <v>13.61</v>
      </c>
      <c r="K487" s="3">
        <v>602800.51</v>
      </c>
    </row>
    <row r="488" spans="1:11" x14ac:dyDescent="0.2">
      <c r="A488" s="1" t="s">
        <v>1232</v>
      </c>
      <c r="B488" s="2">
        <v>45658</v>
      </c>
      <c r="C488" s="1" t="s">
        <v>1233</v>
      </c>
      <c r="D488" s="1" t="s">
        <v>1234</v>
      </c>
      <c r="E488" s="1" t="s">
        <v>14</v>
      </c>
      <c r="F488" s="1" t="s">
        <v>22</v>
      </c>
      <c r="G488" s="1" t="s">
        <v>23</v>
      </c>
      <c r="H488" s="1" t="s">
        <v>24</v>
      </c>
      <c r="I488">
        <v>31652</v>
      </c>
      <c r="J488" s="3">
        <v>24.27</v>
      </c>
      <c r="K488" s="3">
        <v>768194.04</v>
      </c>
    </row>
    <row r="489" spans="1:11" x14ac:dyDescent="0.2">
      <c r="A489" s="1" t="s">
        <v>1235</v>
      </c>
      <c r="B489" s="2">
        <v>45858</v>
      </c>
      <c r="C489" s="1" t="s">
        <v>1020</v>
      </c>
      <c r="D489" s="1" t="s">
        <v>1021</v>
      </c>
      <c r="E489" s="1" t="s">
        <v>14</v>
      </c>
      <c r="F489" s="1" t="s">
        <v>81</v>
      </c>
      <c r="G489" s="1" t="s">
        <v>82</v>
      </c>
      <c r="H489" s="1" t="s">
        <v>72</v>
      </c>
      <c r="I489">
        <v>65224</v>
      </c>
      <c r="J489" s="3">
        <v>23.92</v>
      </c>
      <c r="K489" s="3">
        <v>1560158.08</v>
      </c>
    </row>
    <row r="490" spans="1:11" x14ac:dyDescent="0.2">
      <c r="A490" s="1" t="s">
        <v>1236</v>
      </c>
      <c r="B490" s="2">
        <v>45543</v>
      </c>
      <c r="C490" s="1" t="s">
        <v>1237</v>
      </c>
      <c r="D490" s="1" t="s">
        <v>1238</v>
      </c>
      <c r="E490" s="1" t="s">
        <v>34</v>
      </c>
      <c r="F490" s="1" t="s">
        <v>98</v>
      </c>
      <c r="G490" s="1" t="s">
        <v>99</v>
      </c>
      <c r="H490" s="1" t="s">
        <v>72</v>
      </c>
      <c r="I490">
        <v>56208</v>
      </c>
      <c r="J490" s="3">
        <v>14.69</v>
      </c>
      <c r="K490" s="3">
        <v>825695.52</v>
      </c>
    </row>
    <row r="491" spans="1:11" x14ac:dyDescent="0.2">
      <c r="A491" s="1" t="s">
        <v>1239</v>
      </c>
      <c r="B491" s="2">
        <v>45946</v>
      </c>
      <c r="C491" s="1" t="s">
        <v>1240</v>
      </c>
      <c r="D491" s="1" t="s">
        <v>1241</v>
      </c>
      <c r="E491" s="1" t="s">
        <v>28</v>
      </c>
      <c r="F491" s="1" t="s">
        <v>176</v>
      </c>
      <c r="G491" s="1" t="s">
        <v>177</v>
      </c>
      <c r="H491" s="1" t="s">
        <v>37</v>
      </c>
      <c r="I491">
        <v>91607</v>
      </c>
      <c r="J491" s="3">
        <v>4.1900000000000004</v>
      </c>
      <c r="K491" s="3">
        <v>383833.33</v>
      </c>
    </row>
    <row r="492" spans="1:11" x14ac:dyDescent="0.2">
      <c r="A492" s="1" t="s">
        <v>1242</v>
      </c>
      <c r="B492" s="2">
        <v>45650</v>
      </c>
      <c r="C492" s="1" t="s">
        <v>478</v>
      </c>
      <c r="D492" s="1" t="s">
        <v>479</v>
      </c>
      <c r="E492" s="1" t="s">
        <v>34</v>
      </c>
      <c r="F492" s="1" t="s">
        <v>228</v>
      </c>
      <c r="G492" s="1" t="s">
        <v>229</v>
      </c>
      <c r="H492" s="1" t="s">
        <v>48</v>
      </c>
      <c r="I492">
        <v>67176</v>
      </c>
      <c r="J492" s="3">
        <v>29.18</v>
      </c>
      <c r="K492" s="3">
        <v>1960195.68</v>
      </c>
    </row>
    <row r="493" spans="1:11" x14ac:dyDescent="0.2">
      <c r="A493" s="1" t="s">
        <v>1243</v>
      </c>
      <c r="B493" s="2">
        <v>45303</v>
      </c>
      <c r="C493" s="1" t="s">
        <v>1244</v>
      </c>
      <c r="D493" s="1" t="s">
        <v>1245</v>
      </c>
      <c r="E493" s="1" t="s">
        <v>28</v>
      </c>
      <c r="F493" s="1" t="s">
        <v>268</v>
      </c>
      <c r="G493" s="1" t="s">
        <v>269</v>
      </c>
      <c r="H493" s="1" t="s">
        <v>72</v>
      </c>
      <c r="I493">
        <v>59615</v>
      </c>
      <c r="J493" s="3">
        <v>8.3699999999999992</v>
      </c>
      <c r="K493" s="3">
        <v>498977.55</v>
      </c>
    </row>
    <row r="494" spans="1:11" x14ac:dyDescent="0.2">
      <c r="A494" s="1" t="s">
        <v>1246</v>
      </c>
      <c r="B494" s="2">
        <v>45636</v>
      </c>
      <c r="C494" s="1" t="s">
        <v>1247</v>
      </c>
      <c r="D494" s="1" t="s">
        <v>1248</v>
      </c>
      <c r="E494" s="1" t="s">
        <v>28</v>
      </c>
      <c r="F494" s="1" t="s">
        <v>406</v>
      </c>
      <c r="G494" s="1" t="s">
        <v>407</v>
      </c>
      <c r="H494" s="1" t="s">
        <v>17</v>
      </c>
      <c r="I494">
        <v>21716</v>
      </c>
      <c r="J494" s="3">
        <v>24.45</v>
      </c>
      <c r="K494" s="3">
        <v>530956.19999999995</v>
      </c>
    </row>
    <row r="495" spans="1:11" x14ac:dyDescent="0.2">
      <c r="A495" s="1" t="s">
        <v>1249</v>
      </c>
      <c r="B495" s="2">
        <v>45762</v>
      </c>
      <c r="C495" s="1" t="s">
        <v>374</v>
      </c>
      <c r="D495" s="1" t="s">
        <v>375</v>
      </c>
      <c r="E495" s="1" t="s">
        <v>14</v>
      </c>
      <c r="F495" s="1" t="s">
        <v>81</v>
      </c>
      <c r="G495" s="1" t="s">
        <v>82</v>
      </c>
      <c r="H495" s="1" t="s">
        <v>72</v>
      </c>
      <c r="I495">
        <v>96707</v>
      </c>
      <c r="J495" s="3">
        <v>3.05</v>
      </c>
      <c r="K495" s="3">
        <v>294956.34999999998</v>
      </c>
    </row>
    <row r="496" spans="1:11" x14ac:dyDescent="0.2">
      <c r="A496" s="1" t="s">
        <v>1250</v>
      </c>
      <c r="B496" s="2">
        <v>45519</v>
      </c>
      <c r="C496" s="1" t="s">
        <v>79</v>
      </c>
      <c r="D496" s="1" t="s">
        <v>80</v>
      </c>
      <c r="E496" s="1" t="s">
        <v>34</v>
      </c>
      <c r="F496" s="1" t="s">
        <v>324</v>
      </c>
      <c r="G496" s="1" t="s">
        <v>325</v>
      </c>
      <c r="H496" s="1" t="s">
        <v>24</v>
      </c>
      <c r="I496">
        <v>74312</v>
      </c>
      <c r="J496" s="3">
        <v>3.87</v>
      </c>
      <c r="K496" s="3">
        <v>287587.44</v>
      </c>
    </row>
    <row r="497" spans="1:11" x14ac:dyDescent="0.2">
      <c r="A497" s="1" t="s">
        <v>1251</v>
      </c>
      <c r="B497" s="2">
        <v>45430</v>
      </c>
      <c r="C497" s="1" t="s">
        <v>415</v>
      </c>
      <c r="D497" s="1" t="s">
        <v>416</v>
      </c>
      <c r="E497" s="1" t="s">
        <v>14</v>
      </c>
      <c r="F497" s="1" t="s">
        <v>237</v>
      </c>
      <c r="G497" s="1" t="s">
        <v>238</v>
      </c>
      <c r="H497" s="1" t="s">
        <v>17</v>
      </c>
      <c r="I497">
        <v>27318</v>
      </c>
      <c r="J497" s="3">
        <v>9.09</v>
      </c>
      <c r="K497" s="3">
        <v>248320.62</v>
      </c>
    </row>
    <row r="498" spans="1:11" x14ac:dyDescent="0.2">
      <c r="A498" s="1" t="s">
        <v>1252</v>
      </c>
      <c r="B498" s="2">
        <v>45656</v>
      </c>
      <c r="C498" s="1" t="s">
        <v>749</v>
      </c>
      <c r="D498" s="1" t="s">
        <v>750</v>
      </c>
      <c r="E498" s="1" t="s">
        <v>28</v>
      </c>
      <c r="F498" s="1" t="s">
        <v>339</v>
      </c>
      <c r="G498" s="1" t="s">
        <v>340</v>
      </c>
      <c r="H498" s="1" t="s">
        <v>24</v>
      </c>
      <c r="I498">
        <v>32276</v>
      </c>
      <c r="J498" s="3">
        <v>33.29</v>
      </c>
      <c r="K498" s="3">
        <v>1074468.04</v>
      </c>
    </row>
    <row r="499" spans="1:11" x14ac:dyDescent="0.2">
      <c r="A499" s="1" t="s">
        <v>1253</v>
      </c>
      <c r="B499" s="2">
        <v>45955</v>
      </c>
      <c r="C499" s="1" t="s">
        <v>1254</v>
      </c>
      <c r="D499" s="1" t="s">
        <v>1255</v>
      </c>
      <c r="E499" s="1" t="s">
        <v>14</v>
      </c>
      <c r="F499" s="1" t="s">
        <v>157</v>
      </c>
      <c r="G499" s="1" t="s">
        <v>158</v>
      </c>
      <c r="H499" s="1" t="s">
        <v>48</v>
      </c>
      <c r="I499">
        <v>78152</v>
      </c>
      <c r="J499" s="3">
        <v>31.4</v>
      </c>
      <c r="K499" s="3">
        <v>2453972.7999999998</v>
      </c>
    </row>
    <row r="500" spans="1:11" x14ac:dyDescent="0.2">
      <c r="A500" s="1" t="s">
        <v>1256</v>
      </c>
      <c r="B500" s="2">
        <v>45446</v>
      </c>
      <c r="C500" s="1" t="s">
        <v>1004</v>
      </c>
      <c r="D500" s="1" t="s">
        <v>1005</v>
      </c>
      <c r="E500" s="1" t="s">
        <v>21</v>
      </c>
      <c r="F500" s="1" t="s">
        <v>108</v>
      </c>
      <c r="G500" s="1" t="s">
        <v>109</v>
      </c>
      <c r="H500" s="1" t="s">
        <v>37</v>
      </c>
      <c r="I500">
        <v>25202</v>
      </c>
      <c r="J500" s="3">
        <v>40.06</v>
      </c>
      <c r="K500" s="3">
        <v>1009592.12</v>
      </c>
    </row>
    <row r="501" spans="1:11" x14ac:dyDescent="0.2">
      <c r="A501" s="1" t="s">
        <v>1257</v>
      </c>
      <c r="B501" s="2">
        <v>45635</v>
      </c>
      <c r="C501" s="1" t="s">
        <v>1061</v>
      </c>
      <c r="D501" s="1" t="s">
        <v>1062</v>
      </c>
      <c r="E501" s="1" t="s">
        <v>14</v>
      </c>
      <c r="F501" s="1" t="s">
        <v>157</v>
      </c>
      <c r="G501" s="1" t="s">
        <v>158</v>
      </c>
      <c r="H501" s="1" t="s">
        <v>48</v>
      </c>
      <c r="I501">
        <v>7843</v>
      </c>
      <c r="J501" s="3">
        <v>20.96</v>
      </c>
      <c r="K501" s="3">
        <v>164389.28</v>
      </c>
    </row>
    <row r="502" spans="1:11" x14ac:dyDescent="0.2">
      <c r="A502" s="1" t="s">
        <v>1258</v>
      </c>
      <c r="B502" s="2">
        <v>45610</v>
      </c>
      <c r="C502" s="1" t="s">
        <v>625</v>
      </c>
      <c r="D502" s="1" t="s">
        <v>626</v>
      </c>
      <c r="E502" s="1" t="s">
        <v>34</v>
      </c>
      <c r="F502" s="1" t="s">
        <v>22</v>
      </c>
      <c r="G502" s="1" t="s">
        <v>23</v>
      </c>
      <c r="H502" s="1" t="s">
        <v>24</v>
      </c>
      <c r="I502">
        <v>88657</v>
      </c>
      <c r="J502" s="3">
        <v>48.75</v>
      </c>
      <c r="K502" s="3">
        <v>4322028.75</v>
      </c>
    </row>
    <row r="503" spans="1:11" x14ac:dyDescent="0.2">
      <c r="A503" s="1" t="s">
        <v>1259</v>
      </c>
      <c r="B503" s="2">
        <v>45413</v>
      </c>
      <c r="C503" s="1" t="s">
        <v>526</v>
      </c>
      <c r="D503" s="1" t="s">
        <v>527</v>
      </c>
      <c r="E503" s="1" t="s">
        <v>34</v>
      </c>
      <c r="F503" s="1" t="s">
        <v>65</v>
      </c>
      <c r="G503" s="1" t="s">
        <v>66</v>
      </c>
      <c r="H503" s="1" t="s">
        <v>48</v>
      </c>
      <c r="I503">
        <v>75898</v>
      </c>
      <c r="J503" s="3">
        <v>17.760000000000002</v>
      </c>
      <c r="K503" s="3">
        <v>1347948.48</v>
      </c>
    </row>
    <row r="504" spans="1:11" x14ac:dyDescent="0.2">
      <c r="A504" s="1" t="s">
        <v>1260</v>
      </c>
      <c r="B504" s="2">
        <v>45363</v>
      </c>
      <c r="C504" s="1" t="s">
        <v>1261</v>
      </c>
      <c r="D504" s="1" t="s">
        <v>1262</v>
      </c>
      <c r="E504" s="1" t="s">
        <v>28</v>
      </c>
      <c r="F504" s="1" t="s">
        <v>273</v>
      </c>
      <c r="G504" s="1" t="s">
        <v>274</v>
      </c>
      <c r="H504" s="1" t="s">
        <v>24</v>
      </c>
      <c r="I504">
        <v>46454</v>
      </c>
      <c r="J504" s="3">
        <v>7.98</v>
      </c>
      <c r="K504" s="3">
        <v>370702.92</v>
      </c>
    </row>
    <row r="505" spans="1:11" x14ac:dyDescent="0.2">
      <c r="A505" s="1" t="s">
        <v>1263</v>
      </c>
      <c r="B505" s="2">
        <v>45574</v>
      </c>
      <c r="C505" s="1" t="s">
        <v>823</v>
      </c>
      <c r="D505" s="1" t="s">
        <v>824</v>
      </c>
      <c r="E505" s="1" t="s">
        <v>21</v>
      </c>
      <c r="F505" s="1" t="s">
        <v>22</v>
      </c>
      <c r="G505" s="1" t="s">
        <v>23</v>
      </c>
      <c r="H505" s="1" t="s">
        <v>24</v>
      </c>
      <c r="I505">
        <v>90336</v>
      </c>
      <c r="J505" s="3">
        <v>17.11</v>
      </c>
      <c r="K505" s="3">
        <v>1545648.96</v>
      </c>
    </row>
    <row r="506" spans="1:11" x14ac:dyDescent="0.2">
      <c r="A506" s="1" t="s">
        <v>1264</v>
      </c>
      <c r="B506" s="2">
        <v>45736</v>
      </c>
      <c r="C506" s="1" t="s">
        <v>249</v>
      </c>
      <c r="D506" s="1" t="s">
        <v>250</v>
      </c>
      <c r="E506" s="1" t="s">
        <v>21</v>
      </c>
      <c r="F506" s="1" t="s">
        <v>458</v>
      </c>
      <c r="G506" s="1" t="s">
        <v>459</v>
      </c>
      <c r="H506" s="1" t="s">
        <v>72</v>
      </c>
      <c r="I506">
        <v>26784</v>
      </c>
      <c r="J506" s="3">
        <v>12.91</v>
      </c>
      <c r="K506" s="3">
        <v>345781.44</v>
      </c>
    </row>
    <row r="507" spans="1:11" x14ac:dyDescent="0.2">
      <c r="A507" s="1" t="s">
        <v>1265</v>
      </c>
      <c r="B507" s="2">
        <v>45453</v>
      </c>
      <c r="C507" s="1" t="s">
        <v>182</v>
      </c>
      <c r="D507" s="1" t="s">
        <v>183</v>
      </c>
      <c r="E507" s="1" t="s">
        <v>14</v>
      </c>
      <c r="F507" s="1" t="s">
        <v>81</v>
      </c>
      <c r="G507" s="1" t="s">
        <v>82</v>
      </c>
      <c r="H507" s="1" t="s">
        <v>72</v>
      </c>
      <c r="I507">
        <v>2372</v>
      </c>
      <c r="J507" s="3">
        <v>34.79</v>
      </c>
      <c r="K507" s="3">
        <v>82521.88</v>
      </c>
    </row>
    <row r="508" spans="1:11" x14ac:dyDescent="0.2">
      <c r="A508" s="1" t="s">
        <v>1266</v>
      </c>
      <c r="B508" s="2">
        <v>45677</v>
      </c>
      <c r="C508" s="1" t="s">
        <v>1223</v>
      </c>
      <c r="D508" s="1" t="s">
        <v>1224</v>
      </c>
      <c r="E508" s="1" t="s">
        <v>37</v>
      </c>
      <c r="F508" s="1" t="s">
        <v>15</v>
      </c>
      <c r="G508" s="1" t="s">
        <v>16</v>
      </c>
      <c r="H508" s="1" t="s">
        <v>17</v>
      </c>
      <c r="I508">
        <v>46674</v>
      </c>
      <c r="J508" s="3">
        <v>9.25</v>
      </c>
      <c r="K508" s="3">
        <v>431734.5</v>
      </c>
    </row>
    <row r="509" spans="1:11" x14ac:dyDescent="0.2">
      <c r="A509" s="1" t="s">
        <v>1267</v>
      </c>
      <c r="B509" s="2">
        <v>45886</v>
      </c>
      <c r="C509" s="1" t="s">
        <v>1268</v>
      </c>
      <c r="D509" s="1" t="s">
        <v>1269</v>
      </c>
      <c r="E509" s="1" t="s">
        <v>34</v>
      </c>
      <c r="F509" s="1" t="s">
        <v>176</v>
      </c>
      <c r="G509" s="1" t="s">
        <v>177</v>
      </c>
      <c r="H509" s="1" t="s">
        <v>37</v>
      </c>
      <c r="I509">
        <v>54077</v>
      </c>
      <c r="J509" s="3">
        <v>30.68</v>
      </c>
      <c r="K509" s="3">
        <v>1659082.36</v>
      </c>
    </row>
    <row r="510" spans="1:11" x14ac:dyDescent="0.2">
      <c r="A510" s="1" t="s">
        <v>1270</v>
      </c>
      <c r="B510" s="2">
        <v>45425</v>
      </c>
      <c r="C510" s="1" t="s">
        <v>60</v>
      </c>
      <c r="D510" s="1" t="s">
        <v>61</v>
      </c>
      <c r="E510" s="1" t="s">
        <v>28</v>
      </c>
      <c r="F510" s="1" t="s">
        <v>350</v>
      </c>
      <c r="G510" s="1" t="s">
        <v>351</v>
      </c>
      <c r="H510" s="1" t="s">
        <v>37</v>
      </c>
      <c r="I510">
        <v>67618</v>
      </c>
      <c r="J510" s="3">
        <v>43.16</v>
      </c>
      <c r="K510" s="3">
        <v>2918392.88</v>
      </c>
    </row>
    <row r="511" spans="1:11" x14ac:dyDescent="0.2">
      <c r="A511" s="1" t="s">
        <v>1271</v>
      </c>
      <c r="B511" s="2">
        <v>45950</v>
      </c>
      <c r="C511" s="1" t="s">
        <v>1272</v>
      </c>
      <c r="D511" s="1" t="s">
        <v>1273</v>
      </c>
      <c r="E511" s="1" t="s">
        <v>34</v>
      </c>
      <c r="F511" s="1" t="s">
        <v>350</v>
      </c>
      <c r="G511" s="1" t="s">
        <v>351</v>
      </c>
      <c r="H511" s="1" t="s">
        <v>37</v>
      </c>
      <c r="I511">
        <v>23385</v>
      </c>
      <c r="J511" s="3">
        <v>14.94</v>
      </c>
      <c r="K511" s="3">
        <v>349371.9</v>
      </c>
    </row>
    <row r="512" spans="1:11" x14ac:dyDescent="0.2">
      <c r="A512" s="1" t="s">
        <v>1274</v>
      </c>
      <c r="B512" s="2">
        <v>45876</v>
      </c>
      <c r="C512" s="1" t="s">
        <v>550</v>
      </c>
      <c r="D512" s="1" t="s">
        <v>551</v>
      </c>
      <c r="E512" s="1" t="s">
        <v>34</v>
      </c>
      <c r="F512" s="1" t="s">
        <v>113</v>
      </c>
      <c r="G512" s="1" t="s">
        <v>114</v>
      </c>
      <c r="H512" s="1" t="s">
        <v>37</v>
      </c>
      <c r="I512">
        <v>85031</v>
      </c>
      <c r="J512" s="3">
        <v>45.13</v>
      </c>
      <c r="K512" s="3">
        <v>3837449.03</v>
      </c>
    </row>
    <row r="513" spans="1:11" x14ac:dyDescent="0.2">
      <c r="A513" s="1" t="s">
        <v>1275</v>
      </c>
      <c r="B513" s="2">
        <v>46015</v>
      </c>
      <c r="C513" s="1" t="s">
        <v>1276</v>
      </c>
      <c r="D513" s="1" t="s">
        <v>1277</v>
      </c>
      <c r="E513" s="1" t="s">
        <v>37</v>
      </c>
      <c r="F513" s="1" t="s">
        <v>152</v>
      </c>
      <c r="G513" s="1" t="s">
        <v>153</v>
      </c>
      <c r="H513" s="1" t="s">
        <v>17</v>
      </c>
      <c r="I513">
        <v>96975</v>
      </c>
      <c r="J513" s="3">
        <v>41</v>
      </c>
      <c r="K513" s="3">
        <v>3975975</v>
      </c>
    </row>
    <row r="514" spans="1:11" x14ac:dyDescent="0.2">
      <c r="A514" s="1" t="s">
        <v>1278</v>
      </c>
      <c r="B514" s="2">
        <v>45775</v>
      </c>
      <c r="C514" s="1" t="s">
        <v>445</v>
      </c>
      <c r="D514" s="1" t="s">
        <v>446</v>
      </c>
      <c r="E514" s="1" t="s">
        <v>34</v>
      </c>
      <c r="F514" s="1" t="s">
        <v>436</v>
      </c>
      <c r="G514" s="1" t="s">
        <v>437</v>
      </c>
      <c r="H514" s="1" t="s">
        <v>24</v>
      </c>
      <c r="I514">
        <v>38941</v>
      </c>
      <c r="J514" s="3">
        <v>16.53</v>
      </c>
      <c r="K514" s="3">
        <v>643694.73</v>
      </c>
    </row>
    <row r="515" spans="1:11" x14ac:dyDescent="0.2">
      <c r="A515" s="1" t="s">
        <v>1279</v>
      </c>
      <c r="B515" s="2">
        <v>45763</v>
      </c>
      <c r="C515" s="1" t="s">
        <v>877</v>
      </c>
      <c r="D515" s="1" t="s">
        <v>878</v>
      </c>
      <c r="E515" s="1" t="s">
        <v>37</v>
      </c>
      <c r="F515" s="1" t="s">
        <v>176</v>
      </c>
      <c r="G515" s="1" t="s">
        <v>177</v>
      </c>
      <c r="H515" s="1" t="s">
        <v>37</v>
      </c>
      <c r="I515">
        <v>56868</v>
      </c>
      <c r="J515" s="3">
        <v>36.090000000000003</v>
      </c>
      <c r="K515" s="3">
        <v>2052366.12</v>
      </c>
    </row>
    <row r="516" spans="1:11" x14ac:dyDescent="0.2">
      <c r="A516" s="1" t="s">
        <v>1280</v>
      </c>
      <c r="B516" s="2">
        <v>45457</v>
      </c>
      <c r="C516" s="1" t="s">
        <v>835</v>
      </c>
      <c r="D516" s="1" t="s">
        <v>836</v>
      </c>
      <c r="E516" s="1" t="s">
        <v>21</v>
      </c>
      <c r="F516" s="1" t="s">
        <v>103</v>
      </c>
      <c r="G516" s="1" t="s">
        <v>104</v>
      </c>
      <c r="H516" s="1" t="s">
        <v>37</v>
      </c>
      <c r="I516">
        <v>87461</v>
      </c>
      <c r="J516" s="3">
        <v>6.48</v>
      </c>
      <c r="K516" s="3">
        <v>566747.28</v>
      </c>
    </row>
    <row r="517" spans="1:11" x14ac:dyDescent="0.2">
      <c r="A517" s="1" t="s">
        <v>1281</v>
      </c>
      <c r="B517" s="2">
        <v>45572</v>
      </c>
      <c r="C517" s="1" t="s">
        <v>388</v>
      </c>
      <c r="D517" s="1" t="s">
        <v>389</v>
      </c>
      <c r="E517" s="1" t="s">
        <v>14</v>
      </c>
      <c r="F517" s="1" t="s">
        <v>208</v>
      </c>
      <c r="G517" s="1" t="s">
        <v>209</v>
      </c>
      <c r="H517" s="1" t="s">
        <v>17</v>
      </c>
      <c r="I517">
        <v>2639</v>
      </c>
      <c r="J517" s="3">
        <v>26.85</v>
      </c>
      <c r="K517" s="3">
        <v>70857.149999999994</v>
      </c>
    </row>
    <row r="518" spans="1:11" x14ac:dyDescent="0.2">
      <c r="A518" s="1" t="s">
        <v>1282</v>
      </c>
      <c r="B518" s="2">
        <v>45867</v>
      </c>
      <c r="C518" s="1" t="s">
        <v>794</v>
      </c>
      <c r="D518" s="1" t="s">
        <v>795</v>
      </c>
      <c r="E518" s="1" t="s">
        <v>28</v>
      </c>
      <c r="F518" s="1" t="s">
        <v>237</v>
      </c>
      <c r="G518" s="1" t="s">
        <v>238</v>
      </c>
      <c r="H518" s="1" t="s">
        <v>17</v>
      </c>
      <c r="I518">
        <v>34195</v>
      </c>
      <c r="J518" s="3">
        <v>8.8800000000000008</v>
      </c>
      <c r="K518" s="3">
        <v>303651.59999999998</v>
      </c>
    </row>
    <row r="519" spans="1:11" x14ac:dyDescent="0.2">
      <c r="A519" s="1" t="s">
        <v>1283</v>
      </c>
      <c r="B519" s="2">
        <v>45880</v>
      </c>
      <c r="C519" s="1" t="s">
        <v>948</v>
      </c>
      <c r="D519" s="1" t="s">
        <v>949</v>
      </c>
      <c r="E519" s="1" t="s">
        <v>21</v>
      </c>
      <c r="F519" s="1" t="s">
        <v>263</v>
      </c>
      <c r="G519" s="1" t="s">
        <v>264</v>
      </c>
      <c r="H519" s="1" t="s">
        <v>17</v>
      </c>
      <c r="I519">
        <v>26780</v>
      </c>
      <c r="J519" s="3">
        <v>14.95</v>
      </c>
      <c r="K519" s="3">
        <v>400361</v>
      </c>
    </row>
    <row r="520" spans="1:11" x14ac:dyDescent="0.2">
      <c r="A520" s="1" t="s">
        <v>1284</v>
      </c>
      <c r="B520" s="2">
        <v>45993</v>
      </c>
      <c r="C520" s="1" t="s">
        <v>734</v>
      </c>
      <c r="D520" s="1" t="s">
        <v>735</v>
      </c>
      <c r="E520" s="1" t="s">
        <v>28</v>
      </c>
      <c r="F520" s="1" t="s">
        <v>463</v>
      </c>
      <c r="G520" s="1" t="s">
        <v>464</v>
      </c>
      <c r="H520" s="1" t="s">
        <v>37</v>
      </c>
      <c r="I520">
        <v>52554</v>
      </c>
      <c r="J520" s="3">
        <v>31.49</v>
      </c>
      <c r="K520" s="3">
        <v>1654925.46</v>
      </c>
    </row>
    <row r="521" spans="1:11" x14ac:dyDescent="0.2">
      <c r="A521" s="1" t="s">
        <v>1285</v>
      </c>
      <c r="B521" s="2">
        <v>45804</v>
      </c>
      <c r="C521" s="1" t="s">
        <v>808</v>
      </c>
      <c r="D521" s="1" t="s">
        <v>809</v>
      </c>
      <c r="E521" s="1" t="s">
        <v>28</v>
      </c>
      <c r="F521" s="1" t="s">
        <v>195</v>
      </c>
      <c r="G521" s="1" t="s">
        <v>196</v>
      </c>
      <c r="H521" s="1" t="s">
        <v>48</v>
      </c>
      <c r="I521">
        <v>82856</v>
      </c>
      <c r="J521" s="3">
        <v>36.909999999999997</v>
      </c>
      <c r="K521" s="3">
        <v>3058214.96</v>
      </c>
    </row>
    <row r="522" spans="1:11" x14ac:dyDescent="0.2">
      <c r="A522" s="1" t="s">
        <v>1286</v>
      </c>
      <c r="B522" s="2">
        <v>46018</v>
      </c>
      <c r="C522" s="1" t="s">
        <v>926</v>
      </c>
      <c r="D522" s="1" t="s">
        <v>927</v>
      </c>
      <c r="E522" s="1" t="s">
        <v>28</v>
      </c>
      <c r="F522" s="1" t="s">
        <v>203</v>
      </c>
      <c r="G522" s="1" t="s">
        <v>204</v>
      </c>
      <c r="H522" s="1" t="s">
        <v>72</v>
      </c>
      <c r="I522">
        <v>46092</v>
      </c>
      <c r="J522" s="3">
        <v>11.1</v>
      </c>
      <c r="K522" s="3">
        <v>511621.2</v>
      </c>
    </row>
    <row r="523" spans="1:11" x14ac:dyDescent="0.2">
      <c r="A523" s="1" t="s">
        <v>1287</v>
      </c>
      <c r="B523" s="2">
        <v>45673</v>
      </c>
      <c r="C523" s="1" t="s">
        <v>1288</v>
      </c>
      <c r="D523" s="1" t="s">
        <v>1289</v>
      </c>
      <c r="E523" s="1" t="s">
        <v>34</v>
      </c>
      <c r="F523" s="1" t="s">
        <v>35</v>
      </c>
      <c r="G523" s="1" t="s">
        <v>36</v>
      </c>
      <c r="H523" s="1" t="s">
        <v>37</v>
      </c>
      <c r="I523">
        <v>10589</v>
      </c>
      <c r="J523" s="3">
        <v>37.119999999999997</v>
      </c>
      <c r="K523" s="3">
        <v>393063.67999999999</v>
      </c>
    </row>
    <row r="524" spans="1:11" x14ac:dyDescent="0.2">
      <c r="A524" s="1" t="s">
        <v>1290</v>
      </c>
      <c r="B524" s="2">
        <v>45483</v>
      </c>
      <c r="C524" s="1" t="s">
        <v>713</v>
      </c>
      <c r="D524" s="1" t="s">
        <v>714</v>
      </c>
      <c r="E524" s="1" t="s">
        <v>34</v>
      </c>
      <c r="F524" s="1" t="s">
        <v>98</v>
      </c>
      <c r="G524" s="1" t="s">
        <v>99</v>
      </c>
      <c r="H524" s="1" t="s">
        <v>72</v>
      </c>
      <c r="I524">
        <v>6208</v>
      </c>
      <c r="J524" s="3">
        <v>24.4</v>
      </c>
      <c r="K524" s="3">
        <v>151475.20000000001</v>
      </c>
    </row>
    <row r="525" spans="1:11" x14ac:dyDescent="0.2">
      <c r="A525" s="1" t="s">
        <v>1291</v>
      </c>
      <c r="B525" s="2">
        <v>45624</v>
      </c>
      <c r="C525" s="1" t="s">
        <v>1292</v>
      </c>
      <c r="D525" s="1" t="s">
        <v>1293</v>
      </c>
      <c r="E525" s="1" t="s">
        <v>21</v>
      </c>
      <c r="F525" s="1" t="s">
        <v>463</v>
      </c>
      <c r="G525" s="1" t="s">
        <v>464</v>
      </c>
      <c r="H525" s="1" t="s">
        <v>37</v>
      </c>
      <c r="I525">
        <v>94172</v>
      </c>
      <c r="J525" s="3">
        <v>5.74</v>
      </c>
      <c r="K525" s="3">
        <v>540547.28</v>
      </c>
    </row>
    <row r="526" spans="1:11" x14ac:dyDescent="0.2">
      <c r="A526" s="1" t="s">
        <v>1294</v>
      </c>
      <c r="B526" s="2">
        <v>45538</v>
      </c>
      <c r="C526" s="1" t="s">
        <v>1295</v>
      </c>
      <c r="D526" s="1" t="s">
        <v>1296</v>
      </c>
      <c r="E526" s="1" t="s">
        <v>21</v>
      </c>
      <c r="F526" s="1" t="s">
        <v>406</v>
      </c>
      <c r="G526" s="1" t="s">
        <v>407</v>
      </c>
      <c r="H526" s="1" t="s">
        <v>17</v>
      </c>
      <c r="I526">
        <v>90378</v>
      </c>
      <c r="J526" s="3">
        <v>22.4</v>
      </c>
      <c r="K526" s="3">
        <v>2024467.2</v>
      </c>
    </row>
    <row r="527" spans="1:11" x14ac:dyDescent="0.2">
      <c r="A527" s="1" t="s">
        <v>1297</v>
      </c>
      <c r="B527" s="2">
        <v>45494</v>
      </c>
      <c r="C527" s="1" t="s">
        <v>517</v>
      </c>
      <c r="D527" s="1" t="s">
        <v>518</v>
      </c>
      <c r="E527" s="1" t="s">
        <v>21</v>
      </c>
      <c r="F527" s="1" t="s">
        <v>273</v>
      </c>
      <c r="G527" s="1" t="s">
        <v>274</v>
      </c>
      <c r="H527" s="1" t="s">
        <v>24</v>
      </c>
      <c r="I527">
        <v>27620</v>
      </c>
      <c r="J527" s="3">
        <v>24.21</v>
      </c>
      <c r="K527" s="3">
        <v>668680.19999999995</v>
      </c>
    </row>
    <row r="528" spans="1:11" x14ac:dyDescent="0.2">
      <c r="A528" s="1" t="s">
        <v>1298</v>
      </c>
      <c r="B528" s="2">
        <v>45604</v>
      </c>
      <c r="C528" s="1" t="s">
        <v>427</v>
      </c>
      <c r="D528" s="1" t="s">
        <v>428</v>
      </c>
      <c r="E528" s="1" t="s">
        <v>21</v>
      </c>
      <c r="F528" s="1" t="s">
        <v>552</v>
      </c>
      <c r="G528" s="1" t="s">
        <v>553</v>
      </c>
      <c r="H528" s="1" t="s">
        <v>37</v>
      </c>
      <c r="I528">
        <v>5635</v>
      </c>
      <c r="J528" s="3">
        <v>21.59</v>
      </c>
      <c r="K528" s="3">
        <v>121659.65</v>
      </c>
    </row>
    <row r="529" spans="1:11" x14ac:dyDescent="0.2">
      <c r="A529" s="1" t="s">
        <v>1299</v>
      </c>
      <c r="B529" s="2">
        <v>45469</v>
      </c>
      <c r="C529" s="1" t="s">
        <v>1207</v>
      </c>
      <c r="D529" s="1" t="s">
        <v>1208</v>
      </c>
      <c r="E529" s="1" t="s">
        <v>37</v>
      </c>
      <c r="F529" s="1" t="s">
        <v>284</v>
      </c>
      <c r="G529" s="1" t="s">
        <v>285</v>
      </c>
      <c r="H529" s="1" t="s">
        <v>37</v>
      </c>
      <c r="I529">
        <v>28144</v>
      </c>
      <c r="J529" s="3">
        <v>4.7300000000000004</v>
      </c>
      <c r="K529" s="3">
        <v>133121.12</v>
      </c>
    </row>
    <row r="530" spans="1:11" x14ac:dyDescent="0.2">
      <c r="A530" s="1" t="s">
        <v>1300</v>
      </c>
      <c r="B530" s="2">
        <v>45700</v>
      </c>
      <c r="C530" s="1" t="s">
        <v>1178</v>
      </c>
      <c r="D530" s="1" t="s">
        <v>1179</v>
      </c>
      <c r="E530" s="1" t="s">
        <v>34</v>
      </c>
      <c r="F530" s="1" t="s">
        <v>189</v>
      </c>
      <c r="G530" s="1" t="s">
        <v>190</v>
      </c>
      <c r="H530" s="1" t="s">
        <v>17</v>
      </c>
      <c r="I530">
        <v>69674</v>
      </c>
      <c r="J530" s="3">
        <v>19.850000000000001</v>
      </c>
      <c r="K530" s="3">
        <v>1383028.9</v>
      </c>
    </row>
    <row r="531" spans="1:11" x14ac:dyDescent="0.2">
      <c r="A531" s="1" t="s">
        <v>1301</v>
      </c>
      <c r="B531" s="2">
        <v>45889</v>
      </c>
      <c r="C531" s="1" t="s">
        <v>1302</v>
      </c>
      <c r="D531" s="1" t="s">
        <v>1303</v>
      </c>
      <c r="E531" s="1" t="s">
        <v>37</v>
      </c>
      <c r="F531" s="1" t="s">
        <v>510</v>
      </c>
      <c r="G531" s="1" t="s">
        <v>511</v>
      </c>
      <c r="H531" s="1" t="s">
        <v>17</v>
      </c>
      <c r="I531">
        <v>62230</v>
      </c>
      <c r="J531" s="3">
        <v>15.99</v>
      </c>
      <c r="K531" s="3">
        <v>995057.7</v>
      </c>
    </row>
    <row r="532" spans="1:11" x14ac:dyDescent="0.2">
      <c r="A532" s="1" t="s">
        <v>1304</v>
      </c>
      <c r="B532" s="2">
        <v>45667</v>
      </c>
      <c r="C532" s="1" t="s">
        <v>1161</v>
      </c>
      <c r="D532" s="1" t="s">
        <v>1162</v>
      </c>
      <c r="E532" s="1" t="s">
        <v>21</v>
      </c>
      <c r="F532" s="1" t="s">
        <v>41</v>
      </c>
      <c r="G532" s="1" t="s">
        <v>42</v>
      </c>
      <c r="H532" s="1" t="s">
        <v>24</v>
      </c>
      <c r="I532">
        <v>17553</v>
      </c>
      <c r="J532" s="3">
        <v>36.69</v>
      </c>
      <c r="K532" s="3">
        <v>644019.56999999995</v>
      </c>
    </row>
    <row r="533" spans="1:11" x14ac:dyDescent="0.2">
      <c r="A533" s="1" t="s">
        <v>1305</v>
      </c>
      <c r="B533" s="2">
        <v>45562</v>
      </c>
      <c r="C533" s="1" t="s">
        <v>12</v>
      </c>
      <c r="D533" s="1" t="s">
        <v>13</v>
      </c>
      <c r="E533" s="1" t="s">
        <v>14</v>
      </c>
      <c r="F533" s="1" t="s">
        <v>195</v>
      </c>
      <c r="G533" s="1" t="s">
        <v>196</v>
      </c>
      <c r="H533" s="1" t="s">
        <v>48</v>
      </c>
      <c r="I533">
        <v>56609</v>
      </c>
      <c r="J533" s="3">
        <v>11.36</v>
      </c>
      <c r="K533" s="3">
        <v>643078.24</v>
      </c>
    </row>
    <row r="534" spans="1:11" x14ac:dyDescent="0.2">
      <c r="A534" s="1" t="s">
        <v>1306</v>
      </c>
      <c r="B534" s="2">
        <v>45321</v>
      </c>
      <c r="C534" s="1" t="s">
        <v>198</v>
      </c>
      <c r="D534" s="1" t="s">
        <v>199</v>
      </c>
      <c r="E534" s="1" t="s">
        <v>21</v>
      </c>
      <c r="F534" s="1" t="s">
        <v>57</v>
      </c>
      <c r="G534" s="1" t="s">
        <v>58</v>
      </c>
      <c r="H534" s="1" t="s">
        <v>48</v>
      </c>
      <c r="I534">
        <v>3914</v>
      </c>
      <c r="J534" s="3">
        <v>28.42</v>
      </c>
      <c r="K534" s="3">
        <v>111235.88</v>
      </c>
    </row>
    <row r="535" spans="1:11" x14ac:dyDescent="0.2">
      <c r="A535" s="1" t="s">
        <v>1307</v>
      </c>
      <c r="B535" s="2">
        <v>45929</v>
      </c>
      <c r="C535" s="1" t="s">
        <v>628</v>
      </c>
      <c r="D535" s="1" t="s">
        <v>629</v>
      </c>
      <c r="E535" s="1" t="s">
        <v>14</v>
      </c>
      <c r="F535" s="1" t="s">
        <v>251</v>
      </c>
      <c r="G535" s="1" t="s">
        <v>252</v>
      </c>
      <c r="H535" s="1" t="s">
        <v>72</v>
      </c>
      <c r="I535">
        <v>45290</v>
      </c>
      <c r="J535" s="3">
        <v>46.64</v>
      </c>
      <c r="K535" s="3">
        <v>2112325.6</v>
      </c>
    </row>
    <row r="536" spans="1:11" x14ac:dyDescent="0.2">
      <c r="A536" s="1" t="s">
        <v>1308</v>
      </c>
      <c r="B536" s="2">
        <v>45876</v>
      </c>
      <c r="C536" s="1" t="s">
        <v>756</v>
      </c>
      <c r="D536" s="1" t="s">
        <v>757</v>
      </c>
      <c r="E536" s="1" t="s">
        <v>34</v>
      </c>
      <c r="F536" s="1" t="s">
        <v>324</v>
      </c>
      <c r="G536" s="1" t="s">
        <v>325</v>
      </c>
      <c r="H536" s="1" t="s">
        <v>24</v>
      </c>
      <c r="I536">
        <v>15956</v>
      </c>
      <c r="J536" s="3">
        <v>18.98</v>
      </c>
      <c r="K536" s="3">
        <v>302844.88</v>
      </c>
    </row>
    <row r="537" spans="1:11" x14ac:dyDescent="0.2">
      <c r="A537" s="1" t="s">
        <v>1309</v>
      </c>
      <c r="B537" s="2">
        <v>45506</v>
      </c>
      <c r="C537" s="1" t="s">
        <v>1310</v>
      </c>
      <c r="D537" s="1" t="s">
        <v>1311</v>
      </c>
      <c r="E537" s="1" t="s">
        <v>37</v>
      </c>
      <c r="F537" s="1" t="s">
        <v>263</v>
      </c>
      <c r="G537" s="1" t="s">
        <v>264</v>
      </c>
      <c r="H537" s="1" t="s">
        <v>17</v>
      </c>
      <c r="I537">
        <v>76667</v>
      </c>
      <c r="J537" s="3">
        <v>43.09</v>
      </c>
      <c r="K537" s="3">
        <v>3303581.03</v>
      </c>
    </row>
    <row r="538" spans="1:11" x14ac:dyDescent="0.2">
      <c r="A538" s="1" t="s">
        <v>1312</v>
      </c>
      <c r="B538" s="2">
        <v>45970</v>
      </c>
      <c r="C538" s="1" t="s">
        <v>160</v>
      </c>
      <c r="D538" s="1" t="s">
        <v>161</v>
      </c>
      <c r="E538" s="1" t="s">
        <v>21</v>
      </c>
      <c r="F538" s="1" t="s">
        <v>203</v>
      </c>
      <c r="G538" s="1" t="s">
        <v>204</v>
      </c>
      <c r="H538" s="1" t="s">
        <v>72</v>
      </c>
      <c r="I538">
        <v>17884</v>
      </c>
      <c r="J538" s="3">
        <v>23.37</v>
      </c>
      <c r="K538" s="3">
        <v>417949.08</v>
      </c>
    </row>
    <row r="539" spans="1:11" x14ac:dyDescent="0.2">
      <c r="A539" s="1" t="s">
        <v>1313</v>
      </c>
      <c r="B539" s="2">
        <v>45347</v>
      </c>
      <c r="C539" s="1" t="s">
        <v>1314</v>
      </c>
      <c r="D539" s="1" t="s">
        <v>1315</v>
      </c>
      <c r="E539" s="1" t="s">
        <v>14</v>
      </c>
      <c r="F539" s="1" t="s">
        <v>458</v>
      </c>
      <c r="G539" s="1" t="s">
        <v>459</v>
      </c>
      <c r="H539" s="1" t="s">
        <v>72</v>
      </c>
      <c r="I539">
        <v>24405</v>
      </c>
      <c r="J539" s="3">
        <v>18.78</v>
      </c>
      <c r="K539" s="3">
        <v>458325.9</v>
      </c>
    </row>
    <row r="540" spans="1:11" x14ac:dyDescent="0.2">
      <c r="A540" s="1" t="s">
        <v>1316</v>
      </c>
      <c r="B540" s="2">
        <v>45801</v>
      </c>
      <c r="C540" s="1" t="s">
        <v>1317</v>
      </c>
      <c r="D540" s="1" t="s">
        <v>1318</v>
      </c>
      <c r="E540" s="1" t="s">
        <v>28</v>
      </c>
      <c r="F540" s="1" t="s">
        <v>330</v>
      </c>
      <c r="G540" s="1" t="s">
        <v>331</v>
      </c>
      <c r="H540" s="1" t="s">
        <v>72</v>
      </c>
      <c r="I540">
        <v>50346</v>
      </c>
      <c r="J540" s="3">
        <v>29.17</v>
      </c>
      <c r="K540" s="3">
        <v>1468592.82</v>
      </c>
    </row>
    <row r="541" spans="1:11" x14ac:dyDescent="0.2">
      <c r="A541" s="1" t="s">
        <v>1319</v>
      </c>
      <c r="B541" s="2">
        <v>45340</v>
      </c>
      <c r="C541" s="1" t="s">
        <v>356</v>
      </c>
      <c r="D541" s="1" t="s">
        <v>357</v>
      </c>
      <c r="E541" s="1" t="s">
        <v>14</v>
      </c>
      <c r="F541" s="1" t="s">
        <v>15</v>
      </c>
      <c r="G541" s="1" t="s">
        <v>16</v>
      </c>
      <c r="H541" s="1" t="s">
        <v>17</v>
      </c>
      <c r="I541">
        <v>39034</v>
      </c>
      <c r="J541" s="3">
        <v>33.49</v>
      </c>
      <c r="K541" s="3">
        <v>1307248.6599999999</v>
      </c>
    </row>
    <row r="542" spans="1:11" x14ac:dyDescent="0.2">
      <c r="A542" s="1" t="s">
        <v>1320</v>
      </c>
      <c r="B542" s="2">
        <v>45693</v>
      </c>
      <c r="C542" s="1" t="s">
        <v>643</v>
      </c>
      <c r="D542" s="1" t="s">
        <v>644</v>
      </c>
      <c r="E542" s="1" t="s">
        <v>37</v>
      </c>
      <c r="F542" s="1" t="s">
        <v>189</v>
      </c>
      <c r="G542" s="1" t="s">
        <v>190</v>
      </c>
      <c r="H542" s="1" t="s">
        <v>17</v>
      </c>
      <c r="I542">
        <v>67936</v>
      </c>
      <c r="J542" s="3">
        <v>32.01</v>
      </c>
      <c r="K542" s="3">
        <v>2174631.36</v>
      </c>
    </row>
    <row r="543" spans="1:11" x14ac:dyDescent="0.2">
      <c r="A543" s="1" t="s">
        <v>1321</v>
      </c>
      <c r="B543" s="2">
        <v>45727</v>
      </c>
      <c r="C543" s="1" t="s">
        <v>451</v>
      </c>
      <c r="D543" s="1" t="s">
        <v>452</v>
      </c>
      <c r="E543" s="1" t="s">
        <v>28</v>
      </c>
      <c r="F543" s="1" t="s">
        <v>330</v>
      </c>
      <c r="G543" s="1" t="s">
        <v>331</v>
      </c>
      <c r="H543" s="1" t="s">
        <v>72</v>
      </c>
      <c r="I543">
        <v>46367</v>
      </c>
      <c r="J543" s="3">
        <v>18.190000000000001</v>
      </c>
      <c r="K543" s="3">
        <v>843415.73</v>
      </c>
    </row>
    <row r="544" spans="1:11" x14ac:dyDescent="0.2">
      <c r="A544" s="1" t="s">
        <v>1322</v>
      </c>
      <c r="B544" s="2">
        <v>46000</v>
      </c>
      <c r="C544" s="1" t="s">
        <v>155</v>
      </c>
      <c r="D544" s="1" t="s">
        <v>156</v>
      </c>
      <c r="E544" s="1" t="s">
        <v>14</v>
      </c>
      <c r="F544" s="1" t="s">
        <v>761</v>
      </c>
      <c r="G544" s="1" t="s">
        <v>762</v>
      </c>
      <c r="H544" s="1" t="s">
        <v>48</v>
      </c>
      <c r="I544">
        <v>80077</v>
      </c>
      <c r="J544" s="3">
        <v>44.96</v>
      </c>
      <c r="K544" s="3">
        <v>3600261.92</v>
      </c>
    </row>
    <row r="545" spans="1:11" x14ac:dyDescent="0.2">
      <c r="A545" s="1" t="s">
        <v>1323</v>
      </c>
      <c r="B545" s="2">
        <v>45530</v>
      </c>
      <c r="C545" s="1" t="s">
        <v>1324</v>
      </c>
      <c r="D545" s="1" t="s">
        <v>1325</v>
      </c>
      <c r="E545" s="1" t="s">
        <v>34</v>
      </c>
      <c r="F545" s="1" t="s">
        <v>103</v>
      </c>
      <c r="G545" s="1" t="s">
        <v>104</v>
      </c>
      <c r="H545" s="1" t="s">
        <v>37</v>
      </c>
      <c r="I545">
        <v>52915</v>
      </c>
      <c r="J545" s="3">
        <v>37.369999999999997</v>
      </c>
      <c r="K545" s="3">
        <v>1977433.55</v>
      </c>
    </row>
    <row r="546" spans="1:11" x14ac:dyDescent="0.2">
      <c r="A546" s="1" t="s">
        <v>1326</v>
      </c>
      <c r="B546" s="2">
        <v>45363</v>
      </c>
      <c r="C546" s="1" t="s">
        <v>857</v>
      </c>
      <c r="D546" s="1" t="s">
        <v>858</v>
      </c>
      <c r="E546" s="1" t="s">
        <v>34</v>
      </c>
      <c r="F546" s="1" t="s">
        <v>458</v>
      </c>
      <c r="G546" s="1" t="s">
        <v>459</v>
      </c>
      <c r="H546" s="1" t="s">
        <v>72</v>
      </c>
      <c r="I546">
        <v>77730</v>
      </c>
      <c r="J546" s="3">
        <v>5.99</v>
      </c>
      <c r="K546" s="3">
        <v>465602.7</v>
      </c>
    </row>
    <row r="547" spans="1:11" x14ac:dyDescent="0.2">
      <c r="A547" s="1" t="s">
        <v>1327</v>
      </c>
      <c r="B547" s="2">
        <v>45613</v>
      </c>
      <c r="C547" s="1" t="s">
        <v>746</v>
      </c>
      <c r="D547" s="1" t="s">
        <v>747</v>
      </c>
      <c r="E547" s="1" t="s">
        <v>37</v>
      </c>
      <c r="F547" s="1" t="s">
        <v>15</v>
      </c>
      <c r="G547" s="1" t="s">
        <v>16</v>
      </c>
      <c r="H547" s="1" t="s">
        <v>17</v>
      </c>
      <c r="I547">
        <v>75904</v>
      </c>
      <c r="J547" s="3">
        <v>14.93</v>
      </c>
      <c r="K547" s="3">
        <v>1133246.72</v>
      </c>
    </row>
    <row r="548" spans="1:11" x14ac:dyDescent="0.2">
      <c r="A548" s="1" t="s">
        <v>1328</v>
      </c>
      <c r="B548" s="2">
        <v>45713</v>
      </c>
      <c r="C548" s="1" t="s">
        <v>770</v>
      </c>
      <c r="D548" s="1" t="s">
        <v>771</v>
      </c>
      <c r="E548" s="1" t="s">
        <v>34</v>
      </c>
      <c r="F548" s="1" t="s">
        <v>152</v>
      </c>
      <c r="G548" s="1" t="s">
        <v>153</v>
      </c>
      <c r="H548" s="1" t="s">
        <v>17</v>
      </c>
      <c r="I548">
        <v>75504</v>
      </c>
      <c r="J548" s="3">
        <v>47.92</v>
      </c>
      <c r="K548" s="3">
        <v>3618151.68</v>
      </c>
    </row>
    <row r="549" spans="1:11" x14ac:dyDescent="0.2">
      <c r="A549" s="1" t="s">
        <v>1329</v>
      </c>
      <c r="B549" s="2">
        <v>45503</v>
      </c>
      <c r="C549" s="1" t="s">
        <v>111</v>
      </c>
      <c r="D549" s="1" t="s">
        <v>112</v>
      </c>
      <c r="E549" s="1" t="s">
        <v>14</v>
      </c>
      <c r="F549" s="1" t="s">
        <v>184</v>
      </c>
      <c r="G549" s="1" t="s">
        <v>185</v>
      </c>
      <c r="H549" s="1" t="s">
        <v>17</v>
      </c>
      <c r="I549">
        <v>97708</v>
      </c>
      <c r="J549" s="3">
        <v>5.79</v>
      </c>
      <c r="K549" s="3">
        <v>565729.31999999995</v>
      </c>
    </row>
    <row r="550" spans="1:11" x14ac:dyDescent="0.2">
      <c r="A550" s="1" t="s">
        <v>1330</v>
      </c>
      <c r="B550" s="2">
        <v>45476</v>
      </c>
      <c r="C550" s="1" t="s">
        <v>657</v>
      </c>
      <c r="D550" s="1" t="s">
        <v>658</v>
      </c>
      <c r="E550" s="1" t="s">
        <v>37</v>
      </c>
      <c r="F550" s="1" t="s">
        <v>324</v>
      </c>
      <c r="G550" s="1" t="s">
        <v>325</v>
      </c>
      <c r="H550" s="1" t="s">
        <v>24</v>
      </c>
      <c r="I550">
        <v>5531</v>
      </c>
      <c r="J550" s="3">
        <v>19.97</v>
      </c>
      <c r="K550" s="3">
        <v>110454.07</v>
      </c>
    </row>
    <row r="551" spans="1:11" x14ac:dyDescent="0.2">
      <c r="A551" s="1" t="s">
        <v>1331</v>
      </c>
      <c r="B551" s="2">
        <v>45919</v>
      </c>
      <c r="C551" s="1" t="s">
        <v>1332</v>
      </c>
      <c r="D551" s="1" t="s">
        <v>1333</v>
      </c>
      <c r="E551" s="1" t="s">
        <v>34</v>
      </c>
      <c r="F551" s="1" t="s">
        <v>189</v>
      </c>
      <c r="G551" s="1" t="s">
        <v>190</v>
      </c>
      <c r="H551" s="1" t="s">
        <v>17</v>
      </c>
      <c r="I551">
        <v>55777</v>
      </c>
      <c r="J551" s="3">
        <v>35.9</v>
      </c>
      <c r="K551" s="3">
        <v>2002394.3</v>
      </c>
    </row>
    <row r="552" spans="1:11" x14ac:dyDescent="0.2">
      <c r="A552" s="1" t="s">
        <v>1334</v>
      </c>
      <c r="B552" s="2">
        <v>46015</v>
      </c>
      <c r="C552" s="1" t="s">
        <v>487</v>
      </c>
      <c r="D552" s="1" t="s">
        <v>488</v>
      </c>
      <c r="E552" s="1" t="s">
        <v>28</v>
      </c>
      <c r="F552" s="1" t="s">
        <v>330</v>
      </c>
      <c r="G552" s="1" t="s">
        <v>331</v>
      </c>
      <c r="H552" s="1" t="s">
        <v>72</v>
      </c>
      <c r="I552">
        <v>9048</v>
      </c>
      <c r="J552" s="3">
        <v>8.6</v>
      </c>
      <c r="K552" s="3">
        <v>77812.800000000003</v>
      </c>
    </row>
    <row r="553" spans="1:11" x14ac:dyDescent="0.2">
      <c r="A553" s="1" t="s">
        <v>1335</v>
      </c>
      <c r="B553" s="2">
        <v>45490</v>
      </c>
      <c r="C553" s="1" t="s">
        <v>111</v>
      </c>
      <c r="D553" s="1" t="s">
        <v>112</v>
      </c>
      <c r="E553" s="1" t="s">
        <v>14</v>
      </c>
      <c r="F553" s="1" t="s">
        <v>251</v>
      </c>
      <c r="G553" s="1" t="s">
        <v>252</v>
      </c>
      <c r="H553" s="1" t="s">
        <v>72</v>
      </c>
      <c r="I553">
        <v>43059</v>
      </c>
      <c r="J553" s="3">
        <v>15.04</v>
      </c>
      <c r="K553" s="3">
        <v>647607.36</v>
      </c>
    </row>
    <row r="554" spans="1:11" x14ac:dyDescent="0.2">
      <c r="A554" s="1" t="s">
        <v>1336</v>
      </c>
      <c r="B554" s="2">
        <v>45980</v>
      </c>
      <c r="C554" s="1" t="s">
        <v>1337</v>
      </c>
      <c r="D554" s="1" t="s">
        <v>1338</v>
      </c>
      <c r="E554" s="1" t="s">
        <v>34</v>
      </c>
      <c r="F554" s="1" t="s">
        <v>273</v>
      </c>
      <c r="G554" s="1" t="s">
        <v>274</v>
      </c>
      <c r="H554" s="1" t="s">
        <v>24</v>
      </c>
      <c r="I554">
        <v>54837</v>
      </c>
      <c r="J554" s="3">
        <v>27.63</v>
      </c>
      <c r="K554" s="3">
        <v>1515146.31</v>
      </c>
    </row>
    <row r="555" spans="1:11" x14ac:dyDescent="0.2">
      <c r="A555" s="1" t="s">
        <v>1339</v>
      </c>
      <c r="B555" s="2">
        <v>45914</v>
      </c>
      <c r="C555" s="1" t="s">
        <v>1340</v>
      </c>
      <c r="D555" s="1" t="s">
        <v>1341</v>
      </c>
      <c r="E555" s="1" t="s">
        <v>28</v>
      </c>
      <c r="F555" s="1" t="s">
        <v>29</v>
      </c>
      <c r="G555" s="1" t="s">
        <v>30</v>
      </c>
      <c r="H555" s="1" t="s">
        <v>24</v>
      </c>
      <c r="I555">
        <v>93262</v>
      </c>
      <c r="J555" s="3">
        <v>37.29</v>
      </c>
      <c r="K555" s="3">
        <v>3477739.98</v>
      </c>
    </row>
    <row r="556" spans="1:11" x14ac:dyDescent="0.2">
      <c r="A556" s="1" t="s">
        <v>1342</v>
      </c>
      <c r="B556" s="2">
        <v>45846</v>
      </c>
      <c r="C556" s="1" t="s">
        <v>1020</v>
      </c>
      <c r="D556" s="1" t="s">
        <v>1021</v>
      </c>
      <c r="E556" s="1" t="s">
        <v>14</v>
      </c>
      <c r="F556" s="1" t="s">
        <v>436</v>
      </c>
      <c r="G556" s="1" t="s">
        <v>437</v>
      </c>
      <c r="H556" s="1" t="s">
        <v>24</v>
      </c>
      <c r="I556">
        <v>77353</v>
      </c>
      <c r="J556" s="3">
        <v>20.65</v>
      </c>
      <c r="K556" s="3">
        <v>1597339.45</v>
      </c>
    </row>
    <row r="557" spans="1:11" x14ac:dyDescent="0.2">
      <c r="A557" s="1" t="s">
        <v>1343</v>
      </c>
      <c r="B557" s="2">
        <v>45662</v>
      </c>
      <c r="C557" s="1" t="s">
        <v>1344</v>
      </c>
      <c r="D557" s="1" t="s">
        <v>1345</v>
      </c>
      <c r="E557" s="1" t="s">
        <v>34</v>
      </c>
      <c r="F557" s="1" t="s">
        <v>189</v>
      </c>
      <c r="G557" s="1" t="s">
        <v>190</v>
      </c>
      <c r="H557" s="1" t="s">
        <v>17</v>
      </c>
      <c r="I557">
        <v>16140</v>
      </c>
      <c r="J557" s="3">
        <v>37.880000000000003</v>
      </c>
      <c r="K557" s="3">
        <v>611383.19999999995</v>
      </c>
    </row>
    <row r="558" spans="1:11" x14ac:dyDescent="0.2">
      <c r="A558" s="1" t="s">
        <v>1346</v>
      </c>
      <c r="B558" s="2">
        <v>45654</v>
      </c>
      <c r="C558" s="1" t="s">
        <v>1154</v>
      </c>
      <c r="D558" s="1" t="s">
        <v>1155</v>
      </c>
      <c r="E558" s="1" t="s">
        <v>37</v>
      </c>
      <c r="F558" s="1" t="s">
        <v>339</v>
      </c>
      <c r="G558" s="1" t="s">
        <v>340</v>
      </c>
      <c r="H558" s="1" t="s">
        <v>24</v>
      </c>
      <c r="I558">
        <v>94621</v>
      </c>
      <c r="J558" s="3">
        <v>27.68</v>
      </c>
      <c r="K558" s="3">
        <v>2619109.2799999998</v>
      </c>
    </row>
    <row r="559" spans="1:11" x14ac:dyDescent="0.2">
      <c r="A559" s="1" t="s">
        <v>1347</v>
      </c>
      <c r="B559" s="2">
        <v>45396</v>
      </c>
      <c r="C559" s="1" t="s">
        <v>684</v>
      </c>
      <c r="D559" s="1" t="s">
        <v>685</v>
      </c>
      <c r="E559" s="1" t="s">
        <v>37</v>
      </c>
      <c r="F559" s="1" t="s">
        <v>463</v>
      </c>
      <c r="G559" s="1" t="s">
        <v>464</v>
      </c>
      <c r="H559" s="1" t="s">
        <v>37</v>
      </c>
      <c r="I559">
        <v>6656</v>
      </c>
      <c r="J559" s="3">
        <v>22.89</v>
      </c>
      <c r="K559" s="3">
        <v>152355.84</v>
      </c>
    </row>
    <row r="560" spans="1:11" x14ac:dyDescent="0.2">
      <c r="A560" s="1" t="s">
        <v>1348</v>
      </c>
      <c r="B560" s="2">
        <v>45939</v>
      </c>
      <c r="C560" s="1" t="s">
        <v>749</v>
      </c>
      <c r="D560" s="1" t="s">
        <v>750</v>
      </c>
      <c r="E560" s="1" t="s">
        <v>28</v>
      </c>
      <c r="F560" s="1" t="s">
        <v>228</v>
      </c>
      <c r="G560" s="1" t="s">
        <v>229</v>
      </c>
      <c r="H560" s="1" t="s">
        <v>48</v>
      </c>
      <c r="I560">
        <v>29137</v>
      </c>
      <c r="J560" s="3">
        <v>31.05</v>
      </c>
      <c r="K560" s="3">
        <v>904703.85</v>
      </c>
    </row>
    <row r="561" spans="1:11" x14ac:dyDescent="0.2">
      <c r="A561" s="1" t="s">
        <v>1349</v>
      </c>
      <c r="B561" s="2">
        <v>45643</v>
      </c>
      <c r="C561" s="1" t="s">
        <v>220</v>
      </c>
      <c r="D561" s="1" t="s">
        <v>221</v>
      </c>
      <c r="E561" s="1" t="s">
        <v>21</v>
      </c>
      <c r="F561" s="1" t="s">
        <v>35</v>
      </c>
      <c r="G561" s="1" t="s">
        <v>36</v>
      </c>
      <c r="H561" s="1" t="s">
        <v>37</v>
      </c>
      <c r="I561">
        <v>57810</v>
      </c>
      <c r="J561" s="3">
        <v>22.68</v>
      </c>
      <c r="K561" s="3">
        <v>1311130.8</v>
      </c>
    </row>
    <row r="562" spans="1:11" x14ac:dyDescent="0.2">
      <c r="A562" s="1" t="s">
        <v>1350</v>
      </c>
      <c r="B562" s="2">
        <v>45742</v>
      </c>
      <c r="C562" s="1" t="s">
        <v>669</v>
      </c>
      <c r="D562" s="1" t="s">
        <v>670</v>
      </c>
      <c r="E562" s="1" t="s">
        <v>34</v>
      </c>
      <c r="F562" s="1" t="s">
        <v>139</v>
      </c>
      <c r="G562" s="1" t="s">
        <v>140</v>
      </c>
      <c r="H562" s="1" t="s">
        <v>24</v>
      </c>
      <c r="I562">
        <v>15284</v>
      </c>
      <c r="J562" s="3">
        <v>26.89</v>
      </c>
      <c r="K562" s="3">
        <v>410986.76</v>
      </c>
    </row>
    <row r="563" spans="1:11" x14ac:dyDescent="0.2">
      <c r="A563" s="1" t="s">
        <v>1351</v>
      </c>
      <c r="B563" s="2">
        <v>45370</v>
      </c>
      <c r="C563" s="1" t="s">
        <v>979</v>
      </c>
      <c r="D563" s="1" t="s">
        <v>980</v>
      </c>
      <c r="E563" s="1" t="s">
        <v>37</v>
      </c>
      <c r="F563" s="1" t="s">
        <v>165</v>
      </c>
      <c r="G563" s="1" t="s">
        <v>166</v>
      </c>
      <c r="H563" s="1" t="s">
        <v>24</v>
      </c>
      <c r="I563">
        <v>37579</v>
      </c>
      <c r="J563" s="3">
        <v>8.17</v>
      </c>
      <c r="K563" s="3">
        <v>307020.43</v>
      </c>
    </row>
    <row r="564" spans="1:11" x14ac:dyDescent="0.2">
      <c r="A564" s="1" t="s">
        <v>1352</v>
      </c>
      <c r="B564" s="2">
        <v>45383</v>
      </c>
      <c r="C564" s="1" t="s">
        <v>1102</v>
      </c>
      <c r="D564" s="1" t="s">
        <v>1103</v>
      </c>
      <c r="E564" s="1" t="s">
        <v>21</v>
      </c>
      <c r="F564" s="1" t="s">
        <v>273</v>
      </c>
      <c r="G564" s="1" t="s">
        <v>274</v>
      </c>
      <c r="H564" s="1" t="s">
        <v>24</v>
      </c>
      <c r="I564">
        <v>62591</v>
      </c>
      <c r="J564" s="3">
        <v>12.86</v>
      </c>
      <c r="K564" s="3">
        <v>804920.26</v>
      </c>
    </row>
    <row r="565" spans="1:11" x14ac:dyDescent="0.2">
      <c r="A565" s="1" t="s">
        <v>1353</v>
      </c>
      <c r="B565" s="2">
        <v>45847</v>
      </c>
      <c r="C565" s="1" t="s">
        <v>1354</v>
      </c>
      <c r="D565" s="1" t="s">
        <v>1355</v>
      </c>
      <c r="E565" s="1" t="s">
        <v>34</v>
      </c>
      <c r="F565" s="1" t="s">
        <v>237</v>
      </c>
      <c r="G565" s="1" t="s">
        <v>238</v>
      </c>
      <c r="H565" s="1" t="s">
        <v>17</v>
      </c>
      <c r="I565">
        <v>70113</v>
      </c>
      <c r="J565" s="3">
        <v>22.04</v>
      </c>
      <c r="K565" s="3">
        <v>1545290.52</v>
      </c>
    </row>
    <row r="566" spans="1:11" x14ac:dyDescent="0.2">
      <c r="A566" s="1" t="s">
        <v>1356</v>
      </c>
      <c r="B566" s="2">
        <v>45477</v>
      </c>
      <c r="C566" s="1" t="s">
        <v>1357</v>
      </c>
      <c r="D566" s="1" t="s">
        <v>1358</v>
      </c>
      <c r="E566" s="1" t="s">
        <v>37</v>
      </c>
      <c r="F566" s="1" t="s">
        <v>144</v>
      </c>
      <c r="G566" s="1" t="s">
        <v>145</v>
      </c>
      <c r="H566" s="1" t="s">
        <v>24</v>
      </c>
      <c r="I566">
        <v>48517</v>
      </c>
      <c r="J566" s="3">
        <v>5.46</v>
      </c>
      <c r="K566" s="3">
        <v>264902.82</v>
      </c>
    </row>
    <row r="567" spans="1:11" x14ac:dyDescent="0.2">
      <c r="A567" s="1" t="s">
        <v>1359</v>
      </c>
      <c r="B567" s="2">
        <v>45793</v>
      </c>
      <c r="C567" s="1" t="s">
        <v>427</v>
      </c>
      <c r="D567" s="1" t="s">
        <v>428</v>
      </c>
      <c r="E567" s="1" t="s">
        <v>21</v>
      </c>
      <c r="F567" s="1" t="s">
        <v>406</v>
      </c>
      <c r="G567" s="1" t="s">
        <v>407</v>
      </c>
      <c r="H567" s="1" t="s">
        <v>17</v>
      </c>
      <c r="I567">
        <v>65569</v>
      </c>
      <c r="J567" s="3">
        <v>19.079999999999998</v>
      </c>
      <c r="K567" s="3">
        <v>1251056.52</v>
      </c>
    </row>
    <row r="568" spans="1:11" x14ac:dyDescent="0.2">
      <c r="A568" s="1" t="s">
        <v>1360</v>
      </c>
      <c r="B568" s="2">
        <v>45463</v>
      </c>
      <c r="C568" s="1" t="s">
        <v>1020</v>
      </c>
      <c r="D568" s="1" t="s">
        <v>1021</v>
      </c>
      <c r="E568" s="1" t="s">
        <v>14</v>
      </c>
      <c r="F568" s="1" t="s">
        <v>203</v>
      </c>
      <c r="G568" s="1" t="s">
        <v>204</v>
      </c>
      <c r="H568" s="1" t="s">
        <v>72</v>
      </c>
      <c r="I568">
        <v>50129</v>
      </c>
      <c r="J568" s="3">
        <v>21.17</v>
      </c>
      <c r="K568" s="3">
        <v>1061230.93</v>
      </c>
    </row>
    <row r="569" spans="1:11" x14ac:dyDescent="0.2">
      <c r="A569" s="1" t="s">
        <v>1361</v>
      </c>
      <c r="B569" s="2">
        <v>45611</v>
      </c>
      <c r="C569" s="1" t="s">
        <v>1357</v>
      </c>
      <c r="D569" s="1" t="s">
        <v>1358</v>
      </c>
      <c r="E569" s="1" t="s">
        <v>37</v>
      </c>
      <c r="F569" s="1" t="s">
        <v>70</v>
      </c>
      <c r="G569" s="1" t="s">
        <v>71</v>
      </c>
      <c r="H569" s="1" t="s">
        <v>72</v>
      </c>
      <c r="I569">
        <v>12144</v>
      </c>
      <c r="J569" s="3">
        <v>47.91</v>
      </c>
      <c r="K569" s="3">
        <v>581819.04</v>
      </c>
    </row>
    <row r="570" spans="1:11" x14ac:dyDescent="0.2">
      <c r="A570" s="1" t="s">
        <v>1362</v>
      </c>
      <c r="B570" s="2">
        <v>45865</v>
      </c>
      <c r="C570" s="1" t="s">
        <v>546</v>
      </c>
      <c r="D570" s="1" t="s">
        <v>547</v>
      </c>
      <c r="E570" s="1" t="s">
        <v>34</v>
      </c>
      <c r="F570" s="1" t="s">
        <v>268</v>
      </c>
      <c r="G570" s="1" t="s">
        <v>269</v>
      </c>
      <c r="H570" s="1" t="s">
        <v>72</v>
      </c>
      <c r="I570">
        <v>59884</v>
      </c>
      <c r="J570" s="3">
        <v>11.8</v>
      </c>
      <c r="K570" s="3">
        <v>706631.2</v>
      </c>
    </row>
    <row r="571" spans="1:11" x14ac:dyDescent="0.2">
      <c r="A571" s="1" t="s">
        <v>1363</v>
      </c>
      <c r="B571" s="2">
        <v>45600</v>
      </c>
      <c r="C571" s="1" t="s">
        <v>1364</v>
      </c>
      <c r="D571" s="1" t="s">
        <v>1365</v>
      </c>
      <c r="E571" s="1" t="s">
        <v>37</v>
      </c>
      <c r="F571" s="1" t="s">
        <v>65</v>
      </c>
      <c r="G571" s="1" t="s">
        <v>66</v>
      </c>
      <c r="H571" s="1" t="s">
        <v>48</v>
      </c>
      <c r="I571">
        <v>68032</v>
      </c>
      <c r="J571" s="3">
        <v>9.99</v>
      </c>
      <c r="K571" s="3">
        <v>679639.68</v>
      </c>
    </row>
    <row r="572" spans="1:11" x14ac:dyDescent="0.2">
      <c r="A572" s="1" t="s">
        <v>1366</v>
      </c>
      <c r="B572" s="2">
        <v>45303</v>
      </c>
      <c r="C572" s="1" t="s">
        <v>55</v>
      </c>
      <c r="D572" s="1" t="s">
        <v>56</v>
      </c>
      <c r="E572" s="1" t="s">
        <v>21</v>
      </c>
      <c r="F572" s="1" t="s">
        <v>330</v>
      </c>
      <c r="G572" s="1" t="s">
        <v>331</v>
      </c>
      <c r="H572" s="1" t="s">
        <v>72</v>
      </c>
      <c r="I572">
        <v>35933</v>
      </c>
      <c r="J572" s="3">
        <v>18.579999999999998</v>
      </c>
      <c r="K572" s="3">
        <v>667635.14</v>
      </c>
    </row>
    <row r="573" spans="1:11" x14ac:dyDescent="0.2">
      <c r="A573" s="1" t="s">
        <v>1367</v>
      </c>
      <c r="B573" s="2">
        <v>45537</v>
      </c>
      <c r="C573" s="1" t="s">
        <v>1368</v>
      </c>
      <c r="D573" s="1" t="s">
        <v>1369</v>
      </c>
      <c r="E573" s="1" t="s">
        <v>28</v>
      </c>
      <c r="F573" s="1" t="s">
        <v>35</v>
      </c>
      <c r="G573" s="1" t="s">
        <v>36</v>
      </c>
      <c r="H573" s="1" t="s">
        <v>37</v>
      </c>
      <c r="I573">
        <v>83248</v>
      </c>
      <c r="J573" s="3">
        <v>29.36</v>
      </c>
      <c r="K573" s="3">
        <v>2444161.2799999998</v>
      </c>
    </row>
    <row r="574" spans="1:11" x14ac:dyDescent="0.2">
      <c r="A574" s="1" t="s">
        <v>1370</v>
      </c>
      <c r="B574" s="2">
        <v>45472</v>
      </c>
      <c r="C574" s="1" t="s">
        <v>163</v>
      </c>
      <c r="D574" s="1" t="s">
        <v>164</v>
      </c>
      <c r="E574" s="1" t="s">
        <v>14</v>
      </c>
      <c r="F574" s="1" t="s">
        <v>208</v>
      </c>
      <c r="G574" s="1" t="s">
        <v>209</v>
      </c>
      <c r="H574" s="1" t="s">
        <v>17</v>
      </c>
      <c r="I574">
        <v>75864</v>
      </c>
      <c r="J574" s="3">
        <v>6.94</v>
      </c>
      <c r="K574" s="3">
        <v>526496.16</v>
      </c>
    </row>
    <row r="575" spans="1:11" x14ac:dyDescent="0.2">
      <c r="A575" s="1" t="s">
        <v>1371</v>
      </c>
      <c r="B575" s="2">
        <v>45383</v>
      </c>
      <c r="C575" s="1" t="s">
        <v>705</v>
      </c>
      <c r="D575" s="1" t="s">
        <v>706</v>
      </c>
      <c r="E575" s="1" t="s">
        <v>28</v>
      </c>
      <c r="F575" s="1" t="s">
        <v>412</v>
      </c>
      <c r="G575" s="1" t="s">
        <v>413</v>
      </c>
      <c r="H575" s="1" t="s">
        <v>72</v>
      </c>
      <c r="I575">
        <v>66457</v>
      </c>
      <c r="J575" s="3">
        <v>20.09</v>
      </c>
      <c r="K575" s="3">
        <v>1335121.1299999999</v>
      </c>
    </row>
    <row r="576" spans="1:11" x14ac:dyDescent="0.2">
      <c r="A576" s="1" t="s">
        <v>1372</v>
      </c>
      <c r="B576" s="2">
        <v>45752</v>
      </c>
      <c r="C576" s="1" t="s">
        <v>1373</v>
      </c>
      <c r="D576" s="1" t="s">
        <v>1374</v>
      </c>
      <c r="E576" s="1" t="s">
        <v>21</v>
      </c>
      <c r="F576" s="1" t="s">
        <v>139</v>
      </c>
      <c r="G576" s="1" t="s">
        <v>140</v>
      </c>
      <c r="H576" s="1" t="s">
        <v>24</v>
      </c>
      <c r="I576">
        <v>25749</v>
      </c>
      <c r="J576" s="3">
        <v>33.340000000000003</v>
      </c>
      <c r="K576" s="3">
        <v>858471.66</v>
      </c>
    </row>
    <row r="577" spans="1:11" x14ac:dyDescent="0.2">
      <c r="A577" s="1" t="s">
        <v>1375</v>
      </c>
      <c r="B577" s="2">
        <v>45609</v>
      </c>
      <c r="C577" s="1" t="s">
        <v>1376</v>
      </c>
      <c r="D577" s="1" t="s">
        <v>1377</v>
      </c>
      <c r="E577" s="1" t="s">
        <v>14</v>
      </c>
      <c r="F577" s="1" t="s">
        <v>65</v>
      </c>
      <c r="G577" s="1" t="s">
        <v>66</v>
      </c>
      <c r="H577" s="1" t="s">
        <v>48</v>
      </c>
      <c r="I577">
        <v>96398</v>
      </c>
      <c r="J577" s="3">
        <v>4.42</v>
      </c>
      <c r="K577" s="3">
        <v>426079.16</v>
      </c>
    </row>
    <row r="578" spans="1:11" x14ac:dyDescent="0.2">
      <c r="A578" s="1" t="s">
        <v>1378</v>
      </c>
      <c r="B578" s="2">
        <v>45447</v>
      </c>
      <c r="C578" s="1" t="s">
        <v>1092</v>
      </c>
      <c r="D578" s="1" t="s">
        <v>1093</v>
      </c>
      <c r="E578" s="1" t="s">
        <v>34</v>
      </c>
      <c r="F578" s="1" t="s">
        <v>108</v>
      </c>
      <c r="G578" s="1" t="s">
        <v>109</v>
      </c>
      <c r="H578" s="1" t="s">
        <v>37</v>
      </c>
      <c r="I578">
        <v>17252</v>
      </c>
      <c r="J578" s="3">
        <v>5.03</v>
      </c>
      <c r="K578" s="3">
        <v>86777.56</v>
      </c>
    </row>
    <row r="579" spans="1:11" x14ac:dyDescent="0.2">
      <c r="A579" s="1" t="s">
        <v>1379</v>
      </c>
      <c r="B579" s="2">
        <v>45724</v>
      </c>
      <c r="C579" s="1" t="s">
        <v>1154</v>
      </c>
      <c r="D579" s="1" t="s">
        <v>1155</v>
      </c>
      <c r="E579" s="1" t="s">
        <v>37</v>
      </c>
      <c r="F579" s="1" t="s">
        <v>176</v>
      </c>
      <c r="G579" s="1" t="s">
        <v>177</v>
      </c>
      <c r="H579" s="1" t="s">
        <v>37</v>
      </c>
      <c r="I579">
        <v>10796</v>
      </c>
      <c r="J579" s="3">
        <v>6.32</v>
      </c>
      <c r="K579" s="3">
        <v>68230.720000000001</v>
      </c>
    </row>
    <row r="580" spans="1:11" x14ac:dyDescent="0.2">
      <c r="A580" s="1" t="s">
        <v>1380</v>
      </c>
      <c r="B580" s="2">
        <v>45774</v>
      </c>
      <c r="C580" s="1" t="s">
        <v>994</v>
      </c>
      <c r="D580" s="1" t="s">
        <v>995</v>
      </c>
      <c r="E580" s="1" t="s">
        <v>21</v>
      </c>
      <c r="F580" s="1" t="s">
        <v>189</v>
      </c>
      <c r="G580" s="1" t="s">
        <v>190</v>
      </c>
      <c r="H580" s="1" t="s">
        <v>17</v>
      </c>
      <c r="I580">
        <v>49396</v>
      </c>
      <c r="J580" s="3">
        <v>26.98</v>
      </c>
      <c r="K580" s="3">
        <v>1332704.08</v>
      </c>
    </row>
    <row r="581" spans="1:11" x14ac:dyDescent="0.2">
      <c r="A581" s="1" t="s">
        <v>1381</v>
      </c>
      <c r="B581" s="2">
        <v>45680</v>
      </c>
      <c r="C581" s="1" t="s">
        <v>1382</v>
      </c>
      <c r="D581" s="1" t="s">
        <v>1383</v>
      </c>
      <c r="E581" s="1" t="s">
        <v>37</v>
      </c>
      <c r="F581" s="1" t="s">
        <v>237</v>
      </c>
      <c r="G581" s="1" t="s">
        <v>238</v>
      </c>
      <c r="H581" s="1" t="s">
        <v>17</v>
      </c>
      <c r="I581">
        <v>97296</v>
      </c>
      <c r="J581" s="3">
        <v>11.14</v>
      </c>
      <c r="K581" s="3">
        <v>1083877.44</v>
      </c>
    </row>
    <row r="582" spans="1:11" x14ac:dyDescent="0.2">
      <c r="A582" s="1" t="s">
        <v>1384</v>
      </c>
      <c r="B582" s="2">
        <v>45770</v>
      </c>
      <c r="C582" s="1" t="s">
        <v>63</v>
      </c>
      <c r="D582" s="1" t="s">
        <v>64</v>
      </c>
      <c r="E582" s="1" t="s">
        <v>37</v>
      </c>
      <c r="F582" s="1" t="s">
        <v>237</v>
      </c>
      <c r="G582" s="1" t="s">
        <v>238</v>
      </c>
      <c r="H582" s="1" t="s">
        <v>17</v>
      </c>
      <c r="I582">
        <v>16873</v>
      </c>
      <c r="J582" s="3">
        <v>31.83</v>
      </c>
      <c r="K582" s="3">
        <v>537067.59</v>
      </c>
    </row>
    <row r="583" spans="1:11" x14ac:dyDescent="0.2">
      <c r="A583" s="1" t="s">
        <v>1385</v>
      </c>
      <c r="B583" s="2">
        <v>45977</v>
      </c>
      <c r="C583" s="1" t="s">
        <v>201</v>
      </c>
      <c r="D583" s="1" t="s">
        <v>202</v>
      </c>
      <c r="E583" s="1" t="s">
        <v>14</v>
      </c>
      <c r="F583" s="1" t="s">
        <v>324</v>
      </c>
      <c r="G583" s="1" t="s">
        <v>325</v>
      </c>
      <c r="H583" s="1" t="s">
        <v>24</v>
      </c>
      <c r="I583">
        <v>11021</v>
      </c>
      <c r="J583" s="3">
        <v>32.61</v>
      </c>
      <c r="K583" s="3">
        <v>359394.81</v>
      </c>
    </row>
    <row r="584" spans="1:11" x14ac:dyDescent="0.2">
      <c r="A584" s="1" t="s">
        <v>1386</v>
      </c>
      <c r="B584" s="2">
        <v>45890</v>
      </c>
      <c r="C584" s="1" t="s">
        <v>1023</v>
      </c>
      <c r="D584" s="1" t="s">
        <v>1024</v>
      </c>
      <c r="E584" s="1" t="s">
        <v>37</v>
      </c>
      <c r="F584" s="1" t="s">
        <v>251</v>
      </c>
      <c r="G584" s="1" t="s">
        <v>252</v>
      </c>
      <c r="H584" s="1" t="s">
        <v>72</v>
      </c>
      <c r="I584">
        <v>87755</v>
      </c>
      <c r="J584" s="3">
        <v>10.75</v>
      </c>
      <c r="K584" s="3">
        <v>943366.25</v>
      </c>
    </row>
    <row r="585" spans="1:11" x14ac:dyDescent="0.2">
      <c r="A585" s="1" t="s">
        <v>1387</v>
      </c>
      <c r="B585" s="2">
        <v>45807</v>
      </c>
      <c r="C585" s="1" t="s">
        <v>1388</v>
      </c>
      <c r="D585" s="1" t="s">
        <v>1389</v>
      </c>
      <c r="E585" s="1" t="s">
        <v>28</v>
      </c>
      <c r="F585" s="1" t="s">
        <v>113</v>
      </c>
      <c r="G585" s="1" t="s">
        <v>114</v>
      </c>
      <c r="H585" s="1" t="s">
        <v>37</v>
      </c>
      <c r="I585">
        <v>71653</v>
      </c>
      <c r="J585" s="3">
        <v>5.19</v>
      </c>
      <c r="K585" s="3">
        <v>371879.07</v>
      </c>
    </row>
    <row r="586" spans="1:11" x14ac:dyDescent="0.2">
      <c r="A586" s="1" t="s">
        <v>1390</v>
      </c>
      <c r="B586" s="2">
        <v>45977</v>
      </c>
      <c r="C586" s="1" t="s">
        <v>101</v>
      </c>
      <c r="D586" s="1" t="s">
        <v>102</v>
      </c>
      <c r="E586" s="1" t="s">
        <v>37</v>
      </c>
      <c r="F586" s="1" t="s">
        <v>268</v>
      </c>
      <c r="G586" s="1" t="s">
        <v>269</v>
      </c>
      <c r="H586" s="1" t="s">
        <v>72</v>
      </c>
      <c r="I586">
        <v>77341</v>
      </c>
      <c r="J586" s="3">
        <v>37.229999999999997</v>
      </c>
      <c r="K586" s="3">
        <v>2879405.43</v>
      </c>
    </row>
    <row r="587" spans="1:11" x14ac:dyDescent="0.2">
      <c r="A587" s="1" t="s">
        <v>1391</v>
      </c>
      <c r="B587" s="2">
        <v>46005</v>
      </c>
      <c r="C587" s="1" t="s">
        <v>1092</v>
      </c>
      <c r="D587" s="1" t="s">
        <v>1093</v>
      </c>
      <c r="E587" s="1" t="s">
        <v>34</v>
      </c>
      <c r="F587" s="1" t="s">
        <v>76</v>
      </c>
      <c r="G587" s="1" t="s">
        <v>77</v>
      </c>
      <c r="H587" s="1" t="s">
        <v>48</v>
      </c>
      <c r="I587">
        <v>27584</v>
      </c>
      <c r="J587" s="3">
        <v>4.37</v>
      </c>
      <c r="K587" s="3">
        <v>120542.08</v>
      </c>
    </row>
    <row r="588" spans="1:11" x14ac:dyDescent="0.2">
      <c r="A588" s="1" t="s">
        <v>1392</v>
      </c>
      <c r="B588" s="2">
        <v>45552</v>
      </c>
      <c r="C588" s="1" t="s">
        <v>1393</v>
      </c>
      <c r="D588" s="1" t="s">
        <v>1394</v>
      </c>
      <c r="E588" s="1" t="s">
        <v>28</v>
      </c>
      <c r="F588" s="1" t="s">
        <v>394</v>
      </c>
      <c r="G588" s="1" t="s">
        <v>395</v>
      </c>
      <c r="H588" s="1" t="s">
        <v>48</v>
      </c>
      <c r="I588">
        <v>38526</v>
      </c>
      <c r="J588" s="3">
        <v>13.77</v>
      </c>
      <c r="K588" s="3">
        <v>530503.02</v>
      </c>
    </row>
    <row r="589" spans="1:11" x14ac:dyDescent="0.2">
      <c r="A589" s="1" t="s">
        <v>1395</v>
      </c>
      <c r="B589" s="2">
        <v>45839</v>
      </c>
      <c r="C589" s="1" t="s">
        <v>322</v>
      </c>
      <c r="D589" s="1" t="s">
        <v>323</v>
      </c>
      <c r="E589" s="1" t="s">
        <v>14</v>
      </c>
      <c r="F589" s="1" t="s">
        <v>189</v>
      </c>
      <c r="G589" s="1" t="s">
        <v>190</v>
      </c>
      <c r="H589" s="1" t="s">
        <v>17</v>
      </c>
      <c r="I589">
        <v>4016</v>
      </c>
      <c r="J589" s="3">
        <v>20.29</v>
      </c>
      <c r="K589" s="3">
        <v>81484.639999999999</v>
      </c>
    </row>
    <row r="590" spans="1:11" x14ac:dyDescent="0.2">
      <c r="A590" s="1" t="s">
        <v>1396</v>
      </c>
      <c r="B590" s="2">
        <v>45389</v>
      </c>
      <c r="C590" s="1" t="s">
        <v>1397</v>
      </c>
      <c r="D590" s="1" t="s">
        <v>1398</v>
      </c>
      <c r="E590" s="1" t="s">
        <v>14</v>
      </c>
      <c r="F590" s="1" t="s">
        <v>81</v>
      </c>
      <c r="G590" s="1" t="s">
        <v>82</v>
      </c>
      <c r="H590" s="1" t="s">
        <v>72</v>
      </c>
      <c r="I590">
        <v>31030</v>
      </c>
      <c r="J590" s="3">
        <v>4.91</v>
      </c>
      <c r="K590" s="3">
        <v>152357.29999999999</v>
      </c>
    </row>
    <row r="591" spans="1:11" x14ac:dyDescent="0.2">
      <c r="A591" s="1" t="s">
        <v>1399</v>
      </c>
      <c r="B591" s="2">
        <v>45847</v>
      </c>
      <c r="C591" s="1" t="s">
        <v>1272</v>
      </c>
      <c r="D591" s="1" t="s">
        <v>1273</v>
      </c>
      <c r="E591" s="1" t="s">
        <v>34</v>
      </c>
      <c r="F591" s="1" t="s">
        <v>458</v>
      </c>
      <c r="G591" s="1" t="s">
        <v>459</v>
      </c>
      <c r="H591" s="1" t="s">
        <v>72</v>
      </c>
      <c r="I591">
        <v>54274</v>
      </c>
      <c r="J591" s="3">
        <v>48.01</v>
      </c>
      <c r="K591" s="3">
        <v>2605694.7400000002</v>
      </c>
    </row>
    <row r="592" spans="1:11" x14ac:dyDescent="0.2">
      <c r="A592" s="1" t="s">
        <v>1400</v>
      </c>
      <c r="B592" s="2">
        <v>45428</v>
      </c>
      <c r="C592" s="1" t="s">
        <v>916</v>
      </c>
      <c r="D592" s="1" t="s">
        <v>917</v>
      </c>
      <c r="E592" s="1" t="s">
        <v>28</v>
      </c>
      <c r="F592" s="1" t="s">
        <v>46</v>
      </c>
      <c r="G592" s="1" t="s">
        <v>47</v>
      </c>
      <c r="H592" s="1" t="s">
        <v>48</v>
      </c>
      <c r="I592">
        <v>40587</v>
      </c>
      <c r="J592" s="3">
        <v>21.92</v>
      </c>
      <c r="K592" s="3">
        <v>889667.04</v>
      </c>
    </row>
    <row r="593" spans="1:11" x14ac:dyDescent="0.2">
      <c r="A593" s="1" t="s">
        <v>1401</v>
      </c>
      <c r="B593" s="2">
        <v>45678</v>
      </c>
      <c r="C593" s="1" t="s">
        <v>1402</v>
      </c>
      <c r="D593" s="1" t="s">
        <v>1403</v>
      </c>
      <c r="E593" s="1" t="s">
        <v>34</v>
      </c>
      <c r="F593" s="1" t="s">
        <v>284</v>
      </c>
      <c r="G593" s="1" t="s">
        <v>285</v>
      </c>
      <c r="H593" s="1" t="s">
        <v>37</v>
      </c>
      <c r="I593">
        <v>56970</v>
      </c>
      <c r="J593" s="3">
        <v>12.16</v>
      </c>
      <c r="K593" s="3">
        <v>692755.2</v>
      </c>
    </row>
    <row r="594" spans="1:11" x14ac:dyDescent="0.2">
      <c r="A594" s="1" t="s">
        <v>1404</v>
      </c>
      <c r="B594" s="2">
        <v>45861</v>
      </c>
      <c r="C594" s="1" t="s">
        <v>543</v>
      </c>
      <c r="D594" s="1" t="s">
        <v>544</v>
      </c>
      <c r="E594" s="1" t="s">
        <v>28</v>
      </c>
      <c r="F594" s="1" t="s">
        <v>41</v>
      </c>
      <c r="G594" s="1" t="s">
        <v>42</v>
      </c>
      <c r="H594" s="1" t="s">
        <v>24</v>
      </c>
      <c r="I594">
        <v>45860</v>
      </c>
      <c r="J594" s="3">
        <v>33.71</v>
      </c>
      <c r="K594" s="3">
        <v>1545940.6</v>
      </c>
    </row>
    <row r="595" spans="1:11" x14ac:dyDescent="0.2">
      <c r="A595" s="1" t="s">
        <v>1405</v>
      </c>
      <c r="B595" s="2">
        <v>45636</v>
      </c>
      <c r="C595" s="1" t="s">
        <v>472</v>
      </c>
      <c r="D595" s="1" t="s">
        <v>473</v>
      </c>
      <c r="E595" s="1" t="s">
        <v>14</v>
      </c>
      <c r="F595" s="1" t="s">
        <v>165</v>
      </c>
      <c r="G595" s="1" t="s">
        <v>166</v>
      </c>
      <c r="H595" s="1" t="s">
        <v>24</v>
      </c>
      <c r="I595">
        <v>98759</v>
      </c>
      <c r="J595" s="3">
        <v>8.7100000000000009</v>
      </c>
      <c r="K595" s="3">
        <v>860190.89</v>
      </c>
    </row>
    <row r="596" spans="1:11" x14ac:dyDescent="0.2">
      <c r="A596" s="1" t="s">
        <v>1406</v>
      </c>
      <c r="B596" s="2">
        <v>45827</v>
      </c>
      <c r="C596" s="1" t="s">
        <v>910</v>
      </c>
      <c r="D596" s="1" t="s">
        <v>911</v>
      </c>
      <c r="E596" s="1" t="s">
        <v>28</v>
      </c>
      <c r="F596" s="1" t="s">
        <v>144</v>
      </c>
      <c r="G596" s="1" t="s">
        <v>145</v>
      </c>
      <c r="H596" s="1" t="s">
        <v>24</v>
      </c>
      <c r="I596">
        <v>8774</v>
      </c>
      <c r="J596" s="3">
        <v>3.63</v>
      </c>
      <c r="K596" s="3">
        <v>31849.62</v>
      </c>
    </row>
    <row r="597" spans="1:11" x14ac:dyDescent="0.2">
      <c r="A597" s="1" t="s">
        <v>1407</v>
      </c>
      <c r="B597" s="2">
        <v>45608</v>
      </c>
      <c r="C597" s="1" t="s">
        <v>1408</v>
      </c>
      <c r="D597" s="1" t="s">
        <v>1409</v>
      </c>
      <c r="E597" s="1" t="s">
        <v>21</v>
      </c>
      <c r="F597" s="1" t="s">
        <v>761</v>
      </c>
      <c r="G597" s="1" t="s">
        <v>762</v>
      </c>
      <c r="H597" s="1" t="s">
        <v>48</v>
      </c>
      <c r="I597">
        <v>77150</v>
      </c>
      <c r="J597" s="3">
        <v>40.950000000000003</v>
      </c>
      <c r="K597" s="3">
        <v>3159292.5</v>
      </c>
    </row>
    <row r="598" spans="1:11" x14ac:dyDescent="0.2">
      <c r="A598" s="1" t="s">
        <v>1410</v>
      </c>
      <c r="B598" s="2">
        <v>45912</v>
      </c>
      <c r="C598" s="1" t="s">
        <v>391</v>
      </c>
      <c r="D598" s="1" t="s">
        <v>392</v>
      </c>
      <c r="E598" s="1" t="s">
        <v>37</v>
      </c>
      <c r="F598" s="1" t="s">
        <v>35</v>
      </c>
      <c r="G598" s="1" t="s">
        <v>36</v>
      </c>
      <c r="H598" s="1" t="s">
        <v>37</v>
      </c>
      <c r="I598">
        <v>68727</v>
      </c>
      <c r="J598" s="3">
        <v>41.41</v>
      </c>
      <c r="K598" s="3">
        <v>2845985.07</v>
      </c>
    </row>
    <row r="599" spans="1:11" x14ac:dyDescent="0.2">
      <c r="A599" s="1" t="s">
        <v>1411</v>
      </c>
      <c r="B599" s="2">
        <v>45695</v>
      </c>
      <c r="C599" s="1" t="s">
        <v>1412</v>
      </c>
      <c r="D599" s="1" t="s">
        <v>1413</v>
      </c>
      <c r="E599" s="1" t="s">
        <v>37</v>
      </c>
      <c r="F599" s="1" t="s">
        <v>510</v>
      </c>
      <c r="G599" s="1" t="s">
        <v>511</v>
      </c>
      <c r="H599" s="1" t="s">
        <v>17</v>
      </c>
      <c r="I599">
        <v>96328</v>
      </c>
      <c r="J599" s="3">
        <v>10.39</v>
      </c>
      <c r="K599" s="3">
        <v>1000847.92</v>
      </c>
    </row>
    <row r="600" spans="1:11" x14ac:dyDescent="0.2">
      <c r="A600" s="1" t="s">
        <v>1414</v>
      </c>
      <c r="B600" s="2">
        <v>45824</v>
      </c>
      <c r="C600" s="1" t="s">
        <v>243</v>
      </c>
      <c r="D600" s="1" t="s">
        <v>244</v>
      </c>
      <c r="E600" s="1" t="s">
        <v>21</v>
      </c>
      <c r="F600" s="1" t="s">
        <v>41</v>
      </c>
      <c r="G600" s="1" t="s">
        <v>42</v>
      </c>
      <c r="H600" s="1" t="s">
        <v>24</v>
      </c>
      <c r="I600">
        <v>8278</v>
      </c>
      <c r="J600" s="3">
        <v>2.71</v>
      </c>
      <c r="K600" s="3">
        <v>22433.38</v>
      </c>
    </row>
    <row r="601" spans="1:11" x14ac:dyDescent="0.2">
      <c r="A601" s="1" t="s">
        <v>1415</v>
      </c>
      <c r="B601" s="2">
        <v>45787</v>
      </c>
      <c r="C601" s="1" t="s">
        <v>832</v>
      </c>
      <c r="D601" s="1" t="s">
        <v>833</v>
      </c>
      <c r="E601" s="1" t="s">
        <v>28</v>
      </c>
      <c r="F601" s="1" t="s">
        <v>284</v>
      </c>
      <c r="G601" s="1" t="s">
        <v>285</v>
      </c>
      <c r="H601" s="1" t="s">
        <v>37</v>
      </c>
      <c r="I601">
        <v>36199</v>
      </c>
      <c r="J601" s="3">
        <v>42.47</v>
      </c>
      <c r="K601" s="3">
        <v>1537371.53</v>
      </c>
    </row>
    <row r="602" spans="1:11" x14ac:dyDescent="0.2">
      <c r="A602" s="1" t="s">
        <v>1416</v>
      </c>
      <c r="B602" s="2">
        <v>45648</v>
      </c>
      <c r="C602" s="1" t="s">
        <v>1417</v>
      </c>
      <c r="D602" s="1" t="s">
        <v>1418</v>
      </c>
      <c r="E602" s="1" t="s">
        <v>34</v>
      </c>
      <c r="F602" s="1" t="s">
        <v>165</v>
      </c>
      <c r="G602" s="1" t="s">
        <v>166</v>
      </c>
      <c r="H602" s="1" t="s">
        <v>24</v>
      </c>
      <c r="I602">
        <v>23563</v>
      </c>
      <c r="J602" s="3">
        <v>5.6</v>
      </c>
      <c r="K602" s="3">
        <v>131952.79999999999</v>
      </c>
    </row>
    <row r="603" spans="1:11" x14ac:dyDescent="0.2">
      <c r="A603" s="1" t="s">
        <v>1419</v>
      </c>
      <c r="B603" s="2">
        <v>45524</v>
      </c>
      <c r="C603" s="1" t="s">
        <v>1082</v>
      </c>
      <c r="D603" s="1" t="s">
        <v>1083</v>
      </c>
      <c r="E603" s="1" t="s">
        <v>28</v>
      </c>
      <c r="F603" s="1" t="s">
        <v>76</v>
      </c>
      <c r="G603" s="1" t="s">
        <v>77</v>
      </c>
      <c r="H603" s="1" t="s">
        <v>48</v>
      </c>
      <c r="I603">
        <v>91372</v>
      </c>
      <c r="J603" s="3">
        <v>4.55</v>
      </c>
      <c r="K603" s="3">
        <v>415742.6</v>
      </c>
    </row>
    <row r="604" spans="1:11" x14ac:dyDescent="0.2">
      <c r="A604" s="1" t="s">
        <v>1420</v>
      </c>
      <c r="B604" s="2">
        <v>45518</v>
      </c>
      <c r="C604" s="1" t="s">
        <v>1421</v>
      </c>
      <c r="D604" s="1" t="s">
        <v>1422</v>
      </c>
      <c r="E604" s="1" t="s">
        <v>21</v>
      </c>
      <c r="F604" s="1" t="s">
        <v>217</v>
      </c>
      <c r="G604" s="1" t="s">
        <v>218</v>
      </c>
      <c r="H604" s="1" t="s">
        <v>72</v>
      </c>
      <c r="I604">
        <v>4575</v>
      </c>
      <c r="J604" s="3">
        <v>18.100000000000001</v>
      </c>
      <c r="K604" s="3">
        <v>82807.5</v>
      </c>
    </row>
    <row r="605" spans="1:11" x14ac:dyDescent="0.2">
      <c r="A605" s="1" t="s">
        <v>1423</v>
      </c>
      <c r="B605" s="2">
        <v>45860</v>
      </c>
      <c r="C605" s="1" t="s">
        <v>79</v>
      </c>
      <c r="D605" s="1" t="s">
        <v>80</v>
      </c>
      <c r="E605" s="1" t="s">
        <v>34</v>
      </c>
      <c r="F605" s="1" t="s">
        <v>394</v>
      </c>
      <c r="G605" s="1" t="s">
        <v>395</v>
      </c>
      <c r="H605" s="1" t="s">
        <v>48</v>
      </c>
      <c r="I605">
        <v>20523</v>
      </c>
      <c r="J605" s="3">
        <v>35.869999999999997</v>
      </c>
      <c r="K605" s="3">
        <v>736160.01</v>
      </c>
    </row>
    <row r="606" spans="1:11" x14ac:dyDescent="0.2">
      <c r="A606" s="1" t="s">
        <v>1424</v>
      </c>
      <c r="B606" s="2">
        <v>45432</v>
      </c>
      <c r="C606" s="1" t="s">
        <v>32</v>
      </c>
      <c r="D606" s="1" t="s">
        <v>33</v>
      </c>
      <c r="E606" s="1" t="s">
        <v>34</v>
      </c>
      <c r="F606" s="1" t="s">
        <v>81</v>
      </c>
      <c r="G606" s="1" t="s">
        <v>82</v>
      </c>
      <c r="H606" s="1" t="s">
        <v>72</v>
      </c>
      <c r="I606">
        <v>61725</v>
      </c>
      <c r="J606" s="3">
        <v>18.02</v>
      </c>
      <c r="K606" s="3">
        <v>1112284.5</v>
      </c>
    </row>
    <row r="607" spans="1:11" x14ac:dyDescent="0.2">
      <c r="A607" s="1" t="s">
        <v>1425</v>
      </c>
      <c r="B607" s="2">
        <v>45821</v>
      </c>
      <c r="C607" s="1" t="s">
        <v>1426</v>
      </c>
      <c r="D607" s="1" t="s">
        <v>1427</v>
      </c>
      <c r="E607" s="1" t="s">
        <v>28</v>
      </c>
      <c r="F607" s="1" t="s">
        <v>412</v>
      </c>
      <c r="G607" s="1" t="s">
        <v>413</v>
      </c>
      <c r="H607" s="1" t="s">
        <v>72</v>
      </c>
      <c r="I607">
        <v>9729</v>
      </c>
      <c r="J607" s="3">
        <v>26.53</v>
      </c>
      <c r="K607" s="3">
        <v>258110.37</v>
      </c>
    </row>
    <row r="608" spans="1:11" x14ac:dyDescent="0.2">
      <c r="A608" s="1" t="s">
        <v>1428</v>
      </c>
      <c r="B608" s="2">
        <v>45436</v>
      </c>
      <c r="C608" s="1" t="s">
        <v>1429</v>
      </c>
      <c r="D608" s="1" t="s">
        <v>1430</v>
      </c>
      <c r="E608" s="1" t="s">
        <v>37</v>
      </c>
      <c r="F608" s="1" t="s">
        <v>284</v>
      </c>
      <c r="G608" s="1" t="s">
        <v>285</v>
      </c>
      <c r="H608" s="1" t="s">
        <v>37</v>
      </c>
      <c r="I608">
        <v>52944</v>
      </c>
      <c r="J608" s="3">
        <v>8.4700000000000006</v>
      </c>
      <c r="K608" s="3">
        <v>448435.68</v>
      </c>
    </row>
    <row r="609" spans="1:11" x14ac:dyDescent="0.2">
      <c r="A609" s="1" t="s">
        <v>1431</v>
      </c>
      <c r="B609" s="2">
        <v>45350</v>
      </c>
      <c r="C609" s="1" t="s">
        <v>119</v>
      </c>
      <c r="D609" s="1" t="s">
        <v>120</v>
      </c>
      <c r="E609" s="1" t="s">
        <v>28</v>
      </c>
      <c r="F609" s="1" t="s">
        <v>29</v>
      </c>
      <c r="G609" s="1" t="s">
        <v>30</v>
      </c>
      <c r="H609" s="1" t="s">
        <v>24</v>
      </c>
      <c r="I609">
        <v>28442</v>
      </c>
      <c r="J609" s="3">
        <v>47.38</v>
      </c>
      <c r="K609" s="3">
        <v>1347581.96</v>
      </c>
    </row>
    <row r="610" spans="1:11" x14ac:dyDescent="0.2">
      <c r="A610" s="1" t="s">
        <v>1432</v>
      </c>
      <c r="B610" s="2">
        <v>45683</v>
      </c>
      <c r="C610" s="1" t="s">
        <v>1237</v>
      </c>
      <c r="D610" s="1" t="s">
        <v>1238</v>
      </c>
      <c r="E610" s="1" t="s">
        <v>34</v>
      </c>
      <c r="F610" s="1" t="s">
        <v>324</v>
      </c>
      <c r="G610" s="1" t="s">
        <v>325</v>
      </c>
      <c r="H610" s="1" t="s">
        <v>24</v>
      </c>
      <c r="I610">
        <v>81909</v>
      </c>
      <c r="J610" s="3">
        <v>21.56</v>
      </c>
      <c r="K610" s="3">
        <v>1765958.04</v>
      </c>
    </row>
    <row r="611" spans="1:11" x14ac:dyDescent="0.2">
      <c r="A611" s="1" t="s">
        <v>1433</v>
      </c>
      <c r="B611" s="2">
        <v>45466</v>
      </c>
      <c r="C611" s="1" t="s">
        <v>740</v>
      </c>
      <c r="D611" s="1" t="s">
        <v>741</v>
      </c>
      <c r="E611" s="1" t="s">
        <v>14</v>
      </c>
      <c r="F611" s="1" t="s">
        <v>339</v>
      </c>
      <c r="G611" s="1" t="s">
        <v>340</v>
      </c>
      <c r="H611" s="1" t="s">
        <v>24</v>
      </c>
      <c r="I611">
        <v>37165</v>
      </c>
      <c r="J611" s="3">
        <v>30.3</v>
      </c>
      <c r="K611" s="3">
        <v>1126099.5</v>
      </c>
    </row>
    <row r="612" spans="1:11" x14ac:dyDescent="0.2">
      <c r="A612" s="1" t="s">
        <v>1434</v>
      </c>
      <c r="B612" s="2">
        <v>45996</v>
      </c>
      <c r="C612" s="1" t="s">
        <v>101</v>
      </c>
      <c r="D612" s="1" t="s">
        <v>102</v>
      </c>
      <c r="E612" s="1" t="s">
        <v>37</v>
      </c>
      <c r="F612" s="1" t="s">
        <v>228</v>
      </c>
      <c r="G612" s="1" t="s">
        <v>229</v>
      </c>
      <c r="H612" s="1" t="s">
        <v>48</v>
      </c>
      <c r="I612">
        <v>61209</v>
      </c>
      <c r="J612" s="3">
        <v>7.72</v>
      </c>
      <c r="K612" s="3">
        <v>472533.48</v>
      </c>
    </row>
    <row r="613" spans="1:11" x14ac:dyDescent="0.2">
      <c r="A613" s="1" t="s">
        <v>1435</v>
      </c>
      <c r="B613" s="2">
        <v>45974</v>
      </c>
      <c r="C613" s="1" t="s">
        <v>431</v>
      </c>
      <c r="D613" s="1" t="s">
        <v>432</v>
      </c>
      <c r="E613" s="1" t="s">
        <v>14</v>
      </c>
      <c r="F613" s="1" t="s">
        <v>76</v>
      </c>
      <c r="G613" s="1" t="s">
        <v>77</v>
      </c>
      <c r="H613" s="1" t="s">
        <v>48</v>
      </c>
      <c r="I613">
        <v>70591</v>
      </c>
      <c r="J613" s="3">
        <v>10.7</v>
      </c>
      <c r="K613" s="3">
        <v>755323.7</v>
      </c>
    </row>
    <row r="614" spans="1:11" x14ac:dyDescent="0.2">
      <c r="A614" s="1" t="s">
        <v>1436</v>
      </c>
      <c r="B614" s="2">
        <v>46016</v>
      </c>
      <c r="C614" s="1" t="s">
        <v>657</v>
      </c>
      <c r="D614" s="1" t="s">
        <v>658</v>
      </c>
      <c r="E614" s="1" t="s">
        <v>37</v>
      </c>
      <c r="F614" s="1" t="s">
        <v>463</v>
      </c>
      <c r="G614" s="1" t="s">
        <v>464</v>
      </c>
      <c r="H614" s="1" t="s">
        <v>37</v>
      </c>
      <c r="I614">
        <v>42653</v>
      </c>
      <c r="J614" s="3">
        <v>24.18</v>
      </c>
      <c r="K614" s="3">
        <v>1031349.54</v>
      </c>
    </row>
    <row r="615" spans="1:11" x14ac:dyDescent="0.2">
      <c r="A615" s="1" t="s">
        <v>1437</v>
      </c>
      <c r="B615" s="2">
        <v>45483</v>
      </c>
      <c r="C615" s="1" t="s">
        <v>1438</v>
      </c>
      <c r="D615" s="1" t="s">
        <v>1439</v>
      </c>
      <c r="E615" s="1" t="s">
        <v>34</v>
      </c>
      <c r="F615" s="1" t="s">
        <v>52</v>
      </c>
      <c r="G615" s="1" t="s">
        <v>53</v>
      </c>
      <c r="H615" s="1" t="s">
        <v>17</v>
      </c>
      <c r="I615">
        <v>94340</v>
      </c>
      <c r="J615" s="3">
        <v>34.020000000000003</v>
      </c>
      <c r="K615" s="3">
        <v>3209446.8</v>
      </c>
    </row>
    <row r="616" spans="1:11" x14ac:dyDescent="0.2">
      <c r="A616" s="1" t="s">
        <v>1440</v>
      </c>
      <c r="B616" s="2">
        <v>45602</v>
      </c>
      <c r="C616" s="1" t="s">
        <v>319</v>
      </c>
      <c r="D616" s="1" t="s">
        <v>320</v>
      </c>
      <c r="E616" s="1" t="s">
        <v>21</v>
      </c>
      <c r="F616" s="1" t="s">
        <v>208</v>
      </c>
      <c r="G616" s="1" t="s">
        <v>209</v>
      </c>
      <c r="H616" s="1" t="s">
        <v>17</v>
      </c>
      <c r="I616">
        <v>15186</v>
      </c>
      <c r="J616" s="3">
        <v>22.46</v>
      </c>
      <c r="K616" s="3">
        <v>341077.56</v>
      </c>
    </row>
    <row r="617" spans="1:11" x14ac:dyDescent="0.2">
      <c r="A617" s="1" t="s">
        <v>1441</v>
      </c>
      <c r="B617" s="2">
        <v>45540</v>
      </c>
      <c r="C617" s="1" t="s">
        <v>1442</v>
      </c>
      <c r="D617" s="1" t="s">
        <v>1443</v>
      </c>
      <c r="E617" s="1" t="s">
        <v>14</v>
      </c>
      <c r="F617" s="1" t="s">
        <v>263</v>
      </c>
      <c r="G617" s="1" t="s">
        <v>264</v>
      </c>
      <c r="H617" s="1" t="s">
        <v>17</v>
      </c>
      <c r="I617">
        <v>70570</v>
      </c>
      <c r="J617" s="3">
        <v>41.5</v>
      </c>
      <c r="K617" s="3">
        <v>2928655</v>
      </c>
    </row>
    <row r="618" spans="1:11" x14ac:dyDescent="0.2">
      <c r="A618" s="1" t="s">
        <v>1444</v>
      </c>
      <c r="B618" s="2">
        <v>45685</v>
      </c>
      <c r="C618" s="1" t="s">
        <v>1292</v>
      </c>
      <c r="D618" s="1" t="s">
        <v>1293</v>
      </c>
      <c r="E618" s="1" t="s">
        <v>21</v>
      </c>
      <c r="F618" s="1" t="s">
        <v>510</v>
      </c>
      <c r="G618" s="1" t="s">
        <v>511</v>
      </c>
      <c r="H618" s="1" t="s">
        <v>17</v>
      </c>
      <c r="I618">
        <v>55031</v>
      </c>
      <c r="J618" s="3">
        <v>38.9</v>
      </c>
      <c r="K618" s="3">
        <v>2140705.9</v>
      </c>
    </row>
    <row r="619" spans="1:11" x14ac:dyDescent="0.2">
      <c r="A619" s="1" t="s">
        <v>1445</v>
      </c>
      <c r="B619" s="2">
        <v>45995</v>
      </c>
      <c r="C619" s="1" t="s">
        <v>1446</v>
      </c>
      <c r="D619" s="1" t="s">
        <v>1447</v>
      </c>
      <c r="E619" s="1" t="s">
        <v>37</v>
      </c>
      <c r="F619" s="1" t="s">
        <v>195</v>
      </c>
      <c r="G619" s="1" t="s">
        <v>196</v>
      </c>
      <c r="H619" s="1" t="s">
        <v>48</v>
      </c>
      <c r="I619">
        <v>59436</v>
      </c>
      <c r="J619" s="3">
        <v>8.9499999999999993</v>
      </c>
      <c r="K619" s="3">
        <v>531952.19999999995</v>
      </c>
    </row>
    <row r="620" spans="1:11" x14ac:dyDescent="0.2">
      <c r="A620" s="1" t="s">
        <v>1448</v>
      </c>
      <c r="B620" s="2">
        <v>45726</v>
      </c>
      <c r="C620" s="1" t="s">
        <v>1449</v>
      </c>
      <c r="D620" s="1" t="s">
        <v>1450</v>
      </c>
      <c r="E620" s="1" t="s">
        <v>28</v>
      </c>
      <c r="F620" s="1" t="s">
        <v>65</v>
      </c>
      <c r="G620" s="1" t="s">
        <v>66</v>
      </c>
      <c r="H620" s="1" t="s">
        <v>48</v>
      </c>
      <c r="I620">
        <v>8372</v>
      </c>
      <c r="J620" s="3">
        <v>27.09</v>
      </c>
      <c r="K620" s="3">
        <v>226797.48</v>
      </c>
    </row>
    <row r="621" spans="1:11" x14ac:dyDescent="0.2">
      <c r="A621" s="1" t="s">
        <v>1451</v>
      </c>
      <c r="B621" s="2">
        <v>45962</v>
      </c>
      <c r="C621" s="1" t="s">
        <v>886</v>
      </c>
      <c r="D621" s="1" t="s">
        <v>887</v>
      </c>
      <c r="E621" s="1" t="s">
        <v>21</v>
      </c>
      <c r="F621" s="1" t="s">
        <v>35</v>
      </c>
      <c r="G621" s="1" t="s">
        <v>36</v>
      </c>
      <c r="H621" s="1" t="s">
        <v>37</v>
      </c>
      <c r="I621">
        <v>3595</v>
      </c>
      <c r="J621" s="3">
        <v>38.44</v>
      </c>
      <c r="K621" s="3">
        <v>138191.79999999999</v>
      </c>
    </row>
    <row r="622" spans="1:11" x14ac:dyDescent="0.2">
      <c r="A622" s="1" t="s">
        <v>1452</v>
      </c>
      <c r="B622" s="2">
        <v>45439</v>
      </c>
      <c r="C622" s="1" t="s">
        <v>1302</v>
      </c>
      <c r="D622" s="1" t="s">
        <v>1303</v>
      </c>
      <c r="E622" s="1" t="s">
        <v>37</v>
      </c>
      <c r="F622" s="1" t="s">
        <v>152</v>
      </c>
      <c r="G622" s="1" t="s">
        <v>153</v>
      </c>
      <c r="H622" s="1" t="s">
        <v>17</v>
      </c>
      <c r="I622">
        <v>3515</v>
      </c>
      <c r="J622" s="3">
        <v>15.74</v>
      </c>
      <c r="K622" s="3">
        <v>55326.1</v>
      </c>
    </row>
    <row r="623" spans="1:11" x14ac:dyDescent="0.2">
      <c r="A623" s="1" t="s">
        <v>1453</v>
      </c>
      <c r="B623" s="2">
        <v>45985</v>
      </c>
      <c r="C623" s="1" t="s">
        <v>1454</v>
      </c>
      <c r="D623" s="1" t="s">
        <v>1455</v>
      </c>
      <c r="E623" s="1" t="s">
        <v>37</v>
      </c>
      <c r="F623" s="1" t="s">
        <v>540</v>
      </c>
      <c r="G623" s="1" t="s">
        <v>541</v>
      </c>
      <c r="H623" s="1" t="s">
        <v>37</v>
      </c>
      <c r="I623">
        <v>73345</v>
      </c>
      <c r="J623" s="3">
        <v>24.54</v>
      </c>
      <c r="K623" s="3">
        <v>1799886.3</v>
      </c>
    </row>
    <row r="624" spans="1:11" x14ac:dyDescent="0.2">
      <c r="A624" s="1" t="s">
        <v>1456</v>
      </c>
      <c r="B624" s="2">
        <v>45602</v>
      </c>
      <c r="C624" s="1" t="s">
        <v>505</v>
      </c>
      <c r="D624" s="1" t="s">
        <v>506</v>
      </c>
      <c r="E624" s="1" t="s">
        <v>21</v>
      </c>
      <c r="F624" s="1" t="s">
        <v>251</v>
      </c>
      <c r="G624" s="1" t="s">
        <v>252</v>
      </c>
      <c r="H624" s="1" t="s">
        <v>72</v>
      </c>
      <c r="I624">
        <v>99203</v>
      </c>
      <c r="J624" s="3">
        <v>28.91</v>
      </c>
      <c r="K624" s="3">
        <v>2867958.73</v>
      </c>
    </row>
    <row r="625" spans="1:11" x14ac:dyDescent="0.2">
      <c r="A625" s="1" t="s">
        <v>1457</v>
      </c>
      <c r="B625" s="2">
        <v>45451</v>
      </c>
      <c r="C625" s="1" t="s">
        <v>801</v>
      </c>
      <c r="D625" s="1" t="s">
        <v>802</v>
      </c>
      <c r="E625" s="1" t="s">
        <v>14</v>
      </c>
      <c r="F625" s="1" t="s">
        <v>273</v>
      </c>
      <c r="G625" s="1" t="s">
        <v>274</v>
      </c>
      <c r="H625" s="1" t="s">
        <v>24</v>
      </c>
      <c r="I625">
        <v>36768</v>
      </c>
      <c r="J625" s="3">
        <v>22.69</v>
      </c>
      <c r="K625" s="3">
        <v>834265.92</v>
      </c>
    </row>
    <row r="626" spans="1:11" x14ac:dyDescent="0.2">
      <c r="A626" s="1" t="s">
        <v>1458</v>
      </c>
      <c r="B626" s="2">
        <v>45943</v>
      </c>
      <c r="C626" s="1" t="s">
        <v>1276</v>
      </c>
      <c r="D626" s="1" t="s">
        <v>1277</v>
      </c>
      <c r="E626" s="1" t="s">
        <v>37</v>
      </c>
      <c r="F626" s="1" t="s">
        <v>70</v>
      </c>
      <c r="G626" s="1" t="s">
        <v>71</v>
      </c>
      <c r="H626" s="1" t="s">
        <v>72</v>
      </c>
      <c r="I626">
        <v>37530</v>
      </c>
      <c r="J626" s="3">
        <v>23.27</v>
      </c>
      <c r="K626" s="3">
        <v>873323.1</v>
      </c>
    </row>
    <row r="627" spans="1:11" x14ac:dyDescent="0.2">
      <c r="A627" s="1" t="s">
        <v>1459</v>
      </c>
      <c r="B627" s="2">
        <v>45376</v>
      </c>
      <c r="C627" s="1" t="s">
        <v>1460</v>
      </c>
      <c r="D627" s="1" t="s">
        <v>1461</v>
      </c>
      <c r="E627" s="1" t="s">
        <v>37</v>
      </c>
      <c r="F627" s="1" t="s">
        <v>176</v>
      </c>
      <c r="G627" s="1" t="s">
        <v>177</v>
      </c>
      <c r="H627" s="1" t="s">
        <v>37</v>
      </c>
      <c r="I627">
        <v>56156</v>
      </c>
      <c r="J627" s="3">
        <v>37.78</v>
      </c>
      <c r="K627" s="3">
        <v>2121573.6800000002</v>
      </c>
    </row>
    <row r="628" spans="1:11" x14ac:dyDescent="0.2">
      <c r="A628" s="1" t="s">
        <v>1462</v>
      </c>
      <c r="B628" s="2">
        <v>45491</v>
      </c>
      <c r="C628" s="1" t="s">
        <v>1079</v>
      </c>
      <c r="D628" s="1" t="s">
        <v>1080</v>
      </c>
      <c r="E628" s="1" t="s">
        <v>14</v>
      </c>
      <c r="F628" s="1" t="s">
        <v>152</v>
      </c>
      <c r="G628" s="1" t="s">
        <v>153</v>
      </c>
      <c r="H628" s="1" t="s">
        <v>17</v>
      </c>
      <c r="I628">
        <v>6442</v>
      </c>
      <c r="J628" s="3">
        <v>47.24</v>
      </c>
      <c r="K628" s="3">
        <v>304320.08</v>
      </c>
    </row>
    <row r="629" spans="1:11" x14ac:dyDescent="0.2">
      <c r="A629" s="1" t="s">
        <v>1463</v>
      </c>
      <c r="B629" s="2">
        <v>45496</v>
      </c>
      <c r="C629" s="1" t="s">
        <v>19</v>
      </c>
      <c r="D629" s="1" t="s">
        <v>20</v>
      </c>
      <c r="E629" s="1" t="s">
        <v>21</v>
      </c>
      <c r="F629" s="1" t="s">
        <v>113</v>
      </c>
      <c r="G629" s="1" t="s">
        <v>114</v>
      </c>
      <c r="H629" s="1" t="s">
        <v>37</v>
      </c>
      <c r="I629">
        <v>62633</v>
      </c>
      <c r="J629" s="3">
        <v>9.51</v>
      </c>
      <c r="K629" s="3">
        <v>595639.82999999996</v>
      </c>
    </row>
    <row r="630" spans="1:11" x14ac:dyDescent="0.2">
      <c r="A630" s="1" t="s">
        <v>1464</v>
      </c>
      <c r="B630" s="2">
        <v>45746</v>
      </c>
      <c r="C630" s="1" t="s">
        <v>1058</v>
      </c>
      <c r="D630" s="1" t="s">
        <v>1059</v>
      </c>
      <c r="E630" s="1" t="s">
        <v>14</v>
      </c>
      <c r="F630" s="1" t="s">
        <v>184</v>
      </c>
      <c r="G630" s="1" t="s">
        <v>185</v>
      </c>
      <c r="H630" s="1" t="s">
        <v>17</v>
      </c>
      <c r="I630">
        <v>69654</v>
      </c>
      <c r="J630" s="3">
        <v>40.56</v>
      </c>
      <c r="K630" s="3">
        <v>2825166.24</v>
      </c>
    </row>
    <row r="631" spans="1:11" x14ac:dyDescent="0.2">
      <c r="A631" s="1" t="s">
        <v>1465</v>
      </c>
      <c r="B631" s="2">
        <v>46020</v>
      </c>
      <c r="C631" s="1" t="s">
        <v>596</v>
      </c>
      <c r="D631" s="1" t="s">
        <v>597</v>
      </c>
      <c r="E631" s="1" t="s">
        <v>37</v>
      </c>
      <c r="F631" s="1" t="s">
        <v>324</v>
      </c>
      <c r="G631" s="1" t="s">
        <v>325</v>
      </c>
      <c r="H631" s="1" t="s">
        <v>24</v>
      </c>
      <c r="I631">
        <v>30046</v>
      </c>
      <c r="J631" s="3">
        <v>42.38</v>
      </c>
      <c r="K631" s="3">
        <v>1273349.48</v>
      </c>
    </row>
    <row r="632" spans="1:11" x14ac:dyDescent="0.2">
      <c r="A632" s="1" t="s">
        <v>1466</v>
      </c>
      <c r="B632" s="2">
        <v>45885</v>
      </c>
      <c r="C632" s="1" t="s">
        <v>495</v>
      </c>
      <c r="D632" s="1" t="s">
        <v>496</v>
      </c>
      <c r="E632" s="1" t="s">
        <v>37</v>
      </c>
      <c r="F632" s="1" t="s">
        <v>474</v>
      </c>
      <c r="G632" s="1" t="s">
        <v>475</v>
      </c>
      <c r="H632" s="1" t="s">
        <v>48</v>
      </c>
      <c r="I632">
        <v>44744</v>
      </c>
      <c r="J632" s="3">
        <v>8.41</v>
      </c>
      <c r="K632" s="3">
        <v>376297.04</v>
      </c>
    </row>
    <row r="633" spans="1:11" x14ac:dyDescent="0.2">
      <c r="A633" s="1" t="s">
        <v>1467</v>
      </c>
      <c r="B633" s="2">
        <v>45556</v>
      </c>
      <c r="C633" s="1" t="s">
        <v>1468</v>
      </c>
      <c r="D633" s="1" t="s">
        <v>1469</v>
      </c>
      <c r="E633" s="1" t="s">
        <v>21</v>
      </c>
      <c r="F633" s="1" t="s">
        <v>458</v>
      </c>
      <c r="G633" s="1" t="s">
        <v>459</v>
      </c>
      <c r="H633" s="1" t="s">
        <v>72</v>
      </c>
      <c r="I633">
        <v>11249</v>
      </c>
      <c r="J633" s="3">
        <v>46.7</v>
      </c>
      <c r="K633" s="3">
        <v>525328.30000000005</v>
      </c>
    </row>
    <row r="634" spans="1:11" x14ac:dyDescent="0.2">
      <c r="A634" s="1" t="s">
        <v>1470</v>
      </c>
      <c r="B634" s="2">
        <v>45804</v>
      </c>
      <c r="C634" s="1" t="s">
        <v>1017</v>
      </c>
      <c r="D634" s="1" t="s">
        <v>1018</v>
      </c>
      <c r="E634" s="1" t="s">
        <v>34</v>
      </c>
      <c r="F634" s="1" t="s">
        <v>208</v>
      </c>
      <c r="G634" s="1" t="s">
        <v>209</v>
      </c>
      <c r="H634" s="1" t="s">
        <v>17</v>
      </c>
      <c r="I634">
        <v>39780</v>
      </c>
      <c r="J634" s="3">
        <v>21.92</v>
      </c>
      <c r="K634" s="3">
        <v>871977.6</v>
      </c>
    </row>
    <row r="635" spans="1:11" x14ac:dyDescent="0.2">
      <c r="A635" s="1" t="s">
        <v>1471</v>
      </c>
      <c r="B635" s="2">
        <v>45886</v>
      </c>
      <c r="C635" s="1" t="s">
        <v>814</v>
      </c>
      <c r="D635" s="1" t="s">
        <v>815</v>
      </c>
      <c r="E635" s="1" t="s">
        <v>14</v>
      </c>
      <c r="F635" s="1" t="s">
        <v>251</v>
      </c>
      <c r="G635" s="1" t="s">
        <v>252</v>
      </c>
      <c r="H635" s="1" t="s">
        <v>72</v>
      </c>
      <c r="I635">
        <v>43634</v>
      </c>
      <c r="J635" s="3">
        <v>2.95</v>
      </c>
      <c r="K635" s="3">
        <v>128720.3</v>
      </c>
    </row>
    <row r="636" spans="1:11" x14ac:dyDescent="0.2">
      <c r="A636" s="1" t="s">
        <v>1472</v>
      </c>
      <c r="B636" s="2">
        <v>45486</v>
      </c>
      <c r="C636" s="1" t="s">
        <v>880</v>
      </c>
      <c r="D636" s="1" t="s">
        <v>881</v>
      </c>
      <c r="E636" s="1" t="s">
        <v>21</v>
      </c>
      <c r="F636" s="1" t="s">
        <v>474</v>
      </c>
      <c r="G636" s="1" t="s">
        <v>475</v>
      </c>
      <c r="H636" s="1" t="s">
        <v>48</v>
      </c>
      <c r="I636">
        <v>90644</v>
      </c>
      <c r="J636" s="3">
        <v>6.98</v>
      </c>
      <c r="K636" s="3">
        <v>632695.12</v>
      </c>
    </row>
    <row r="637" spans="1:11" x14ac:dyDescent="0.2">
      <c r="A637" s="1" t="s">
        <v>1473</v>
      </c>
      <c r="B637" s="2">
        <v>45670</v>
      </c>
      <c r="C637" s="1" t="s">
        <v>1474</v>
      </c>
      <c r="D637" s="1" t="s">
        <v>1475</v>
      </c>
      <c r="E637" s="1" t="s">
        <v>28</v>
      </c>
      <c r="F637" s="1" t="s">
        <v>29</v>
      </c>
      <c r="G637" s="1" t="s">
        <v>30</v>
      </c>
      <c r="H637" s="1" t="s">
        <v>24</v>
      </c>
      <c r="I637">
        <v>3488</v>
      </c>
      <c r="J637" s="3">
        <v>8.83</v>
      </c>
      <c r="K637" s="3">
        <v>30799.040000000001</v>
      </c>
    </row>
    <row r="638" spans="1:11" x14ac:dyDescent="0.2">
      <c r="A638" s="1" t="s">
        <v>1476</v>
      </c>
      <c r="B638" s="2">
        <v>45529</v>
      </c>
      <c r="C638" s="1" t="s">
        <v>752</v>
      </c>
      <c r="D638" s="1" t="s">
        <v>753</v>
      </c>
      <c r="E638" s="1" t="s">
        <v>34</v>
      </c>
      <c r="F638" s="1" t="s">
        <v>324</v>
      </c>
      <c r="G638" s="1" t="s">
        <v>325</v>
      </c>
      <c r="H638" s="1" t="s">
        <v>24</v>
      </c>
      <c r="I638">
        <v>58446</v>
      </c>
      <c r="J638" s="3">
        <v>31.92</v>
      </c>
      <c r="K638" s="3">
        <v>1865596.32</v>
      </c>
    </row>
    <row r="639" spans="1:11" x14ac:dyDescent="0.2">
      <c r="A639" s="1" t="s">
        <v>1477</v>
      </c>
      <c r="B639" s="2">
        <v>45989</v>
      </c>
      <c r="C639" s="1" t="s">
        <v>847</v>
      </c>
      <c r="D639" s="1" t="s">
        <v>848</v>
      </c>
      <c r="E639" s="1" t="s">
        <v>34</v>
      </c>
      <c r="F639" s="1" t="s">
        <v>15</v>
      </c>
      <c r="G639" s="1" t="s">
        <v>16</v>
      </c>
      <c r="H639" s="1" t="s">
        <v>17</v>
      </c>
      <c r="I639">
        <v>93225</v>
      </c>
      <c r="J639" s="3">
        <v>26.35</v>
      </c>
      <c r="K639" s="3">
        <v>2456478.75</v>
      </c>
    </row>
    <row r="640" spans="1:11" x14ac:dyDescent="0.2">
      <c r="A640" s="1" t="s">
        <v>1478</v>
      </c>
      <c r="B640" s="2">
        <v>45914</v>
      </c>
      <c r="C640" s="1" t="s">
        <v>639</v>
      </c>
      <c r="D640" s="1" t="s">
        <v>640</v>
      </c>
      <c r="E640" s="1" t="s">
        <v>28</v>
      </c>
      <c r="F640" s="1" t="s">
        <v>29</v>
      </c>
      <c r="G640" s="1" t="s">
        <v>30</v>
      </c>
      <c r="H640" s="1" t="s">
        <v>24</v>
      </c>
      <c r="I640">
        <v>28722</v>
      </c>
      <c r="J640" s="3">
        <v>15.02</v>
      </c>
      <c r="K640" s="3">
        <v>431404.44</v>
      </c>
    </row>
    <row r="641" spans="1:11" x14ac:dyDescent="0.2">
      <c r="A641" s="1" t="s">
        <v>1479</v>
      </c>
      <c r="B641" s="2">
        <v>45438</v>
      </c>
      <c r="C641" s="1" t="s">
        <v>74</v>
      </c>
      <c r="D641" s="1" t="s">
        <v>75</v>
      </c>
      <c r="E641" s="1" t="s">
        <v>37</v>
      </c>
      <c r="F641" s="1" t="s">
        <v>273</v>
      </c>
      <c r="G641" s="1" t="s">
        <v>274</v>
      </c>
      <c r="H641" s="1" t="s">
        <v>24</v>
      </c>
      <c r="I641">
        <v>78347</v>
      </c>
      <c r="J641" s="3">
        <v>8.4499999999999993</v>
      </c>
      <c r="K641" s="3">
        <v>662032.15</v>
      </c>
    </row>
    <row r="642" spans="1:11" x14ac:dyDescent="0.2">
      <c r="A642" s="1" t="s">
        <v>1480</v>
      </c>
      <c r="B642" s="2">
        <v>45352</v>
      </c>
      <c r="C642" s="1" t="s">
        <v>580</v>
      </c>
      <c r="D642" s="1" t="s">
        <v>581</v>
      </c>
      <c r="E642" s="1" t="s">
        <v>21</v>
      </c>
      <c r="F642" s="1" t="s">
        <v>76</v>
      </c>
      <c r="G642" s="1" t="s">
        <v>77</v>
      </c>
      <c r="H642" s="1" t="s">
        <v>48</v>
      </c>
      <c r="I642">
        <v>33805</v>
      </c>
      <c r="J642" s="3">
        <v>27.84</v>
      </c>
      <c r="K642" s="3">
        <v>941131.2</v>
      </c>
    </row>
    <row r="643" spans="1:11" x14ac:dyDescent="0.2">
      <c r="A643" s="1" t="s">
        <v>1481</v>
      </c>
      <c r="B643" s="2">
        <v>45605</v>
      </c>
      <c r="C643" s="1" t="s">
        <v>559</v>
      </c>
      <c r="D643" s="1" t="s">
        <v>560</v>
      </c>
      <c r="E643" s="1" t="s">
        <v>14</v>
      </c>
      <c r="F643" s="1" t="s">
        <v>103</v>
      </c>
      <c r="G643" s="1" t="s">
        <v>104</v>
      </c>
      <c r="H643" s="1" t="s">
        <v>37</v>
      </c>
      <c r="I643">
        <v>60501</v>
      </c>
      <c r="J643" s="3">
        <v>49.68</v>
      </c>
      <c r="K643" s="3">
        <v>3005689.68</v>
      </c>
    </row>
    <row r="644" spans="1:11" x14ac:dyDescent="0.2">
      <c r="A644" s="1" t="s">
        <v>1482</v>
      </c>
      <c r="B644" s="2">
        <v>45999</v>
      </c>
      <c r="C644" s="1" t="s">
        <v>1483</v>
      </c>
      <c r="D644" s="1" t="s">
        <v>1484</v>
      </c>
      <c r="E644" s="1" t="s">
        <v>21</v>
      </c>
      <c r="F644" s="1" t="s">
        <v>412</v>
      </c>
      <c r="G644" s="1" t="s">
        <v>413</v>
      </c>
      <c r="H644" s="1" t="s">
        <v>72</v>
      </c>
      <c r="I644">
        <v>99214</v>
      </c>
      <c r="J644" s="3">
        <v>45.14</v>
      </c>
      <c r="K644" s="3">
        <v>4478519.96</v>
      </c>
    </row>
    <row r="645" spans="1:11" x14ac:dyDescent="0.2">
      <c r="A645" s="1" t="s">
        <v>1485</v>
      </c>
      <c r="B645" s="2">
        <v>45555</v>
      </c>
      <c r="C645" s="1" t="s">
        <v>625</v>
      </c>
      <c r="D645" s="1" t="s">
        <v>626</v>
      </c>
      <c r="E645" s="1" t="s">
        <v>34</v>
      </c>
      <c r="F645" s="1" t="s">
        <v>412</v>
      </c>
      <c r="G645" s="1" t="s">
        <v>413</v>
      </c>
      <c r="H645" s="1" t="s">
        <v>72</v>
      </c>
      <c r="I645">
        <v>48387</v>
      </c>
      <c r="J645" s="3">
        <v>14.4</v>
      </c>
      <c r="K645" s="3">
        <v>696772.8</v>
      </c>
    </row>
    <row r="646" spans="1:11" x14ac:dyDescent="0.2">
      <c r="A646" s="1" t="s">
        <v>1486</v>
      </c>
      <c r="B646" s="2">
        <v>45632</v>
      </c>
      <c r="C646" s="1" t="s">
        <v>1254</v>
      </c>
      <c r="D646" s="1" t="s">
        <v>1255</v>
      </c>
      <c r="E646" s="1" t="s">
        <v>14</v>
      </c>
      <c r="F646" s="1" t="s">
        <v>157</v>
      </c>
      <c r="G646" s="1" t="s">
        <v>158</v>
      </c>
      <c r="H646" s="1" t="s">
        <v>48</v>
      </c>
      <c r="I646">
        <v>98801</v>
      </c>
      <c r="J646" s="3">
        <v>9.68</v>
      </c>
      <c r="K646" s="3">
        <v>956393.68</v>
      </c>
    </row>
    <row r="647" spans="1:11" x14ac:dyDescent="0.2">
      <c r="A647" s="1" t="s">
        <v>1487</v>
      </c>
      <c r="B647" s="2">
        <v>45709</v>
      </c>
      <c r="C647" s="1" t="s">
        <v>461</v>
      </c>
      <c r="D647" s="1" t="s">
        <v>462</v>
      </c>
      <c r="E647" s="1" t="s">
        <v>28</v>
      </c>
      <c r="F647" s="1" t="s">
        <v>22</v>
      </c>
      <c r="G647" s="1" t="s">
        <v>23</v>
      </c>
      <c r="H647" s="1" t="s">
        <v>24</v>
      </c>
      <c r="I647">
        <v>84302</v>
      </c>
      <c r="J647" s="3">
        <v>28.52</v>
      </c>
      <c r="K647" s="3">
        <v>2404293.04</v>
      </c>
    </row>
    <row r="648" spans="1:11" x14ac:dyDescent="0.2">
      <c r="A648" s="1" t="s">
        <v>1488</v>
      </c>
      <c r="B648" s="2">
        <v>45968</v>
      </c>
      <c r="C648" s="1" t="s">
        <v>1489</v>
      </c>
      <c r="D648" s="1" t="s">
        <v>1490</v>
      </c>
      <c r="E648" s="1" t="s">
        <v>37</v>
      </c>
      <c r="F648" s="1" t="s">
        <v>165</v>
      </c>
      <c r="G648" s="1" t="s">
        <v>166</v>
      </c>
      <c r="H648" s="1" t="s">
        <v>24</v>
      </c>
      <c r="I648">
        <v>50307</v>
      </c>
      <c r="J648" s="3">
        <v>3.23</v>
      </c>
      <c r="K648" s="3">
        <v>162491.60999999999</v>
      </c>
    </row>
    <row r="649" spans="1:11" x14ac:dyDescent="0.2">
      <c r="A649" s="1" t="s">
        <v>1491</v>
      </c>
      <c r="B649" s="2">
        <v>45724</v>
      </c>
      <c r="C649" s="1" t="s">
        <v>608</v>
      </c>
      <c r="D649" s="1" t="s">
        <v>609</v>
      </c>
      <c r="E649" s="1" t="s">
        <v>28</v>
      </c>
      <c r="F649" s="1" t="s">
        <v>203</v>
      </c>
      <c r="G649" s="1" t="s">
        <v>204</v>
      </c>
      <c r="H649" s="1" t="s">
        <v>72</v>
      </c>
      <c r="I649">
        <v>38150</v>
      </c>
      <c r="J649" s="3">
        <v>8.77</v>
      </c>
      <c r="K649" s="3">
        <v>334575.5</v>
      </c>
    </row>
    <row r="650" spans="1:11" x14ac:dyDescent="0.2">
      <c r="A650" s="1" t="s">
        <v>1492</v>
      </c>
      <c r="B650" s="2">
        <v>45506</v>
      </c>
      <c r="C650" s="1" t="s">
        <v>297</v>
      </c>
      <c r="D650" s="1" t="s">
        <v>298</v>
      </c>
      <c r="E650" s="1" t="s">
        <v>21</v>
      </c>
      <c r="F650" s="1" t="s">
        <v>406</v>
      </c>
      <c r="G650" s="1" t="s">
        <v>407</v>
      </c>
      <c r="H650" s="1" t="s">
        <v>17</v>
      </c>
      <c r="I650">
        <v>81823</v>
      </c>
      <c r="J650" s="3">
        <v>21.99</v>
      </c>
      <c r="K650" s="3">
        <v>1799287.77</v>
      </c>
    </row>
    <row r="651" spans="1:11" x14ac:dyDescent="0.2">
      <c r="A651" s="1" t="s">
        <v>1493</v>
      </c>
      <c r="B651" s="2">
        <v>45723</v>
      </c>
      <c r="C651" s="1" t="s">
        <v>431</v>
      </c>
      <c r="D651" s="1" t="s">
        <v>432</v>
      </c>
      <c r="E651" s="1" t="s">
        <v>14</v>
      </c>
      <c r="F651" s="1" t="s">
        <v>217</v>
      </c>
      <c r="G651" s="1" t="s">
        <v>218</v>
      </c>
      <c r="H651" s="1" t="s">
        <v>72</v>
      </c>
      <c r="I651">
        <v>95480</v>
      </c>
      <c r="J651" s="3">
        <v>16.78</v>
      </c>
      <c r="K651" s="3">
        <v>1602154.4</v>
      </c>
    </row>
    <row r="652" spans="1:11" x14ac:dyDescent="0.2">
      <c r="A652" s="1" t="s">
        <v>1494</v>
      </c>
      <c r="B652" s="2">
        <v>45749</v>
      </c>
      <c r="C652" s="1" t="s">
        <v>198</v>
      </c>
      <c r="D652" s="1" t="s">
        <v>199</v>
      </c>
      <c r="E652" s="1" t="s">
        <v>21</v>
      </c>
      <c r="F652" s="1" t="s">
        <v>65</v>
      </c>
      <c r="G652" s="1" t="s">
        <v>66</v>
      </c>
      <c r="H652" s="1" t="s">
        <v>48</v>
      </c>
      <c r="I652">
        <v>2425</v>
      </c>
      <c r="J652" s="3">
        <v>18.899999999999999</v>
      </c>
      <c r="K652" s="3">
        <v>45832.5</v>
      </c>
    </row>
    <row r="653" spans="1:11" x14ac:dyDescent="0.2">
      <c r="A653" s="1" t="s">
        <v>1495</v>
      </c>
      <c r="B653" s="2">
        <v>45529</v>
      </c>
      <c r="C653" s="1" t="s">
        <v>851</v>
      </c>
      <c r="D653" s="1" t="s">
        <v>852</v>
      </c>
      <c r="E653" s="1" t="s">
        <v>21</v>
      </c>
      <c r="F653" s="1" t="s">
        <v>176</v>
      </c>
      <c r="G653" s="1" t="s">
        <v>177</v>
      </c>
      <c r="H653" s="1" t="s">
        <v>37</v>
      </c>
      <c r="I653">
        <v>97477</v>
      </c>
      <c r="J653" s="3">
        <v>47.92</v>
      </c>
      <c r="K653" s="3">
        <v>4671097.84</v>
      </c>
    </row>
    <row r="654" spans="1:11" x14ac:dyDescent="0.2">
      <c r="A654" s="1" t="s">
        <v>1496</v>
      </c>
      <c r="B654" s="2">
        <v>45410</v>
      </c>
      <c r="C654" s="1" t="s">
        <v>1227</v>
      </c>
      <c r="D654" s="1" t="s">
        <v>1228</v>
      </c>
      <c r="E654" s="1" t="s">
        <v>34</v>
      </c>
      <c r="F654" s="1" t="s">
        <v>237</v>
      </c>
      <c r="G654" s="1" t="s">
        <v>238</v>
      </c>
      <c r="H654" s="1" t="s">
        <v>17</v>
      </c>
      <c r="I654">
        <v>6061</v>
      </c>
      <c r="J654" s="3">
        <v>18.899999999999999</v>
      </c>
      <c r="K654" s="3">
        <v>114552.9</v>
      </c>
    </row>
    <row r="655" spans="1:11" x14ac:dyDescent="0.2">
      <c r="A655" s="1" t="s">
        <v>1497</v>
      </c>
      <c r="B655" s="2">
        <v>45933</v>
      </c>
      <c r="C655" s="1" t="s">
        <v>1498</v>
      </c>
      <c r="D655" s="1" t="s">
        <v>1499</v>
      </c>
      <c r="E655" s="1" t="s">
        <v>14</v>
      </c>
      <c r="F655" s="1" t="s">
        <v>22</v>
      </c>
      <c r="G655" s="1" t="s">
        <v>23</v>
      </c>
      <c r="H655" s="1" t="s">
        <v>24</v>
      </c>
      <c r="I655">
        <v>69764</v>
      </c>
      <c r="J655" s="3">
        <v>10.25</v>
      </c>
      <c r="K655" s="3">
        <v>715081</v>
      </c>
    </row>
    <row r="656" spans="1:11" x14ac:dyDescent="0.2">
      <c r="A656" s="1" t="s">
        <v>1500</v>
      </c>
      <c r="B656" s="2">
        <v>45310</v>
      </c>
      <c r="C656" s="1" t="s">
        <v>1132</v>
      </c>
      <c r="D656" s="1" t="s">
        <v>1133</v>
      </c>
      <c r="E656" s="1" t="s">
        <v>34</v>
      </c>
      <c r="F656" s="1" t="s">
        <v>22</v>
      </c>
      <c r="G656" s="1" t="s">
        <v>23</v>
      </c>
      <c r="H656" s="1" t="s">
        <v>24</v>
      </c>
      <c r="I656">
        <v>68816</v>
      </c>
      <c r="J656" s="3">
        <v>41.88</v>
      </c>
      <c r="K656" s="3">
        <v>2882014.08</v>
      </c>
    </row>
    <row r="657" spans="1:11" x14ac:dyDescent="0.2">
      <c r="A657" s="1" t="s">
        <v>1501</v>
      </c>
      <c r="B657" s="2">
        <v>45986</v>
      </c>
      <c r="C657" s="1" t="s">
        <v>365</v>
      </c>
      <c r="D657" s="1" t="s">
        <v>366</v>
      </c>
      <c r="E657" s="1" t="s">
        <v>14</v>
      </c>
      <c r="F657" s="1" t="s">
        <v>184</v>
      </c>
      <c r="G657" s="1" t="s">
        <v>185</v>
      </c>
      <c r="H657" s="1" t="s">
        <v>17</v>
      </c>
      <c r="I657">
        <v>87468</v>
      </c>
      <c r="J657" s="3">
        <v>20.69</v>
      </c>
      <c r="K657" s="3">
        <v>1809712.92</v>
      </c>
    </row>
    <row r="658" spans="1:11" x14ac:dyDescent="0.2">
      <c r="A658" s="1" t="s">
        <v>1502</v>
      </c>
      <c r="B658" s="2">
        <v>45893</v>
      </c>
      <c r="C658" s="1" t="s">
        <v>254</v>
      </c>
      <c r="D658" s="1" t="s">
        <v>255</v>
      </c>
      <c r="E658" s="1" t="s">
        <v>14</v>
      </c>
      <c r="F658" s="1" t="s">
        <v>458</v>
      </c>
      <c r="G658" s="1" t="s">
        <v>459</v>
      </c>
      <c r="H658" s="1" t="s">
        <v>72</v>
      </c>
      <c r="I658">
        <v>30590</v>
      </c>
      <c r="J658" s="3">
        <v>24.55</v>
      </c>
      <c r="K658" s="3">
        <v>750984.5</v>
      </c>
    </row>
    <row r="659" spans="1:11" x14ac:dyDescent="0.2">
      <c r="A659" s="1" t="s">
        <v>1503</v>
      </c>
      <c r="B659" s="2">
        <v>45848</v>
      </c>
      <c r="C659" s="1" t="s">
        <v>1191</v>
      </c>
      <c r="D659" s="1" t="s">
        <v>1192</v>
      </c>
      <c r="E659" s="1" t="s">
        <v>21</v>
      </c>
      <c r="F659" s="1" t="s">
        <v>463</v>
      </c>
      <c r="G659" s="1" t="s">
        <v>464</v>
      </c>
      <c r="H659" s="1" t="s">
        <v>37</v>
      </c>
      <c r="I659">
        <v>68691</v>
      </c>
      <c r="J659" s="3">
        <v>29.61</v>
      </c>
      <c r="K659" s="3">
        <v>2033940.51</v>
      </c>
    </row>
    <row r="660" spans="1:11" x14ac:dyDescent="0.2">
      <c r="A660" s="1" t="s">
        <v>1504</v>
      </c>
      <c r="B660" s="2">
        <v>45880</v>
      </c>
      <c r="C660" s="1" t="s">
        <v>1157</v>
      </c>
      <c r="D660" s="1" t="s">
        <v>1158</v>
      </c>
      <c r="E660" s="1" t="s">
        <v>28</v>
      </c>
      <c r="F660" s="1" t="s">
        <v>76</v>
      </c>
      <c r="G660" s="1" t="s">
        <v>77</v>
      </c>
      <c r="H660" s="1" t="s">
        <v>48</v>
      </c>
      <c r="I660">
        <v>47006</v>
      </c>
      <c r="J660" s="3">
        <v>36.14</v>
      </c>
      <c r="K660" s="3">
        <v>1698796.84</v>
      </c>
    </row>
    <row r="661" spans="1:11" x14ac:dyDescent="0.2">
      <c r="A661" s="1" t="s">
        <v>1505</v>
      </c>
      <c r="B661" s="2">
        <v>45952</v>
      </c>
      <c r="C661" s="1" t="s">
        <v>1223</v>
      </c>
      <c r="D661" s="1" t="s">
        <v>1224</v>
      </c>
      <c r="E661" s="1" t="s">
        <v>37</v>
      </c>
      <c r="F661" s="1" t="s">
        <v>76</v>
      </c>
      <c r="G661" s="1" t="s">
        <v>77</v>
      </c>
      <c r="H661" s="1" t="s">
        <v>48</v>
      </c>
      <c r="I661">
        <v>35938</v>
      </c>
      <c r="J661" s="3">
        <v>11.13</v>
      </c>
      <c r="K661" s="3">
        <v>399989.94</v>
      </c>
    </row>
    <row r="662" spans="1:11" x14ac:dyDescent="0.2">
      <c r="A662" s="1" t="s">
        <v>1506</v>
      </c>
      <c r="B662" s="2">
        <v>45531</v>
      </c>
      <c r="C662" s="1" t="s">
        <v>1507</v>
      </c>
      <c r="D662" s="1" t="s">
        <v>1508</v>
      </c>
      <c r="E662" s="1" t="s">
        <v>37</v>
      </c>
      <c r="F662" s="1" t="s">
        <v>217</v>
      </c>
      <c r="G662" s="1" t="s">
        <v>218</v>
      </c>
      <c r="H662" s="1" t="s">
        <v>72</v>
      </c>
      <c r="I662">
        <v>82550</v>
      </c>
      <c r="J662" s="3">
        <v>12.43</v>
      </c>
      <c r="K662" s="3">
        <v>1026096.5</v>
      </c>
    </row>
    <row r="663" spans="1:11" x14ac:dyDescent="0.2">
      <c r="A663" s="1" t="s">
        <v>1509</v>
      </c>
      <c r="B663" s="2">
        <v>45979</v>
      </c>
      <c r="C663" s="1" t="s">
        <v>466</v>
      </c>
      <c r="D663" s="1" t="s">
        <v>467</v>
      </c>
      <c r="E663" s="1" t="s">
        <v>28</v>
      </c>
      <c r="F663" s="1" t="s">
        <v>176</v>
      </c>
      <c r="G663" s="1" t="s">
        <v>177</v>
      </c>
      <c r="H663" s="1" t="s">
        <v>37</v>
      </c>
      <c r="I663">
        <v>96376</v>
      </c>
      <c r="J663" s="3">
        <v>20.440000000000001</v>
      </c>
      <c r="K663" s="3">
        <v>1969925.44</v>
      </c>
    </row>
    <row r="664" spans="1:11" x14ac:dyDescent="0.2">
      <c r="A664" s="1" t="s">
        <v>1510</v>
      </c>
      <c r="B664" s="2">
        <v>45724</v>
      </c>
      <c r="C664" s="1" t="s">
        <v>171</v>
      </c>
      <c r="D664" s="1" t="s">
        <v>172</v>
      </c>
      <c r="E664" s="1" t="s">
        <v>28</v>
      </c>
      <c r="F664" s="1" t="s">
        <v>189</v>
      </c>
      <c r="G664" s="1" t="s">
        <v>190</v>
      </c>
      <c r="H664" s="1" t="s">
        <v>17</v>
      </c>
      <c r="I664">
        <v>99617</v>
      </c>
      <c r="J664" s="3">
        <v>12.7</v>
      </c>
      <c r="K664" s="3">
        <v>1265135.8999999999</v>
      </c>
    </row>
    <row r="665" spans="1:11" x14ac:dyDescent="0.2">
      <c r="A665" s="1" t="s">
        <v>1511</v>
      </c>
      <c r="B665" s="2">
        <v>45715</v>
      </c>
      <c r="C665" s="1" t="s">
        <v>74</v>
      </c>
      <c r="D665" s="1" t="s">
        <v>75</v>
      </c>
      <c r="E665" s="1" t="s">
        <v>37</v>
      </c>
      <c r="F665" s="1" t="s">
        <v>139</v>
      </c>
      <c r="G665" s="1" t="s">
        <v>140</v>
      </c>
      <c r="H665" s="1" t="s">
        <v>24</v>
      </c>
      <c r="I665">
        <v>23832</v>
      </c>
      <c r="J665" s="3">
        <v>20.43</v>
      </c>
      <c r="K665" s="3">
        <v>486887.76</v>
      </c>
    </row>
    <row r="666" spans="1:11" x14ac:dyDescent="0.2">
      <c r="A666" s="1" t="s">
        <v>1512</v>
      </c>
      <c r="B666" s="2">
        <v>45475</v>
      </c>
      <c r="C666" s="1" t="s">
        <v>1513</v>
      </c>
      <c r="D666" s="1" t="s">
        <v>1514</v>
      </c>
      <c r="E666" s="1" t="s">
        <v>28</v>
      </c>
      <c r="F666" s="1" t="s">
        <v>22</v>
      </c>
      <c r="G666" s="1" t="s">
        <v>23</v>
      </c>
      <c r="H666" s="1" t="s">
        <v>24</v>
      </c>
      <c r="I666">
        <v>87708</v>
      </c>
      <c r="J666" s="3">
        <v>15.88</v>
      </c>
      <c r="K666" s="3">
        <v>1392803.04</v>
      </c>
    </row>
    <row r="667" spans="1:11" x14ac:dyDescent="0.2">
      <c r="A667" s="1" t="s">
        <v>1515</v>
      </c>
      <c r="B667" s="2">
        <v>45916</v>
      </c>
      <c r="C667" s="1" t="s">
        <v>1516</v>
      </c>
      <c r="D667" s="1" t="s">
        <v>1517</v>
      </c>
      <c r="E667" s="1" t="s">
        <v>21</v>
      </c>
      <c r="F667" s="1" t="s">
        <v>552</v>
      </c>
      <c r="G667" s="1" t="s">
        <v>553</v>
      </c>
      <c r="H667" s="1" t="s">
        <v>37</v>
      </c>
      <c r="I667">
        <v>93078</v>
      </c>
      <c r="J667" s="3">
        <v>31.31</v>
      </c>
      <c r="K667" s="3">
        <v>2914272.18</v>
      </c>
    </row>
    <row r="668" spans="1:11" x14ac:dyDescent="0.2">
      <c r="A668" s="1" t="s">
        <v>1518</v>
      </c>
      <c r="B668" s="2">
        <v>45558</v>
      </c>
      <c r="C668" s="1" t="s">
        <v>257</v>
      </c>
      <c r="D668" s="1" t="s">
        <v>258</v>
      </c>
      <c r="E668" s="1" t="s">
        <v>28</v>
      </c>
      <c r="F668" s="1" t="s">
        <v>108</v>
      </c>
      <c r="G668" s="1" t="s">
        <v>109</v>
      </c>
      <c r="H668" s="1" t="s">
        <v>37</v>
      </c>
      <c r="I668">
        <v>41106</v>
      </c>
      <c r="J668" s="3">
        <v>31.3</v>
      </c>
      <c r="K668" s="3">
        <v>1286617.8</v>
      </c>
    </row>
    <row r="669" spans="1:11" x14ac:dyDescent="0.2">
      <c r="A669" s="1" t="s">
        <v>1519</v>
      </c>
      <c r="B669" s="2">
        <v>45661</v>
      </c>
      <c r="C669" s="1" t="s">
        <v>1520</v>
      </c>
      <c r="D669" s="1" t="s">
        <v>1521</v>
      </c>
      <c r="E669" s="1" t="s">
        <v>37</v>
      </c>
      <c r="F669" s="1" t="s">
        <v>57</v>
      </c>
      <c r="G669" s="1" t="s">
        <v>58</v>
      </c>
      <c r="H669" s="1" t="s">
        <v>48</v>
      </c>
      <c r="I669">
        <v>82129</v>
      </c>
      <c r="J669" s="3">
        <v>19.440000000000001</v>
      </c>
      <c r="K669" s="3">
        <v>1596587.76</v>
      </c>
    </row>
    <row r="670" spans="1:11" x14ac:dyDescent="0.2">
      <c r="A670" s="1" t="s">
        <v>1522</v>
      </c>
      <c r="B670" s="2">
        <v>45876</v>
      </c>
      <c r="C670" s="1" t="s">
        <v>1523</v>
      </c>
      <c r="D670" s="1" t="s">
        <v>1524</v>
      </c>
      <c r="E670" s="1" t="s">
        <v>28</v>
      </c>
      <c r="F670" s="1" t="s">
        <v>52</v>
      </c>
      <c r="G670" s="1" t="s">
        <v>53</v>
      </c>
      <c r="H670" s="1" t="s">
        <v>17</v>
      </c>
      <c r="I670">
        <v>28912</v>
      </c>
      <c r="J670" s="3">
        <v>31.48</v>
      </c>
      <c r="K670" s="3">
        <v>910149.76</v>
      </c>
    </row>
    <row r="671" spans="1:11" x14ac:dyDescent="0.2">
      <c r="A671" s="1" t="s">
        <v>1525</v>
      </c>
      <c r="B671" s="2">
        <v>45561</v>
      </c>
      <c r="C671" s="1" t="s">
        <v>1194</v>
      </c>
      <c r="D671" s="1" t="s">
        <v>1195</v>
      </c>
      <c r="E671" s="1" t="s">
        <v>28</v>
      </c>
      <c r="F671" s="1" t="s">
        <v>144</v>
      </c>
      <c r="G671" s="1" t="s">
        <v>145</v>
      </c>
      <c r="H671" s="1" t="s">
        <v>24</v>
      </c>
      <c r="I671">
        <v>81480</v>
      </c>
      <c r="J671" s="3">
        <v>48.15</v>
      </c>
      <c r="K671" s="3">
        <v>3923262</v>
      </c>
    </row>
    <row r="672" spans="1:11" x14ac:dyDescent="0.2">
      <c r="A672" s="1" t="s">
        <v>1526</v>
      </c>
      <c r="B672" s="2">
        <v>45482</v>
      </c>
      <c r="C672" s="1" t="s">
        <v>391</v>
      </c>
      <c r="D672" s="1" t="s">
        <v>392</v>
      </c>
      <c r="E672" s="1" t="s">
        <v>37</v>
      </c>
      <c r="F672" s="1" t="s">
        <v>35</v>
      </c>
      <c r="G672" s="1" t="s">
        <v>36</v>
      </c>
      <c r="H672" s="1" t="s">
        <v>37</v>
      </c>
      <c r="I672">
        <v>98203</v>
      </c>
      <c r="J672" s="3">
        <v>45.77</v>
      </c>
      <c r="K672" s="3">
        <v>4494751.3099999996</v>
      </c>
    </row>
    <row r="673" spans="1:11" x14ac:dyDescent="0.2">
      <c r="A673" s="1" t="s">
        <v>1527</v>
      </c>
      <c r="B673" s="2">
        <v>45555</v>
      </c>
      <c r="C673" s="1" t="s">
        <v>74</v>
      </c>
      <c r="D673" s="1" t="s">
        <v>75</v>
      </c>
      <c r="E673" s="1" t="s">
        <v>37</v>
      </c>
      <c r="F673" s="1" t="s">
        <v>70</v>
      </c>
      <c r="G673" s="1" t="s">
        <v>71</v>
      </c>
      <c r="H673" s="1" t="s">
        <v>72</v>
      </c>
      <c r="I673">
        <v>72800</v>
      </c>
      <c r="J673" s="3">
        <v>10.57</v>
      </c>
      <c r="K673" s="3">
        <v>769496</v>
      </c>
    </row>
    <row r="674" spans="1:11" x14ac:dyDescent="0.2">
      <c r="A674" s="1" t="s">
        <v>1528</v>
      </c>
      <c r="B674" s="2">
        <v>45768</v>
      </c>
      <c r="C674" s="1" t="s">
        <v>359</v>
      </c>
      <c r="D674" s="1" t="s">
        <v>360</v>
      </c>
      <c r="E674" s="1" t="s">
        <v>34</v>
      </c>
      <c r="F674" s="1" t="s">
        <v>273</v>
      </c>
      <c r="G674" s="1" t="s">
        <v>274</v>
      </c>
      <c r="H674" s="1" t="s">
        <v>24</v>
      </c>
      <c r="I674">
        <v>17099</v>
      </c>
      <c r="J674" s="3">
        <v>16.29</v>
      </c>
      <c r="K674" s="3">
        <v>278542.71000000002</v>
      </c>
    </row>
    <row r="675" spans="1:11" x14ac:dyDescent="0.2">
      <c r="A675" s="1" t="s">
        <v>1529</v>
      </c>
      <c r="B675" s="2">
        <v>45478</v>
      </c>
      <c r="C675" s="1" t="s">
        <v>353</v>
      </c>
      <c r="D675" s="1" t="s">
        <v>354</v>
      </c>
      <c r="E675" s="1" t="s">
        <v>14</v>
      </c>
      <c r="F675" s="1" t="s">
        <v>157</v>
      </c>
      <c r="G675" s="1" t="s">
        <v>158</v>
      </c>
      <c r="H675" s="1" t="s">
        <v>48</v>
      </c>
      <c r="I675">
        <v>8088</v>
      </c>
      <c r="J675" s="3">
        <v>38.76</v>
      </c>
      <c r="K675" s="3">
        <v>313490.88</v>
      </c>
    </row>
    <row r="676" spans="1:11" x14ac:dyDescent="0.2">
      <c r="A676" s="1" t="s">
        <v>1530</v>
      </c>
      <c r="B676" s="2">
        <v>45518</v>
      </c>
      <c r="C676" s="1" t="s">
        <v>1039</v>
      </c>
      <c r="D676" s="1" t="s">
        <v>1040</v>
      </c>
      <c r="E676" s="1" t="s">
        <v>14</v>
      </c>
      <c r="F676" s="1" t="s">
        <v>57</v>
      </c>
      <c r="G676" s="1" t="s">
        <v>58</v>
      </c>
      <c r="H676" s="1" t="s">
        <v>48</v>
      </c>
      <c r="I676">
        <v>18339</v>
      </c>
      <c r="J676" s="3">
        <v>8.41</v>
      </c>
      <c r="K676" s="3">
        <v>154230.99</v>
      </c>
    </row>
    <row r="677" spans="1:11" x14ac:dyDescent="0.2">
      <c r="A677" s="1" t="s">
        <v>1531</v>
      </c>
      <c r="B677" s="2">
        <v>45781</v>
      </c>
      <c r="C677" s="1" t="s">
        <v>125</v>
      </c>
      <c r="D677" s="1" t="s">
        <v>126</v>
      </c>
      <c r="E677" s="1" t="s">
        <v>21</v>
      </c>
      <c r="F677" s="1" t="s">
        <v>152</v>
      </c>
      <c r="G677" s="1" t="s">
        <v>153</v>
      </c>
      <c r="H677" s="1" t="s">
        <v>17</v>
      </c>
      <c r="I677">
        <v>46977</v>
      </c>
      <c r="J677" s="3">
        <v>25.44</v>
      </c>
      <c r="K677" s="3">
        <v>1195094.8799999999</v>
      </c>
    </row>
    <row r="678" spans="1:11" x14ac:dyDescent="0.2">
      <c r="A678" s="1" t="s">
        <v>1532</v>
      </c>
      <c r="B678" s="2">
        <v>45352</v>
      </c>
      <c r="C678" s="1" t="s">
        <v>1197</v>
      </c>
      <c r="D678" s="1" t="s">
        <v>1198</v>
      </c>
      <c r="E678" s="1" t="s">
        <v>34</v>
      </c>
      <c r="F678" s="1" t="s">
        <v>81</v>
      </c>
      <c r="G678" s="1" t="s">
        <v>82</v>
      </c>
      <c r="H678" s="1" t="s">
        <v>72</v>
      </c>
      <c r="I678">
        <v>27357</v>
      </c>
      <c r="J678" s="3">
        <v>9.16</v>
      </c>
      <c r="K678" s="3">
        <v>250590.12</v>
      </c>
    </row>
    <row r="679" spans="1:11" x14ac:dyDescent="0.2">
      <c r="A679" s="1" t="s">
        <v>1533</v>
      </c>
      <c r="B679" s="2">
        <v>45550</v>
      </c>
      <c r="C679" s="1" t="s">
        <v>1058</v>
      </c>
      <c r="D679" s="1" t="s">
        <v>1059</v>
      </c>
      <c r="E679" s="1" t="s">
        <v>14</v>
      </c>
      <c r="F679" s="1" t="s">
        <v>510</v>
      </c>
      <c r="G679" s="1" t="s">
        <v>511</v>
      </c>
      <c r="H679" s="1" t="s">
        <v>17</v>
      </c>
      <c r="I679">
        <v>9812</v>
      </c>
      <c r="J679" s="3">
        <v>22.84</v>
      </c>
      <c r="K679" s="3">
        <v>224106.08</v>
      </c>
    </row>
    <row r="680" spans="1:11" x14ac:dyDescent="0.2">
      <c r="A680" s="1" t="s">
        <v>1534</v>
      </c>
      <c r="B680" s="2">
        <v>45545</v>
      </c>
      <c r="C680" s="1" t="s">
        <v>1535</v>
      </c>
      <c r="D680" s="1" t="s">
        <v>1536</v>
      </c>
      <c r="E680" s="1" t="s">
        <v>21</v>
      </c>
      <c r="F680" s="1" t="s">
        <v>284</v>
      </c>
      <c r="G680" s="1" t="s">
        <v>285</v>
      </c>
      <c r="H680" s="1" t="s">
        <v>37</v>
      </c>
      <c r="I680">
        <v>28398</v>
      </c>
      <c r="J680" s="3">
        <v>17.11</v>
      </c>
      <c r="K680" s="3">
        <v>485889.78</v>
      </c>
    </row>
    <row r="681" spans="1:11" x14ac:dyDescent="0.2">
      <c r="A681" s="1" t="s">
        <v>1537</v>
      </c>
      <c r="B681" s="2">
        <v>45849</v>
      </c>
      <c r="C681" s="1" t="s">
        <v>498</v>
      </c>
      <c r="D681" s="1" t="s">
        <v>499</v>
      </c>
      <c r="E681" s="1" t="s">
        <v>14</v>
      </c>
      <c r="F681" s="1" t="s">
        <v>268</v>
      </c>
      <c r="G681" s="1" t="s">
        <v>269</v>
      </c>
      <c r="H681" s="1" t="s">
        <v>72</v>
      </c>
      <c r="I681">
        <v>96198</v>
      </c>
      <c r="J681" s="3">
        <v>6.72</v>
      </c>
      <c r="K681" s="3">
        <v>646450.56000000006</v>
      </c>
    </row>
    <row r="682" spans="1:11" x14ac:dyDescent="0.2">
      <c r="A682" s="1" t="s">
        <v>1538</v>
      </c>
      <c r="B682" s="2">
        <v>45590</v>
      </c>
      <c r="C682" s="1" t="s">
        <v>580</v>
      </c>
      <c r="D682" s="1" t="s">
        <v>581</v>
      </c>
      <c r="E682" s="1" t="s">
        <v>21</v>
      </c>
      <c r="F682" s="1" t="s">
        <v>406</v>
      </c>
      <c r="G682" s="1" t="s">
        <v>407</v>
      </c>
      <c r="H682" s="1" t="s">
        <v>17</v>
      </c>
      <c r="I682">
        <v>58898</v>
      </c>
      <c r="J682" s="3">
        <v>34.479999999999997</v>
      </c>
      <c r="K682" s="3">
        <v>2030803.04</v>
      </c>
    </row>
    <row r="683" spans="1:11" x14ac:dyDescent="0.2">
      <c r="A683" s="1" t="s">
        <v>1539</v>
      </c>
      <c r="B683" s="2">
        <v>45454</v>
      </c>
      <c r="C683" s="1" t="s">
        <v>955</v>
      </c>
      <c r="D683" s="1" t="s">
        <v>956</v>
      </c>
      <c r="E683" s="1" t="s">
        <v>28</v>
      </c>
      <c r="F683" s="1" t="s">
        <v>436</v>
      </c>
      <c r="G683" s="1" t="s">
        <v>437</v>
      </c>
      <c r="H683" s="1" t="s">
        <v>24</v>
      </c>
      <c r="I683">
        <v>74370</v>
      </c>
      <c r="J683" s="3">
        <v>35.880000000000003</v>
      </c>
      <c r="K683" s="3">
        <v>2668395.6</v>
      </c>
    </row>
    <row r="684" spans="1:11" x14ac:dyDescent="0.2">
      <c r="A684" s="1" t="s">
        <v>1540</v>
      </c>
      <c r="B684" s="2">
        <v>45928</v>
      </c>
      <c r="C684" s="1" t="s">
        <v>1541</v>
      </c>
      <c r="D684" s="1" t="s">
        <v>1542</v>
      </c>
      <c r="E684" s="1" t="s">
        <v>37</v>
      </c>
      <c r="F684" s="1" t="s">
        <v>144</v>
      </c>
      <c r="G684" s="1" t="s">
        <v>145</v>
      </c>
      <c r="H684" s="1" t="s">
        <v>24</v>
      </c>
      <c r="I684">
        <v>60553</v>
      </c>
      <c r="J684" s="3">
        <v>7.02</v>
      </c>
      <c r="K684" s="3">
        <v>425082.06</v>
      </c>
    </row>
    <row r="685" spans="1:11" x14ac:dyDescent="0.2">
      <c r="A685" s="1" t="s">
        <v>1543</v>
      </c>
      <c r="B685" s="2">
        <v>45884</v>
      </c>
      <c r="C685" s="1" t="s">
        <v>851</v>
      </c>
      <c r="D685" s="1" t="s">
        <v>852</v>
      </c>
      <c r="E685" s="1" t="s">
        <v>21</v>
      </c>
      <c r="F685" s="1" t="s">
        <v>113</v>
      </c>
      <c r="G685" s="1" t="s">
        <v>114</v>
      </c>
      <c r="H685" s="1" t="s">
        <v>37</v>
      </c>
      <c r="I685">
        <v>18841</v>
      </c>
      <c r="J685" s="3">
        <v>33.43</v>
      </c>
      <c r="K685" s="3">
        <v>629854.63</v>
      </c>
    </row>
    <row r="686" spans="1:11" x14ac:dyDescent="0.2">
      <c r="A686" s="1" t="s">
        <v>1544</v>
      </c>
      <c r="B686" s="2">
        <v>45333</v>
      </c>
      <c r="C686" s="1" t="s">
        <v>608</v>
      </c>
      <c r="D686" s="1" t="s">
        <v>609</v>
      </c>
      <c r="E686" s="1" t="s">
        <v>28</v>
      </c>
      <c r="F686" s="1" t="s">
        <v>76</v>
      </c>
      <c r="G686" s="1" t="s">
        <v>77</v>
      </c>
      <c r="H686" s="1" t="s">
        <v>48</v>
      </c>
      <c r="I686">
        <v>36453</v>
      </c>
      <c r="J686" s="3">
        <v>25.74</v>
      </c>
      <c r="K686" s="3">
        <v>938300.22</v>
      </c>
    </row>
    <row r="687" spans="1:11" x14ac:dyDescent="0.2">
      <c r="A687" s="1" t="s">
        <v>1545</v>
      </c>
      <c r="B687" s="2">
        <v>45981</v>
      </c>
      <c r="C687" s="1" t="s">
        <v>478</v>
      </c>
      <c r="D687" s="1" t="s">
        <v>479</v>
      </c>
      <c r="E687" s="1" t="s">
        <v>34</v>
      </c>
      <c r="F687" s="1" t="s">
        <v>35</v>
      </c>
      <c r="G687" s="1" t="s">
        <v>36</v>
      </c>
      <c r="H687" s="1" t="s">
        <v>37</v>
      </c>
      <c r="I687">
        <v>45662</v>
      </c>
      <c r="J687" s="3">
        <v>30.48</v>
      </c>
      <c r="K687" s="3">
        <v>1391777.76</v>
      </c>
    </row>
    <row r="688" spans="1:11" x14ac:dyDescent="0.2">
      <c r="A688" s="1" t="s">
        <v>1546</v>
      </c>
      <c r="B688" s="2">
        <v>45956</v>
      </c>
      <c r="C688" s="1" t="s">
        <v>1547</v>
      </c>
      <c r="D688" s="1" t="s">
        <v>1548</v>
      </c>
      <c r="E688" s="1" t="s">
        <v>21</v>
      </c>
      <c r="F688" s="1" t="s">
        <v>144</v>
      </c>
      <c r="G688" s="1" t="s">
        <v>145</v>
      </c>
      <c r="H688" s="1" t="s">
        <v>24</v>
      </c>
      <c r="I688">
        <v>57076</v>
      </c>
      <c r="J688" s="3">
        <v>19.55</v>
      </c>
      <c r="K688" s="3">
        <v>1115835.8</v>
      </c>
    </row>
    <row r="689" spans="1:11" x14ac:dyDescent="0.2">
      <c r="A689" s="1" t="s">
        <v>1549</v>
      </c>
      <c r="B689" s="2">
        <v>45639</v>
      </c>
      <c r="C689" s="1" t="s">
        <v>1550</v>
      </c>
      <c r="D689" s="1" t="s">
        <v>1551</v>
      </c>
      <c r="E689" s="1" t="s">
        <v>37</v>
      </c>
      <c r="F689" s="1" t="s">
        <v>41</v>
      </c>
      <c r="G689" s="1" t="s">
        <v>42</v>
      </c>
      <c r="H689" s="1" t="s">
        <v>24</v>
      </c>
      <c r="I689">
        <v>2280</v>
      </c>
      <c r="J689" s="3">
        <v>22.98</v>
      </c>
      <c r="K689" s="3">
        <v>52394.400000000001</v>
      </c>
    </row>
    <row r="690" spans="1:11" x14ac:dyDescent="0.2">
      <c r="A690" s="1" t="s">
        <v>1552</v>
      </c>
      <c r="B690" s="2">
        <v>45951</v>
      </c>
      <c r="C690" s="1" t="s">
        <v>811</v>
      </c>
      <c r="D690" s="1" t="s">
        <v>812</v>
      </c>
      <c r="E690" s="1" t="s">
        <v>14</v>
      </c>
      <c r="F690" s="1" t="s">
        <v>103</v>
      </c>
      <c r="G690" s="1" t="s">
        <v>104</v>
      </c>
      <c r="H690" s="1" t="s">
        <v>37</v>
      </c>
      <c r="I690">
        <v>41472</v>
      </c>
      <c r="J690" s="3">
        <v>28.64</v>
      </c>
      <c r="K690" s="3">
        <v>1187758.0800000001</v>
      </c>
    </row>
    <row r="691" spans="1:11" x14ac:dyDescent="0.2">
      <c r="A691" s="1" t="s">
        <v>1553</v>
      </c>
      <c r="B691" s="2">
        <v>45812</v>
      </c>
      <c r="C691" s="1" t="s">
        <v>243</v>
      </c>
      <c r="D691" s="1" t="s">
        <v>244</v>
      </c>
      <c r="E691" s="1" t="s">
        <v>21</v>
      </c>
      <c r="F691" s="1" t="s">
        <v>22</v>
      </c>
      <c r="G691" s="1" t="s">
        <v>23</v>
      </c>
      <c r="H691" s="1" t="s">
        <v>24</v>
      </c>
      <c r="I691">
        <v>39453</v>
      </c>
      <c r="J691" s="3">
        <v>11.22</v>
      </c>
      <c r="K691" s="3">
        <v>442662.66</v>
      </c>
    </row>
    <row r="692" spans="1:11" x14ac:dyDescent="0.2">
      <c r="A692" s="1" t="s">
        <v>1554</v>
      </c>
      <c r="B692" s="2">
        <v>45693</v>
      </c>
      <c r="C692" s="1" t="s">
        <v>246</v>
      </c>
      <c r="D692" s="1" t="s">
        <v>247</v>
      </c>
      <c r="E692" s="1" t="s">
        <v>21</v>
      </c>
      <c r="F692" s="1" t="s">
        <v>237</v>
      </c>
      <c r="G692" s="1" t="s">
        <v>238</v>
      </c>
      <c r="H692" s="1" t="s">
        <v>17</v>
      </c>
      <c r="I692">
        <v>61550</v>
      </c>
      <c r="J692" s="3">
        <v>10.35</v>
      </c>
      <c r="K692" s="3">
        <v>637042.5</v>
      </c>
    </row>
    <row r="693" spans="1:11" x14ac:dyDescent="0.2">
      <c r="A693" s="1" t="s">
        <v>1555</v>
      </c>
      <c r="B693" s="2">
        <v>45365</v>
      </c>
      <c r="C693" s="1" t="s">
        <v>198</v>
      </c>
      <c r="D693" s="1" t="s">
        <v>199</v>
      </c>
      <c r="E693" s="1" t="s">
        <v>21</v>
      </c>
      <c r="F693" s="1" t="s">
        <v>273</v>
      </c>
      <c r="G693" s="1" t="s">
        <v>274</v>
      </c>
      <c r="H693" s="1" t="s">
        <v>24</v>
      </c>
      <c r="I693">
        <v>29381</v>
      </c>
      <c r="J693" s="3">
        <v>27.19</v>
      </c>
      <c r="K693" s="3">
        <v>798869.39</v>
      </c>
    </row>
    <row r="694" spans="1:11" x14ac:dyDescent="0.2">
      <c r="A694" s="1" t="s">
        <v>1556</v>
      </c>
      <c r="B694" s="2">
        <v>45611</v>
      </c>
      <c r="C694" s="1" t="s">
        <v>142</v>
      </c>
      <c r="D694" s="1" t="s">
        <v>143</v>
      </c>
      <c r="E694" s="1" t="s">
        <v>37</v>
      </c>
      <c r="F694" s="1" t="s">
        <v>35</v>
      </c>
      <c r="G694" s="1" t="s">
        <v>36</v>
      </c>
      <c r="H694" s="1" t="s">
        <v>37</v>
      </c>
      <c r="I694">
        <v>57632</v>
      </c>
      <c r="J694" s="3">
        <v>2.5499999999999998</v>
      </c>
      <c r="K694" s="3">
        <v>146961.60000000001</v>
      </c>
    </row>
    <row r="695" spans="1:11" x14ac:dyDescent="0.2">
      <c r="A695" s="1" t="s">
        <v>1557</v>
      </c>
      <c r="B695" s="2">
        <v>45674</v>
      </c>
      <c r="C695" s="1" t="s">
        <v>187</v>
      </c>
      <c r="D695" s="1" t="s">
        <v>188</v>
      </c>
      <c r="E695" s="1" t="s">
        <v>34</v>
      </c>
      <c r="F695" s="1" t="s">
        <v>552</v>
      </c>
      <c r="G695" s="1" t="s">
        <v>553</v>
      </c>
      <c r="H695" s="1" t="s">
        <v>37</v>
      </c>
      <c r="I695">
        <v>26412</v>
      </c>
      <c r="J695" s="3">
        <v>47.93</v>
      </c>
      <c r="K695" s="3">
        <v>1265927.1599999999</v>
      </c>
    </row>
    <row r="696" spans="1:11" x14ac:dyDescent="0.2">
      <c r="A696" s="1" t="s">
        <v>1558</v>
      </c>
      <c r="B696" s="2">
        <v>45520</v>
      </c>
      <c r="C696" s="1" t="s">
        <v>1317</v>
      </c>
      <c r="D696" s="1" t="s">
        <v>1318</v>
      </c>
      <c r="E696" s="1" t="s">
        <v>28</v>
      </c>
      <c r="F696" s="1" t="s">
        <v>251</v>
      </c>
      <c r="G696" s="1" t="s">
        <v>252</v>
      </c>
      <c r="H696" s="1" t="s">
        <v>72</v>
      </c>
      <c r="I696">
        <v>48950</v>
      </c>
      <c r="J696" s="3">
        <v>47.05</v>
      </c>
      <c r="K696" s="3">
        <v>2303097.5</v>
      </c>
    </row>
    <row r="697" spans="1:11" x14ac:dyDescent="0.2">
      <c r="A697" s="1" t="s">
        <v>1559</v>
      </c>
      <c r="B697" s="2">
        <v>45497</v>
      </c>
      <c r="C697" s="1" t="s">
        <v>50</v>
      </c>
      <c r="D697" s="1" t="s">
        <v>51</v>
      </c>
      <c r="E697" s="1" t="s">
        <v>21</v>
      </c>
      <c r="F697" s="1" t="s">
        <v>540</v>
      </c>
      <c r="G697" s="1" t="s">
        <v>541</v>
      </c>
      <c r="H697" s="1" t="s">
        <v>37</v>
      </c>
      <c r="I697">
        <v>30410</v>
      </c>
      <c r="J697" s="3">
        <v>33.5</v>
      </c>
      <c r="K697" s="3">
        <v>1018735</v>
      </c>
    </row>
    <row r="698" spans="1:11" x14ac:dyDescent="0.2">
      <c r="A698" s="1" t="s">
        <v>1560</v>
      </c>
      <c r="B698" s="2">
        <v>45296</v>
      </c>
      <c r="C698" s="1" t="s">
        <v>695</v>
      </c>
      <c r="D698" s="1" t="s">
        <v>696</v>
      </c>
      <c r="E698" s="1" t="s">
        <v>14</v>
      </c>
      <c r="F698" s="1" t="s">
        <v>350</v>
      </c>
      <c r="G698" s="1" t="s">
        <v>351</v>
      </c>
      <c r="H698" s="1" t="s">
        <v>37</v>
      </c>
      <c r="I698">
        <v>25688</v>
      </c>
      <c r="J698" s="3">
        <v>11.12</v>
      </c>
      <c r="K698" s="3">
        <v>285650.56</v>
      </c>
    </row>
    <row r="699" spans="1:11" x14ac:dyDescent="0.2">
      <c r="A699" s="1" t="s">
        <v>1561</v>
      </c>
      <c r="B699" s="2">
        <v>45547</v>
      </c>
      <c r="C699" s="1" t="s">
        <v>231</v>
      </c>
      <c r="D699" s="1" t="s">
        <v>232</v>
      </c>
      <c r="E699" s="1" t="s">
        <v>34</v>
      </c>
      <c r="F699" s="1" t="s">
        <v>157</v>
      </c>
      <c r="G699" s="1" t="s">
        <v>158</v>
      </c>
      <c r="H699" s="1" t="s">
        <v>48</v>
      </c>
      <c r="I699">
        <v>51320</v>
      </c>
      <c r="J699" s="3">
        <v>4.1500000000000004</v>
      </c>
      <c r="K699" s="3">
        <v>212978</v>
      </c>
    </row>
    <row r="700" spans="1:11" x14ac:dyDescent="0.2">
      <c r="A700" s="1" t="s">
        <v>1562</v>
      </c>
      <c r="B700" s="2">
        <v>45388</v>
      </c>
      <c r="C700" s="1" t="s">
        <v>1563</v>
      </c>
      <c r="D700" s="1" t="s">
        <v>1564</v>
      </c>
      <c r="E700" s="1" t="s">
        <v>14</v>
      </c>
      <c r="F700" s="1" t="s">
        <v>22</v>
      </c>
      <c r="G700" s="1" t="s">
        <v>23</v>
      </c>
      <c r="H700" s="1" t="s">
        <v>24</v>
      </c>
      <c r="I700">
        <v>51541</v>
      </c>
      <c r="J700" s="3">
        <v>3.21</v>
      </c>
      <c r="K700" s="3">
        <v>165446.60999999999</v>
      </c>
    </row>
    <row r="701" spans="1:11" x14ac:dyDescent="0.2">
      <c r="A701" s="1" t="s">
        <v>1565</v>
      </c>
      <c r="B701" s="2">
        <v>45996</v>
      </c>
      <c r="C701" s="1" t="s">
        <v>155</v>
      </c>
      <c r="D701" s="1" t="s">
        <v>156</v>
      </c>
      <c r="E701" s="1" t="s">
        <v>14</v>
      </c>
      <c r="F701" s="1" t="s">
        <v>263</v>
      </c>
      <c r="G701" s="1" t="s">
        <v>264</v>
      </c>
      <c r="H701" s="1" t="s">
        <v>17</v>
      </c>
      <c r="I701">
        <v>74852</v>
      </c>
      <c r="J701" s="3">
        <v>33.96</v>
      </c>
      <c r="K701" s="3">
        <v>2541973.92</v>
      </c>
    </row>
    <row r="702" spans="1:11" x14ac:dyDescent="0.2">
      <c r="A702" s="1" t="s">
        <v>1566</v>
      </c>
      <c r="B702" s="2">
        <v>45380</v>
      </c>
      <c r="C702" s="1" t="s">
        <v>1567</v>
      </c>
      <c r="D702" s="1" t="s">
        <v>1568</v>
      </c>
      <c r="E702" s="1" t="s">
        <v>34</v>
      </c>
      <c r="F702" s="1" t="s">
        <v>540</v>
      </c>
      <c r="G702" s="1" t="s">
        <v>541</v>
      </c>
      <c r="H702" s="1" t="s">
        <v>37</v>
      </c>
      <c r="I702">
        <v>90807</v>
      </c>
      <c r="J702" s="3">
        <v>7.22</v>
      </c>
      <c r="K702" s="3">
        <v>655626.54</v>
      </c>
    </row>
    <row r="703" spans="1:11" x14ac:dyDescent="0.2">
      <c r="A703" s="1" t="s">
        <v>1569</v>
      </c>
      <c r="B703" s="2">
        <v>45467</v>
      </c>
      <c r="C703" s="1" t="s">
        <v>409</v>
      </c>
      <c r="D703" s="1" t="s">
        <v>410</v>
      </c>
      <c r="E703" s="1" t="s">
        <v>14</v>
      </c>
      <c r="F703" s="1" t="s">
        <v>189</v>
      </c>
      <c r="G703" s="1" t="s">
        <v>190</v>
      </c>
      <c r="H703" s="1" t="s">
        <v>17</v>
      </c>
      <c r="I703">
        <v>9026</v>
      </c>
      <c r="J703" s="3">
        <v>38.619999999999997</v>
      </c>
      <c r="K703" s="3">
        <v>348584.12</v>
      </c>
    </row>
    <row r="704" spans="1:11" x14ac:dyDescent="0.2">
      <c r="A704" s="1" t="s">
        <v>1570</v>
      </c>
      <c r="B704" s="2">
        <v>46003</v>
      </c>
      <c r="C704" s="1" t="s">
        <v>1571</v>
      </c>
      <c r="D704" s="1" t="s">
        <v>1572</v>
      </c>
      <c r="E704" s="1" t="s">
        <v>14</v>
      </c>
      <c r="F704" s="1" t="s">
        <v>394</v>
      </c>
      <c r="G704" s="1" t="s">
        <v>395</v>
      </c>
      <c r="H704" s="1" t="s">
        <v>48</v>
      </c>
      <c r="I704">
        <v>71887</v>
      </c>
      <c r="J704" s="3">
        <v>29.02</v>
      </c>
      <c r="K704" s="3">
        <v>2086160.74</v>
      </c>
    </row>
    <row r="705" spans="1:11" x14ac:dyDescent="0.2">
      <c r="A705" s="1" t="s">
        <v>1573</v>
      </c>
      <c r="B705" s="2">
        <v>45882</v>
      </c>
      <c r="C705" s="1" t="s">
        <v>481</v>
      </c>
      <c r="D705" s="1" t="s">
        <v>482</v>
      </c>
      <c r="E705" s="1" t="s">
        <v>34</v>
      </c>
      <c r="F705" s="1" t="s">
        <v>41</v>
      </c>
      <c r="G705" s="1" t="s">
        <v>42</v>
      </c>
      <c r="H705" s="1" t="s">
        <v>24</v>
      </c>
      <c r="I705">
        <v>60034</v>
      </c>
      <c r="J705" s="3">
        <v>3.48</v>
      </c>
      <c r="K705" s="3">
        <v>208918.32</v>
      </c>
    </row>
    <row r="706" spans="1:11" x14ac:dyDescent="0.2">
      <c r="A706" s="1" t="s">
        <v>1574</v>
      </c>
      <c r="B706" s="2">
        <v>45690</v>
      </c>
      <c r="C706" s="1" t="s">
        <v>1575</v>
      </c>
      <c r="D706" s="1" t="s">
        <v>1576</v>
      </c>
      <c r="E706" s="1" t="s">
        <v>14</v>
      </c>
      <c r="F706" s="1" t="s">
        <v>237</v>
      </c>
      <c r="G706" s="1" t="s">
        <v>238</v>
      </c>
      <c r="H706" s="1" t="s">
        <v>17</v>
      </c>
      <c r="I706">
        <v>87995</v>
      </c>
      <c r="J706" s="3">
        <v>19.28</v>
      </c>
      <c r="K706" s="3">
        <v>1696543.6</v>
      </c>
    </row>
    <row r="707" spans="1:11" x14ac:dyDescent="0.2">
      <c r="A707" s="1" t="s">
        <v>1577</v>
      </c>
      <c r="B707" s="2">
        <v>45292</v>
      </c>
      <c r="C707" s="1" t="s">
        <v>1578</v>
      </c>
      <c r="D707" s="1" t="s">
        <v>1579</v>
      </c>
      <c r="E707" s="1" t="s">
        <v>28</v>
      </c>
      <c r="F707" s="1" t="s">
        <v>195</v>
      </c>
      <c r="G707" s="1" t="s">
        <v>196</v>
      </c>
      <c r="H707" s="1" t="s">
        <v>48</v>
      </c>
      <c r="I707">
        <v>80175</v>
      </c>
      <c r="J707" s="3">
        <v>29.94</v>
      </c>
      <c r="K707" s="3">
        <v>2400439.5</v>
      </c>
    </row>
    <row r="708" spans="1:11" x14ac:dyDescent="0.2">
      <c r="A708" s="1" t="s">
        <v>1580</v>
      </c>
      <c r="B708" s="2">
        <v>45648</v>
      </c>
      <c r="C708" s="1" t="s">
        <v>1388</v>
      </c>
      <c r="D708" s="1" t="s">
        <v>1389</v>
      </c>
      <c r="E708" s="1" t="s">
        <v>28</v>
      </c>
      <c r="F708" s="1" t="s">
        <v>412</v>
      </c>
      <c r="G708" s="1" t="s">
        <v>413</v>
      </c>
      <c r="H708" s="1" t="s">
        <v>72</v>
      </c>
      <c r="I708">
        <v>1326</v>
      </c>
      <c r="J708" s="3">
        <v>34.47</v>
      </c>
      <c r="K708" s="3">
        <v>45707.22</v>
      </c>
    </row>
    <row r="709" spans="1:11" x14ac:dyDescent="0.2">
      <c r="A709" s="1" t="s">
        <v>1581</v>
      </c>
      <c r="B709" s="2">
        <v>45823</v>
      </c>
      <c r="C709" s="1" t="s">
        <v>60</v>
      </c>
      <c r="D709" s="1" t="s">
        <v>61</v>
      </c>
      <c r="E709" s="1" t="s">
        <v>28</v>
      </c>
      <c r="F709" s="1" t="s">
        <v>406</v>
      </c>
      <c r="G709" s="1" t="s">
        <v>407</v>
      </c>
      <c r="H709" s="1" t="s">
        <v>17</v>
      </c>
      <c r="I709">
        <v>46755</v>
      </c>
      <c r="J709" s="3">
        <v>31.81</v>
      </c>
      <c r="K709" s="3">
        <v>1487276.55</v>
      </c>
    </row>
    <row r="710" spans="1:11" x14ac:dyDescent="0.2">
      <c r="A710" s="1" t="s">
        <v>1582</v>
      </c>
      <c r="B710" s="2">
        <v>45817</v>
      </c>
      <c r="C710" s="1" t="s">
        <v>313</v>
      </c>
      <c r="D710" s="1" t="s">
        <v>314</v>
      </c>
      <c r="E710" s="1" t="s">
        <v>37</v>
      </c>
      <c r="F710" s="1" t="s">
        <v>552</v>
      </c>
      <c r="G710" s="1" t="s">
        <v>553</v>
      </c>
      <c r="H710" s="1" t="s">
        <v>37</v>
      </c>
      <c r="I710">
        <v>30101</v>
      </c>
      <c r="J710" s="3">
        <v>42.85</v>
      </c>
      <c r="K710" s="3">
        <v>1289827.8500000001</v>
      </c>
    </row>
    <row r="711" spans="1:11" x14ac:dyDescent="0.2">
      <c r="A711" s="1" t="s">
        <v>1583</v>
      </c>
      <c r="B711" s="2">
        <v>45574</v>
      </c>
      <c r="C711" s="1" t="s">
        <v>1498</v>
      </c>
      <c r="D711" s="1" t="s">
        <v>1499</v>
      </c>
      <c r="E711" s="1" t="s">
        <v>14</v>
      </c>
      <c r="F711" s="1" t="s">
        <v>406</v>
      </c>
      <c r="G711" s="1" t="s">
        <v>407</v>
      </c>
      <c r="H711" s="1" t="s">
        <v>17</v>
      </c>
      <c r="I711">
        <v>29498</v>
      </c>
      <c r="J711" s="3">
        <v>13.52</v>
      </c>
      <c r="K711" s="3">
        <v>398812.96</v>
      </c>
    </row>
    <row r="712" spans="1:11" x14ac:dyDescent="0.2">
      <c r="A712" s="1" t="s">
        <v>1584</v>
      </c>
      <c r="B712" s="2">
        <v>45372</v>
      </c>
      <c r="C712" s="1" t="s">
        <v>648</v>
      </c>
      <c r="D712" s="1" t="s">
        <v>649</v>
      </c>
      <c r="E712" s="1" t="s">
        <v>28</v>
      </c>
      <c r="F712" s="1" t="s">
        <v>29</v>
      </c>
      <c r="G712" s="1" t="s">
        <v>30</v>
      </c>
      <c r="H712" s="1" t="s">
        <v>24</v>
      </c>
      <c r="I712">
        <v>86225</v>
      </c>
      <c r="J712" s="3">
        <v>14.7</v>
      </c>
      <c r="K712" s="3">
        <v>1267507.5</v>
      </c>
    </row>
    <row r="713" spans="1:11" x14ac:dyDescent="0.2">
      <c r="A713" s="1" t="s">
        <v>1585</v>
      </c>
      <c r="B713" s="2">
        <v>45808</v>
      </c>
      <c r="C713" s="1" t="s">
        <v>106</v>
      </c>
      <c r="D713" s="1" t="s">
        <v>107</v>
      </c>
      <c r="E713" s="1" t="s">
        <v>14</v>
      </c>
      <c r="F713" s="1" t="s">
        <v>208</v>
      </c>
      <c r="G713" s="1" t="s">
        <v>209</v>
      </c>
      <c r="H713" s="1" t="s">
        <v>17</v>
      </c>
      <c r="I713">
        <v>71845</v>
      </c>
      <c r="J713" s="3">
        <v>48.97</v>
      </c>
      <c r="K713" s="3">
        <v>3518249.65</v>
      </c>
    </row>
    <row r="714" spans="1:11" x14ac:dyDescent="0.2">
      <c r="A714" s="1" t="s">
        <v>1586</v>
      </c>
      <c r="B714" s="2">
        <v>45348</v>
      </c>
      <c r="C714" s="1" t="s">
        <v>327</v>
      </c>
      <c r="D714" s="1" t="s">
        <v>328</v>
      </c>
      <c r="E714" s="1" t="s">
        <v>21</v>
      </c>
      <c r="F714" s="1" t="s">
        <v>98</v>
      </c>
      <c r="G714" s="1" t="s">
        <v>99</v>
      </c>
      <c r="H714" s="1" t="s">
        <v>72</v>
      </c>
      <c r="I714">
        <v>74228</v>
      </c>
      <c r="J714" s="3">
        <v>35.42</v>
      </c>
      <c r="K714" s="3">
        <v>2629155.7599999998</v>
      </c>
    </row>
    <row r="715" spans="1:11" x14ac:dyDescent="0.2">
      <c r="A715" s="1" t="s">
        <v>1587</v>
      </c>
      <c r="B715" s="2">
        <v>45308</v>
      </c>
      <c r="C715" s="1" t="s">
        <v>1211</v>
      </c>
      <c r="D715" s="1" t="s">
        <v>1212</v>
      </c>
      <c r="E715" s="1" t="s">
        <v>37</v>
      </c>
      <c r="F715" s="1" t="s">
        <v>29</v>
      </c>
      <c r="G715" s="1" t="s">
        <v>30</v>
      </c>
      <c r="H715" s="1" t="s">
        <v>24</v>
      </c>
      <c r="I715">
        <v>15183</v>
      </c>
      <c r="J715" s="3">
        <v>15.75</v>
      </c>
      <c r="K715" s="3">
        <v>239132.25</v>
      </c>
    </row>
    <row r="716" spans="1:11" x14ac:dyDescent="0.2">
      <c r="A716" s="1" t="s">
        <v>1588</v>
      </c>
      <c r="B716" s="2">
        <v>45429</v>
      </c>
      <c r="C716" s="1" t="s">
        <v>1125</v>
      </c>
      <c r="D716" s="1" t="s">
        <v>1126</v>
      </c>
      <c r="E716" s="1" t="s">
        <v>21</v>
      </c>
      <c r="F716" s="1" t="s">
        <v>15</v>
      </c>
      <c r="G716" s="1" t="s">
        <v>16</v>
      </c>
      <c r="H716" s="1" t="s">
        <v>17</v>
      </c>
      <c r="I716">
        <v>6067</v>
      </c>
      <c r="J716" s="3">
        <v>41.03</v>
      </c>
      <c r="K716" s="3">
        <v>248929.01</v>
      </c>
    </row>
    <row r="717" spans="1:11" x14ac:dyDescent="0.2">
      <c r="A717" s="1" t="s">
        <v>1589</v>
      </c>
      <c r="B717" s="2">
        <v>45958</v>
      </c>
      <c r="C717" s="1" t="s">
        <v>702</v>
      </c>
      <c r="D717" s="1" t="s">
        <v>703</v>
      </c>
      <c r="E717" s="1" t="s">
        <v>34</v>
      </c>
      <c r="F717" s="1" t="s">
        <v>35</v>
      </c>
      <c r="G717" s="1" t="s">
        <v>36</v>
      </c>
      <c r="H717" s="1" t="s">
        <v>37</v>
      </c>
      <c r="I717">
        <v>5292</v>
      </c>
      <c r="J717" s="3">
        <v>11.08</v>
      </c>
      <c r="K717" s="3">
        <v>58635.360000000001</v>
      </c>
    </row>
    <row r="718" spans="1:11" x14ac:dyDescent="0.2">
      <c r="A718" s="1" t="s">
        <v>1590</v>
      </c>
      <c r="B718" s="2">
        <v>45415</v>
      </c>
      <c r="C718" s="1" t="s">
        <v>1591</v>
      </c>
      <c r="D718" s="1" t="s">
        <v>1592</v>
      </c>
      <c r="E718" s="1" t="s">
        <v>34</v>
      </c>
      <c r="F718" s="1" t="s">
        <v>46</v>
      </c>
      <c r="G718" s="1" t="s">
        <v>47</v>
      </c>
      <c r="H718" s="1" t="s">
        <v>48</v>
      </c>
      <c r="I718">
        <v>84170</v>
      </c>
      <c r="J718" s="3">
        <v>2.0299999999999998</v>
      </c>
      <c r="K718" s="3">
        <v>170865.1</v>
      </c>
    </row>
    <row r="719" spans="1:11" x14ac:dyDescent="0.2">
      <c r="A719" s="1" t="s">
        <v>1593</v>
      </c>
      <c r="B719" s="2">
        <v>45998</v>
      </c>
      <c r="C719" s="1" t="s">
        <v>451</v>
      </c>
      <c r="D719" s="1" t="s">
        <v>452</v>
      </c>
      <c r="E719" s="1" t="s">
        <v>28</v>
      </c>
      <c r="F719" s="1" t="s">
        <v>29</v>
      </c>
      <c r="G719" s="1" t="s">
        <v>30</v>
      </c>
      <c r="H719" s="1" t="s">
        <v>24</v>
      </c>
      <c r="I719">
        <v>65655</v>
      </c>
      <c r="J719" s="3">
        <v>23.07</v>
      </c>
      <c r="K719" s="3">
        <v>1514660.85</v>
      </c>
    </row>
    <row r="720" spans="1:11" x14ac:dyDescent="0.2">
      <c r="A720" s="1" t="s">
        <v>1594</v>
      </c>
      <c r="B720" s="2">
        <v>45542</v>
      </c>
      <c r="C720" s="1" t="s">
        <v>905</v>
      </c>
      <c r="D720" s="1" t="s">
        <v>906</v>
      </c>
      <c r="E720" s="1" t="s">
        <v>14</v>
      </c>
      <c r="F720" s="1" t="s">
        <v>228</v>
      </c>
      <c r="G720" s="1" t="s">
        <v>229</v>
      </c>
      <c r="H720" s="1" t="s">
        <v>48</v>
      </c>
      <c r="I720">
        <v>99778</v>
      </c>
      <c r="J720" s="3">
        <v>26.69</v>
      </c>
      <c r="K720" s="3">
        <v>2663074.8199999998</v>
      </c>
    </row>
    <row r="721" spans="1:11" x14ac:dyDescent="0.2">
      <c r="A721" s="1" t="s">
        <v>1595</v>
      </c>
      <c r="B721" s="2">
        <v>45503</v>
      </c>
      <c r="C721" s="1" t="s">
        <v>359</v>
      </c>
      <c r="D721" s="1" t="s">
        <v>360</v>
      </c>
      <c r="E721" s="1" t="s">
        <v>34</v>
      </c>
      <c r="F721" s="1" t="s">
        <v>81</v>
      </c>
      <c r="G721" s="1" t="s">
        <v>82</v>
      </c>
      <c r="H721" s="1" t="s">
        <v>72</v>
      </c>
      <c r="I721">
        <v>84235</v>
      </c>
      <c r="J721" s="3">
        <v>8.2899999999999991</v>
      </c>
      <c r="K721" s="3">
        <v>698308.15</v>
      </c>
    </row>
    <row r="722" spans="1:11" x14ac:dyDescent="0.2">
      <c r="A722" s="1" t="s">
        <v>1596</v>
      </c>
      <c r="B722" s="2">
        <v>45923</v>
      </c>
      <c r="C722" s="1" t="s">
        <v>487</v>
      </c>
      <c r="D722" s="1" t="s">
        <v>488</v>
      </c>
      <c r="E722" s="1" t="s">
        <v>28</v>
      </c>
      <c r="F722" s="1" t="s">
        <v>195</v>
      </c>
      <c r="G722" s="1" t="s">
        <v>196</v>
      </c>
      <c r="H722" s="1" t="s">
        <v>48</v>
      </c>
      <c r="I722">
        <v>17399</v>
      </c>
      <c r="J722" s="3">
        <v>37.590000000000003</v>
      </c>
      <c r="K722" s="3">
        <v>654028.41</v>
      </c>
    </row>
    <row r="723" spans="1:11" x14ac:dyDescent="0.2">
      <c r="A723" s="1" t="s">
        <v>1597</v>
      </c>
      <c r="B723" s="2">
        <v>45480</v>
      </c>
      <c r="C723" s="1" t="s">
        <v>1598</v>
      </c>
      <c r="D723" s="1" t="s">
        <v>1599</v>
      </c>
      <c r="E723" s="1" t="s">
        <v>34</v>
      </c>
      <c r="F723" s="1" t="s">
        <v>552</v>
      </c>
      <c r="G723" s="1" t="s">
        <v>553</v>
      </c>
      <c r="H723" s="1" t="s">
        <v>37</v>
      </c>
      <c r="I723">
        <v>80360</v>
      </c>
      <c r="J723" s="3">
        <v>24.56</v>
      </c>
      <c r="K723" s="3">
        <v>1973641.6</v>
      </c>
    </row>
    <row r="724" spans="1:11" x14ac:dyDescent="0.2">
      <c r="A724" s="1" t="s">
        <v>1600</v>
      </c>
      <c r="B724" s="2">
        <v>45641</v>
      </c>
      <c r="C724" s="1" t="s">
        <v>759</v>
      </c>
      <c r="D724" s="1" t="s">
        <v>760</v>
      </c>
      <c r="E724" s="1" t="s">
        <v>37</v>
      </c>
      <c r="F724" s="1" t="s">
        <v>412</v>
      </c>
      <c r="G724" s="1" t="s">
        <v>413</v>
      </c>
      <c r="H724" s="1" t="s">
        <v>72</v>
      </c>
      <c r="I724">
        <v>93494</v>
      </c>
      <c r="J724" s="3">
        <v>26.95</v>
      </c>
      <c r="K724" s="3">
        <v>2519663.2999999998</v>
      </c>
    </row>
    <row r="725" spans="1:11" x14ac:dyDescent="0.2">
      <c r="A725" s="1" t="s">
        <v>1601</v>
      </c>
      <c r="B725" s="2">
        <v>45325</v>
      </c>
      <c r="C725" s="1" t="s">
        <v>1171</v>
      </c>
      <c r="D725" s="1" t="s">
        <v>1172</v>
      </c>
      <c r="E725" s="1" t="s">
        <v>34</v>
      </c>
      <c r="F725" s="1" t="s">
        <v>57</v>
      </c>
      <c r="G725" s="1" t="s">
        <v>58</v>
      </c>
      <c r="H725" s="1" t="s">
        <v>48</v>
      </c>
      <c r="I725">
        <v>92822</v>
      </c>
      <c r="J725" s="3">
        <v>34.07</v>
      </c>
      <c r="K725" s="3">
        <v>3162445.54</v>
      </c>
    </row>
    <row r="726" spans="1:11" x14ac:dyDescent="0.2">
      <c r="A726" s="1" t="s">
        <v>1602</v>
      </c>
      <c r="B726" s="2">
        <v>45592</v>
      </c>
      <c r="C726" s="1" t="s">
        <v>1061</v>
      </c>
      <c r="D726" s="1" t="s">
        <v>1062</v>
      </c>
      <c r="E726" s="1" t="s">
        <v>14</v>
      </c>
      <c r="F726" s="1" t="s">
        <v>57</v>
      </c>
      <c r="G726" s="1" t="s">
        <v>58</v>
      </c>
      <c r="H726" s="1" t="s">
        <v>48</v>
      </c>
      <c r="I726">
        <v>11313</v>
      </c>
      <c r="J726" s="3">
        <v>38.270000000000003</v>
      </c>
      <c r="K726" s="3">
        <v>432948.51</v>
      </c>
    </row>
    <row r="727" spans="1:11" x14ac:dyDescent="0.2">
      <c r="A727" s="1" t="s">
        <v>1603</v>
      </c>
      <c r="B727" s="2">
        <v>45612</v>
      </c>
      <c r="C727" s="1" t="s">
        <v>698</v>
      </c>
      <c r="D727" s="1" t="s">
        <v>699</v>
      </c>
      <c r="E727" s="1" t="s">
        <v>28</v>
      </c>
      <c r="F727" s="1" t="s">
        <v>251</v>
      </c>
      <c r="G727" s="1" t="s">
        <v>252</v>
      </c>
      <c r="H727" s="1" t="s">
        <v>72</v>
      </c>
      <c r="I727">
        <v>42017</v>
      </c>
      <c r="J727" s="3">
        <v>11.05</v>
      </c>
      <c r="K727" s="3">
        <v>464287.85</v>
      </c>
    </row>
    <row r="728" spans="1:11" x14ac:dyDescent="0.2">
      <c r="A728" s="1" t="s">
        <v>1604</v>
      </c>
      <c r="B728" s="2">
        <v>45542</v>
      </c>
      <c r="C728" s="1" t="s">
        <v>838</v>
      </c>
      <c r="D728" s="1" t="s">
        <v>839</v>
      </c>
      <c r="E728" s="1" t="s">
        <v>28</v>
      </c>
      <c r="F728" s="1" t="s">
        <v>29</v>
      </c>
      <c r="G728" s="1" t="s">
        <v>30</v>
      </c>
      <c r="H728" s="1" t="s">
        <v>24</v>
      </c>
      <c r="I728">
        <v>70645</v>
      </c>
      <c r="J728" s="3">
        <v>19.8</v>
      </c>
      <c r="K728" s="3">
        <v>1398771</v>
      </c>
    </row>
    <row r="729" spans="1:11" x14ac:dyDescent="0.2">
      <c r="A729" s="1" t="s">
        <v>1605</v>
      </c>
      <c r="B729" s="2">
        <v>45925</v>
      </c>
      <c r="C729" s="1" t="s">
        <v>639</v>
      </c>
      <c r="D729" s="1" t="s">
        <v>640</v>
      </c>
      <c r="E729" s="1" t="s">
        <v>28</v>
      </c>
      <c r="F729" s="1" t="s">
        <v>339</v>
      </c>
      <c r="G729" s="1" t="s">
        <v>340</v>
      </c>
      <c r="H729" s="1" t="s">
        <v>24</v>
      </c>
      <c r="I729">
        <v>93646</v>
      </c>
      <c r="J729" s="3">
        <v>22.09</v>
      </c>
      <c r="K729" s="3">
        <v>2068640.14</v>
      </c>
    </row>
    <row r="730" spans="1:11" x14ac:dyDescent="0.2">
      <c r="A730" s="1" t="s">
        <v>1606</v>
      </c>
      <c r="B730" s="2">
        <v>45716</v>
      </c>
      <c r="C730" s="1" t="s">
        <v>93</v>
      </c>
      <c r="D730" s="1" t="s">
        <v>94</v>
      </c>
      <c r="E730" s="1" t="s">
        <v>34</v>
      </c>
      <c r="F730" s="1" t="s">
        <v>157</v>
      </c>
      <c r="G730" s="1" t="s">
        <v>158</v>
      </c>
      <c r="H730" s="1" t="s">
        <v>48</v>
      </c>
      <c r="I730">
        <v>92778</v>
      </c>
      <c r="J730" s="3">
        <v>4.43</v>
      </c>
      <c r="K730" s="3">
        <v>411006.54</v>
      </c>
    </row>
    <row r="731" spans="1:11" x14ac:dyDescent="0.2">
      <c r="A731" s="1" t="s">
        <v>1607</v>
      </c>
      <c r="B731" s="2">
        <v>45911</v>
      </c>
      <c r="C731" s="1" t="s">
        <v>543</v>
      </c>
      <c r="D731" s="1" t="s">
        <v>544</v>
      </c>
      <c r="E731" s="1" t="s">
        <v>28</v>
      </c>
      <c r="F731" s="1" t="s">
        <v>284</v>
      </c>
      <c r="G731" s="1" t="s">
        <v>285</v>
      </c>
      <c r="H731" s="1" t="s">
        <v>37</v>
      </c>
      <c r="I731">
        <v>1628</v>
      </c>
      <c r="J731" s="3">
        <v>18.45</v>
      </c>
      <c r="K731" s="3">
        <v>30036.6</v>
      </c>
    </row>
    <row r="732" spans="1:11" x14ac:dyDescent="0.2">
      <c r="A732" s="1" t="s">
        <v>1608</v>
      </c>
      <c r="B732" s="2">
        <v>45480</v>
      </c>
      <c r="C732" s="1" t="s">
        <v>427</v>
      </c>
      <c r="D732" s="1" t="s">
        <v>428</v>
      </c>
      <c r="E732" s="1" t="s">
        <v>21</v>
      </c>
      <c r="F732" s="1" t="s">
        <v>76</v>
      </c>
      <c r="G732" s="1" t="s">
        <v>77</v>
      </c>
      <c r="H732" s="1" t="s">
        <v>48</v>
      </c>
      <c r="I732">
        <v>52768</v>
      </c>
      <c r="J732" s="3">
        <v>22.1</v>
      </c>
      <c r="K732" s="3">
        <v>1166172.8</v>
      </c>
    </row>
    <row r="733" spans="1:11" x14ac:dyDescent="0.2">
      <c r="A733" s="1" t="s">
        <v>1609</v>
      </c>
      <c r="B733" s="2">
        <v>46015</v>
      </c>
      <c r="C733" s="1" t="s">
        <v>478</v>
      </c>
      <c r="D733" s="1" t="s">
        <v>479</v>
      </c>
      <c r="E733" s="1" t="s">
        <v>34</v>
      </c>
      <c r="F733" s="1" t="s">
        <v>29</v>
      </c>
      <c r="G733" s="1" t="s">
        <v>30</v>
      </c>
      <c r="H733" s="1" t="s">
        <v>24</v>
      </c>
      <c r="I733">
        <v>5312</v>
      </c>
      <c r="J733" s="3">
        <v>24.96</v>
      </c>
      <c r="K733" s="3">
        <v>132587.51999999999</v>
      </c>
    </row>
    <row r="734" spans="1:11" x14ac:dyDescent="0.2">
      <c r="A734" s="1" t="s">
        <v>1610</v>
      </c>
      <c r="B734" s="2">
        <v>45592</v>
      </c>
      <c r="C734" s="1" t="s">
        <v>643</v>
      </c>
      <c r="D734" s="1" t="s">
        <v>644</v>
      </c>
      <c r="E734" s="1" t="s">
        <v>37</v>
      </c>
      <c r="F734" s="1" t="s">
        <v>29</v>
      </c>
      <c r="G734" s="1" t="s">
        <v>30</v>
      </c>
      <c r="H734" s="1" t="s">
        <v>24</v>
      </c>
      <c r="I734">
        <v>40200</v>
      </c>
      <c r="J734" s="3">
        <v>16.16</v>
      </c>
      <c r="K734" s="3">
        <v>649632</v>
      </c>
    </row>
    <row r="735" spans="1:11" x14ac:dyDescent="0.2">
      <c r="A735" s="1" t="s">
        <v>1611</v>
      </c>
      <c r="B735" s="2">
        <v>45895</v>
      </c>
      <c r="C735" s="1" t="s">
        <v>495</v>
      </c>
      <c r="D735" s="1" t="s">
        <v>496</v>
      </c>
      <c r="E735" s="1" t="s">
        <v>37</v>
      </c>
      <c r="F735" s="1" t="s">
        <v>458</v>
      </c>
      <c r="G735" s="1" t="s">
        <v>459</v>
      </c>
      <c r="H735" s="1" t="s">
        <v>72</v>
      </c>
      <c r="I735">
        <v>3717</v>
      </c>
      <c r="J735" s="3">
        <v>43.72</v>
      </c>
      <c r="K735" s="3">
        <v>162507.24</v>
      </c>
    </row>
    <row r="736" spans="1:11" x14ac:dyDescent="0.2">
      <c r="A736" s="1" t="s">
        <v>1612</v>
      </c>
      <c r="B736" s="2">
        <v>45971</v>
      </c>
      <c r="C736" s="1" t="s">
        <v>1223</v>
      </c>
      <c r="D736" s="1" t="s">
        <v>1224</v>
      </c>
      <c r="E736" s="1" t="s">
        <v>37</v>
      </c>
      <c r="F736" s="1" t="s">
        <v>474</v>
      </c>
      <c r="G736" s="1" t="s">
        <v>475</v>
      </c>
      <c r="H736" s="1" t="s">
        <v>48</v>
      </c>
      <c r="I736">
        <v>76719</v>
      </c>
      <c r="J736" s="3">
        <v>23.96</v>
      </c>
      <c r="K736" s="3">
        <v>1838187.24</v>
      </c>
    </row>
    <row r="737" spans="1:11" x14ac:dyDescent="0.2">
      <c r="A737" s="1" t="s">
        <v>1613</v>
      </c>
      <c r="B737" s="2">
        <v>45609</v>
      </c>
      <c r="C737" s="1" t="s">
        <v>633</v>
      </c>
      <c r="D737" s="1" t="s">
        <v>634</v>
      </c>
      <c r="E737" s="1" t="s">
        <v>34</v>
      </c>
      <c r="F737" s="1" t="s">
        <v>15</v>
      </c>
      <c r="G737" s="1" t="s">
        <v>16</v>
      </c>
      <c r="H737" s="1" t="s">
        <v>17</v>
      </c>
      <c r="I737">
        <v>41361</v>
      </c>
      <c r="J737" s="3">
        <v>44.29</v>
      </c>
      <c r="K737" s="3">
        <v>1831878.69</v>
      </c>
    </row>
    <row r="738" spans="1:11" x14ac:dyDescent="0.2">
      <c r="A738" s="1" t="s">
        <v>1614</v>
      </c>
      <c r="B738" s="2">
        <v>45453</v>
      </c>
      <c r="C738" s="1" t="s">
        <v>1615</v>
      </c>
      <c r="D738" s="1" t="s">
        <v>1616</v>
      </c>
      <c r="E738" s="1" t="s">
        <v>37</v>
      </c>
      <c r="F738" s="1" t="s">
        <v>65</v>
      </c>
      <c r="G738" s="1" t="s">
        <v>66</v>
      </c>
      <c r="H738" s="1" t="s">
        <v>48</v>
      </c>
      <c r="I738">
        <v>34442</v>
      </c>
      <c r="J738" s="3">
        <v>26.86</v>
      </c>
      <c r="K738" s="3">
        <v>925112.12</v>
      </c>
    </row>
    <row r="739" spans="1:11" x14ac:dyDescent="0.2">
      <c r="A739" s="1" t="s">
        <v>1617</v>
      </c>
      <c r="B739" s="2">
        <v>45825</v>
      </c>
      <c r="C739" s="1" t="s">
        <v>160</v>
      </c>
      <c r="D739" s="1" t="s">
        <v>161</v>
      </c>
      <c r="E739" s="1" t="s">
        <v>21</v>
      </c>
      <c r="F739" s="1" t="s">
        <v>208</v>
      </c>
      <c r="G739" s="1" t="s">
        <v>209</v>
      </c>
      <c r="H739" s="1" t="s">
        <v>17</v>
      </c>
      <c r="I739">
        <v>16313</v>
      </c>
      <c r="J739" s="3">
        <v>39.35</v>
      </c>
      <c r="K739" s="3">
        <v>641916.55000000005</v>
      </c>
    </row>
    <row r="740" spans="1:11" x14ac:dyDescent="0.2">
      <c r="A740" s="1" t="s">
        <v>1618</v>
      </c>
      <c r="B740" s="2">
        <v>45775</v>
      </c>
      <c r="C740" s="1" t="s">
        <v>538</v>
      </c>
      <c r="D740" s="1" t="s">
        <v>539</v>
      </c>
      <c r="E740" s="1" t="s">
        <v>21</v>
      </c>
      <c r="F740" s="1" t="s">
        <v>113</v>
      </c>
      <c r="G740" s="1" t="s">
        <v>114</v>
      </c>
      <c r="H740" s="1" t="s">
        <v>37</v>
      </c>
      <c r="I740">
        <v>43214</v>
      </c>
      <c r="J740" s="3">
        <v>28.66</v>
      </c>
      <c r="K740" s="3">
        <v>1238513.24</v>
      </c>
    </row>
    <row r="741" spans="1:11" x14ac:dyDescent="0.2">
      <c r="A741" s="1" t="s">
        <v>1619</v>
      </c>
      <c r="B741" s="2">
        <v>45868</v>
      </c>
      <c r="C741" s="1" t="s">
        <v>639</v>
      </c>
      <c r="D741" s="1" t="s">
        <v>640</v>
      </c>
      <c r="E741" s="1" t="s">
        <v>28</v>
      </c>
      <c r="F741" s="1" t="s">
        <v>57</v>
      </c>
      <c r="G741" s="1" t="s">
        <v>58</v>
      </c>
      <c r="H741" s="1" t="s">
        <v>48</v>
      </c>
      <c r="I741">
        <v>92850</v>
      </c>
      <c r="J741" s="3">
        <v>35.130000000000003</v>
      </c>
      <c r="K741" s="3">
        <v>3261820.5</v>
      </c>
    </row>
    <row r="742" spans="1:11" x14ac:dyDescent="0.2">
      <c r="A742" s="1" t="s">
        <v>1620</v>
      </c>
      <c r="B742" s="2">
        <v>45905</v>
      </c>
      <c r="C742" s="1" t="s">
        <v>770</v>
      </c>
      <c r="D742" s="1" t="s">
        <v>771</v>
      </c>
      <c r="E742" s="1" t="s">
        <v>34</v>
      </c>
      <c r="F742" s="1" t="s">
        <v>263</v>
      </c>
      <c r="G742" s="1" t="s">
        <v>264</v>
      </c>
      <c r="H742" s="1" t="s">
        <v>17</v>
      </c>
      <c r="I742">
        <v>34357</v>
      </c>
      <c r="J742" s="3">
        <v>15.99</v>
      </c>
      <c r="K742" s="3">
        <v>549368.43000000005</v>
      </c>
    </row>
    <row r="743" spans="1:11" x14ac:dyDescent="0.2">
      <c r="A743" s="1" t="s">
        <v>1621</v>
      </c>
      <c r="B743" s="2">
        <v>45824</v>
      </c>
      <c r="C743" s="1" t="s">
        <v>1622</v>
      </c>
      <c r="D743" s="1" t="s">
        <v>1623</v>
      </c>
      <c r="E743" s="1" t="s">
        <v>21</v>
      </c>
      <c r="F743" s="1" t="s">
        <v>57</v>
      </c>
      <c r="G743" s="1" t="s">
        <v>58</v>
      </c>
      <c r="H743" s="1" t="s">
        <v>48</v>
      </c>
      <c r="I743">
        <v>92282</v>
      </c>
      <c r="J743" s="3">
        <v>24.17</v>
      </c>
      <c r="K743" s="3">
        <v>2230455.94</v>
      </c>
    </row>
    <row r="744" spans="1:11" x14ac:dyDescent="0.2">
      <c r="A744" s="1" t="s">
        <v>1624</v>
      </c>
      <c r="B744" s="2">
        <v>45998</v>
      </c>
      <c r="C744" s="1" t="s">
        <v>44</v>
      </c>
      <c r="D744" s="1" t="s">
        <v>45</v>
      </c>
      <c r="E744" s="1" t="s">
        <v>34</v>
      </c>
      <c r="F744" s="1" t="s">
        <v>46</v>
      </c>
      <c r="G744" s="1" t="s">
        <v>47</v>
      </c>
      <c r="H744" s="1" t="s">
        <v>48</v>
      </c>
      <c r="I744">
        <v>33590</v>
      </c>
      <c r="J744" s="3">
        <v>3.06</v>
      </c>
      <c r="K744" s="3">
        <v>102785.4</v>
      </c>
    </row>
    <row r="745" spans="1:11" x14ac:dyDescent="0.2">
      <c r="A745" s="1" t="s">
        <v>1625</v>
      </c>
      <c r="B745" s="2">
        <v>45566</v>
      </c>
      <c r="C745" s="1" t="s">
        <v>1626</v>
      </c>
      <c r="D745" s="1" t="s">
        <v>1627</v>
      </c>
      <c r="E745" s="1" t="s">
        <v>34</v>
      </c>
      <c r="F745" s="1" t="s">
        <v>157</v>
      </c>
      <c r="G745" s="1" t="s">
        <v>158</v>
      </c>
      <c r="H745" s="1" t="s">
        <v>48</v>
      </c>
      <c r="I745">
        <v>98127</v>
      </c>
      <c r="J745" s="3">
        <v>22.04</v>
      </c>
      <c r="K745" s="3">
        <v>2162719.08</v>
      </c>
    </row>
    <row r="746" spans="1:11" x14ac:dyDescent="0.2">
      <c r="A746" s="1" t="s">
        <v>1628</v>
      </c>
      <c r="B746" s="2">
        <v>45294</v>
      </c>
      <c r="C746" s="1" t="s">
        <v>890</v>
      </c>
      <c r="D746" s="1" t="s">
        <v>891</v>
      </c>
      <c r="E746" s="1" t="s">
        <v>37</v>
      </c>
      <c r="F746" s="1" t="s">
        <v>184</v>
      </c>
      <c r="G746" s="1" t="s">
        <v>185</v>
      </c>
      <c r="H746" s="1" t="s">
        <v>17</v>
      </c>
      <c r="I746">
        <v>14859</v>
      </c>
      <c r="J746" s="3">
        <v>2.64</v>
      </c>
      <c r="K746" s="3">
        <v>39227.760000000002</v>
      </c>
    </row>
    <row r="747" spans="1:11" x14ac:dyDescent="0.2">
      <c r="A747" s="1" t="s">
        <v>1629</v>
      </c>
      <c r="B747" s="2">
        <v>45662</v>
      </c>
      <c r="C747" s="1" t="s">
        <v>1630</v>
      </c>
      <c r="D747" s="1" t="s">
        <v>1631</v>
      </c>
      <c r="E747" s="1" t="s">
        <v>37</v>
      </c>
      <c r="F747" s="1" t="s">
        <v>22</v>
      </c>
      <c r="G747" s="1" t="s">
        <v>23</v>
      </c>
      <c r="H747" s="1" t="s">
        <v>24</v>
      </c>
      <c r="I747">
        <v>56558</v>
      </c>
      <c r="J747" s="3">
        <v>41.49</v>
      </c>
      <c r="K747" s="3">
        <v>2346591.42</v>
      </c>
    </row>
    <row r="748" spans="1:11" x14ac:dyDescent="0.2">
      <c r="A748" s="1" t="s">
        <v>1632</v>
      </c>
      <c r="B748" s="2">
        <v>45815</v>
      </c>
      <c r="C748" s="1" t="s">
        <v>1449</v>
      </c>
      <c r="D748" s="1" t="s">
        <v>1450</v>
      </c>
      <c r="E748" s="1" t="s">
        <v>28</v>
      </c>
      <c r="F748" s="1" t="s">
        <v>52</v>
      </c>
      <c r="G748" s="1" t="s">
        <v>53</v>
      </c>
      <c r="H748" s="1" t="s">
        <v>17</v>
      </c>
      <c r="I748">
        <v>14724</v>
      </c>
      <c r="J748" s="3">
        <v>10.77</v>
      </c>
      <c r="K748" s="3">
        <v>158577.48000000001</v>
      </c>
    </row>
    <row r="749" spans="1:11" x14ac:dyDescent="0.2">
      <c r="A749" s="1" t="s">
        <v>1633</v>
      </c>
      <c r="B749" s="2">
        <v>45628</v>
      </c>
      <c r="C749" s="1" t="s">
        <v>1354</v>
      </c>
      <c r="D749" s="1" t="s">
        <v>1355</v>
      </c>
      <c r="E749" s="1" t="s">
        <v>34</v>
      </c>
      <c r="F749" s="1" t="s">
        <v>463</v>
      </c>
      <c r="G749" s="1" t="s">
        <v>464</v>
      </c>
      <c r="H749" s="1" t="s">
        <v>37</v>
      </c>
      <c r="I749">
        <v>60663</v>
      </c>
      <c r="J749" s="3">
        <v>21.26</v>
      </c>
      <c r="K749" s="3">
        <v>1289695.3799999999</v>
      </c>
    </row>
    <row r="750" spans="1:11" x14ac:dyDescent="0.2">
      <c r="A750" s="1" t="s">
        <v>1634</v>
      </c>
      <c r="B750" s="2">
        <v>45368</v>
      </c>
      <c r="C750" s="1" t="s">
        <v>1272</v>
      </c>
      <c r="D750" s="1" t="s">
        <v>1273</v>
      </c>
      <c r="E750" s="1" t="s">
        <v>34</v>
      </c>
      <c r="F750" s="1" t="s">
        <v>113</v>
      </c>
      <c r="G750" s="1" t="s">
        <v>114</v>
      </c>
      <c r="H750" s="1" t="s">
        <v>37</v>
      </c>
      <c r="I750">
        <v>72165</v>
      </c>
      <c r="J750" s="3">
        <v>40.85</v>
      </c>
      <c r="K750" s="3">
        <v>2947940.25</v>
      </c>
    </row>
    <row r="751" spans="1:11" x14ac:dyDescent="0.2">
      <c r="A751" s="1" t="s">
        <v>1635</v>
      </c>
      <c r="B751" s="2">
        <v>45673</v>
      </c>
      <c r="C751" s="1" t="s">
        <v>734</v>
      </c>
      <c r="D751" s="1" t="s">
        <v>735</v>
      </c>
      <c r="E751" s="1" t="s">
        <v>28</v>
      </c>
      <c r="F751" s="1" t="s">
        <v>412</v>
      </c>
      <c r="G751" s="1" t="s">
        <v>413</v>
      </c>
      <c r="H751" s="1" t="s">
        <v>72</v>
      </c>
      <c r="I751">
        <v>12083</v>
      </c>
      <c r="J751" s="3">
        <v>7.1</v>
      </c>
      <c r="K751" s="3">
        <v>85789.3</v>
      </c>
    </row>
    <row r="752" spans="1:11" x14ac:dyDescent="0.2">
      <c r="A752" s="1" t="s">
        <v>1636</v>
      </c>
      <c r="B752" s="2">
        <v>45572</v>
      </c>
      <c r="C752" s="1" t="s">
        <v>1637</v>
      </c>
      <c r="D752" s="1" t="s">
        <v>1638</v>
      </c>
      <c r="E752" s="1" t="s">
        <v>34</v>
      </c>
      <c r="F752" s="1" t="s">
        <v>22</v>
      </c>
      <c r="G752" s="1" t="s">
        <v>23</v>
      </c>
      <c r="H752" s="1" t="s">
        <v>24</v>
      </c>
      <c r="I752">
        <v>11020</v>
      </c>
      <c r="J752" s="3">
        <v>11.13</v>
      </c>
      <c r="K752" s="3">
        <v>122652.6</v>
      </c>
    </row>
    <row r="753" spans="1:11" x14ac:dyDescent="0.2">
      <c r="A753" s="1" t="s">
        <v>1639</v>
      </c>
      <c r="B753" s="2">
        <v>45992</v>
      </c>
      <c r="C753" s="1" t="s">
        <v>1640</v>
      </c>
      <c r="D753" s="1" t="s">
        <v>1641</v>
      </c>
      <c r="E753" s="1" t="s">
        <v>28</v>
      </c>
      <c r="F753" s="1" t="s">
        <v>152</v>
      </c>
      <c r="G753" s="1" t="s">
        <v>153</v>
      </c>
      <c r="H753" s="1" t="s">
        <v>17</v>
      </c>
      <c r="I753">
        <v>71391</v>
      </c>
      <c r="J753" s="3">
        <v>4.29</v>
      </c>
      <c r="K753" s="3">
        <v>306267.39</v>
      </c>
    </row>
    <row r="754" spans="1:11" x14ac:dyDescent="0.2">
      <c r="A754" s="1" t="s">
        <v>1642</v>
      </c>
      <c r="B754" s="2">
        <v>45442</v>
      </c>
      <c r="C754" s="1" t="s">
        <v>1643</v>
      </c>
      <c r="D754" s="1" t="s">
        <v>1644</v>
      </c>
      <c r="E754" s="1" t="s">
        <v>28</v>
      </c>
      <c r="F754" s="1" t="s">
        <v>273</v>
      </c>
      <c r="G754" s="1" t="s">
        <v>274</v>
      </c>
      <c r="H754" s="1" t="s">
        <v>24</v>
      </c>
      <c r="I754">
        <v>1199</v>
      </c>
      <c r="J754" s="3">
        <v>11.51</v>
      </c>
      <c r="K754" s="3">
        <v>13800.49</v>
      </c>
    </row>
    <row r="755" spans="1:11" x14ac:dyDescent="0.2">
      <c r="A755" s="1" t="s">
        <v>1645</v>
      </c>
      <c r="B755" s="2">
        <v>45858</v>
      </c>
      <c r="C755" s="1" t="s">
        <v>119</v>
      </c>
      <c r="D755" s="1" t="s">
        <v>120</v>
      </c>
      <c r="E755" s="1" t="s">
        <v>28</v>
      </c>
      <c r="F755" s="1" t="s">
        <v>152</v>
      </c>
      <c r="G755" s="1" t="s">
        <v>153</v>
      </c>
      <c r="H755" s="1" t="s">
        <v>17</v>
      </c>
      <c r="I755">
        <v>42851</v>
      </c>
      <c r="J755" s="3">
        <v>12.14</v>
      </c>
      <c r="K755" s="3">
        <v>520211.14</v>
      </c>
    </row>
    <row r="756" spans="1:11" x14ac:dyDescent="0.2">
      <c r="A756" s="1" t="s">
        <v>1646</v>
      </c>
      <c r="B756" s="2">
        <v>45353</v>
      </c>
      <c r="C756" s="1" t="s">
        <v>1647</v>
      </c>
      <c r="D756" s="1" t="s">
        <v>1648</v>
      </c>
      <c r="E756" s="1" t="s">
        <v>14</v>
      </c>
      <c r="F756" s="1" t="s">
        <v>41</v>
      </c>
      <c r="G756" s="1" t="s">
        <v>42</v>
      </c>
      <c r="H756" s="1" t="s">
        <v>24</v>
      </c>
      <c r="I756">
        <v>50024</v>
      </c>
      <c r="J756" s="3">
        <v>41.82</v>
      </c>
      <c r="K756" s="3">
        <v>2092003.68</v>
      </c>
    </row>
    <row r="757" spans="1:11" x14ac:dyDescent="0.2">
      <c r="A757" s="1" t="s">
        <v>1649</v>
      </c>
      <c r="B757" s="2">
        <v>45951</v>
      </c>
      <c r="C757" s="1" t="s">
        <v>1622</v>
      </c>
      <c r="D757" s="1" t="s">
        <v>1623</v>
      </c>
      <c r="E757" s="1" t="s">
        <v>21</v>
      </c>
      <c r="F757" s="1" t="s">
        <v>273</v>
      </c>
      <c r="G757" s="1" t="s">
        <v>274</v>
      </c>
      <c r="H757" s="1" t="s">
        <v>24</v>
      </c>
      <c r="I757">
        <v>6128</v>
      </c>
      <c r="J757" s="3">
        <v>25.64</v>
      </c>
      <c r="K757" s="3">
        <v>157121.92000000001</v>
      </c>
    </row>
    <row r="758" spans="1:11" x14ac:dyDescent="0.2">
      <c r="A758" s="1" t="s">
        <v>1650</v>
      </c>
      <c r="B758" s="2">
        <v>45354</v>
      </c>
      <c r="C758" s="1" t="s">
        <v>788</v>
      </c>
      <c r="D758" s="1" t="s">
        <v>789</v>
      </c>
      <c r="E758" s="1" t="s">
        <v>14</v>
      </c>
      <c r="F758" s="1" t="s">
        <v>189</v>
      </c>
      <c r="G758" s="1" t="s">
        <v>190</v>
      </c>
      <c r="H758" s="1" t="s">
        <v>17</v>
      </c>
      <c r="I758">
        <v>13368</v>
      </c>
      <c r="J758" s="3">
        <v>26.37</v>
      </c>
      <c r="K758" s="3">
        <v>352514.16</v>
      </c>
    </row>
    <row r="759" spans="1:11" x14ac:dyDescent="0.2">
      <c r="A759" s="1" t="s">
        <v>1651</v>
      </c>
      <c r="B759" s="2">
        <v>45364</v>
      </c>
      <c r="C759" s="1" t="s">
        <v>1652</v>
      </c>
      <c r="D759" s="1" t="s">
        <v>1653</v>
      </c>
      <c r="E759" s="1" t="s">
        <v>28</v>
      </c>
      <c r="F759" s="1" t="s">
        <v>458</v>
      </c>
      <c r="G759" s="1" t="s">
        <v>459</v>
      </c>
      <c r="H759" s="1" t="s">
        <v>72</v>
      </c>
      <c r="I759">
        <v>78963</v>
      </c>
      <c r="J759" s="3">
        <v>37.4</v>
      </c>
      <c r="K759" s="3">
        <v>2953216.2</v>
      </c>
    </row>
    <row r="760" spans="1:11" x14ac:dyDescent="0.2">
      <c r="A760" s="1" t="s">
        <v>1654</v>
      </c>
      <c r="B760" s="2">
        <v>45835</v>
      </c>
      <c r="C760" s="1" t="s">
        <v>1615</v>
      </c>
      <c r="D760" s="1" t="s">
        <v>1616</v>
      </c>
      <c r="E760" s="1" t="s">
        <v>37</v>
      </c>
      <c r="F760" s="1" t="s">
        <v>29</v>
      </c>
      <c r="G760" s="1" t="s">
        <v>30</v>
      </c>
      <c r="H760" s="1" t="s">
        <v>24</v>
      </c>
      <c r="I760">
        <v>87074</v>
      </c>
      <c r="J760" s="3">
        <v>18.71</v>
      </c>
      <c r="K760" s="3">
        <v>1629154.54</v>
      </c>
    </row>
    <row r="761" spans="1:11" x14ac:dyDescent="0.2">
      <c r="A761" s="1" t="s">
        <v>1655</v>
      </c>
      <c r="B761" s="2">
        <v>45844</v>
      </c>
      <c r="C761" s="1" t="s">
        <v>50</v>
      </c>
      <c r="D761" s="1" t="s">
        <v>51</v>
      </c>
      <c r="E761" s="1" t="s">
        <v>21</v>
      </c>
      <c r="F761" s="1" t="s">
        <v>65</v>
      </c>
      <c r="G761" s="1" t="s">
        <v>66</v>
      </c>
      <c r="H761" s="1" t="s">
        <v>48</v>
      </c>
      <c r="I761">
        <v>82528</v>
      </c>
      <c r="J761" s="3">
        <v>33.47</v>
      </c>
      <c r="K761" s="3">
        <v>2762212.16</v>
      </c>
    </row>
    <row r="762" spans="1:11" x14ac:dyDescent="0.2">
      <c r="A762" s="1" t="s">
        <v>1656</v>
      </c>
      <c r="B762" s="2">
        <v>45678</v>
      </c>
      <c r="C762" s="1" t="s">
        <v>617</v>
      </c>
      <c r="D762" s="1" t="s">
        <v>618</v>
      </c>
      <c r="E762" s="1" t="s">
        <v>37</v>
      </c>
      <c r="F762" s="1" t="s">
        <v>273</v>
      </c>
      <c r="G762" s="1" t="s">
        <v>274</v>
      </c>
      <c r="H762" s="1" t="s">
        <v>24</v>
      </c>
      <c r="I762">
        <v>16596</v>
      </c>
      <c r="J762" s="3">
        <v>48.85</v>
      </c>
      <c r="K762" s="3">
        <v>810714.6</v>
      </c>
    </row>
    <row r="763" spans="1:11" x14ac:dyDescent="0.2">
      <c r="A763" s="1" t="s">
        <v>1657</v>
      </c>
      <c r="B763" s="2">
        <v>45913</v>
      </c>
      <c r="C763" s="1" t="s">
        <v>1658</v>
      </c>
      <c r="D763" s="1" t="s">
        <v>1659</v>
      </c>
      <c r="E763" s="1" t="s">
        <v>28</v>
      </c>
      <c r="F763" s="1" t="s">
        <v>552</v>
      </c>
      <c r="G763" s="1" t="s">
        <v>553</v>
      </c>
      <c r="H763" s="1" t="s">
        <v>37</v>
      </c>
      <c r="I763">
        <v>90168</v>
      </c>
      <c r="J763" s="3">
        <v>42.94</v>
      </c>
      <c r="K763" s="3">
        <v>3871813.92</v>
      </c>
    </row>
    <row r="764" spans="1:11" x14ac:dyDescent="0.2">
      <c r="A764" s="1" t="s">
        <v>1660</v>
      </c>
      <c r="B764" s="2">
        <v>45722</v>
      </c>
      <c r="C764" s="1" t="s">
        <v>385</v>
      </c>
      <c r="D764" s="1" t="s">
        <v>386</v>
      </c>
      <c r="E764" s="1" t="s">
        <v>34</v>
      </c>
      <c r="F764" s="1" t="s">
        <v>57</v>
      </c>
      <c r="G764" s="1" t="s">
        <v>58</v>
      </c>
      <c r="H764" s="1" t="s">
        <v>48</v>
      </c>
      <c r="I764">
        <v>67173</v>
      </c>
      <c r="J764" s="3">
        <v>4.4000000000000004</v>
      </c>
      <c r="K764" s="3">
        <v>295561.2</v>
      </c>
    </row>
    <row r="765" spans="1:11" x14ac:dyDescent="0.2">
      <c r="A765" s="1" t="s">
        <v>1661</v>
      </c>
      <c r="B765" s="2">
        <v>45532</v>
      </c>
      <c r="C765" s="1" t="s">
        <v>1662</v>
      </c>
      <c r="D765" s="1" t="s">
        <v>1663</v>
      </c>
      <c r="E765" s="1" t="s">
        <v>37</v>
      </c>
      <c r="F765" s="1" t="s">
        <v>540</v>
      </c>
      <c r="G765" s="1" t="s">
        <v>541</v>
      </c>
      <c r="H765" s="1" t="s">
        <v>37</v>
      </c>
      <c r="I765">
        <v>49828</v>
      </c>
      <c r="J765" s="3">
        <v>39.4</v>
      </c>
      <c r="K765" s="3">
        <v>1963223.2</v>
      </c>
    </row>
    <row r="766" spans="1:11" x14ac:dyDescent="0.2">
      <c r="A766" s="1" t="s">
        <v>1664</v>
      </c>
      <c r="B766" s="2">
        <v>45553</v>
      </c>
      <c r="C766" s="1" t="s">
        <v>975</v>
      </c>
      <c r="D766" s="1" t="s">
        <v>976</v>
      </c>
      <c r="E766" s="1" t="s">
        <v>28</v>
      </c>
      <c r="F766" s="1" t="s">
        <v>324</v>
      </c>
      <c r="G766" s="1" t="s">
        <v>325</v>
      </c>
      <c r="H766" s="1" t="s">
        <v>24</v>
      </c>
      <c r="I766">
        <v>70840</v>
      </c>
      <c r="J766" s="3">
        <v>8.75</v>
      </c>
      <c r="K766" s="3">
        <v>619850</v>
      </c>
    </row>
    <row r="767" spans="1:11" x14ac:dyDescent="0.2">
      <c r="A767" s="1" t="s">
        <v>1665</v>
      </c>
      <c r="B767" s="2">
        <v>45876</v>
      </c>
      <c r="C767" s="1" t="s">
        <v>1666</v>
      </c>
      <c r="D767" s="1" t="s">
        <v>1667</v>
      </c>
      <c r="E767" s="1" t="s">
        <v>28</v>
      </c>
      <c r="F767" s="1" t="s">
        <v>46</v>
      </c>
      <c r="G767" s="1" t="s">
        <v>47</v>
      </c>
      <c r="H767" s="1" t="s">
        <v>48</v>
      </c>
      <c r="I767">
        <v>23136</v>
      </c>
      <c r="J767" s="3">
        <v>22.14</v>
      </c>
      <c r="K767" s="3">
        <v>512231.04</v>
      </c>
    </row>
    <row r="768" spans="1:11" x14ac:dyDescent="0.2">
      <c r="A768" s="1" t="s">
        <v>1668</v>
      </c>
      <c r="B768" s="2">
        <v>45873</v>
      </c>
      <c r="C768" s="1" t="s">
        <v>424</v>
      </c>
      <c r="D768" s="1" t="s">
        <v>425</v>
      </c>
      <c r="E768" s="1" t="s">
        <v>28</v>
      </c>
      <c r="F768" s="1" t="s">
        <v>761</v>
      </c>
      <c r="G768" s="1" t="s">
        <v>762</v>
      </c>
      <c r="H768" s="1" t="s">
        <v>48</v>
      </c>
      <c r="I768">
        <v>50924</v>
      </c>
      <c r="J768" s="3">
        <v>2.97</v>
      </c>
      <c r="K768" s="3">
        <v>151244.28</v>
      </c>
    </row>
    <row r="769" spans="1:11" x14ac:dyDescent="0.2">
      <c r="A769" s="1" t="s">
        <v>1669</v>
      </c>
      <c r="B769" s="2">
        <v>45617</v>
      </c>
      <c r="C769" s="1" t="s">
        <v>1240</v>
      </c>
      <c r="D769" s="1" t="s">
        <v>1241</v>
      </c>
      <c r="E769" s="1" t="s">
        <v>28</v>
      </c>
      <c r="F769" s="1" t="s">
        <v>273</v>
      </c>
      <c r="G769" s="1" t="s">
        <v>274</v>
      </c>
      <c r="H769" s="1" t="s">
        <v>24</v>
      </c>
      <c r="I769">
        <v>17756</v>
      </c>
      <c r="J769" s="3">
        <v>2.54</v>
      </c>
      <c r="K769" s="3">
        <v>45100.24</v>
      </c>
    </row>
    <row r="770" spans="1:11" x14ac:dyDescent="0.2">
      <c r="A770" s="1" t="s">
        <v>1670</v>
      </c>
      <c r="B770" s="2">
        <v>45345</v>
      </c>
      <c r="C770" s="1" t="s">
        <v>737</v>
      </c>
      <c r="D770" s="1" t="s">
        <v>738</v>
      </c>
      <c r="E770" s="1" t="s">
        <v>37</v>
      </c>
      <c r="F770" s="1" t="s">
        <v>165</v>
      </c>
      <c r="G770" s="1" t="s">
        <v>166</v>
      </c>
      <c r="H770" s="1" t="s">
        <v>24</v>
      </c>
      <c r="I770">
        <v>58830</v>
      </c>
      <c r="J770" s="3">
        <v>32.69</v>
      </c>
      <c r="K770" s="3">
        <v>1923152.7</v>
      </c>
    </row>
    <row r="771" spans="1:11" x14ac:dyDescent="0.2">
      <c r="A771" s="1" t="s">
        <v>1671</v>
      </c>
      <c r="B771" s="2">
        <v>45740</v>
      </c>
      <c r="C771" s="1" t="s">
        <v>201</v>
      </c>
      <c r="D771" s="1" t="s">
        <v>202</v>
      </c>
      <c r="E771" s="1" t="s">
        <v>14</v>
      </c>
      <c r="F771" s="1" t="s">
        <v>228</v>
      </c>
      <c r="G771" s="1" t="s">
        <v>229</v>
      </c>
      <c r="H771" s="1" t="s">
        <v>48</v>
      </c>
      <c r="I771">
        <v>21430</v>
      </c>
      <c r="J771" s="3">
        <v>30.27</v>
      </c>
      <c r="K771" s="3">
        <v>648686.1</v>
      </c>
    </row>
    <row r="772" spans="1:11" x14ac:dyDescent="0.2">
      <c r="A772" s="1" t="s">
        <v>1672</v>
      </c>
      <c r="B772" s="2">
        <v>45366</v>
      </c>
      <c r="C772" s="1" t="s">
        <v>727</v>
      </c>
      <c r="D772" s="1" t="s">
        <v>728</v>
      </c>
      <c r="E772" s="1" t="s">
        <v>37</v>
      </c>
      <c r="F772" s="1" t="s">
        <v>22</v>
      </c>
      <c r="G772" s="1" t="s">
        <v>23</v>
      </c>
      <c r="H772" s="1" t="s">
        <v>24</v>
      </c>
      <c r="I772">
        <v>45799</v>
      </c>
      <c r="J772" s="3">
        <v>38.22</v>
      </c>
      <c r="K772" s="3">
        <v>1750437.78</v>
      </c>
    </row>
    <row r="773" spans="1:11" x14ac:dyDescent="0.2">
      <c r="A773" s="1" t="s">
        <v>1673</v>
      </c>
      <c r="B773" s="2">
        <v>45724</v>
      </c>
      <c r="C773" s="1" t="s">
        <v>495</v>
      </c>
      <c r="D773" s="1" t="s">
        <v>496</v>
      </c>
      <c r="E773" s="1" t="s">
        <v>37</v>
      </c>
      <c r="F773" s="1" t="s">
        <v>268</v>
      </c>
      <c r="G773" s="1" t="s">
        <v>269</v>
      </c>
      <c r="H773" s="1" t="s">
        <v>72</v>
      </c>
      <c r="I773">
        <v>63956</v>
      </c>
      <c r="J773" s="3">
        <v>16.170000000000002</v>
      </c>
      <c r="K773" s="3">
        <v>1034168.52</v>
      </c>
    </row>
    <row r="774" spans="1:11" x14ac:dyDescent="0.2">
      <c r="A774" s="1" t="s">
        <v>1674</v>
      </c>
      <c r="B774" s="2">
        <v>45405</v>
      </c>
      <c r="C774" s="1" t="s">
        <v>397</v>
      </c>
      <c r="D774" s="1" t="s">
        <v>398</v>
      </c>
      <c r="E774" s="1" t="s">
        <v>34</v>
      </c>
      <c r="F774" s="1" t="s">
        <v>65</v>
      </c>
      <c r="G774" s="1" t="s">
        <v>66</v>
      </c>
      <c r="H774" s="1" t="s">
        <v>48</v>
      </c>
      <c r="I774">
        <v>18341</v>
      </c>
      <c r="J774" s="3">
        <v>19.98</v>
      </c>
      <c r="K774" s="3">
        <v>366453.18</v>
      </c>
    </row>
    <row r="775" spans="1:11" x14ac:dyDescent="0.2">
      <c r="A775" s="1" t="s">
        <v>1675</v>
      </c>
      <c r="B775" s="2">
        <v>45744</v>
      </c>
      <c r="C775" s="1" t="s">
        <v>1364</v>
      </c>
      <c r="D775" s="1" t="s">
        <v>1365</v>
      </c>
      <c r="E775" s="1" t="s">
        <v>37</v>
      </c>
      <c r="F775" s="1" t="s">
        <v>350</v>
      </c>
      <c r="G775" s="1" t="s">
        <v>351</v>
      </c>
      <c r="H775" s="1" t="s">
        <v>37</v>
      </c>
      <c r="I775">
        <v>33181</v>
      </c>
      <c r="J775" s="3">
        <v>5.67</v>
      </c>
      <c r="K775" s="3">
        <v>188136.27</v>
      </c>
    </row>
    <row r="776" spans="1:11" x14ac:dyDescent="0.2">
      <c r="A776" s="1" t="s">
        <v>1676</v>
      </c>
      <c r="B776" s="2">
        <v>45439</v>
      </c>
      <c r="C776" s="1" t="s">
        <v>119</v>
      </c>
      <c r="D776" s="1" t="s">
        <v>120</v>
      </c>
      <c r="E776" s="1" t="s">
        <v>28</v>
      </c>
      <c r="F776" s="1" t="s">
        <v>65</v>
      </c>
      <c r="G776" s="1" t="s">
        <v>66</v>
      </c>
      <c r="H776" s="1" t="s">
        <v>48</v>
      </c>
      <c r="I776">
        <v>95438</v>
      </c>
      <c r="J776" s="3">
        <v>43.68</v>
      </c>
      <c r="K776" s="3">
        <v>4168731.84</v>
      </c>
    </row>
    <row r="777" spans="1:11" x14ac:dyDescent="0.2">
      <c r="A777" s="1" t="s">
        <v>1677</v>
      </c>
      <c r="B777" s="2">
        <v>45511</v>
      </c>
      <c r="C777" s="1" t="s">
        <v>322</v>
      </c>
      <c r="D777" s="1" t="s">
        <v>323</v>
      </c>
      <c r="E777" s="1" t="s">
        <v>14</v>
      </c>
      <c r="F777" s="1" t="s">
        <v>76</v>
      </c>
      <c r="G777" s="1" t="s">
        <v>77</v>
      </c>
      <c r="H777" s="1" t="s">
        <v>48</v>
      </c>
      <c r="I777">
        <v>89636</v>
      </c>
      <c r="J777" s="3">
        <v>36.229999999999997</v>
      </c>
      <c r="K777" s="3">
        <v>3247512.28</v>
      </c>
    </row>
    <row r="778" spans="1:11" x14ac:dyDescent="0.2">
      <c r="A778" s="1" t="s">
        <v>1678</v>
      </c>
      <c r="B778" s="2">
        <v>45305</v>
      </c>
      <c r="C778" s="1" t="s">
        <v>1679</v>
      </c>
      <c r="D778" s="1" t="s">
        <v>1680</v>
      </c>
      <c r="E778" s="1" t="s">
        <v>37</v>
      </c>
      <c r="F778" s="1" t="s">
        <v>65</v>
      </c>
      <c r="G778" s="1" t="s">
        <v>66</v>
      </c>
      <c r="H778" s="1" t="s">
        <v>48</v>
      </c>
      <c r="I778">
        <v>16343</v>
      </c>
      <c r="J778" s="3">
        <v>31.15</v>
      </c>
      <c r="K778" s="3">
        <v>509084.45</v>
      </c>
    </row>
    <row r="779" spans="1:11" x14ac:dyDescent="0.2">
      <c r="A779" s="1" t="s">
        <v>1681</v>
      </c>
      <c r="B779" s="2">
        <v>45720</v>
      </c>
      <c r="C779" s="1" t="s">
        <v>636</v>
      </c>
      <c r="D779" s="1" t="s">
        <v>637</v>
      </c>
      <c r="E779" s="1" t="s">
        <v>21</v>
      </c>
      <c r="F779" s="1" t="s">
        <v>761</v>
      </c>
      <c r="G779" s="1" t="s">
        <v>762</v>
      </c>
      <c r="H779" s="1" t="s">
        <v>48</v>
      </c>
      <c r="I779">
        <v>26292</v>
      </c>
      <c r="J779" s="3">
        <v>36.659999999999997</v>
      </c>
      <c r="K779" s="3">
        <v>963864.72</v>
      </c>
    </row>
    <row r="780" spans="1:11" x14ac:dyDescent="0.2">
      <c r="A780" s="1" t="s">
        <v>1682</v>
      </c>
      <c r="B780" s="2">
        <v>45875</v>
      </c>
      <c r="C780" s="1" t="s">
        <v>1683</v>
      </c>
      <c r="D780" s="1" t="s">
        <v>1684</v>
      </c>
      <c r="E780" s="1" t="s">
        <v>14</v>
      </c>
      <c r="F780" s="1" t="s">
        <v>228</v>
      </c>
      <c r="G780" s="1" t="s">
        <v>229</v>
      </c>
      <c r="H780" s="1" t="s">
        <v>48</v>
      </c>
      <c r="I780">
        <v>59340</v>
      </c>
      <c r="J780" s="3">
        <v>44.93</v>
      </c>
      <c r="K780" s="3">
        <v>2666146.2000000002</v>
      </c>
    </row>
    <row r="781" spans="1:11" x14ac:dyDescent="0.2">
      <c r="A781" s="1" t="s">
        <v>1685</v>
      </c>
      <c r="B781" s="2">
        <v>45887</v>
      </c>
      <c r="C781" s="1" t="s">
        <v>1489</v>
      </c>
      <c r="D781" s="1" t="s">
        <v>1490</v>
      </c>
      <c r="E781" s="1" t="s">
        <v>37</v>
      </c>
      <c r="F781" s="1" t="s">
        <v>412</v>
      </c>
      <c r="G781" s="1" t="s">
        <v>413</v>
      </c>
      <c r="H781" s="1" t="s">
        <v>72</v>
      </c>
      <c r="I781">
        <v>8527</v>
      </c>
      <c r="J781" s="3">
        <v>26.18</v>
      </c>
      <c r="K781" s="3">
        <v>223236.86</v>
      </c>
    </row>
    <row r="782" spans="1:11" x14ac:dyDescent="0.2">
      <c r="A782" s="1" t="s">
        <v>1686</v>
      </c>
      <c r="B782" s="2">
        <v>45566</v>
      </c>
      <c r="C782" s="1" t="s">
        <v>150</v>
      </c>
      <c r="D782" s="1" t="s">
        <v>151</v>
      </c>
      <c r="E782" s="1" t="s">
        <v>14</v>
      </c>
      <c r="F782" s="1" t="s">
        <v>251</v>
      </c>
      <c r="G782" s="1" t="s">
        <v>252</v>
      </c>
      <c r="H782" s="1" t="s">
        <v>72</v>
      </c>
      <c r="I782">
        <v>6893</v>
      </c>
      <c r="J782" s="3">
        <v>38.92</v>
      </c>
      <c r="K782" s="3">
        <v>268275.56</v>
      </c>
    </row>
    <row r="783" spans="1:11" x14ac:dyDescent="0.2">
      <c r="A783" s="1" t="s">
        <v>1687</v>
      </c>
      <c r="B783" s="2">
        <v>45837</v>
      </c>
      <c r="C783" s="1" t="s">
        <v>303</v>
      </c>
      <c r="D783" s="1" t="s">
        <v>304</v>
      </c>
      <c r="E783" s="1" t="s">
        <v>28</v>
      </c>
      <c r="F783" s="1" t="s">
        <v>98</v>
      </c>
      <c r="G783" s="1" t="s">
        <v>99</v>
      </c>
      <c r="H783" s="1" t="s">
        <v>72</v>
      </c>
      <c r="I783">
        <v>91611</v>
      </c>
      <c r="J783" s="3">
        <v>49.92</v>
      </c>
      <c r="K783" s="3">
        <v>4573221.12</v>
      </c>
    </row>
    <row r="784" spans="1:11" x14ac:dyDescent="0.2">
      <c r="A784" s="1" t="s">
        <v>1688</v>
      </c>
      <c r="B784" s="2">
        <v>45430</v>
      </c>
      <c r="C784" s="1" t="s">
        <v>1233</v>
      </c>
      <c r="D784" s="1" t="s">
        <v>1234</v>
      </c>
      <c r="E784" s="1" t="s">
        <v>14</v>
      </c>
      <c r="F784" s="1" t="s">
        <v>29</v>
      </c>
      <c r="G784" s="1" t="s">
        <v>30</v>
      </c>
      <c r="H784" s="1" t="s">
        <v>24</v>
      </c>
      <c r="I784">
        <v>71435</v>
      </c>
      <c r="J784" s="3">
        <v>11.53</v>
      </c>
      <c r="K784" s="3">
        <v>823645.55</v>
      </c>
    </row>
    <row r="785" spans="1:11" x14ac:dyDescent="0.2">
      <c r="A785" s="1" t="s">
        <v>1689</v>
      </c>
      <c r="B785" s="2">
        <v>45450</v>
      </c>
      <c r="C785" s="1" t="s">
        <v>427</v>
      </c>
      <c r="D785" s="1" t="s">
        <v>428</v>
      </c>
      <c r="E785" s="1" t="s">
        <v>21</v>
      </c>
      <c r="F785" s="1" t="s">
        <v>189</v>
      </c>
      <c r="G785" s="1" t="s">
        <v>190</v>
      </c>
      <c r="H785" s="1" t="s">
        <v>17</v>
      </c>
      <c r="I785">
        <v>82335</v>
      </c>
      <c r="J785" s="3">
        <v>30.02</v>
      </c>
      <c r="K785" s="3">
        <v>2471696.7000000002</v>
      </c>
    </row>
    <row r="786" spans="1:11" x14ac:dyDescent="0.2">
      <c r="A786" s="1" t="s">
        <v>1690</v>
      </c>
      <c r="B786" s="2">
        <v>45688</v>
      </c>
      <c r="C786" s="1" t="s">
        <v>12</v>
      </c>
      <c r="D786" s="1" t="s">
        <v>13</v>
      </c>
      <c r="E786" s="1" t="s">
        <v>14</v>
      </c>
      <c r="F786" s="1" t="s">
        <v>406</v>
      </c>
      <c r="G786" s="1" t="s">
        <v>407</v>
      </c>
      <c r="H786" s="1" t="s">
        <v>17</v>
      </c>
      <c r="I786">
        <v>28298</v>
      </c>
      <c r="J786" s="3">
        <v>22.35</v>
      </c>
      <c r="K786" s="3">
        <v>632460.30000000005</v>
      </c>
    </row>
    <row r="787" spans="1:11" x14ac:dyDescent="0.2">
      <c r="A787" s="1" t="s">
        <v>1691</v>
      </c>
      <c r="B787" s="2">
        <v>45610</v>
      </c>
      <c r="C787" s="1" t="s">
        <v>514</v>
      </c>
      <c r="D787" s="1" t="s">
        <v>515</v>
      </c>
      <c r="E787" s="1" t="s">
        <v>28</v>
      </c>
      <c r="F787" s="1" t="s">
        <v>463</v>
      </c>
      <c r="G787" s="1" t="s">
        <v>464</v>
      </c>
      <c r="H787" s="1" t="s">
        <v>37</v>
      </c>
      <c r="I787">
        <v>43453</v>
      </c>
      <c r="J787" s="3">
        <v>46.32</v>
      </c>
      <c r="K787" s="3">
        <v>2012742.96</v>
      </c>
    </row>
    <row r="788" spans="1:11" x14ac:dyDescent="0.2">
      <c r="A788" s="1" t="s">
        <v>1692</v>
      </c>
      <c r="B788" s="2">
        <v>45298</v>
      </c>
      <c r="C788" s="1" t="s">
        <v>942</v>
      </c>
      <c r="D788" s="1" t="s">
        <v>943</v>
      </c>
      <c r="E788" s="1" t="s">
        <v>28</v>
      </c>
      <c r="F788" s="1" t="s">
        <v>217</v>
      </c>
      <c r="G788" s="1" t="s">
        <v>218</v>
      </c>
      <c r="H788" s="1" t="s">
        <v>72</v>
      </c>
      <c r="I788">
        <v>27064</v>
      </c>
      <c r="J788" s="3">
        <v>43.89</v>
      </c>
      <c r="K788" s="3">
        <v>1187838.96</v>
      </c>
    </row>
    <row r="789" spans="1:11" x14ac:dyDescent="0.2">
      <c r="A789" s="1" t="s">
        <v>1693</v>
      </c>
      <c r="B789" s="2">
        <v>45427</v>
      </c>
      <c r="C789" s="1" t="s">
        <v>1516</v>
      </c>
      <c r="D789" s="1" t="s">
        <v>1517</v>
      </c>
      <c r="E789" s="1" t="s">
        <v>21</v>
      </c>
      <c r="F789" s="1" t="s">
        <v>108</v>
      </c>
      <c r="G789" s="1" t="s">
        <v>109</v>
      </c>
      <c r="H789" s="1" t="s">
        <v>37</v>
      </c>
      <c r="I789">
        <v>10436</v>
      </c>
      <c r="J789" s="3">
        <v>30.13</v>
      </c>
      <c r="K789" s="3">
        <v>314436.68</v>
      </c>
    </row>
    <row r="790" spans="1:11" x14ac:dyDescent="0.2">
      <c r="A790" s="1" t="s">
        <v>1694</v>
      </c>
      <c r="B790" s="2">
        <v>45928</v>
      </c>
      <c r="C790" s="1" t="s">
        <v>1695</v>
      </c>
      <c r="D790" s="1" t="s">
        <v>1696</v>
      </c>
      <c r="E790" s="1" t="s">
        <v>34</v>
      </c>
      <c r="F790" s="1" t="s">
        <v>330</v>
      </c>
      <c r="G790" s="1" t="s">
        <v>331</v>
      </c>
      <c r="H790" s="1" t="s">
        <v>72</v>
      </c>
      <c r="I790">
        <v>52323</v>
      </c>
      <c r="J790" s="3">
        <v>2.7</v>
      </c>
      <c r="K790" s="3">
        <v>141272.1</v>
      </c>
    </row>
    <row r="791" spans="1:11" x14ac:dyDescent="0.2">
      <c r="A791" s="1" t="s">
        <v>1697</v>
      </c>
      <c r="B791" s="2">
        <v>45317</v>
      </c>
      <c r="C791" s="1" t="s">
        <v>1698</v>
      </c>
      <c r="D791" s="1" t="s">
        <v>1699</v>
      </c>
      <c r="E791" s="1" t="s">
        <v>14</v>
      </c>
      <c r="F791" s="1" t="s">
        <v>81</v>
      </c>
      <c r="G791" s="1" t="s">
        <v>82</v>
      </c>
      <c r="H791" s="1" t="s">
        <v>72</v>
      </c>
      <c r="I791">
        <v>36192</v>
      </c>
      <c r="J791" s="3">
        <v>40.619999999999997</v>
      </c>
      <c r="K791" s="3">
        <v>1470119.04</v>
      </c>
    </row>
    <row r="792" spans="1:11" x14ac:dyDescent="0.2">
      <c r="A792" s="1" t="s">
        <v>1700</v>
      </c>
      <c r="B792" s="2">
        <v>45892</v>
      </c>
      <c r="C792" s="1" t="s">
        <v>1701</v>
      </c>
      <c r="D792" s="1" t="s">
        <v>1702</v>
      </c>
      <c r="E792" s="1" t="s">
        <v>34</v>
      </c>
      <c r="F792" s="1" t="s">
        <v>70</v>
      </c>
      <c r="G792" s="1" t="s">
        <v>71</v>
      </c>
      <c r="H792" s="1" t="s">
        <v>72</v>
      </c>
      <c r="I792">
        <v>47680</v>
      </c>
      <c r="J792" s="3">
        <v>45.6</v>
      </c>
      <c r="K792" s="3">
        <v>2174208</v>
      </c>
    </row>
    <row r="793" spans="1:11" x14ac:dyDescent="0.2">
      <c r="A793" s="1" t="s">
        <v>1703</v>
      </c>
      <c r="B793" s="2">
        <v>45345</v>
      </c>
      <c r="C793" s="1" t="s">
        <v>442</v>
      </c>
      <c r="D793" s="1" t="s">
        <v>443</v>
      </c>
      <c r="E793" s="1" t="s">
        <v>34</v>
      </c>
      <c r="F793" s="1" t="s">
        <v>761</v>
      </c>
      <c r="G793" s="1" t="s">
        <v>762</v>
      </c>
      <c r="H793" s="1" t="s">
        <v>48</v>
      </c>
      <c r="I793">
        <v>25915</v>
      </c>
      <c r="J793" s="3">
        <v>20.72</v>
      </c>
      <c r="K793" s="3">
        <v>536958.80000000005</v>
      </c>
    </row>
    <row r="794" spans="1:11" x14ac:dyDescent="0.2">
      <c r="A794" s="1" t="s">
        <v>1704</v>
      </c>
      <c r="B794" s="2">
        <v>45518</v>
      </c>
      <c r="C794" s="1" t="s">
        <v>1643</v>
      </c>
      <c r="D794" s="1" t="s">
        <v>1644</v>
      </c>
      <c r="E794" s="1" t="s">
        <v>28</v>
      </c>
      <c r="F794" s="1" t="s">
        <v>552</v>
      </c>
      <c r="G794" s="1" t="s">
        <v>553</v>
      </c>
      <c r="H794" s="1" t="s">
        <v>37</v>
      </c>
      <c r="I794">
        <v>53004</v>
      </c>
      <c r="J794" s="3">
        <v>6.78</v>
      </c>
      <c r="K794" s="3">
        <v>359367.12</v>
      </c>
    </row>
    <row r="795" spans="1:11" x14ac:dyDescent="0.2">
      <c r="A795" s="1" t="s">
        <v>1705</v>
      </c>
      <c r="B795" s="2">
        <v>45417</v>
      </c>
      <c r="C795" s="1" t="s">
        <v>602</v>
      </c>
      <c r="D795" s="1" t="s">
        <v>603</v>
      </c>
      <c r="E795" s="1" t="s">
        <v>28</v>
      </c>
      <c r="F795" s="1" t="s">
        <v>330</v>
      </c>
      <c r="G795" s="1" t="s">
        <v>331</v>
      </c>
      <c r="H795" s="1" t="s">
        <v>72</v>
      </c>
      <c r="I795">
        <v>27869</v>
      </c>
      <c r="J795" s="3">
        <v>17.47</v>
      </c>
      <c r="K795" s="3">
        <v>486871.43</v>
      </c>
    </row>
    <row r="796" spans="1:11" x14ac:dyDescent="0.2">
      <c r="A796" s="1" t="s">
        <v>1706</v>
      </c>
      <c r="B796" s="2">
        <v>45537</v>
      </c>
      <c r="C796" s="1" t="s">
        <v>1429</v>
      </c>
      <c r="D796" s="1" t="s">
        <v>1430</v>
      </c>
      <c r="E796" s="1" t="s">
        <v>37</v>
      </c>
      <c r="F796" s="1" t="s">
        <v>540</v>
      </c>
      <c r="G796" s="1" t="s">
        <v>541</v>
      </c>
      <c r="H796" s="1" t="s">
        <v>37</v>
      </c>
      <c r="I796">
        <v>17516</v>
      </c>
      <c r="J796" s="3">
        <v>4.17</v>
      </c>
      <c r="K796" s="3">
        <v>73041.72</v>
      </c>
    </row>
    <row r="797" spans="1:11" x14ac:dyDescent="0.2">
      <c r="A797" s="1" t="s">
        <v>1707</v>
      </c>
      <c r="B797" s="2">
        <v>45898</v>
      </c>
      <c r="C797" s="1" t="s">
        <v>1708</v>
      </c>
      <c r="D797" s="1" t="s">
        <v>1709</v>
      </c>
      <c r="E797" s="1" t="s">
        <v>14</v>
      </c>
      <c r="F797" s="1" t="s">
        <v>237</v>
      </c>
      <c r="G797" s="1" t="s">
        <v>238</v>
      </c>
      <c r="H797" s="1" t="s">
        <v>17</v>
      </c>
      <c r="I797">
        <v>1173</v>
      </c>
      <c r="J797" s="3">
        <v>49.27</v>
      </c>
      <c r="K797" s="3">
        <v>57793.71</v>
      </c>
    </row>
    <row r="798" spans="1:11" x14ac:dyDescent="0.2">
      <c r="A798" s="1" t="s">
        <v>1710</v>
      </c>
      <c r="B798" s="2">
        <v>45393</v>
      </c>
      <c r="C798" s="1" t="s">
        <v>523</v>
      </c>
      <c r="D798" s="1" t="s">
        <v>524</v>
      </c>
      <c r="E798" s="1" t="s">
        <v>14</v>
      </c>
      <c r="F798" s="1" t="s">
        <v>406</v>
      </c>
      <c r="G798" s="1" t="s">
        <v>407</v>
      </c>
      <c r="H798" s="1" t="s">
        <v>17</v>
      </c>
      <c r="I798">
        <v>62969</v>
      </c>
      <c r="J798" s="3">
        <v>42.89</v>
      </c>
      <c r="K798" s="3">
        <v>2700740.41</v>
      </c>
    </row>
    <row r="799" spans="1:11" x14ac:dyDescent="0.2">
      <c r="A799" s="1" t="s">
        <v>1711</v>
      </c>
      <c r="B799" s="2">
        <v>45328</v>
      </c>
      <c r="C799" s="1" t="s">
        <v>466</v>
      </c>
      <c r="D799" s="1" t="s">
        <v>467</v>
      </c>
      <c r="E799" s="1" t="s">
        <v>28</v>
      </c>
      <c r="F799" s="1" t="s">
        <v>76</v>
      </c>
      <c r="G799" s="1" t="s">
        <v>77</v>
      </c>
      <c r="H799" s="1" t="s">
        <v>48</v>
      </c>
      <c r="I799">
        <v>56577</v>
      </c>
      <c r="J799" s="3">
        <v>33.57</v>
      </c>
      <c r="K799" s="3">
        <v>1899289.89</v>
      </c>
    </row>
    <row r="800" spans="1:11" x14ac:dyDescent="0.2">
      <c r="A800" s="1" t="s">
        <v>1712</v>
      </c>
      <c r="B800" s="2">
        <v>45587</v>
      </c>
      <c r="C800" s="1" t="s">
        <v>826</v>
      </c>
      <c r="D800" s="1" t="s">
        <v>827</v>
      </c>
      <c r="E800" s="1" t="s">
        <v>37</v>
      </c>
      <c r="F800" s="1" t="s">
        <v>208</v>
      </c>
      <c r="G800" s="1" t="s">
        <v>209</v>
      </c>
      <c r="H800" s="1" t="s">
        <v>17</v>
      </c>
      <c r="I800">
        <v>36702</v>
      </c>
      <c r="J800" s="3">
        <v>38.67</v>
      </c>
      <c r="K800" s="3">
        <v>1419266.34</v>
      </c>
    </row>
    <row r="801" spans="1:11" x14ac:dyDescent="0.2">
      <c r="A801" s="1" t="s">
        <v>1713</v>
      </c>
      <c r="B801" s="2">
        <v>45375</v>
      </c>
      <c r="C801" s="1" t="s">
        <v>1082</v>
      </c>
      <c r="D801" s="1" t="s">
        <v>1083</v>
      </c>
      <c r="E801" s="1" t="s">
        <v>28</v>
      </c>
      <c r="F801" s="1" t="s">
        <v>324</v>
      </c>
      <c r="G801" s="1" t="s">
        <v>325</v>
      </c>
      <c r="H801" s="1" t="s">
        <v>24</v>
      </c>
      <c r="I801">
        <v>16191</v>
      </c>
      <c r="J801" s="3">
        <v>11.65</v>
      </c>
      <c r="K801" s="3">
        <v>188625.15</v>
      </c>
    </row>
    <row r="802" spans="1:11" x14ac:dyDescent="0.2">
      <c r="A802" s="1" t="s">
        <v>1714</v>
      </c>
      <c r="B802" s="2">
        <v>45625</v>
      </c>
      <c r="C802" s="1" t="s">
        <v>271</v>
      </c>
      <c r="D802" s="1" t="s">
        <v>272</v>
      </c>
      <c r="E802" s="1" t="s">
        <v>37</v>
      </c>
      <c r="F802" s="1" t="s">
        <v>157</v>
      </c>
      <c r="G802" s="1" t="s">
        <v>158</v>
      </c>
      <c r="H802" s="1" t="s">
        <v>48</v>
      </c>
      <c r="I802">
        <v>85867</v>
      </c>
      <c r="J802" s="3">
        <v>8.5500000000000007</v>
      </c>
      <c r="K802" s="3">
        <v>734162.85</v>
      </c>
    </row>
    <row r="803" spans="1:11" x14ac:dyDescent="0.2">
      <c r="A803" s="1" t="s">
        <v>1715</v>
      </c>
      <c r="B803" s="2">
        <v>45794</v>
      </c>
      <c r="C803" s="1" t="s">
        <v>451</v>
      </c>
      <c r="D803" s="1" t="s">
        <v>452</v>
      </c>
      <c r="E803" s="1" t="s">
        <v>28</v>
      </c>
      <c r="F803" s="1" t="s">
        <v>98</v>
      </c>
      <c r="G803" s="1" t="s">
        <v>99</v>
      </c>
      <c r="H803" s="1" t="s">
        <v>72</v>
      </c>
      <c r="I803">
        <v>96523</v>
      </c>
      <c r="J803" s="3">
        <v>17.97</v>
      </c>
      <c r="K803" s="3">
        <v>1734518.31</v>
      </c>
    </row>
    <row r="804" spans="1:11" x14ac:dyDescent="0.2">
      <c r="A804" s="1" t="s">
        <v>1716</v>
      </c>
      <c r="B804" s="2">
        <v>45643</v>
      </c>
      <c r="C804" s="1" t="s">
        <v>798</v>
      </c>
      <c r="D804" s="1" t="s">
        <v>799</v>
      </c>
      <c r="E804" s="1" t="s">
        <v>34</v>
      </c>
      <c r="F804" s="1" t="s">
        <v>81</v>
      </c>
      <c r="G804" s="1" t="s">
        <v>82</v>
      </c>
      <c r="H804" s="1" t="s">
        <v>72</v>
      </c>
      <c r="I804">
        <v>57685</v>
      </c>
      <c r="J804" s="3">
        <v>18.61</v>
      </c>
      <c r="K804" s="3">
        <v>1073517.8500000001</v>
      </c>
    </row>
    <row r="805" spans="1:11" x14ac:dyDescent="0.2">
      <c r="A805" s="1" t="s">
        <v>1717</v>
      </c>
      <c r="B805" s="2">
        <v>45686</v>
      </c>
      <c r="C805" s="1" t="s">
        <v>1718</v>
      </c>
      <c r="D805" s="1" t="s">
        <v>1719</v>
      </c>
      <c r="E805" s="1" t="s">
        <v>21</v>
      </c>
      <c r="F805" s="1" t="s">
        <v>510</v>
      </c>
      <c r="G805" s="1" t="s">
        <v>511</v>
      </c>
      <c r="H805" s="1" t="s">
        <v>17</v>
      </c>
      <c r="I805">
        <v>74418</v>
      </c>
      <c r="J805" s="3">
        <v>9.84</v>
      </c>
      <c r="K805" s="3">
        <v>732273.12</v>
      </c>
    </row>
    <row r="806" spans="1:11" x14ac:dyDescent="0.2">
      <c r="A806" s="1" t="s">
        <v>1720</v>
      </c>
      <c r="B806" s="2">
        <v>45462</v>
      </c>
      <c r="C806" s="1" t="s">
        <v>538</v>
      </c>
      <c r="D806" s="1" t="s">
        <v>539</v>
      </c>
      <c r="E806" s="1" t="s">
        <v>21</v>
      </c>
      <c r="F806" s="1" t="s">
        <v>458</v>
      </c>
      <c r="G806" s="1" t="s">
        <v>459</v>
      </c>
      <c r="H806" s="1" t="s">
        <v>72</v>
      </c>
      <c r="I806">
        <v>1493</v>
      </c>
      <c r="J806" s="3">
        <v>42.19</v>
      </c>
      <c r="K806" s="3">
        <v>62989.67</v>
      </c>
    </row>
    <row r="807" spans="1:11" x14ac:dyDescent="0.2">
      <c r="A807" s="1" t="s">
        <v>1721</v>
      </c>
      <c r="B807" s="2">
        <v>45963</v>
      </c>
      <c r="C807" s="1" t="s">
        <v>1722</v>
      </c>
      <c r="D807" s="1" t="s">
        <v>1723</v>
      </c>
      <c r="E807" s="1" t="s">
        <v>34</v>
      </c>
      <c r="F807" s="1" t="s">
        <v>263</v>
      </c>
      <c r="G807" s="1" t="s">
        <v>264</v>
      </c>
      <c r="H807" s="1" t="s">
        <v>17</v>
      </c>
      <c r="I807">
        <v>49289</v>
      </c>
      <c r="J807" s="3">
        <v>3.22</v>
      </c>
      <c r="K807" s="3">
        <v>158710.57999999999</v>
      </c>
    </row>
    <row r="808" spans="1:11" x14ac:dyDescent="0.2">
      <c r="A808" s="1" t="s">
        <v>1724</v>
      </c>
      <c r="B808" s="2">
        <v>45953</v>
      </c>
      <c r="C808" s="1" t="s">
        <v>883</v>
      </c>
      <c r="D808" s="1" t="s">
        <v>884</v>
      </c>
      <c r="E808" s="1" t="s">
        <v>37</v>
      </c>
      <c r="F808" s="1" t="s">
        <v>52</v>
      </c>
      <c r="G808" s="1" t="s">
        <v>53</v>
      </c>
      <c r="H808" s="1" t="s">
        <v>17</v>
      </c>
      <c r="I808">
        <v>11765</v>
      </c>
      <c r="J808" s="3">
        <v>30.45</v>
      </c>
      <c r="K808" s="3">
        <v>358244.25</v>
      </c>
    </row>
    <row r="809" spans="1:11" x14ac:dyDescent="0.2">
      <c r="A809" s="1" t="s">
        <v>1725</v>
      </c>
      <c r="B809" s="2">
        <v>45675</v>
      </c>
      <c r="C809" s="1" t="s">
        <v>590</v>
      </c>
      <c r="D809" s="1" t="s">
        <v>591</v>
      </c>
      <c r="E809" s="1" t="s">
        <v>37</v>
      </c>
      <c r="F809" s="1" t="s">
        <v>228</v>
      </c>
      <c r="G809" s="1" t="s">
        <v>229</v>
      </c>
      <c r="H809" s="1" t="s">
        <v>48</v>
      </c>
      <c r="I809">
        <v>47193</v>
      </c>
      <c r="J809" s="3">
        <v>2.4700000000000002</v>
      </c>
      <c r="K809" s="3">
        <v>116566.71</v>
      </c>
    </row>
    <row r="810" spans="1:11" x14ac:dyDescent="0.2">
      <c r="A810" s="1" t="s">
        <v>1726</v>
      </c>
      <c r="B810" s="2">
        <v>45566</v>
      </c>
      <c r="C810" s="1" t="s">
        <v>310</v>
      </c>
      <c r="D810" s="1" t="s">
        <v>311</v>
      </c>
      <c r="E810" s="1" t="s">
        <v>37</v>
      </c>
      <c r="F810" s="1" t="s">
        <v>203</v>
      </c>
      <c r="G810" s="1" t="s">
        <v>204</v>
      </c>
      <c r="H810" s="1" t="s">
        <v>72</v>
      </c>
      <c r="I810">
        <v>32535</v>
      </c>
      <c r="J810" s="3">
        <v>24.5</v>
      </c>
      <c r="K810" s="3">
        <v>797107.5</v>
      </c>
    </row>
    <row r="811" spans="1:11" x14ac:dyDescent="0.2">
      <c r="A811" s="1" t="s">
        <v>1727</v>
      </c>
      <c r="B811" s="2">
        <v>45496</v>
      </c>
      <c r="C811" s="1" t="s">
        <v>1728</v>
      </c>
      <c r="D811" s="1" t="s">
        <v>1729</v>
      </c>
      <c r="E811" s="1" t="s">
        <v>21</v>
      </c>
      <c r="F811" s="1" t="s">
        <v>474</v>
      </c>
      <c r="G811" s="1" t="s">
        <v>475</v>
      </c>
      <c r="H811" s="1" t="s">
        <v>48</v>
      </c>
      <c r="I811">
        <v>36525</v>
      </c>
      <c r="J811" s="3">
        <v>42.73</v>
      </c>
      <c r="K811" s="3">
        <v>1560713.25</v>
      </c>
    </row>
    <row r="812" spans="1:11" x14ac:dyDescent="0.2">
      <c r="A812" s="1" t="s">
        <v>1730</v>
      </c>
      <c r="B812" s="2">
        <v>45401</v>
      </c>
      <c r="C812" s="1" t="s">
        <v>179</v>
      </c>
      <c r="D812" s="1" t="s">
        <v>180</v>
      </c>
      <c r="E812" s="1" t="s">
        <v>37</v>
      </c>
      <c r="F812" s="1" t="s">
        <v>157</v>
      </c>
      <c r="G812" s="1" t="s">
        <v>158</v>
      </c>
      <c r="H812" s="1" t="s">
        <v>48</v>
      </c>
      <c r="I812">
        <v>30767</v>
      </c>
      <c r="J812" s="3">
        <v>11.4</v>
      </c>
      <c r="K812" s="3">
        <v>350743.8</v>
      </c>
    </row>
    <row r="813" spans="1:11" x14ac:dyDescent="0.2">
      <c r="A813" s="1" t="s">
        <v>1731</v>
      </c>
      <c r="B813" s="2">
        <v>45865</v>
      </c>
      <c r="C813" s="1" t="s">
        <v>890</v>
      </c>
      <c r="D813" s="1" t="s">
        <v>891</v>
      </c>
      <c r="E813" s="1" t="s">
        <v>37</v>
      </c>
      <c r="F813" s="1" t="s">
        <v>113</v>
      </c>
      <c r="G813" s="1" t="s">
        <v>114</v>
      </c>
      <c r="H813" s="1" t="s">
        <v>37</v>
      </c>
      <c r="I813">
        <v>75754</v>
      </c>
      <c r="J813" s="3">
        <v>25.15</v>
      </c>
      <c r="K813" s="3">
        <v>1905213.1</v>
      </c>
    </row>
    <row r="814" spans="1:11" x14ac:dyDescent="0.2">
      <c r="A814" s="1" t="s">
        <v>1732</v>
      </c>
      <c r="B814" s="2">
        <v>45917</v>
      </c>
      <c r="C814" s="1" t="s">
        <v>445</v>
      </c>
      <c r="D814" s="1" t="s">
        <v>446</v>
      </c>
      <c r="E814" s="1" t="s">
        <v>34</v>
      </c>
      <c r="F814" s="1" t="s">
        <v>22</v>
      </c>
      <c r="G814" s="1" t="s">
        <v>23</v>
      </c>
      <c r="H814" s="1" t="s">
        <v>24</v>
      </c>
      <c r="I814">
        <v>69887</v>
      </c>
      <c r="J814" s="3">
        <v>43.47</v>
      </c>
      <c r="K814" s="3">
        <v>3037987.89</v>
      </c>
    </row>
    <row r="815" spans="1:11" x14ac:dyDescent="0.2">
      <c r="A815" s="1" t="s">
        <v>1733</v>
      </c>
      <c r="B815" s="2">
        <v>45367</v>
      </c>
      <c r="C815" s="1" t="s">
        <v>427</v>
      </c>
      <c r="D815" s="1" t="s">
        <v>428</v>
      </c>
      <c r="E815" s="1" t="s">
        <v>21</v>
      </c>
      <c r="F815" s="1" t="s">
        <v>412</v>
      </c>
      <c r="G815" s="1" t="s">
        <v>413</v>
      </c>
      <c r="H815" s="1" t="s">
        <v>72</v>
      </c>
      <c r="I815">
        <v>82714</v>
      </c>
      <c r="J815" s="3">
        <v>28.93</v>
      </c>
      <c r="K815" s="3">
        <v>2392916.02</v>
      </c>
    </row>
    <row r="816" spans="1:11" x14ac:dyDescent="0.2">
      <c r="A816" s="1" t="s">
        <v>1734</v>
      </c>
      <c r="B816" s="2">
        <v>45443</v>
      </c>
      <c r="C816" s="1" t="s">
        <v>409</v>
      </c>
      <c r="D816" s="1" t="s">
        <v>410</v>
      </c>
      <c r="E816" s="1" t="s">
        <v>14</v>
      </c>
      <c r="F816" s="1" t="s">
        <v>268</v>
      </c>
      <c r="G816" s="1" t="s">
        <v>269</v>
      </c>
      <c r="H816" s="1" t="s">
        <v>72</v>
      </c>
      <c r="I816">
        <v>32306</v>
      </c>
      <c r="J816" s="3">
        <v>29.8</v>
      </c>
      <c r="K816" s="3">
        <v>962718.8</v>
      </c>
    </row>
    <row r="817" spans="1:11" x14ac:dyDescent="0.2">
      <c r="A817" s="1" t="s">
        <v>1735</v>
      </c>
      <c r="B817" s="2">
        <v>45593</v>
      </c>
      <c r="C817" s="1" t="s">
        <v>1227</v>
      </c>
      <c r="D817" s="1" t="s">
        <v>1228</v>
      </c>
      <c r="E817" s="1" t="s">
        <v>34</v>
      </c>
      <c r="F817" s="1" t="s">
        <v>263</v>
      </c>
      <c r="G817" s="1" t="s">
        <v>264</v>
      </c>
      <c r="H817" s="1" t="s">
        <v>17</v>
      </c>
      <c r="I817">
        <v>85122</v>
      </c>
      <c r="J817" s="3">
        <v>16.850000000000001</v>
      </c>
      <c r="K817" s="3">
        <v>1434305.7</v>
      </c>
    </row>
    <row r="818" spans="1:11" x14ac:dyDescent="0.2">
      <c r="A818" s="1" t="s">
        <v>1736</v>
      </c>
      <c r="B818" s="2">
        <v>45853</v>
      </c>
      <c r="C818" s="1" t="s">
        <v>1737</v>
      </c>
      <c r="D818" s="1" t="s">
        <v>1738</v>
      </c>
      <c r="E818" s="1" t="s">
        <v>21</v>
      </c>
      <c r="F818" s="1" t="s">
        <v>208</v>
      </c>
      <c r="G818" s="1" t="s">
        <v>209</v>
      </c>
      <c r="H818" s="1" t="s">
        <v>17</v>
      </c>
      <c r="I818">
        <v>92164</v>
      </c>
      <c r="J818" s="3">
        <v>24.19</v>
      </c>
      <c r="K818" s="3">
        <v>2229447.16</v>
      </c>
    </row>
    <row r="819" spans="1:11" x14ac:dyDescent="0.2">
      <c r="A819" s="1" t="s">
        <v>1739</v>
      </c>
      <c r="B819" s="2">
        <v>45466</v>
      </c>
      <c r="C819" s="1" t="s">
        <v>1740</v>
      </c>
      <c r="D819" s="1" t="s">
        <v>1741</v>
      </c>
      <c r="E819" s="1" t="s">
        <v>21</v>
      </c>
      <c r="F819" s="1" t="s">
        <v>41</v>
      </c>
      <c r="G819" s="1" t="s">
        <v>42</v>
      </c>
      <c r="H819" s="1" t="s">
        <v>24</v>
      </c>
      <c r="I819">
        <v>69052</v>
      </c>
      <c r="J819" s="3">
        <v>32.950000000000003</v>
      </c>
      <c r="K819" s="3">
        <v>2275263.4</v>
      </c>
    </row>
    <row r="820" spans="1:11" x14ac:dyDescent="0.2">
      <c r="A820" s="1" t="s">
        <v>1742</v>
      </c>
      <c r="B820" s="2">
        <v>45974</v>
      </c>
      <c r="C820" s="1" t="s">
        <v>1550</v>
      </c>
      <c r="D820" s="1" t="s">
        <v>1551</v>
      </c>
      <c r="E820" s="1" t="s">
        <v>37</v>
      </c>
      <c r="F820" s="1" t="s">
        <v>176</v>
      </c>
      <c r="G820" s="1" t="s">
        <v>177</v>
      </c>
      <c r="H820" s="1" t="s">
        <v>37</v>
      </c>
      <c r="I820">
        <v>63590</v>
      </c>
      <c r="J820" s="3">
        <v>11.82</v>
      </c>
      <c r="K820" s="3">
        <v>751633.8</v>
      </c>
    </row>
    <row r="821" spans="1:11" x14ac:dyDescent="0.2">
      <c r="A821" s="1" t="s">
        <v>1743</v>
      </c>
      <c r="B821" s="2">
        <v>45818</v>
      </c>
      <c r="C821" s="1" t="s">
        <v>657</v>
      </c>
      <c r="D821" s="1" t="s">
        <v>658</v>
      </c>
      <c r="E821" s="1" t="s">
        <v>37</v>
      </c>
      <c r="F821" s="1" t="s">
        <v>46</v>
      </c>
      <c r="G821" s="1" t="s">
        <v>47</v>
      </c>
      <c r="H821" s="1" t="s">
        <v>48</v>
      </c>
      <c r="I821">
        <v>26057</v>
      </c>
      <c r="J821" s="3">
        <v>41.9</v>
      </c>
      <c r="K821" s="3">
        <v>1091788.3</v>
      </c>
    </row>
    <row r="822" spans="1:11" x14ac:dyDescent="0.2">
      <c r="A822" s="1" t="s">
        <v>1744</v>
      </c>
      <c r="B822" s="2">
        <v>45880</v>
      </c>
      <c r="C822" s="1" t="s">
        <v>400</v>
      </c>
      <c r="D822" s="1" t="s">
        <v>401</v>
      </c>
      <c r="E822" s="1" t="s">
        <v>21</v>
      </c>
      <c r="F822" s="1" t="s">
        <v>46</v>
      </c>
      <c r="G822" s="1" t="s">
        <v>47</v>
      </c>
      <c r="H822" s="1" t="s">
        <v>48</v>
      </c>
      <c r="I822">
        <v>74774</v>
      </c>
      <c r="J822" s="3">
        <v>44.82</v>
      </c>
      <c r="K822" s="3">
        <v>3351370.68</v>
      </c>
    </row>
    <row r="823" spans="1:11" x14ac:dyDescent="0.2">
      <c r="A823" s="1" t="s">
        <v>1745</v>
      </c>
      <c r="B823" s="2">
        <v>45992</v>
      </c>
      <c r="C823" s="1" t="s">
        <v>1310</v>
      </c>
      <c r="D823" s="1" t="s">
        <v>1311</v>
      </c>
      <c r="E823" s="1" t="s">
        <v>37</v>
      </c>
      <c r="F823" s="1" t="s">
        <v>144</v>
      </c>
      <c r="G823" s="1" t="s">
        <v>145</v>
      </c>
      <c r="H823" s="1" t="s">
        <v>24</v>
      </c>
      <c r="I823">
        <v>30467</v>
      </c>
      <c r="J823" s="3">
        <v>26.69</v>
      </c>
      <c r="K823" s="3">
        <v>813164.23</v>
      </c>
    </row>
    <row r="824" spans="1:11" x14ac:dyDescent="0.2">
      <c r="A824" s="1" t="s">
        <v>1746</v>
      </c>
      <c r="B824" s="2">
        <v>45804</v>
      </c>
      <c r="C824" s="1" t="s">
        <v>1747</v>
      </c>
      <c r="D824" s="1" t="s">
        <v>1748</v>
      </c>
      <c r="E824" s="1" t="s">
        <v>37</v>
      </c>
      <c r="F824" s="1" t="s">
        <v>458</v>
      </c>
      <c r="G824" s="1" t="s">
        <v>459</v>
      </c>
      <c r="H824" s="1" t="s">
        <v>72</v>
      </c>
      <c r="I824">
        <v>60519</v>
      </c>
      <c r="J824" s="3">
        <v>19.29</v>
      </c>
      <c r="K824" s="3">
        <v>1167411.51</v>
      </c>
    </row>
    <row r="825" spans="1:11" x14ac:dyDescent="0.2">
      <c r="A825" s="1" t="s">
        <v>1749</v>
      </c>
      <c r="B825" s="2">
        <v>45946</v>
      </c>
      <c r="C825" s="1" t="s">
        <v>1750</v>
      </c>
      <c r="D825" s="1" t="s">
        <v>1751</v>
      </c>
      <c r="E825" s="1" t="s">
        <v>14</v>
      </c>
      <c r="F825" s="1" t="s">
        <v>70</v>
      </c>
      <c r="G825" s="1" t="s">
        <v>71</v>
      </c>
      <c r="H825" s="1" t="s">
        <v>72</v>
      </c>
      <c r="I825">
        <v>84701</v>
      </c>
      <c r="J825" s="3">
        <v>11.72</v>
      </c>
      <c r="K825" s="3">
        <v>992695.72</v>
      </c>
    </row>
    <row r="826" spans="1:11" x14ac:dyDescent="0.2">
      <c r="A826" s="1" t="s">
        <v>1752</v>
      </c>
      <c r="B826" s="2">
        <v>45963</v>
      </c>
      <c r="C826" s="1" t="s">
        <v>356</v>
      </c>
      <c r="D826" s="1" t="s">
        <v>357</v>
      </c>
      <c r="E826" s="1" t="s">
        <v>14</v>
      </c>
      <c r="F826" s="1" t="s">
        <v>113</v>
      </c>
      <c r="G826" s="1" t="s">
        <v>114</v>
      </c>
      <c r="H826" s="1" t="s">
        <v>37</v>
      </c>
      <c r="I826">
        <v>25279</v>
      </c>
      <c r="J826" s="3">
        <v>23.99</v>
      </c>
      <c r="K826" s="3">
        <v>606443.21</v>
      </c>
    </row>
    <row r="827" spans="1:11" x14ac:dyDescent="0.2">
      <c r="A827" s="1" t="s">
        <v>1753</v>
      </c>
      <c r="B827" s="2">
        <v>45471</v>
      </c>
      <c r="C827" s="1" t="s">
        <v>1061</v>
      </c>
      <c r="D827" s="1" t="s">
        <v>1062</v>
      </c>
      <c r="E827" s="1" t="s">
        <v>14</v>
      </c>
      <c r="F827" s="1" t="s">
        <v>540</v>
      </c>
      <c r="G827" s="1" t="s">
        <v>541</v>
      </c>
      <c r="H827" s="1" t="s">
        <v>37</v>
      </c>
      <c r="I827">
        <v>97161</v>
      </c>
      <c r="J827" s="3">
        <v>36.380000000000003</v>
      </c>
      <c r="K827" s="3">
        <v>3534717.18</v>
      </c>
    </row>
    <row r="828" spans="1:11" x14ac:dyDescent="0.2">
      <c r="A828" s="1" t="s">
        <v>1754</v>
      </c>
      <c r="B828" s="2">
        <v>45489</v>
      </c>
      <c r="C828" s="1" t="s">
        <v>122</v>
      </c>
      <c r="D828" s="1" t="s">
        <v>123</v>
      </c>
      <c r="E828" s="1" t="s">
        <v>28</v>
      </c>
      <c r="F828" s="1" t="s">
        <v>15</v>
      </c>
      <c r="G828" s="1" t="s">
        <v>16</v>
      </c>
      <c r="H828" s="1" t="s">
        <v>17</v>
      </c>
      <c r="I828">
        <v>89042</v>
      </c>
      <c r="J828" s="3">
        <v>15.3</v>
      </c>
      <c r="K828" s="3">
        <v>1362342.6</v>
      </c>
    </row>
    <row r="829" spans="1:11" x14ac:dyDescent="0.2">
      <c r="A829" s="1" t="s">
        <v>1755</v>
      </c>
      <c r="B829" s="2">
        <v>45586</v>
      </c>
      <c r="C829" s="1" t="s">
        <v>1652</v>
      </c>
      <c r="D829" s="1" t="s">
        <v>1653</v>
      </c>
      <c r="E829" s="1" t="s">
        <v>28</v>
      </c>
      <c r="F829" s="1" t="s">
        <v>29</v>
      </c>
      <c r="G829" s="1" t="s">
        <v>30</v>
      </c>
      <c r="H829" s="1" t="s">
        <v>24</v>
      </c>
      <c r="I829">
        <v>55230</v>
      </c>
      <c r="J829" s="3">
        <v>16.18</v>
      </c>
      <c r="K829" s="3">
        <v>893621.4</v>
      </c>
    </row>
    <row r="830" spans="1:11" x14ac:dyDescent="0.2">
      <c r="A830" s="1" t="s">
        <v>1756</v>
      </c>
      <c r="B830" s="2">
        <v>45775</v>
      </c>
      <c r="C830" s="1" t="s">
        <v>1757</v>
      </c>
      <c r="D830" s="1" t="s">
        <v>1758</v>
      </c>
      <c r="E830" s="1" t="s">
        <v>37</v>
      </c>
      <c r="F830" s="1" t="s">
        <v>70</v>
      </c>
      <c r="G830" s="1" t="s">
        <v>71</v>
      </c>
      <c r="H830" s="1" t="s">
        <v>72</v>
      </c>
      <c r="I830">
        <v>65581</v>
      </c>
      <c r="J830" s="3">
        <v>49.42</v>
      </c>
      <c r="K830" s="3">
        <v>3241013.02</v>
      </c>
    </row>
    <row r="831" spans="1:11" x14ac:dyDescent="0.2">
      <c r="A831" s="1" t="s">
        <v>1759</v>
      </c>
      <c r="B831" s="2">
        <v>45514</v>
      </c>
      <c r="C831" s="1" t="s">
        <v>563</v>
      </c>
      <c r="D831" s="1" t="s">
        <v>564</v>
      </c>
      <c r="E831" s="1" t="s">
        <v>37</v>
      </c>
      <c r="F831" s="1" t="s">
        <v>263</v>
      </c>
      <c r="G831" s="1" t="s">
        <v>264</v>
      </c>
      <c r="H831" s="1" t="s">
        <v>17</v>
      </c>
      <c r="I831">
        <v>23119</v>
      </c>
      <c r="J831" s="3">
        <v>44.37</v>
      </c>
      <c r="K831" s="3">
        <v>1025790.03</v>
      </c>
    </row>
    <row r="832" spans="1:11" x14ac:dyDescent="0.2">
      <c r="A832" s="1" t="s">
        <v>1760</v>
      </c>
      <c r="B832" s="2">
        <v>45657</v>
      </c>
      <c r="C832" s="1" t="s">
        <v>1761</v>
      </c>
      <c r="D832" s="1" t="s">
        <v>1762</v>
      </c>
      <c r="E832" s="1" t="s">
        <v>14</v>
      </c>
      <c r="F832" s="1" t="s">
        <v>157</v>
      </c>
      <c r="G832" s="1" t="s">
        <v>158</v>
      </c>
      <c r="H832" s="1" t="s">
        <v>48</v>
      </c>
      <c r="I832">
        <v>88316</v>
      </c>
      <c r="J832" s="3">
        <v>41.52</v>
      </c>
      <c r="K832" s="3">
        <v>3666880.32</v>
      </c>
    </row>
    <row r="833" spans="1:11" x14ac:dyDescent="0.2">
      <c r="A833" s="1" t="s">
        <v>1763</v>
      </c>
      <c r="B833" s="2">
        <v>45401</v>
      </c>
      <c r="C833" s="1" t="s">
        <v>798</v>
      </c>
      <c r="D833" s="1" t="s">
        <v>799</v>
      </c>
      <c r="E833" s="1" t="s">
        <v>34</v>
      </c>
      <c r="F833" s="1" t="s">
        <v>41</v>
      </c>
      <c r="G833" s="1" t="s">
        <v>42</v>
      </c>
      <c r="H833" s="1" t="s">
        <v>24</v>
      </c>
      <c r="I833">
        <v>98825</v>
      </c>
      <c r="J833" s="3">
        <v>40.26</v>
      </c>
      <c r="K833" s="3">
        <v>3978694.5</v>
      </c>
    </row>
    <row r="834" spans="1:11" x14ac:dyDescent="0.2">
      <c r="A834" s="1" t="s">
        <v>1764</v>
      </c>
      <c r="B834" s="2">
        <v>45607</v>
      </c>
      <c r="C834" s="1" t="s">
        <v>546</v>
      </c>
      <c r="D834" s="1" t="s">
        <v>547</v>
      </c>
      <c r="E834" s="1" t="s">
        <v>34</v>
      </c>
      <c r="F834" s="1" t="s">
        <v>81</v>
      </c>
      <c r="G834" s="1" t="s">
        <v>82</v>
      </c>
      <c r="H834" s="1" t="s">
        <v>72</v>
      </c>
      <c r="I834">
        <v>15206</v>
      </c>
      <c r="J834" s="3">
        <v>27.11</v>
      </c>
      <c r="K834" s="3">
        <v>412234.66</v>
      </c>
    </row>
    <row r="835" spans="1:11" x14ac:dyDescent="0.2">
      <c r="A835" s="1" t="s">
        <v>1765</v>
      </c>
      <c r="B835" s="2">
        <v>45587</v>
      </c>
      <c r="C835" s="1" t="s">
        <v>327</v>
      </c>
      <c r="D835" s="1" t="s">
        <v>328</v>
      </c>
      <c r="E835" s="1" t="s">
        <v>21</v>
      </c>
      <c r="F835" s="1" t="s">
        <v>65</v>
      </c>
      <c r="G835" s="1" t="s">
        <v>66</v>
      </c>
      <c r="H835" s="1" t="s">
        <v>48</v>
      </c>
      <c r="I835">
        <v>40147</v>
      </c>
      <c r="J835" s="3">
        <v>31.17</v>
      </c>
      <c r="K835" s="3">
        <v>1251381.99</v>
      </c>
    </row>
    <row r="836" spans="1:11" x14ac:dyDescent="0.2">
      <c r="A836" s="1" t="s">
        <v>1766</v>
      </c>
      <c r="B836" s="2">
        <v>46000</v>
      </c>
      <c r="C836" s="1" t="s">
        <v>223</v>
      </c>
      <c r="D836" s="1" t="s">
        <v>224</v>
      </c>
      <c r="E836" s="1" t="s">
        <v>28</v>
      </c>
      <c r="F836" s="1" t="s">
        <v>139</v>
      </c>
      <c r="G836" s="1" t="s">
        <v>140</v>
      </c>
      <c r="H836" s="1" t="s">
        <v>24</v>
      </c>
      <c r="I836">
        <v>85696</v>
      </c>
      <c r="J836" s="3">
        <v>11.23</v>
      </c>
      <c r="K836" s="3">
        <v>962366.08</v>
      </c>
    </row>
    <row r="837" spans="1:11" x14ac:dyDescent="0.2">
      <c r="A837" s="1" t="s">
        <v>1767</v>
      </c>
      <c r="B837" s="2">
        <v>45667</v>
      </c>
      <c r="C837" s="1" t="s">
        <v>1227</v>
      </c>
      <c r="D837" s="1" t="s">
        <v>1228</v>
      </c>
      <c r="E837" s="1" t="s">
        <v>34</v>
      </c>
      <c r="F837" s="1" t="s">
        <v>76</v>
      </c>
      <c r="G837" s="1" t="s">
        <v>77</v>
      </c>
      <c r="H837" s="1" t="s">
        <v>48</v>
      </c>
      <c r="I837">
        <v>39458</v>
      </c>
      <c r="J837" s="3">
        <v>5.24</v>
      </c>
      <c r="K837" s="3">
        <v>206759.92</v>
      </c>
    </row>
    <row r="838" spans="1:11" x14ac:dyDescent="0.2">
      <c r="A838" s="1" t="s">
        <v>1768</v>
      </c>
      <c r="B838" s="2">
        <v>45766</v>
      </c>
      <c r="C838" s="1" t="s">
        <v>63</v>
      </c>
      <c r="D838" s="1" t="s">
        <v>64</v>
      </c>
      <c r="E838" s="1" t="s">
        <v>37</v>
      </c>
      <c r="F838" s="1" t="s">
        <v>540</v>
      </c>
      <c r="G838" s="1" t="s">
        <v>541</v>
      </c>
      <c r="H838" s="1" t="s">
        <v>37</v>
      </c>
      <c r="I838">
        <v>93277</v>
      </c>
      <c r="J838" s="3">
        <v>12.43</v>
      </c>
      <c r="K838" s="3">
        <v>1159433.1100000001</v>
      </c>
    </row>
    <row r="839" spans="1:11" x14ac:dyDescent="0.2">
      <c r="A839" s="1" t="s">
        <v>1769</v>
      </c>
      <c r="B839" s="2">
        <v>45431</v>
      </c>
      <c r="C839" s="1" t="s">
        <v>160</v>
      </c>
      <c r="D839" s="1" t="s">
        <v>161</v>
      </c>
      <c r="E839" s="1" t="s">
        <v>21</v>
      </c>
      <c r="F839" s="1" t="s">
        <v>46</v>
      </c>
      <c r="G839" s="1" t="s">
        <v>47</v>
      </c>
      <c r="H839" s="1" t="s">
        <v>48</v>
      </c>
      <c r="I839">
        <v>7548</v>
      </c>
      <c r="J839" s="3">
        <v>37.33</v>
      </c>
      <c r="K839" s="3">
        <v>281766.84000000003</v>
      </c>
    </row>
    <row r="840" spans="1:11" x14ac:dyDescent="0.2">
      <c r="A840" s="1" t="s">
        <v>1770</v>
      </c>
      <c r="B840" s="2">
        <v>45354</v>
      </c>
      <c r="C840" s="1" t="s">
        <v>348</v>
      </c>
      <c r="D840" s="1" t="s">
        <v>349</v>
      </c>
      <c r="E840" s="1" t="s">
        <v>28</v>
      </c>
      <c r="F840" s="1" t="s">
        <v>76</v>
      </c>
      <c r="G840" s="1" t="s">
        <v>77</v>
      </c>
      <c r="H840" s="1" t="s">
        <v>48</v>
      </c>
      <c r="I840">
        <v>21578</v>
      </c>
      <c r="J840" s="3">
        <v>38.33</v>
      </c>
      <c r="K840" s="3">
        <v>827084.74</v>
      </c>
    </row>
    <row r="841" spans="1:11" x14ac:dyDescent="0.2">
      <c r="A841" s="1" t="s">
        <v>1771</v>
      </c>
      <c r="B841" s="2">
        <v>45936</v>
      </c>
      <c r="C841" s="1" t="s">
        <v>1240</v>
      </c>
      <c r="D841" s="1" t="s">
        <v>1241</v>
      </c>
      <c r="E841" s="1" t="s">
        <v>28</v>
      </c>
      <c r="F841" s="1" t="s">
        <v>217</v>
      </c>
      <c r="G841" s="1" t="s">
        <v>218</v>
      </c>
      <c r="H841" s="1" t="s">
        <v>72</v>
      </c>
      <c r="I841">
        <v>18467</v>
      </c>
      <c r="J841" s="3">
        <v>9.0299999999999994</v>
      </c>
      <c r="K841" s="3">
        <v>166757.01</v>
      </c>
    </row>
    <row r="842" spans="1:11" x14ac:dyDescent="0.2">
      <c r="A842" s="1" t="s">
        <v>1772</v>
      </c>
      <c r="B842" s="2">
        <v>45594</v>
      </c>
      <c r="C842" s="1" t="s">
        <v>282</v>
      </c>
      <c r="D842" s="1" t="s">
        <v>283</v>
      </c>
      <c r="E842" s="1" t="s">
        <v>21</v>
      </c>
      <c r="F842" s="1" t="s">
        <v>540</v>
      </c>
      <c r="G842" s="1" t="s">
        <v>541</v>
      </c>
      <c r="H842" s="1" t="s">
        <v>37</v>
      </c>
      <c r="I842">
        <v>23084</v>
      </c>
      <c r="J842" s="3">
        <v>20.62</v>
      </c>
      <c r="K842" s="3">
        <v>475992.08</v>
      </c>
    </row>
    <row r="843" spans="1:11" x14ac:dyDescent="0.2">
      <c r="A843" s="1" t="s">
        <v>1773</v>
      </c>
      <c r="B843" s="2">
        <v>45664</v>
      </c>
      <c r="C843" s="1" t="s">
        <v>1397</v>
      </c>
      <c r="D843" s="1" t="s">
        <v>1398</v>
      </c>
      <c r="E843" s="1" t="s">
        <v>14</v>
      </c>
      <c r="F843" s="1" t="s">
        <v>35</v>
      </c>
      <c r="G843" s="1" t="s">
        <v>36</v>
      </c>
      <c r="H843" s="1" t="s">
        <v>37</v>
      </c>
      <c r="I843">
        <v>40839</v>
      </c>
      <c r="J843" s="3">
        <v>38.869999999999997</v>
      </c>
      <c r="K843" s="3">
        <v>1587411.93</v>
      </c>
    </row>
    <row r="844" spans="1:11" x14ac:dyDescent="0.2">
      <c r="A844" s="1" t="s">
        <v>1774</v>
      </c>
      <c r="B844" s="2">
        <v>45869</v>
      </c>
      <c r="C844" s="1" t="s">
        <v>692</v>
      </c>
      <c r="D844" s="1" t="s">
        <v>693</v>
      </c>
      <c r="E844" s="1" t="s">
        <v>28</v>
      </c>
      <c r="F844" s="1" t="s">
        <v>65</v>
      </c>
      <c r="G844" s="1" t="s">
        <v>66</v>
      </c>
      <c r="H844" s="1" t="s">
        <v>48</v>
      </c>
      <c r="I844">
        <v>47747</v>
      </c>
      <c r="J844" s="3">
        <v>6</v>
      </c>
      <c r="K844" s="3">
        <v>286482</v>
      </c>
    </row>
    <row r="845" spans="1:11" x14ac:dyDescent="0.2">
      <c r="A845" s="1" t="s">
        <v>1775</v>
      </c>
      <c r="B845" s="2">
        <v>45770</v>
      </c>
      <c r="C845" s="1" t="s">
        <v>860</v>
      </c>
      <c r="D845" s="1" t="s">
        <v>861</v>
      </c>
      <c r="E845" s="1" t="s">
        <v>21</v>
      </c>
      <c r="F845" s="1" t="s">
        <v>195</v>
      </c>
      <c r="G845" s="1" t="s">
        <v>196</v>
      </c>
      <c r="H845" s="1" t="s">
        <v>48</v>
      </c>
      <c r="I845">
        <v>31829</v>
      </c>
      <c r="J845" s="3">
        <v>31.64</v>
      </c>
      <c r="K845" s="3">
        <v>1007069.56</v>
      </c>
    </row>
    <row r="846" spans="1:11" x14ac:dyDescent="0.2">
      <c r="A846" s="1" t="s">
        <v>1776</v>
      </c>
      <c r="B846" s="2">
        <v>45657</v>
      </c>
      <c r="C846" s="1" t="s">
        <v>605</v>
      </c>
      <c r="D846" s="1" t="s">
        <v>606</v>
      </c>
      <c r="E846" s="1" t="s">
        <v>14</v>
      </c>
      <c r="F846" s="1" t="s">
        <v>108</v>
      </c>
      <c r="G846" s="1" t="s">
        <v>109</v>
      </c>
      <c r="H846" s="1" t="s">
        <v>37</v>
      </c>
      <c r="I846">
        <v>77073</v>
      </c>
      <c r="J846" s="3">
        <v>37.49</v>
      </c>
      <c r="K846" s="3">
        <v>2889466.77</v>
      </c>
    </row>
    <row r="847" spans="1:11" x14ac:dyDescent="0.2">
      <c r="A847" s="1" t="s">
        <v>1777</v>
      </c>
      <c r="B847" s="2">
        <v>45835</v>
      </c>
      <c r="C847" s="1" t="s">
        <v>1076</v>
      </c>
      <c r="D847" s="1" t="s">
        <v>1077</v>
      </c>
      <c r="E847" s="1" t="s">
        <v>34</v>
      </c>
      <c r="F847" s="1" t="s">
        <v>108</v>
      </c>
      <c r="G847" s="1" t="s">
        <v>109</v>
      </c>
      <c r="H847" s="1" t="s">
        <v>37</v>
      </c>
      <c r="I847">
        <v>28905</v>
      </c>
      <c r="J847" s="3">
        <v>48.97</v>
      </c>
      <c r="K847" s="3">
        <v>1415477.85</v>
      </c>
    </row>
    <row r="848" spans="1:11" x14ac:dyDescent="0.2">
      <c r="A848" s="1" t="s">
        <v>1778</v>
      </c>
      <c r="B848" s="2">
        <v>45816</v>
      </c>
      <c r="C848" s="1" t="s">
        <v>844</v>
      </c>
      <c r="D848" s="1" t="s">
        <v>845</v>
      </c>
      <c r="E848" s="1" t="s">
        <v>37</v>
      </c>
      <c r="F848" s="1" t="s">
        <v>208</v>
      </c>
      <c r="G848" s="1" t="s">
        <v>209</v>
      </c>
      <c r="H848" s="1" t="s">
        <v>17</v>
      </c>
      <c r="I848">
        <v>13295</v>
      </c>
      <c r="J848" s="3">
        <v>3.52</v>
      </c>
      <c r="K848" s="3">
        <v>46798.400000000001</v>
      </c>
    </row>
    <row r="849" spans="1:11" x14ac:dyDescent="0.2">
      <c r="A849" s="1" t="s">
        <v>1779</v>
      </c>
      <c r="B849" s="2">
        <v>45753</v>
      </c>
      <c r="C849" s="1" t="s">
        <v>1204</v>
      </c>
      <c r="D849" s="1" t="s">
        <v>1205</v>
      </c>
      <c r="E849" s="1" t="s">
        <v>14</v>
      </c>
      <c r="F849" s="1" t="s">
        <v>412</v>
      </c>
      <c r="G849" s="1" t="s">
        <v>413</v>
      </c>
      <c r="H849" s="1" t="s">
        <v>72</v>
      </c>
      <c r="I849">
        <v>91802</v>
      </c>
      <c r="J849" s="3">
        <v>10.25</v>
      </c>
      <c r="K849" s="3">
        <v>940970.5</v>
      </c>
    </row>
    <row r="850" spans="1:11" x14ac:dyDescent="0.2">
      <c r="A850" s="1" t="s">
        <v>1780</v>
      </c>
      <c r="B850" s="2">
        <v>45344</v>
      </c>
      <c r="C850" s="1" t="s">
        <v>1781</v>
      </c>
      <c r="D850" s="1" t="s">
        <v>1782</v>
      </c>
      <c r="E850" s="1" t="s">
        <v>37</v>
      </c>
      <c r="F850" s="1" t="s">
        <v>237</v>
      </c>
      <c r="G850" s="1" t="s">
        <v>238</v>
      </c>
      <c r="H850" s="1" t="s">
        <v>17</v>
      </c>
      <c r="I850">
        <v>27091</v>
      </c>
      <c r="J850" s="3">
        <v>28.28</v>
      </c>
      <c r="K850" s="3">
        <v>766133.48</v>
      </c>
    </row>
    <row r="851" spans="1:11" x14ac:dyDescent="0.2">
      <c r="A851" s="1" t="s">
        <v>1783</v>
      </c>
      <c r="B851" s="2">
        <v>45680</v>
      </c>
      <c r="C851" s="1" t="s">
        <v>1784</v>
      </c>
      <c r="D851" s="1" t="s">
        <v>1785</v>
      </c>
      <c r="E851" s="1" t="s">
        <v>21</v>
      </c>
      <c r="F851" s="1" t="s">
        <v>41</v>
      </c>
      <c r="G851" s="1" t="s">
        <v>42</v>
      </c>
      <c r="H851" s="1" t="s">
        <v>24</v>
      </c>
      <c r="I851">
        <v>22622</v>
      </c>
      <c r="J851" s="3">
        <v>43.79</v>
      </c>
      <c r="K851" s="3">
        <v>990617.38</v>
      </c>
    </row>
    <row r="852" spans="1:11" x14ac:dyDescent="0.2">
      <c r="A852" s="1" t="s">
        <v>1786</v>
      </c>
      <c r="B852" s="2">
        <v>45319</v>
      </c>
      <c r="C852" s="1" t="s">
        <v>481</v>
      </c>
      <c r="D852" s="1" t="s">
        <v>482</v>
      </c>
      <c r="E852" s="1" t="s">
        <v>34</v>
      </c>
      <c r="F852" s="1" t="s">
        <v>184</v>
      </c>
      <c r="G852" s="1" t="s">
        <v>185</v>
      </c>
      <c r="H852" s="1" t="s">
        <v>17</v>
      </c>
      <c r="I852">
        <v>74133</v>
      </c>
      <c r="J852" s="3">
        <v>35.090000000000003</v>
      </c>
      <c r="K852" s="3">
        <v>2601326.9700000002</v>
      </c>
    </row>
    <row r="853" spans="1:11" x14ac:dyDescent="0.2">
      <c r="A853" s="1" t="s">
        <v>1787</v>
      </c>
      <c r="B853" s="2">
        <v>45300</v>
      </c>
      <c r="C853" s="1" t="s">
        <v>12</v>
      </c>
      <c r="D853" s="1" t="s">
        <v>13</v>
      </c>
      <c r="E853" s="1" t="s">
        <v>14</v>
      </c>
      <c r="F853" s="1" t="s">
        <v>165</v>
      </c>
      <c r="G853" s="1" t="s">
        <v>166</v>
      </c>
      <c r="H853" s="1" t="s">
        <v>24</v>
      </c>
      <c r="I853">
        <v>89403</v>
      </c>
      <c r="J853" s="3">
        <v>35.950000000000003</v>
      </c>
      <c r="K853" s="3">
        <v>3214037.85</v>
      </c>
    </row>
    <row r="854" spans="1:11" x14ac:dyDescent="0.2">
      <c r="A854" s="1" t="s">
        <v>1788</v>
      </c>
      <c r="B854" s="2">
        <v>46006</v>
      </c>
      <c r="C854" s="1" t="s">
        <v>1789</v>
      </c>
      <c r="D854" s="1" t="s">
        <v>1790</v>
      </c>
      <c r="E854" s="1" t="s">
        <v>21</v>
      </c>
      <c r="F854" s="1" t="s">
        <v>46</v>
      </c>
      <c r="G854" s="1" t="s">
        <v>47</v>
      </c>
      <c r="H854" s="1" t="s">
        <v>48</v>
      </c>
      <c r="I854">
        <v>37202</v>
      </c>
      <c r="J854" s="3">
        <v>17.84</v>
      </c>
      <c r="K854" s="3">
        <v>663683.68000000005</v>
      </c>
    </row>
    <row r="855" spans="1:11" x14ac:dyDescent="0.2">
      <c r="A855" s="1" t="s">
        <v>1791</v>
      </c>
      <c r="B855" s="2">
        <v>45849</v>
      </c>
      <c r="C855" s="1" t="s">
        <v>211</v>
      </c>
      <c r="D855" s="1" t="s">
        <v>212</v>
      </c>
      <c r="E855" s="1" t="s">
        <v>37</v>
      </c>
      <c r="F855" s="1" t="s">
        <v>268</v>
      </c>
      <c r="G855" s="1" t="s">
        <v>269</v>
      </c>
      <c r="H855" s="1" t="s">
        <v>72</v>
      </c>
      <c r="I855">
        <v>82420</v>
      </c>
      <c r="J855" s="3">
        <v>24.82</v>
      </c>
      <c r="K855" s="3">
        <v>2045664.4</v>
      </c>
    </row>
    <row r="856" spans="1:11" x14ac:dyDescent="0.2">
      <c r="A856" s="1" t="s">
        <v>1792</v>
      </c>
      <c r="B856" s="2">
        <v>45808</v>
      </c>
      <c r="C856" s="1" t="s">
        <v>1793</v>
      </c>
      <c r="D856" s="1" t="s">
        <v>1794</v>
      </c>
      <c r="E856" s="1" t="s">
        <v>37</v>
      </c>
      <c r="F856" s="1" t="s">
        <v>189</v>
      </c>
      <c r="G856" s="1" t="s">
        <v>190</v>
      </c>
      <c r="H856" s="1" t="s">
        <v>17</v>
      </c>
      <c r="I856">
        <v>40336</v>
      </c>
      <c r="J856" s="3">
        <v>48.75</v>
      </c>
      <c r="K856" s="3">
        <v>1966380</v>
      </c>
    </row>
    <row r="857" spans="1:11" x14ac:dyDescent="0.2">
      <c r="A857" s="1" t="s">
        <v>1795</v>
      </c>
      <c r="B857" s="2">
        <v>45697</v>
      </c>
      <c r="C857" s="1" t="s">
        <v>55</v>
      </c>
      <c r="D857" s="1" t="s">
        <v>56</v>
      </c>
      <c r="E857" s="1" t="s">
        <v>21</v>
      </c>
      <c r="F857" s="1" t="s">
        <v>76</v>
      </c>
      <c r="G857" s="1" t="s">
        <v>77</v>
      </c>
      <c r="H857" s="1" t="s">
        <v>48</v>
      </c>
      <c r="I857">
        <v>63514</v>
      </c>
      <c r="J857" s="3">
        <v>36.380000000000003</v>
      </c>
      <c r="K857" s="3">
        <v>2310639.3199999998</v>
      </c>
    </row>
    <row r="858" spans="1:11" x14ac:dyDescent="0.2">
      <c r="A858" s="1" t="s">
        <v>1796</v>
      </c>
      <c r="B858" s="2">
        <v>45610</v>
      </c>
      <c r="C858" s="1" t="s">
        <v>1797</v>
      </c>
      <c r="D858" s="1" t="s">
        <v>1798</v>
      </c>
      <c r="E858" s="1" t="s">
        <v>37</v>
      </c>
      <c r="F858" s="1" t="s">
        <v>350</v>
      </c>
      <c r="G858" s="1" t="s">
        <v>351</v>
      </c>
      <c r="H858" s="1" t="s">
        <v>37</v>
      </c>
      <c r="I858">
        <v>37911</v>
      </c>
      <c r="J858" s="3">
        <v>37.9</v>
      </c>
      <c r="K858" s="3">
        <v>1436826.9</v>
      </c>
    </row>
    <row r="859" spans="1:11" x14ac:dyDescent="0.2">
      <c r="A859" s="1" t="s">
        <v>1799</v>
      </c>
      <c r="B859" s="2">
        <v>45467</v>
      </c>
      <c r="C859" s="1" t="s">
        <v>1800</v>
      </c>
      <c r="D859" s="1" t="s">
        <v>1801</v>
      </c>
      <c r="E859" s="1" t="s">
        <v>34</v>
      </c>
      <c r="F859" s="1" t="s">
        <v>436</v>
      </c>
      <c r="G859" s="1" t="s">
        <v>437</v>
      </c>
      <c r="H859" s="1" t="s">
        <v>24</v>
      </c>
      <c r="I859">
        <v>68524</v>
      </c>
      <c r="J859" s="3">
        <v>43.34</v>
      </c>
      <c r="K859" s="3">
        <v>2969830.16</v>
      </c>
    </row>
    <row r="860" spans="1:11" x14ac:dyDescent="0.2">
      <c r="A860" s="1" t="s">
        <v>1802</v>
      </c>
      <c r="B860" s="2">
        <v>45697</v>
      </c>
      <c r="C860" s="1" t="s">
        <v>300</v>
      </c>
      <c r="D860" s="1" t="s">
        <v>301</v>
      </c>
      <c r="E860" s="1" t="s">
        <v>14</v>
      </c>
      <c r="F860" s="1" t="s">
        <v>113</v>
      </c>
      <c r="G860" s="1" t="s">
        <v>114</v>
      </c>
      <c r="H860" s="1" t="s">
        <v>37</v>
      </c>
      <c r="I860">
        <v>88803</v>
      </c>
      <c r="J860" s="3">
        <v>27.48</v>
      </c>
      <c r="K860" s="3">
        <v>2440306.44</v>
      </c>
    </row>
    <row r="861" spans="1:11" x14ac:dyDescent="0.2">
      <c r="A861" s="1" t="s">
        <v>1803</v>
      </c>
      <c r="B861" s="2">
        <v>45537</v>
      </c>
      <c r="C861" s="1" t="s">
        <v>1001</v>
      </c>
      <c r="D861" s="1" t="s">
        <v>1002</v>
      </c>
      <c r="E861" s="1" t="s">
        <v>37</v>
      </c>
      <c r="F861" s="1" t="s">
        <v>458</v>
      </c>
      <c r="G861" s="1" t="s">
        <v>459</v>
      </c>
      <c r="H861" s="1" t="s">
        <v>72</v>
      </c>
      <c r="I861">
        <v>97980</v>
      </c>
      <c r="J861" s="3">
        <v>11.74</v>
      </c>
      <c r="K861" s="3">
        <v>1150285.2</v>
      </c>
    </row>
    <row r="862" spans="1:11" x14ac:dyDescent="0.2">
      <c r="A862" s="1" t="s">
        <v>1804</v>
      </c>
      <c r="B862" s="2">
        <v>45495</v>
      </c>
      <c r="C862" s="1" t="s">
        <v>654</v>
      </c>
      <c r="D862" s="1" t="s">
        <v>655</v>
      </c>
      <c r="E862" s="1" t="s">
        <v>14</v>
      </c>
      <c r="F862" s="1" t="s">
        <v>152</v>
      </c>
      <c r="G862" s="1" t="s">
        <v>153</v>
      </c>
      <c r="H862" s="1" t="s">
        <v>17</v>
      </c>
      <c r="I862">
        <v>77061</v>
      </c>
      <c r="J862" s="3">
        <v>25.04</v>
      </c>
      <c r="K862" s="3">
        <v>1929607.44</v>
      </c>
    </row>
    <row r="863" spans="1:11" x14ac:dyDescent="0.2">
      <c r="A863" s="1" t="s">
        <v>1805</v>
      </c>
      <c r="B863" s="2">
        <v>45732</v>
      </c>
      <c r="C863" s="1" t="s">
        <v>746</v>
      </c>
      <c r="D863" s="1" t="s">
        <v>747</v>
      </c>
      <c r="E863" s="1" t="s">
        <v>37</v>
      </c>
      <c r="F863" s="1" t="s">
        <v>273</v>
      </c>
      <c r="G863" s="1" t="s">
        <v>274</v>
      </c>
      <c r="H863" s="1" t="s">
        <v>24</v>
      </c>
      <c r="I863">
        <v>90216</v>
      </c>
      <c r="J863" s="3">
        <v>7.59</v>
      </c>
      <c r="K863" s="3">
        <v>684739.44</v>
      </c>
    </row>
    <row r="864" spans="1:11" x14ac:dyDescent="0.2">
      <c r="A864" s="1" t="s">
        <v>1806</v>
      </c>
      <c r="B864" s="2">
        <v>45780</v>
      </c>
      <c r="C864" s="1" t="s">
        <v>791</v>
      </c>
      <c r="D864" s="1" t="s">
        <v>792</v>
      </c>
      <c r="E864" s="1" t="s">
        <v>34</v>
      </c>
      <c r="F864" s="1" t="s">
        <v>103</v>
      </c>
      <c r="G864" s="1" t="s">
        <v>104</v>
      </c>
      <c r="H864" s="1" t="s">
        <v>37</v>
      </c>
      <c r="I864">
        <v>77210</v>
      </c>
      <c r="J864" s="3">
        <v>42.1</v>
      </c>
      <c r="K864" s="3">
        <v>3250541</v>
      </c>
    </row>
    <row r="865" spans="1:11" x14ac:dyDescent="0.2">
      <c r="A865" s="1" t="s">
        <v>1807</v>
      </c>
      <c r="B865" s="2">
        <v>45791</v>
      </c>
      <c r="C865" s="1" t="s">
        <v>1563</v>
      </c>
      <c r="D865" s="1" t="s">
        <v>1564</v>
      </c>
      <c r="E865" s="1" t="s">
        <v>14</v>
      </c>
      <c r="F865" s="1" t="s">
        <v>203</v>
      </c>
      <c r="G865" s="1" t="s">
        <v>204</v>
      </c>
      <c r="H865" s="1" t="s">
        <v>72</v>
      </c>
      <c r="I865">
        <v>93246</v>
      </c>
      <c r="J865" s="3">
        <v>28.03</v>
      </c>
      <c r="K865" s="3">
        <v>2613685.38</v>
      </c>
    </row>
    <row r="866" spans="1:11" x14ac:dyDescent="0.2">
      <c r="A866" s="1" t="s">
        <v>1808</v>
      </c>
      <c r="B866" s="2">
        <v>45656</v>
      </c>
      <c r="C866" s="1" t="s">
        <v>128</v>
      </c>
      <c r="D866" s="1" t="s">
        <v>129</v>
      </c>
      <c r="E866" s="1" t="s">
        <v>28</v>
      </c>
      <c r="F866" s="1" t="s">
        <v>41</v>
      </c>
      <c r="G866" s="1" t="s">
        <v>42</v>
      </c>
      <c r="H866" s="1" t="s">
        <v>24</v>
      </c>
      <c r="I866">
        <v>2282</v>
      </c>
      <c r="J866" s="3">
        <v>33.6</v>
      </c>
      <c r="K866" s="3">
        <v>76675.199999999997</v>
      </c>
    </row>
    <row r="867" spans="1:11" x14ac:dyDescent="0.2">
      <c r="A867" s="1" t="s">
        <v>1809</v>
      </c>
      <c r="B867" s="2">
        <v>45965</v>
      </c>
      <c r="C867" s="1" t="s">
        <v>1810</v>
      </c>
      <c r="D867" s="1" t="s">
        <v>1811</v>
      </c>
      <c r="E867" s="1" t="s">
        <v>21</v>
      </c>
      <c r="F867" s="1" t="s">
        <v>103</v>
      </c>
      <c r="G867" s="1" t="s">
        <v>104</v>
      </c>
      <c r="H867" s="1" t="s">
        <v>37</v>
      </c>
      <c r="I867">
        <v>59708</v>
      </c>
      <c r="J867" s="3">
        <v>38.369999999999997</v>
      </c>
      <c r="K867" s="3">
        <v>2290995.96</v>
      </c>
    </row>
    <row r="868" spans="1:11" x14ac:dyDescent="0.2">
      <c r="A868" s="1" t="s">
        <v>1812</v>
      </c>
      <c r="B868" s="2">
        <v>45417</v>
      </c>
      <c r="C868" s="1" t="s">
        <v>294</v>
      </c>
      <c r="D868" s="1" t="s">
        <v>295</v>
      </c>
      <c r="E868" s="1" t="s">
        <v>37</v>
      </c>
      <c r="F868" s="1" t="s">
        <v>35</v>
      </c>
      <c r="G868" s="1" t="s">
        <v>36</v>
      </c>
      <c r="H868" s="1" t="s">
        <v>37</v>
      </c>
      <c r="I868">
        <v>54365</v>
      </c>
      <c r="J868" s="3">
        <v>34.49</v>
      </c>
      <c r="K868" s="3">
        <v>1875048.85</v>
      </c>
    </row>
    <row r="869" spans="1:11" x14ac:dyDescent="0.2">
      <c r="A869" s="1" t="s">
        <v>1813</v>
      </c>
      <c r="B869" s="2">
        <v>45789</v>
      </c>
      <c r="C869" s="1" t="s">
        <v>1814</v>
      </c>
      <c r="D869" s="1" t="s">
        <v>1815</v>
      </c>
      <c r="E869" s="1" t="s">
        <v>14</v>
      </c>
      <c r="F869" s="1" t="s">
        <v>474</v>
      </c>
      <c r="G869" s="1" t="s">
        <v>475</v>
      </c>
      <c r="H869" s="1" t="s">
        <v>48</v>
      </c>
      <c r="I869">
        <v>43327</v>
      </c>
      <c r="J869" s="3">
        <v>36</v>
      </c>
      <c r="K869" s="3">
        <v>1559772</v>
      </c>
    </row>
    <row r="870" spans="1:11" x14ac:dyDescent="0.2">
      <c r="A870" s="1" t="s">
        <v>1816</v>
      </c>
      <c r="B870" s="2">
        <v>45504</v>
      </c>
      <c r="C870" s="1" t="s">
        <v>633</v>
      </c>
      <c r="D870" s="1" t="s">
        <v>634</v>
      </c>
      <c r="E870" s="1" t="s">
        <v>34</v>
      </c>
      <c r="F870" s="1" t="s">
        <v>330</v>
      </c>
      <c r="G870" s="1" t="s">
        <v>331</v>
      </c>
      <c r="H870" s="1" t="s">
        <v>72</v>
      </c>
      <c r="I870">
        <v>11982</v>
      </c>
      <c r="J870" s="3">
        <v>34.22</v>
      </c>
      <c r="K870" s="3">
        <v>410024.04</v>
      </c>
    </row>
    <row r="871" spans="1:11" x14ac:dyDescent="0.2">
      <c r="A871" s="1" t="s">
        <v>1817</v>
      </c>
      <c r="B871" s="2">
        <v>45536</v>
      </c>
      <c r="C871" s="1" t="s">
        <v>1541</v>
      </c>
      <c r="D871" s="1" t="s">
        <v>1542</v>
      </c>
      <c r="E871" s="1" t="s">
        <v>37</v>
      </c>
      <c r="F871" s="1" t="s">
        <v>103</v>
      </c>
      <c r="G871" s="1" t="s">
        <v>104</v>
      </c>
      <c r="H871" s="1" t="s">
        <v>37</v>
      </c>
      <c r="I871">
        <v>88212</v>
      </c>
      <c r="J871" s="3">
        <v>11.69</v>
      </c>
      <c r="K871" s="3">
        <v>1031198.28</v>
      </c>
    </row>
    <row r="872" spans="1:11" x14ac:dyDescent="0.2">
      <c r="A872" s="1" t="s">
        <v>1818</v>
      </c>
      <c r="B872" s="2">
        <v>45515</v>
      </c>
      <c r="C872" s="1" t="s">
        <v>1637</v>
      </c>
      <c r="D872" s="1" t="s">
        <v>1638</v>
      </c>
      <c r="E872" s="1" t="s">
        <v>34</v>
      </c>
      <c r="F872" s="1" t="s">
        <v>208</v>
      </c>
      <c r="G872" s="1" t="s">
        <v>209</v>
      </c>
      <c r="H872" s="1" t="s">
        <v>17</v>
      </c>
      <c r="I872">
        <v>29719</v>
      </c>
      <c r="J872" s="3">
        <v>32.130000000000003</v>
      </c>
      <c r="K872" s="3">
        <v>954871.47</v>
      </c>
    </row>
    <row r="873" spans="1:11" x14ac:dyDescent="0.2">
      <c r="A873" s="1" t="s">
        <v>1819</v>
      </c>
      <c r="B873" s="2">
        <v>45368</v>
      </c>
      <c r="C873" s="1" t="s">
        <v>1292</v>
      </c>
      <c r="D873" s="1" t="s">
        <v>1293</v>
      </c>
      <c r="E873" s="1" t="s">
        <v>21</v>
      </c>
      <c r="F873" s="1" t="s">
        <v>394</v>
      </c>
      <c r="G873" s="1" t="s">
        <v>395</v>
      </c>
      <c r="H873" s="1" t="s">
        <v>48</v>
      </c>
      <c r="I873">
        <v>96630</v>
      </c>
      <c r="J873" s="3">
        <v>12.29</v>
      </c>
      <c r="K873" s="3">
        <v>1187582.7</v>
      </c>
    </row>
    <row r="874" spans="1:11" x14ac:dyDescent="0.2">
      <c r="A874" s="1" t="s">
        <v>1820</v>
      </c>
      <c r="B874" s="2">
        <v>45355</v>
      </c>
      <c r="C874" s="1" t="s">
        <v>625</v>
      </c>
      <c r="D874" s="1" t="s">
        <v>626</v>
      </c>
      <c r="E874" s="1" t="s">
        <v>34</v>
      </c>
      <c r="F874" s="1" t="s">
        <v>217</v>
      </c>
      <c r="G874" s="1" t="s">
        <v>218</v>
      </c>
      <c r="H874" s="1" t="s">
        <v>72</v>
      </c>
      <c r="I874">
        <v>20012</v>
      </c>
      <c r="J874" s="3">
        <v>3.94</v>
      </c>
      <c r="K874" s="3">
        <v>78847.28</v>
      </c>
    </row>
    <row r="875" spans="1:11" x14ac:dyDescent="0.2">
      <c r="A875" s="1" t="s">
        <v>1821</v>
      </c>
      <c r="B875" s="2">
        <v>45504</v>
      </c>
      <c r="C875" s="1" t="s">
        <v>969</v>
      </c>
      <c r="D875" s="1" t="s">
        <v>970</v>
      </c>
      <c r="E875" s="1" t="s">
        <v>37</v>
      </c>
      <c r="F875" s="1" t="s">
        <v>189</v>
      </c>
      <c r="G875" s="1" t="s">
        <v>190</v>
      </c>
      <c r="H875" s="1" t="s">
        <v>17</v>
      </c>
      <c r="I875">
        <v>12553</v>
      </c>
      <c r="J875" s="3">
        <v>13.69</v>
      </c>
      <c r="K875" s="3">
        <v>171850.57</v>
      </c>
    </row>
    <row r="876" spans="1:11" x14ac:dyDescent="0.2">
      <c r="A876" s="1" t="s">
        <v>1822</v>
      </c>
      <c r="B876" s="2">
        <v>45526</v>
      </c>
      <c r="C876" s="1" t="s">
        <v>774</v>
      </c>
      <c r="D876" s="1" t="s">
        <v>775</v>
      </c>
      <c r="E876" s="1" t="s">
        <v>37</v>
      </c>
      <c r="F876" s="1" t="s">
        <v>184</v>
      </c>
      <c r="G876" s="1" t="s">
        <v>185</v>
      </c>
      <c r="H876" s="1" t="s">
        <v>17</v>
      </c>
      <c r="I876">
        <v>32976</v>
      </c>
      <c r="J876" s="3">
        <v>31.65</v>
      </c>
      <c r="K876" s="3">
        <v>1043690.4</v>
      </c>
    </row>
    <row r="877" spans="1:11" x14ac:dyDescent="0.2">
      <c r="A877" s="1" t="s">
        <v>1823</v>
      </c>
      <c r="B877" s="2">
        <v>45336</v>
      </c>
      <c r="C877" s="1" t="s">
        <v>313</v>
      </c>
      <c r="D877" s="1" t="s">
        <v>314</v>
      </c>
      <c r="E877" s="1" t="s">
        <v>37</v>
      </c>
      <c r="F877" s="1" t="s">
        <v>108</v>
      </c>
      <c r="G877" s="1" t="s">
        <v>109</v>
      </c>
      <c r="H877" s="1" t="s">
        <v>37</v>
      </c>
      <c r="I877">
        <v>29706</v>
      </c>
      <c r="J877" s="3">
        <v>49.02</v>
      </c>
      <c r="K877" s="3">
        <v>1456188.12</v>
      </c>
    </row>
    <row r="878" spans="1:11" x14ac:dyDescent="0.2">
      <c r="A878" s="1" t="s">
        <v>1824</v>
      </c>
      <c r="B878" s="2">
        <v>45707</v>
      </c>
      <c r="C878" s="1" t="s">
        <v>1337</v>
      </c>
      <c r="D878" s="1" t="s">
        <v>1338</v>
      </c>
      <c r="E878" s="1" t="s">
        <v>34</v>
      </c>
      <c r="F878" s="1" t="s">
        <v>263</v>
      </c>
      <c r="G878" s="1" t="s">
        <v>264</v>
      </c>
      <c r="H878" s="1" t="s">
        <v>17</v>
      </c>
      <c r="I878">
        <v>77837</v>
      </c>
      <c r="J878" s="3">
        <v>15.71</v>
      </c>
      <c r="K878" s="3">
        <v>1222819.27</v>
      </c>
    </row>
    <row r="879" spans="1:11" x14ac:dyDescent="0.2">
      <c r="A879" s="1" t="s">
        <v>1825</v>
      </c>
      <c r="B879" s="2">
        <v>45897</v>
      </c>
      <c r="C879" s="1" t="s">
        <v>779</v>
      </c>
      <c r="D879" s="1" t="s">
        <v>780</v>
      </c>
      <c r="E879" s="1" t="s">
        <v>21</v>
      </c>
      <c r="F879" s="1" t="s">
        <v>41</v>
      </c>
      <c r="G879" s="1" t="s">
        <v>42</v>
      </c>
      <c r="H879" s="1" t="s">
        <v>24</v>
      </c>
      <c r="I879">
        <v>6837</v>
      </c>
      <c r="J879" s="3">
        <v>7.72</v>
      </c>
      <c r="K879" s="3">
        <v>52781.64</v>
      </c>
    </row>
    <row r="880" spans="1:11" x14ac:dyDescent="0.2">
      <c r="A880" s="1" t="s">
        <v>1826</v>
      </c>
      <c r="B880" s="2">
        <v>45730</v>
      </c>
      <c r="C880" s="1" t="s">
        <v>431</v>
      </c>
      <c r="D880" s="1" t="s">
        <v>432</v>
      </c>
      <c r="E880" s="1" t="s">
        <v>14</v>
      </c>
      <c r="F880" s="1" t="s">
        <v>157</v>
      </c>
      <c r="G880" s="1" t="s">
        <v>158</v>
      </c>
      <c r="H880" s="1" t="s">
        <v>48</v>
      </c>
      <c r="I880">
        <v>95633</v>
      </c>
      <c r="J880" s="3">
        <v>2.84</v>
      </c>
      <c r="K880" s="3">
        <v>271597.71999999997</v>
      </c>
    </row>
    <row r="881" spans="1:11" x14ac:dyDescent="0.2">
      <c r="A881" s="1" t="s">
        <v>1827</v>
      </c>
      <c r="B881" s="2">
        <v>45911</v>
      </c>
      <c r="C881" s="1" t="s">
        <v>19</v>
      </c>
      <c r="D881" s="1" t="s">
        <v>20</v>
      </c>
      <c r="E881" s="1" t="s">
        <v>21</v>
      </c>
      <c r="F881" s="1" t="s">
        <v>510</v>
      </c>
      <c r="G881" s="1" t="s">
        <v>511</v>
      </c>
      <c r="H881" s="1" t="s">
        <v>17</v>
      </c>
      <c r="I881">
        <v>72090</v>
      </c>
      <c r="J881" s="3">
        <v>39.020000000000003</v>
      </c>
      <c r="K881" s="3">
        <v>2812951.8</v>
      </c>
    </row>
    <row r="882" spans="1:11" x14ac:dyDescent="0.2">
      <c r="A882" s="1" t="s">
        <v>1828</v>
      </c>
      <c r="B882" s="2">
        <v>45535</v>
      </c>
      <c r="C882" s="1" t="s">
        <v>1507</v>
      </c>
      <c r="D882" s="1" t="s">
        <v>1508</v>
      </c>
      <c r="E882" s="1" t="s">
        <v>37</v>
      </c>
      <c r="F882" s="1" t="s">
        <v>165</v>
      </c>
      <c r="G882" s="1" t="s">
        <v>166</v>
      </c>
      <c r="H882" s="1" t="s">
        <v>24</v>
      </c>
      <c r="I882">
        <v>91557</v>
      </c>
      <c r="J882" s="3">
        <v>43.95</v>
      </c>
      <c r="K882" s="3">
        <v>4023930.15</v>
      </c>
    </row>
    <row r="883" spans="1:11" x14ac:dyDescent="0.2">
      <c r="A883" s="1" t="s">
        <v>1829</v>
      </c>
      <c r="B883" s="2">
        <v>45823</v>
      </c>
      <c r="C883" s="1" t="s">
        <v>90</v>
      </c>
      <c r="D883" s="1" t="s">
        <v>91</v>
      </c>
      <c r="E883" s="1" t="s">
        <v>28</v>
      </c>
      <c r="F883" s="1" t="s">
        <v>412</v>
      </c>
      <c r="G883" s="1" t="s">
        <v>413</v>
      </c>
      <c r="H883" s="1" t="s">
        <v>72</v>
      </c>
      <c r="I883">
        <v>25234</v>
      </c>
      <c r="J883" s="3">
        <v>16.690000000000001</v>
      </c>
      <c r="K883" s="3">
        <v>421155.46</v>
      </c>
    </row>
    <row r="884" spans="1:11" x14ac:dyDescent="0.2">
      <c r="A884" s="1" t="s">
        <v>1830</v>
      </c>
      <c r="B884" s="2">
        <v>45594</v>
      </c>
      <c r="C884" s="1" t="s">
        <v>886</v>
      </c>
      <c r="D884" s="1" t="s">
        <v>887</v>
      </c>
      <c r="E884" s="1" t="s">
        <v>21</v>
      </c>
      <c r="F884" s="1" t="s">
        <v>184</v>
      </c>
      <c r="G884" s="1" t="s">
        <v>185</v>
      </c>
      <c r="H884" s="1" t="s">
        <v>17</v>
      </c>
      <c r="I884">
        <v>69736</v>
      </c>
      <c r="J884" s="3">
        <v>41.2</v>
      </c>
      <c r="K884" s="3">
        <v>2873123.2</v>
      </c>
    </row>
    <row r="885" spans="1:11" x14ac:dyDescent="0.2">
      <c r="A885" s="1" t="s">
        <v>1831</v>
      </c>
      <c r="B885" s="2">
        <v>46014</v>
      </c>
      <c r="C885" s="1" t="s">
        <v>605</v>
      </c>
      <c r="D885" s="1" t="s">
        <v>606</v>
      </c>
      <c r="E885" s="1" t="s">
        <v>14</v>
      </c>
      <c r="F885" s="1" t="s">
        <v>103</v>
      </c>
      <c r="G885" s="1" t="s">
        <v>104</v>
      </c>
      <c r="H885" s="1" t="s">
        <v>37</v>
      </c>
      <c r="I885">
        <v>85260</v>
      </c>
      <c r="J885" s="3">
        <v>45.51</v>
      </c>
      <c r="K885" s="3">
        <v>3880182.6</v>
      </c>
    </row>
    <row r="886" spans="1:11" x14ac:dyDescent="0.2">
      <c r="A886" s="1" t="s">
        <v>1832</v>
      </c>
      <c r="B886" s="2">
        <v>45654</v>
      </c>
      <c r="C886" s="1" t="s">
        <v>1233</v>
      </c>
      <c r="D886" s="1" t="s">
        <v>1234</v>
      </c>
      <c r="E886" s="1" t="s">
        <v>14</v>
      </c>
      <c r="F886" s="1" t="s">
        <v>29</v>
      </c>
      <c r="G886" s="1" t="s">
        <v>30</v>
      </c>
      <c r="H886" s="1" t="s">
        <v>24</v>
      </c>
      <c r="I886">
        <v>83091</v>
      </c>
      <c r="J886" s="3">
        <v>26.37</v>
      </c>
      <c r="K886" s="3">
        <v>2191109.67</v>
      </c>
    </row>
    <row r="887" spans="1:11" x14ac:dyDescent="0.2">
      <c r="A887" s="1" t="s">
        <v>1833</v>
      </c>
      <c r="B887" s="2">
        <v>45650</v>
      </c>
      <c r="C887" s="1" t="s">
        <v>1295</v>
      </c>
      <c r="D887" s="1" t="s">
        <v>1296</v>
      </c>
      <c r="E887" s="1" t="s">
        <v>21</v>
      </c>
      <c r="F887" s="1" t="s">
        <v>324</v>
      </c>
      <c r="G887" s="1" t="s">
        <v>325</v>
      </c>
      <c r="H887" s="1" t="s">
        <v>24</v>
      </c>
      <c r="I887">
        <v>6689</v>
      </c>
      <c r="J887" s="3">
        <v>42.19</v>
      </c>
      <c r="K887" s="3">
        <v>282208.90999999997</v>
      </c>
    </row>
    <row r="888" spans="1:11" x14ac:dyDescent="0.2">
      <c r="A888" s="1" t="s">
        <v>1834</v>
      </c>
      <c r="B888" s="2">
        <v>45676</v>
      </c>
      <c r="C888" s="1" t="s">
        <v>282</v>
      </c>
      <c r="D888" s="1" t="s">
        <v>283</v>
      </c>
      <c r="E888" s="1" t="s">
        <v>21</v>
      </c>
      <c r="F888" s="1" t="s">
        <v>152</v>
      </c>
      <c r="G888" s="1" t="s">
        <v>153</v>
      </c>
      <c r="H888" s="1" t="s">
        <v>17</v>
      </c>
      <c r="I888">
        <v>18325</v>
      </c>
      <c r="J888" s="3">
        <v>23.04</v>
      </c>
      <c r="K888" s="3">
        <v>422208</v>
      </c>
    </row>
    <row r="889" spans="1:11" x14ac:dyDescent="0.2">
      <c r="A889" s="1" t="s">
        <v>1835</v>
      </c>
      <c r="B889" s="2">
        <v>45388</v>
      </c>
      <c r="C889" s="1" t="s">
        <v>599</v>
      </c>
      <c r="D889" s="1" t="s">
        <v>600</v>
      </c>
      <c r="E889" s="1" t="s">
        <v>37</v>
      </c>
      <c r="F889" s="1" t="s">
        <v>268</v>
      </c>
      <c r="G889" s="1" t="s">
        <v>269</v>
      </c>
      <c r="H889" s="1" t="s">
        <v>72</v>
      </c>
      <c r="I889">
        <v>49554</v>
      </c>
      <c r="J889" s="3">
        <v>46.56</v>
      </c>
      <c r="K889" s="3">
        <v>2307234.2400000002</v>
      </c>
    </row>
    <row r="890" spans="1:11" x14ac:dyDescent="0.2">
      <c r="A890" s="1" t="s">
        <v>1836</v>
      </c>
      <c r="B890" s="2">
        <v>45828</v>
      </c>
      <c r="C890" s="1" t="s">
        <v>508</v>
      </c>
      <c r="D890" s="1" t="s">
        <v>509</v>
      </c>
      <c r="E890" s="1" t="s">
        <v>34</v>
      </c>
      <c r="F890" s="1" t="s">
        <v>157</v>
      </c>
      <c r="G890" s="1" t="s">
        <v>158</v>
      </c>
      <c r="H890" s="1" t="s">
        <v>48</v>
      </c>
      <c r="I890">
        <v>29067</v>
      </c>
      <c r="J890" s="3">
        <v>34.869999999999997</v>
      </c>
      <c r="K890" s="3">
        <v>1013566.29</v>
      </c>
    </row>
    <row r="891" spans="1:11" x14ac:dyDescent="0.2">
      <c r="A891" s="1" t="s">
        <v>1837</v>
      </c>
      <c r="B891" s="2">
        <v>46007</v>
      </c>
      <c r="C891" s="1" t="s">
        <v>498</v>
      </c>
      <c r="D891" s="1" t="s">
        <v>499</v>
      </c>
      <c r="E891" s="1" t="s">
        <v>14</v>
      </c>
      <c r="F891" s="1" t="s">
        <v>189</v>
      </c>
      <c r="G891" s="1" t="s">
        <v>190</v>
      </c>
      <c r="H891" s="1" t="s">
        <v>17</v>
      </c>
      <c r="I891">
        <v>67321</v>
      </c>
      <c r="J891" s="3">
        <v>35.9</v>
      </c>
      <c r="K891" s="3">
        <v>2416823.9</v>
      </c>
    </row>
    <row r="892" spans="1:11" x14ac:dyDescent="0.2">
      <c r="A892" s="1" t="s">
        <v>1838</v>
      </c>
      <c r="B892" s="2">
        <v>45732</v>
      </c>
      <c r="C892" s="1" t="s">
        <v>1666</v>
      </c>
      <c r="D892" s="1" t="s">
        <v>1667</v>
      </c>
      <c r="E892" s="1" t="s">
        <v>28</v>
      </c>
      <c r="F892" s="1" t="s">
        <v>157</v>
      </c>
      <c r="G892" s="1" t="s">
        <v>158</v>
      </c>
      <c r="H892" s="1" t="s">
        <v>48</v>
      </c>
      <c r="I892">
        <v>2740</v>
      </c>
      <c r="J892" s="3">
        <v>43.68</v>
      </c>
      <c r="K892" s="3">
        <v>119683.2</v>
      </c>
    </row>
    <row r="893" spans="1:11" x14ac:dyDescent="0.2">
      <c r="A893" s="1" t="s">
        <v>1839</v>
      </c>
      <c r="B893" s="2">
        <v>45879</v>
      </c>
      <c r="C893" s="1" t="s">
        <v>211</v>
      </c>
      <c r="D893" s="1" t="s">
        <v>212</v>
      </c>
      <c r="E893" s="1" t="s">
        <v>37</v>
      </c>
      <c r="F893" s="1" t="s">
        <v>510</v>
      </c>
      <c r="G893" s="1" t="s">
        <v>511</v>
      </c>
      <c r="H893" s="1" t="s">
        <v>17</v>
      </c>
      <c r="I893">
        <v>69163</v>
      </c>
      <c r="J893" s="3">
        <v>35.700000000000003</v>
      </c>
      <c r="K893" s="3">
        <v>2469119.1</v>
      </c>
    </row>
    <row r="894" spans="1:11" x14ac:dyDescent="0.2">
      <c r="A894" s="1" t="s">
        <v>1840</v>
      </c>
      <c r="B894" s="2">
        <v>45308</v>
      </c>
      <c r="C894" s="1" t="s">
        <v>1841</v>
      </c>
      <c r="D894" s="1" t="s">
        <v>1842</v>
      </c>
      <c r="E894" s="1" t="s">
        <v>14</v>
      </c>
      <c r="F894" s="1" t="s">
        <v>70</v>
      </c>
      <c r="G894" s="1" t="s">
        <v>71</v>
      </c>
      <c r="H894" s="1" t="s">
        <v>72</v>
      </c>
      <c r="I894">
        <v>73257</v>
      </c>
      <c r="J894" s="3">
        <v>31.2</v>
      </c>
      <c r="K894" s="3">
        <v>2285618.4</v>
      </c>
    </row>
    <row r="895" spans="1:11" x14ac:dyDescent="0.2">
      <c r="A895" s="1" t="s">
        <v>1843</v>
      </c>
      <c r="B895" s="2">
        <v>45760</v>
      </c>
      <c r="C895" s="1" t="s">
        <v>804</v>
      </c>
      <c r="D895" s="1" t="s">
        <v>805</v>
      </c>
      <c r="E895" s="1" t="s">
        <v>34</v>
      </c>
      <c r="F895" s="1" t="s">
        <v>165</v>
      </c>
      <c r="G895" s="1" t="s">
        <v>166</v>
      </c>
      <c r="H895" s="1" t="s">
        <v>24</v>
      </c>
      <c r="I895">
        <v>77807</v>
      </c>
      <c r="J895" s="3">
        <v>31.8</v>
      </c>
      <c r="K895" s="3">
        <v>2474262.6</v>
      </c>
    </row>
    <row r="896" spans="1:11" x14ac:dyDescent="0.2">
      <c r="A896" s="1" t="s">
        <v>1844</v>
      </c>
      <c r="B896" s="2">
        <v>45408</v>
      </c>
      <c r="C896" s="1" t="s">
        <v>1161</v>
      </c>
      <c r="D896" s="1" t="s">
        <v>1162</v>
      </c>
      <c r="E896" s="1" t="s">
        <v>21</v>
      </c>
      <c r="F896" s="1" t="s">
        <v>510</v>
      </c>
      <c r="G896" s="1" t="s">
        <v>511</v>
      </c>
      <c r="H896" s="1" t="s">
        <v>17</v>
      </c>
      <c r="I896">
        <v>40340</v>
      </c>
      <c r="J896" s="3">
        <v>13.85</v>
      </c>
      <c r="K896" s="3">
        <v>558709</v>
      </c>
    </row>
    <row r="897" spans="1:11" x14ac:dyDescent="0.2">
      <c r="A897" s="1" t="s">
        <v>1845</v>
      </c>
      <c r="B897" s="2">
        <v>46009</v>
      </c>
      <c r="C897" s="1" t="s">
        <v>1647</v>
      </c>
      <c r="D897" s="1" t="s">
        <v>1648</v>
      </c>
      <c r="E897" s="1" t="s">
        <v>14</v>
      </c>
      <c r="F897" s="1" t="s">
        <v>203</v>
      </c>
      <c r="G897" s="1" t="s">
        <v>204</v>
      </c>
      <c r="H897" s="1" t="s">
        <v>72</v>
      </c>
      <c r="I897">
        <v>76634</v>
      </c>
      <c r="J897" s="3">
        <v>24.61</v>
      </c>
      <c r="K897" s="3">
        <v>1885962.74</v>
      </c>
    </row>
    <row r="898" spans="1:11" x14ac:dyDescent="0.2">
      <c r="A898" s="1" t="s">
        <v>1846</v>
      </c>
      <c r="B898" s="2">
        <v>45562</v>
      </c>
      <c r="C898" s="1" t="s">
        <v>1064</v>
      </c>
      <c r="D898" s="1" t="s">
        <v>1065</v>
      </c>
      <c r="E898" s="1" t="s">
        <v>14</v>
      </c>
      <c r="F898" s="1" t="s">
        <v>330</v>
      </c>
      <c r="G898" s="1" t="s">
        <v>331</v>
      </c>
      <c r="H898" s="1" t="s">
        <v>72</v>
      </c>
      <c r="I898">
        <v>26981</v>
      </c>
      <c r="J898" s="3">
        <v>21.63</v>
      </c>
      <c r="K898" s="3">
        <v>583599.03</v>
      </c>
    </row>
    <row r="899" spans="1:11" x14ac:dyDescent="0.2">
      <c r="A899" s="1" t="s">
        <v>1847</v>
      </c>
      <c r="B899" s="2">
        <v>46013</v>
      </c>
      <c r="C899" s="1" t="s">
        <v>313</v>
      </c>
      <c r="D899" s="1" t="s">
        <v>314</v>
      </c>
      <c r="E899" s="1" t="s">
        <v>37</v>
      </c>
      <c r="F899" s="1" t="s">
        <v>195</v>
      </c>
      <c r="G899" s="1" t="s">
        <v>196</v>
      </c>
      <c r="H899" s="1" t="s">
        <v>48</v>
      </c>
      <c r="I899">
        <v>93507</v>
      </c>
      <c r="J899" s="3">
        <v>9.59</v>
      </c>
      <c r="K899" s="3">
        <v>896732.13</v>
      </c>
    </row>
    <row r="900" spans="1:11" x14ac:dyDescent="0.2">
      <c r="A900" s="1" t="s">
        <v>1848</v>
      </c>
      <c r="B900" s="2">
        <v>45769</v>
      </c>
      <c r="C900" s="1" t="s">
        <v>150</v>
      </c>
      <c r="D900" s="1" t="s">
        <v>151</v>
      </c>
      <c r="E900" s="1" t="s">
        <v>14</v>
      </c>
      <c r="F900" s="1" t="s">
        <v>552</v>
      </c>
      <c r="G900" s="1" t="s">
        <v>553</v>
      </c>
      <c r="H900" s="1" t="s">
        <v>37</v>
      </c>
      <c r="I900">
        <v>93604</v>
      </c>
      <c r="J900" s="3">
        <v>23.86</v>
      </c>
      <c r="K900" s="3">
        <v>2233391.44</v>
      </c>
    </row>
    <row r="901" spans="1:11" x14ac:dyDescent="0.2">
      <c r="A901" s="1" t="s">
        <v>1849</v>
      </c>
      <c r="B901" s="2">
        <v>45730</v>
      </c>
      <c r="C901" s="1" t="s">
        <v>32</v>
      </c>
      <c r="D901" s="1" t="s">
        <v>33</v>
      </c>
      <c r="E901" s="1" t="s">
        <v>34</v>
      </c>
      <c r="F901" s="1" t="s">
        <v>350</v>
      </c>
      <c r="G901" s="1" t="s">
        <v>351</v>
      </c>
      <c r="H901" s="1" t="s">
        <v>37</v>
      </c>
      <c r="I901">
        <v>50682</v>
      </c>
      <c r="J901" s="3">
        <v>27.13</v>
      </c>
      <c r="K901" s="3">
        <v>1375002.66</v>
      </c>
    </row>
    <row r="902" spans="1:11" x14ac:dyDescent="0.2">
      <c r="A902" s="1" t="s">
        <v>1850</v>
      </c>
      <c r="B902" s="2">
        <v>45415</v>
      </c>
      <c r="C902" s="1" t="s">
        <v>461</v>
      </c>
      <c r="D902" s="1" t="s">
        <v>462</v>
      </c>
      <c r="E902" s="1" t="s">
        <v>28</v>
      </c>
      <c r="F902" s="1" t="s">
        <v>46</v>
      </c>
      <c r="G902" s="1" t="s">
        <v>47</v>
      </c>
      <c r="H902" s="1" t="s">
        <v>48</v>
      </c>
      <c r="I902">
        <v>15434</v>
      </c>
      <c r="J902" s="3">
        <v>41.05</v>
      </c>
      <c r="K902" s="3">
        <v>633565.69999999995</v>
      </c>
    </row>
    <row r="903" spans="1:11" x14ac:dyDescent="0.2">
      <c r="A903" s="1" t="s">
        <v>1851</v>
      </c>
      <c r="B903" s="2">
        <v>45848</v>
      </c>
      <c r="C903" s="1" t="s">
        <v>926</v>
      </c>
      <c r="D903" s="1" t="s">
        <v>927</v>
      </c>
      <c r="E903" s="1" t="s">
        <v>28</v>
      </c>
      <c r="F903" s="1" t="s">
        <v>273</v>
      </c>
      <c r="G903" s="1" t="s">
        <v>274</v>
      </c>
      <c r="H903" s="1" t="s">
        <v>24</v>
      </c>
      <c r="I903">
        <v>71521</v>
      </c>
      <c r="J903" s="3">
        <v>30.26</v>
      </c>
      <c r="K903" s="3">
        <v>2164225.46</v>
      </c>
    </row>
    <row r="904" spans="1:11" x14ac:dyDescent="0.2">
      <c r="A904" s="1" t="s">
        <v>1852</v>
      </c>
      <c r="B904" s="2">
        <v>45768</v>
      </c>
      <c r="C904" s="1" t="s">
        <v>240</v>
      </c>
      <c r="D904" s="1" t="s">
        <v>241</v>
      </c>
      <c r="E904" s="1" t="s">
        <v>28</v>
      </c>
      <c r="F904" s="1" t="s">
        <v>552</v>
      </c>
      <c r="G904" s="1" t="s">
        <v>553</v>
      </c>
      <c r="H904" s="1" t="s">
        <v>37</v>
      </c>
      <c r="I904">
        <v>72195</v>
      </c>
      <c r="J904" s="3">
        <v>13.03</v>
      </c>
      <c r="K904" s="3">
        <v>940700.85</v>
      </c>
    </row>
    <row r="905" spans="1:11" x14ac:dyDescent="0.2">
      <c r="A905" s="1" t="s">
        <v>1853</v>
      </c>
      <c r="B905" s="2">
        <v>45723</v>
      </c>
      <c r="C905" s="1" t="s">
        <v>1854</v>
      </c>
      <c r="D905" s="1" t="s">
        <v>1855</v>
      </c>
      <c r="E905" s="1" t="s">
        <v>37</v>
      </c>
      <c r="F905" s="1" t="s">
        <v>152</v>
      </c>
      <c r="G905" s="1" t="s">
        <v>153</v>
      </c>
      <c r="H905" s="1" t="s">
        <v>17</v>
      </c>
      <c r="I905">
        <v>36852</v>
      </c>
      <c r="J905" s="3">
        <v>22.74</v>
      </c>
      <c r="K905" s="3">
        <v>838014.48</v>
      </c>
    </row>
    <row r="906" spans="1:11" x14ac:dyDescent="0.2">
      <c r="A906" s="1" t="s">
        <v>1856</v>
      </c>
      <c r="B906" s="2">
        <v>45800</v>
      </c>
      <c r="C906" s="1" t="s">
        <v>890</v>
      </c>
      <c r="D906" s="1" t="s">
        <v>891</v>
      </c>
      <c r="E906" s="1" t="s">
        <v>37</v>
      </c>
      <c r="F906" s="1" t="s">
        <v>350</v>
      </c>
      <c r="G906" s="1" t="s">
        <v>351</v>
      </c>
      <c r="H906" s="1" t="s">
        <v>37</v>
      </c>
      <c r="I906">
        <v>79408</v>
      </c>
      <c r="J906" s="3">
        <v>30.66</v>
      </c>
      <c r="K906" s="3">
        <v>2434649.2799999998</v>
      </c>
    </row>
    <row r="907" spans="1:11" x14ac:dyDescent="0.2">
      <c r="A907" s="1" t="s">
        <v>1857</v>
      </c>
      <c r="B907" s="2">
        <v>45941</v>
      </c>
      <c r="C907" s="1" t="s">
        <v>975</v>
      </c>
      <c r="D907" s="1" t="s">
        <v>976</v>
      </c>
      <c r="E907" s="1" t="s">
        <v>28</v>
      </c>
      <c r="F907" s="1" t="s">
        <v>273</v>
      </c>
      <c r="G907" s="1" t="s">
        <v>274</v>
      </c>
      <c r="H907" s="1" t="s">
        <v>24</v>
      </c>
      <c r="I907">
        <v>42688</v>
      </c>
      <c r="J907" s="3">
        <v>3.17</v>
      </c>
      <c r="K907" s="3">
        <v>135320.95999999999</v>
      </c>
    </row>
    <row r="908" spans="1:11" x14ac:dyDescent="0.2">
      <c r="A908" s="1" t="s">
        <v>1858</v>
      </c>
      <c r="B908" s="2">
        <v>45364</v>
      </c>
      <c r="C908" s="1" t="s">
        <v>1460</v>
      </c>
      <c r="D908" s="1" t="s">
        <v>1461</v>
      </c>
      <c r="E908" s="1" t="s">
        <v>37</v>
      </c>
      <c r="F908" s="1" t="s">
        <v>46</v>
      </c>
      <c r="G908" s="1" t="s">
        <v>47</v>
      </c>
      <c r="H908" s="1" t="s">
        <v>48</v>
      </c>
      <c r="I908">
        <v>37521</v>
      </c>
      <c r="J908" s="3">
        <v>19.77</v>
      </c>
      <c r="K908" s="3">
        <v>741790.17</v>
      </c>
    </row>
    <row r="909" spans="1:11" x14ac:dyDescent="0.2">
      <c r="A909" s="1" t="s">
        <v>1859</v>
      </c>
      <c r="B909" s="2">
        <v>45959</v>
      </c>
      <c r="C909" s="1" t="s">
        <v>1860</v>
      </c>
      <c r="D909" s="1" t="s">
        <v>1861</v>
      </c>
      <c r="E909" s="1" t="s">
        <v>21</v>
      </c>
      <c r="F909" s="1" t="s">
        <v>284</v>
      </c>
      <c r="G909" s="1" t="s">
        <v>285</v>
      </c>
      <c r="H909" s="1" t="s">
        <v>37</v>
      </c>
      <c r="I909">
        <v>63840</v>
      </c>
      <c r="J909" s="3">
        <v>12.01</v>
      </c>
      <c r="K909" s="3">
        <v>766718.4</v>
      </c>
    </row>
    <row r="910" spans="1:11" x14ac:dyDescent="0.2">
      <c r="A910" s="1" t="s">
        <v>1862</v>
      </c>
      <c r="B910" s="2">
        <v>45728</v>
      </c>
      <c r="C910" s="1" t="s">
        <v>409</v>
      </c>
      <c r="D910" s="1" t="s">
        <v>410</v>
      </c>
      <c r="E910" s="1" t="s">
        <v>14</v>
      </c>
      <c r="F910" s="1" t="s">
        <v>324</v>
      </c>
      <c r="G910" s="1" t="s">
        <v>325</v>
      </c>
      <c r="H910" s="1" t="s">
        <v>24</v>
      </c>
      <c r="I910">
        <v>97283</v>
      </c>
      <c r="J910" s="3">
        <v>25.83</v>
      </c>
      <c r="K910" s="3">
        <v>2512819.89</v>
      </c>
    </row>
    <row r="911" spans="1:11" x14ac:dyDescent="0.2">
      <c r="A911" s="1" t="s">
        <v>1863</v>
      </c>
      <c r="B911" s="2">
        <v>45971</v>
      </c>
      <c r="C911" s="1" t="s">
        <v>1722</v>
      </c>
      <c r="D911" s="1" t="s">
        <v>1723</v>
      </c>
      <c r="E911" s="1" t="s">
        <v>34</v>
      </c>
      <c r="F911" s="1" t="s">
        <v>217</v>
      </c>
      <c r="G911" s="1" t="s">
        <v>218</v>
      </c>
      <c r="H911" s="1" t="s">
        <v>72</v>
      </c>
      <c r="I911">
        <v>29550</v>
      </c>
      <c r="J911" s="3">
        <v>39.28</v>
      </c>
      <c r="K911" s="3">
        <v>1160724</v>
      </c>
    </row>
    <row r="912" spans="1:11" x14ac:dyDescent="0.2">
      <c r="A912" s="1" t="s">
        <v>1864</v>
      </c>
      <c r="B912" s="2">
        <v>45648</v>
      </c>
      <c r="C912" s="1" t="s">
        <v>550</v>
      </c>
      <c r="D912" s="1" t="s">
        <v>551</v>
      </c>
      <c r="E912" s="1" t="s">
        <v>34</v>
      </c>
      <c r="F912" s="1" t="s">
        <v>189</v>
      </c>
      <c r="G912" s="1" t="s">
        <v>190</v>
      </c>
      <c r="H912" s="1" t="s">
        <v>17</v>
      </c>
      <c r="I912">
        <v>74386</v>
      </c>
      <c r="J912" s="3">
        <v>15.87</v>
      </c>
      <c r="K912" s="3">
        <v>1180505.82</v>
      </c>
    </row>
    <row r="913" spans="1:11" x14ac:dyDescent="0.2">
      <c r="A913" s="1" t="s">
        <v>1865</v>
      </c>
      <c r="B913" s="2">
        <v>45469</v>
      </c>
      <c r="C913" s="1" t="s">
        <v>1718</v>
      </c>
      <c r="D913" s="1" t="s">
        <v>1719</v>
      </c>
      <c r="E913" s="1" t="s">
        <v>21</v>
      </c>
      <c r="F913" s="1" t="s">
        <v>35</v>
      </c>
      <c r="G913" s="1" t="s">
        <v>36</v>
      </c>
      <c r="H913" s="1" t="s">
        <v>37</v>
      </c>
      <c r="I913">
        <v>99819</v>
      </c>
      <c r="J913" s="3">
        <v>36.24</v>
      </c>
      <c r="K913" s="3">
        <v>3617440.56</v>
      </c>
    </row>
    <row r="914" spans="1:11" x14ac:dyDescent="0.2">
      <c r="A914" s="1" t="s">
        <v>1866</v>
      </c>
      <c r="B914" s="2">
        <v>45965</v>
      </c>
      <c r="C914" s="1" t="s">
        <v>1867</v>
      </c>
      <c r="D914" s="1" t="s">
        <v>1868</v>
      </c>
      <c r="E914" s="1" t="s">
        <v>28</v>
      </c>
      <c r="F914" s="1" t="s">
        <v>339</v>
      </c>
      <c r="G914" s="1" t="s">
        <v>340</v>
      </c>
      <c r="H914" s="1" t="s">
        <v>24</v>
      </c>
      <c r="I914">
        <v>94864</v>
      </c>
      <c r="J914" s="3">
        <v>48.44</v>
      </c>
      <c r="K914" s="3">
        <v>4595212.16</v>
      </c>
    </row>
    <row r="915" spans="1:11" x14ac:dyDescent="0.2">
      <c r="A915" s="1" t="s">
        <v>1869</v>
      </c>
      <c r="B915" s="2">
        <v>45584</v>
      </c>
      <c r="C915" s="1" t="s">
        <v>235</v>
      </c>
      <c r="D915" s="1" t="s">
        <v>236</v>
      </c>
      <c r="E915" s="1" t="s">
        <v>14</v>
      </c>
      <c r="F915" s="1" t="s">
        <v>263</v>
      </c>
      <c r="G915" s="1" t="s">
        <v>264</v>
      </c>
      <c r="H915" s="1" t="s">
        <v>17</v>
      </c>
      <c r="I915">
        <v>59983</v>
      </c>
      <c r="J915" s="3">
        <v>39.090000000000003</v>
      </c>
      <c r="K915" s="3">
        <v>2344735.4700000002</v>
      </c>
    </row>
    <row r="916" spans="1:11" x14ac:dyDescent="0.2">
      <c r="A916" s="1" t="s">
        <v>1870</v>
      </c>
      <c r="B916" s="2">
        <v>45457</v>
      </c>
      <c r="C916" s="1" t="s">
        <v>1871</v>
      </c>
      <c r="D916" s="1" t="s">
        <v>1872</v>
      </c>
      <c r="E916" s="1" t="s">
        <v>34</v>
      </c>
      <c r="F916" s="1" t="s">
        <v>228</v>
      </c>
      <c r="G916" s="1" t="s">
        <v>229</v>
      </c>
      <c r="H916" s="1" t="s">
        <v>48</v>
      </c>
      <c r="I916">
        <v>49996</v>
      </c>
      <c r="J916" s="3">
        <v>30.64</v>
      </c>
      <c r="K916" s="3">
        <v>1531877.44</v>
      </c>
    </row>
    <row r="917" spans="1:11" x14ac:dyDescent="0.2">
      <c r="A917" s="1" t="s">
        <v>1873</v>
      </c>
      <c r="B917" s="2">
        <v>45496</v>
      </c>
      <c r="C917" s="1" t="s">
        <v>794</v>
      </c>
      <c r="D917" s="1" t="s">
        <v>795</v>
      </c>
      <c r="E917" s="1" t="s">
        <v>28</v>
      </c>
      <c r="F917" s="1" t="s">
        <v>144</v>
      </c>
      <c r="G917" s="1" t="s">
        <v>145</v>
      </c>
      <c r="H917" s="1" t="s">
        <v>24</v>
      </c>
      <c r="I917">
        <v>41566</v>
      </c>
      <c r="J917" s="3">
        <v>7.72</v>
      </c>
      <c r="K917" s="3">
        <v>320889.52</v>
      </c>
    </row>
    <row r="918" spans="1:11" x14ac:dyDescent="0.2">
      <c r="A918" s="1" t="s">
        <v>1874</v>
      </c>
      <c r="B918" s="2">
        <v>45888</v>
      </c>
      <c r="C918" s="1" t="s">
        <v>566</v>
      </c>
      <c r="D918" s="1" t="s">
        <v>567</v>
      </c>
      <c r="E918" s="1" t="s">
        <v>28</v>
      </c>
      <c r="F918" s="1" t="s">
        <v>463</v>
      </c>
      <c r="G918" s="1" t="s">
        <v>464</v>
      </c>
      <c r="H918" s="1" t="s">
        <v>37</v>
      </c>
      <c r="I918">
        <v>13422</v>
      </c>
      <c r="J918" s="3">
        <v>5.35</v>
      </c>
      <c r="K918" s="3">
        <v>71807.7</v>
      </c>
    </row>
    <row r="919" spans="1:11" x14ac:dyDescent="0.2">
      <c r="A919" s="1" t="s">
        <v>1875</v>
      </c>
      <c r="B919" s="2">
        <v>45726</v>
      </c>
      <c r="C919" s="1" t="s">
        <v>32</v>
      </c>
      <c r="D919" s="1" t="s">
        <v>33</v>
      </c>
      <c r="E919" s="1" t="s">
        <v>34</v>
      </c>
      <c r="F919" s="1" t="s">
        <v>157</v>
      </c>
      <c r="G919" s="1" t="s">
        <v>158</v>
      </c>
      <c r="H919" s="1" t="s">
        <v>48</v>
      </c>
      <c r="I919">
        <v>66968</v>
      </c>
      <c r="J919" s="3">
        <v>21.96</v>
      </c>
      <c r="K919" s="3">
        <v>1470617.28</v>
      </c>
    </row>
    <row r="920" spans="1:11" x14ac:dyDescent="0.2">
      <c r="A920" s="1" t="s">
        <v>1876</v>
      </c>
      <c r="B920" s="2">
        <v>45734</v>
      </c>
      <c r="C920" s="1" t="s">
        <v>122</v>
      </c>
      <c r="D920" s="1" t="s">
        <v>123</v>
      </c>
      <c r="E920" s="1" t="s">
        <v>28</v>
      </c>
      <c r="F920" s="1" t="s">
        <v>29</v>
      </c>
      <c r="G920" s="1" t="s">
        <v>30</v>
      </c>
      <c r="H920" s="1" t="s">
        <v>24</v>
      </c>
      <c r="I920">
        <v>94280</v>
      </c>
      <c r="J920" s="3">
        <v>44.2</v>
      </c>
      <c r="K920" s="3">
        <v>4167176</v>
      </c>
    </row>
    <row r="921" spans="1:11" x14ac:dyDescent="0.2">
      <c r="A921" s="1" t="s">
        <v>1877</v>
      </c>
      <c r="B921" s="2">
        <v>45888</v>
      </c>
      <c r="C921" s="1" t="s">
        <v>702</v>
      </c>
      <c r="D921" s="1" t="s">
        <v>703</v>
      </c>
      <c r="E921" s="1" t="s">
        <v>34</v>
      </c>
      <c r="F921" s="1" t="s">
        <v>98</v>
      </c>
      <c r="G921" s="1" t="s">
        <v>99</v>
      </c>
      <c r="H921" s="1" t="s">
        <v>72</v>
      </c>
      <c r="I921">
        <v>51335</v>
      </c>
      <c r="J921" s="3">
        <v>30.6</v>
      </c>
      <c r="K921" s="3">
        <v>1570851</v>
      </c>
    </row>
    <row r="922" spans="1:11" x14ac:dyDescent="0.2">
      <c r="A922" s="1" t="s">
        <v>1878</v>
      </c>
      <c r="B922" s="2">
        <v>45723</v>
      </c>
      <c r="C922" s="1" t="s">
        <v>727</v>
      </c>
      <c r="D922" s="1" t="s">
        <v>728</v>
      </c>
      <c r="E922" s="1" t="s">
        <v>37</v>
      </c>
      <c r="F922" s="1" t="s">
        <v>57</v>
      </c>
      <c r="G922" s="1" t="s">
        <v>58</v>
      </c>
      <c r="H922" s="1" t="s">
        <v>48</v>
      </c>
      <c r="I922">
        <v>98253</v>
      </c>
      <c r="J922" s="3">
        <v>38.74</v>
      </c>
      <c r="K922" s="3">
        <v>3806321.22</v>
      </c>
    </row>
    <row r="923" spans="1:11" x14ac:dyDescent="0.2">
      <c r="A923" s="1" t="s">
        <v>1879</v>
      </c>
      <c r="B923" s="2">
        <v>45815</v>
      </c>
      <c r="C923" s="1" t="s">
        <v>639</v>
      </c>
      <c r="D923" s="1" t="s">
        <v>640</v>
      </c>
      <c r="E923" s="1" t="s">
        <v>28</v>
      </c>
      <c r="F923" s="1" t="s">
        <v>208</v>
      </c>
      <c r="G923" s="1" t="s">
        <v>209</v>
      </c>
      <c r="H923" s="1" t="s">
        <v>17</v>
      </c>
      <c r="I923">
        <v>11702</v>
      </c>
      <c r="J923" s="3">
        <v>17.32</v>
      </c>
      <c r="K923" s="3">
        <v>202678.64</v>
      </c>
    </row>
    <row r="924" spans="1:11" x14ac:dyDescent="0.2">
      <c r="A924" s="1" t="s">
        <v>1880</v>
      </c>
      <c r="B924" s="2">
        <v>45344</v>
      </c>
      <c r="C924" s="1" t="s">
        <v>1881</v>
      </c>
      <c r="D924" s="1" t="s">
        <v>1882</v>
      </c>
      <c r="E924" s="1" t="s">
        <v>34</v>
      </c>
      <c r="F924" s="1" t="s">
        <v>52</v>
      </c>
      <c r="G924" s="1" t="s">
        <v>53</v>
      </c>
      <c r="H924" s="1" t="s">
        <v>17</v>
      </c>
      <c r="I924">
        <v>16225</v>
      </c>
      <c r="J924" s="3">
        <v>16</v>
      </c>
      <c r="K924" s="3">
        <v>259600</v>
      </c>
    </row>
    <row r="925" spans="1:11" x14ac:dyDescent="0.2">
      <c r="A925" s="1" t="s">
        <v>1883</v>
      </c>
      <c r="B925" s="2">
        <v>45964</v>
      </c>
      <c r="C925" s="1" t="s">
        <v>1513</v>
      </c>
      <c r="D925" s="1" t="s">
        <v>1514</v>
      </c>
      <c r="E925" s="1" t="s">
        <v>28</v>
      </c>
      <c r="F925" s="1" t="s">
        <v>251</v>
      </c>
      <c r="G925" s="1" t="s">
        <v>252</v>
      </c>
      <c r="H925" s="1" t="s">
        <v>72</v>
      </c>
      <c r="I925">
        <v>70240</v>
      </c>
      <c r="J925" s="3">
        <v>30.73</v>
      </c>
      <c r="K925" s="3">
        <v>2158475.2000000002</v>
      </c>
    </row>
    <row r="926" spans="1:11" x14ac:dyDescent="0.2">
      <c r="A926" s="1" t="s">
        <v>1884</v>
      </c>
      <c r="B926" s="2">
        <v>45712</v>
      </c>
      <c r="C926" s="1" t="s">
        <v>1885</v>
      </c>
      <c r="D926" s="1" t="s">
        <v>1886</v>
      </c>
      <c r="E926" s="1" t="s">
        <v>28</v>
      </c>
      <c r="F926" s="1" t="s">
        <v>273</v>
      </c>
      <c r="G926" s="1" t="s">
        <v>274</v>
      </c>
      <c r="H926" s="1" t="s">
        <v>24</v>
      </c>
      <c r="I926">
        <v>71076</v>
      </c>
      <c r="J926" s="3">
        <v>20</v>
      </c>
      <c r="K926" s="3">
        <v>1421520</v>
      </c>
    </row>
    <row r="927" spans="1:11" x14ac:dyDescent="0.2">
      <c r="A927" s="1" t="s">
        <v>1887</v>
      </c>
      <c r="B927" s="2">
        <v>45301</v>
      </c>
      <c r="C927" s="1" t="s">
        <v>400</v>
      </c>
      <c r="D927" s="1" t="s">
        <v>401</v>
      </c>
      <c r="E927" s="1" t="s">
        <v>21</v>
      </c>
      <c r="F927" s="1" t="s">
        <v>157</v>
      </c>
      <c r="G927" s="1" t="s">
        <v>158</v>
      </c>
      <c r="H927" s="1" t="s">
        <v>48</v>
      </c>
      <c r="I927">
        <v>41899</v>
      </c>
      <c r="J927" s="3">
        <v>43.81</v>
      </c>
      <c r="K927" s="3">
        <v>1835595.19</v>
      </c>
    </row>
    <row r="928" spans="1:11" x14ac:dyDescent="0.2">
      <c r="A928" s="1" t="s">
        <v>1888</v>
      </c>
      <c r="B928" s="2">
        <v>45456</v>
      </c>
      <c r="C928" s="1" t="s">
        <v>1137</v>
      </c>
      <c r="D928" s="1" t="s">
        <v>1138</v>
      </c>
      <c r="E928" s="1" t="s">
        <v>21</v>
      </c>
      <c r="F928" s="1" t="s">
        <v>761</v>
      </c>
      <c r="G928" s="1" t="s">
        <v>762</v>
      </c>
      <c r="H928" s="1" t="s">
        <v>48</v>
      </c>
      <c r="I928">
        <v>39454</v>
      </c>
      <c r="J928" s="3">
        <v>7.7</v>
      </c>
      <c r="K928" s="3">
        <v>303795.8</v>
      </c>
    </row>
    <row r="929" spans="1:11" x14ac:dyDescent="0.2">
      <c r="A929" s="1" t="s">
        <v>1889</v>
      </c>
      <c r="B929" s="2">
        <v>45647</v>
      </c>
      <c r="C929" s="1" t="s">
        <v>543</v>
      </c>
      <c r="D929" s="1" t="s">
        <v>544</v>
      </c>
      <c r="E929" s="1" t="s">
        <v>28</v>
      </c>
      <c r="F929" s="1" t="s">
        <v>273</v>
      </c>
      <c r="G929" s="1" t="s">
        <v>274</v>
      </c>
      <c r="H929" s="1" t="s">
        <v>24</v>
      </c>
      <c r="I929">
        <v>89130</v>
      </c>
      <c r="J929" s="3">
        <v>45.16</v>
      </c>
      <c r="K929" s="3">
        <v>4025110.8</v>
      </c>
    </row>
    <row r="930" spans="1:11" x14ac:dyDescent="0.2">
      <c r="A930" s="1" t="s">
        <v>1890</v>
      </c>
      <c r="B930" s="2">
        <v>45652</v>
      </c>
      <c r="C930" s="1" t="s">
        <v>1891</v>
      </c>
      <c r="D930" s="1" t="s">
        <v>1892</v>
      </c>
      <c r="E930" s="1" t="s">
        <v>14</v>
      </c>
      <c r="F930" s="1" t="s">
        <v>208</v>
      </c>
      <c r="G930" s="1" t="s">
        <v>209</v>
      </c>
      <c r="H930" s="1" t="s">
        <v>17</v>
      </c>
      <c r="I930">
        <v>47422</v>
      </c>
      <c r="J930" s="3">
        <v>46.75</v>
      </c>
      <c r="K930" s="3">
        <v>2216978.5</v>
      </c>
    </row>
    <row r="931" spans="1:11" x14ac:dyDescent="0.2">
      <c r="A931" s="1" t="s">
        <v>1893</v>
      </c>
      <c r="B931" s="2">
        <v>45594</v>
      </c>
      <c r="C931" s="1" t="s">
        <v>1894</v>
      </c>
      <c r="D931" s="1" t="s">
        <v>1895</v>
      </c>
      <c r="E931" s="1" t="s">
        <v>28</v>
      </c>
      <c r="F931" s="1" t="s">
        <v>394</v>
      </c>
      <c r="G931" s="1" t="s">
        <v>395</v>
      </c>
      <c r="H931" s="1" t="s">
        <v>48</v>
      </c>
      <c r="I931">
        <v>74208</v>
      </c>
      <c r="J931" s="3">
        <v>30.04</v>
      </c>
      <c r="K931" s="3">
        <v>2229208.3199999998</v>
      </c>
    </row>
    <row r="932" spans="1:11" x14ac:dyDescent="0.2">
      <c r="A932" s="1" t="s">
        <v>1896</v>
      </c>
      <c r="B932" s="2">
        <v>45384</v>
      </c>
      <c r="C932" s="1" t="s">
        <v>749</v>
      </c>
      <c r="D932" s="1" t="s">
        <v>750</v>
      </c>
      <c r="E932" s="1" t="s">
        <v>28</v>
      </c>
      <c r="F932" s="1" t="s">
        <v>144</v>
      </c>
      <c r="G932" s="1" t="s">
        <v>145</v>
      </c>
      <c r="H932" s="1" t="s">
        <v>24</v>
      </c>
      <c r="I932">
        <v>99219</v>
      </c>
      <c r="J932" s="3">
        <v>42.21</v>
      </c>
      <c r="K932" s="3">
        <v>4188033.99</v>
      </c>
    </row>
    <row r="933" spans="1:11" x14ac:dyDescent="0.2">
      <c r="A933" s="1" t="s">
        <v>1897</v>
      </c>
      <c r="B933" s="2">
        <v>45366</v>
      </c>
      <c r="C933" s="1" t="s">
        <v>1178</v>
      </c>
      <c r="D933" s="1" t="s">
        <v>1179</v>
      </c>
      <c r="E933" s="1" t="s">
        <v>34</v>
      </c>
      <c r="F933" s="1" t="s">
        <v>165</v>
      </c>
      <c r="G933" s="1" t="s">
        <v>166</v>
      </c>
      <c r="H933" s="1" t="s">
        <v>24</v>
      </c>
      <c r="I933">
        <v>33925</v>
      </c>
      <c r="J933" s="3">
        <v>5.24</v>
      </c>
      <c r="K933" s="3">
        <v>177767</v>
      </c>
    </row>
    <row r="934" spans="1:11" x14ac:dyDescent="0.2">
      <c r="A934" s="1" t="s">
        <v>1898</v>
      </c>
      <c r="B934" s="2">
        <v>45855</v>
      </c>
      <c r="C934" s="1" t="s">
        <v>605</v>
      </c>
      <c r="D934" s="1" t="s">
        <v>606</v>
      </c>
      <c r="E934" s="1" t="s">
        <v>14</v>
      </c>
      <c r="F934" s="1" t="s">
        <v>29</v>
      </c>
      <c r="G934" s="1" t="s">
        <v>30</v>
      </c>
      <c r="H934" s="1" t="s">
        <v>24</v>
      </c>
      <c r="I934">
        <v>6828</v>
      </c>
      <c r="J934" s="3">
        <v>5.91</v>
      </c>
      <c r="K934" s="3">
        <v>40353.480000000003</v>
      </c>
    </row>
    <row r="935" spans="1:11" x14ac:dyDescent="0.2">
      <c r="A935" s="1" t="s">
        <v>1899</v>
      </c>
      <c r="B935" s="2">
        <v>45955</v>
      </c>
      <c r="C935" s="1" t="s">
        <v>804</v>
      </c>
      <c r="D935" s="1" t="s">
        <v>805</v>
      </c>
      <c r="E935" s="1" t="s">
        <v>34</v>
      </c>
      <c r="F935" s="1" t="s">
        <v>103</v>
      </c>
      <c r="G935" s="1" t="s">
        <v>104</v>
      </c>
      <c r="H935" s="1" t="s">
        <v>37</v>
      </c>
      <c r="I935">
        <v>39515</v>
      </c>
      <c r="J935" s="3">
        <v>7.21</v>
      </c>
      <c r="K935" s="3">
        <v>284903.15000000002</v>
      </c>
    </row>
    <row r="936" spans="1:11" x14ac:dyDescent="0.2">
      <c r="A936" s="1" t="s">
        <v>1900</v>
      </c>
      <c r="B936" s="2">
        <v>45485</v>
      </c>
      <c r="C936" s="1" t="s">
        <v>1233</v>
      </c>
      <c r="D936" s="1" t="s">
        <v>1234</v>
      </c>
      <c r="E936" s="1" t="s">
        <v>14</v>
      </c>
      <c r="F936" s="1" t="s">
        <v>237</v>
      </c>
      <c r="G936" s="1" t="s">
        <v>238</v>
      </c>
      <c r="H936" s="1" t="s">
        <v>17</v>
      </c>
      <c r="I936">
        <v>64152</v>
      </c>
      <c r="J936" s="3">
        <v>28.89</v>
      </c>
      <c r="K936" s="3">
        <v>1853351.28</v>
      </c>
    </row>
    <row r="937" spans="1:11" x14ac:dyDescent="0.2">
      <c r="A937" s="1" t="s">
        <v>1901</v>
      </c>
      <c r="B937" s="2">
        <v>45318</v>
      </c>
      <c r="C937" s="1" t="s">
        <v>303</v>
      </c>
      <c r="D937" s="1" t="s">
        <v>304</v>
      </c>
      <c r="E937" s="1" t="s">
        <v>28</v>
      </c>
      <c r="F937" s="1" t="s">
        <v>108</v>
      </c>
      <c r="G937" s="1" t="s">
        <v>109</v>
      </c>
      <c r="H937" s="1" t="s">
        <v>37</v>
      </c>
      <c r="I937">
        <v>71545</v>
      </c>
      <c r="J937" s="3">
        <v>7.85</v>
      </c>
      <c r="K937" s="3">
        <v>561628.25</v>
      </c>
    </row>
    <row r="938" spans="1:11" x14ac:dyDescent="0.2">
      <c r="A938" s="1" t="s">
        <v>1902</v>
      </c>
      <c r="B938" s="2">
        <v>45941</v>
      </c>
      <c r="C938" s="1" t="s">
        <v>1903</v>
      </c>
      <c r="D938" s="1" t="s">
        <v>1904</v>
      </c>
      <c r="E938" s="1" t="s">
        <v>14</v>
      </c>
      <c r="F938" s="1" t="s">
        <v>458</v>
      </c>
      <c r="G938" s="1" t="s">
        <v>459</v>
      </c>
      <c r="H938" s="1" t="s">
        <v>72</v>
      </c>
      <c r="I938">
        <v>9961</v>
      </c>
      <c r="J938" s="3">
        <v>23.54</v>
      </c>
      <c r="K938" s="3">
        <v>234481.94</v>
      </c>
    </row>
    <row r="939" spans="1:11" x14ac:dyDescent="0.2">
      <c r="A939" s="1" t="s">
        <v>1905</v>
      </c>
      <c r="B939" s="2">
        <v>45620</v>
      </c>
      <c r="C939" s="1" t="s">
        <v>546</v>
      </c>
      <c r="D939" s="1" t="s">
        <v>547</v>
      </c>
      <c r="E939" s="1" t="s">
        <v>34</v>
      </c>
      <c r="F939" s="1" t="s">
        <v>324</v>
      </c>
      <c r="G939" s="1" t="s">
        <v>325</v>
      </c>
      <c r="H939" s="1" t="s">
        <v>24</v>
      </c>
      <c r="I939">
        <v>37644</v>
      </c>
      <c r="J939" s="3">
        <v>12.62</v>
      </c>
      <c r="K939" s="3">
        <v>475067.28</v>
      </c>
    </row>
    <row r="940" spans="1:11" x14ac:dyDescent="0.2">
      <c r="A940" s="1" t="s">
        <v>1906</v>
      </c>
      <c r="B940" s="2">
        <v>45811</v>
      </c>
      <c r="C940" s="1" t="s">
        <v>573</v>
      </c>
      <c r="D940" s="1" t="s">
        <v>574</v>
      </c>
      <c r="E940" s="1" t="s">
        <v>14</v>
      </c>
      <c r="F940" s="1" t="s">
        <v>284</v>
      </c>
      <c r="G940" s="1" t="s">
        <v>285</v>
      </c>
      <c r="H940" s="1" t="s">
        <v>37</v>
      </c>
      <c r="I940">
        <v>46240</v>
      </c>
      <c r="J940" s="3">
        <v>29.04</v>
      </c>
      <c r="K940" s="3">
        <v>1342809.6</v>
      </c>
    </row>
    <row r="941" spans="1:11" x14ac:dyDescent="0.2">
      <c r="A941" s="1" t="s">
        <v>1907</v>
      </c>
      <c r="B941" s="2">
        <v>45762</v>
      </c>
      <c r="C941" s="1" t="s">
        <v>770</v>
      </c>
      <c r="D941" s="1" t="s">
        <v>771</v>
      </c>
      <c r="E941" s="1" t="s">
        <v>34</v>
      </c>
      <c r="F941" s="1" t="s">
        <v>510</v>
      </c>
      <c r="G941" s="1" t="s">
        <v>511</v>
      </c>
      <c r="H941" s="1" t="s">
        <v>17</v>
      </c>
      <c r="I941">
        <v>73269</v>
      </c>
      <c r="J941" s="3">
        <v>34.97</v>
      </c>
      <c r="K941" s="3">
        <v>2562216.9300000002</v>
      </c>
    </row>
    <row r="942" spans="1:11" x14ac:dyDescent="0.2">
      <c r="A942" s="1" t="s">
        <v>1908</v>
      </c>
      <c r="B942" s="2">
        <v>45636</v>
      </c>
      <c r="C942" s="1" t="s">
        <v>1909</v>
      </c>
      <c r="D942" s="1" t="s">
        <v>1910</v>
      </c>
      <c r="E942" s="1" t="s">
        <v>37</v>
      </c>
      <c r="F942" s="1" t="s">
        <v>103</v>
      </c>
      <c r="G942" s="1" t="s">
        <v>104</v>
      </c>
      <c r="H942" s="1" t="s">
        <v>37</v>
      </c>
      <c r="I942">
        <v>28393</v>
      </c>
      <c r="J942" s="3">
        <v>9.59</v>
      </c>
      <c r="K942" s="3">
        <v>272288.87</v>
      </c>
    </row>
    <row r="943" spans="1:11" x14ac:dyDescent="0.2">
      <c r="A943" s="1" t="s">
        <v>1911</v>
      </c>
      <c r="B943" s="2">
        <v>45655</v>
      </c>
      <c r="C943" s="1" t="s">
        <v>1722</v>
      </c>
      <c r="D943" s="1" t="s">
        <v>1723</v>
      </c>
      <c r="E943" s="1" t="s">
        <v>34</v>
      </c>
      <c r="F943" s="1" t="s">
        <v>208</v>
      </c>
      <c r="G943" s="1" t="s">
        <v>209</v>
      </c>
      <c r="H943" s="1" t="s">
        <v>17</v>
      </c>
      <c r="I943">
        <v>21754</v>
      </c>
      <c r="J943" s="3">
        <v>6.22</v>
      </c>
      <c r="K943" s="3">
        <v>135309.88</v>
      </c>
    </row>
    <row r="944" spans="1:11" x14ac:dyDescent="0.2">
      <c r="A944" s="1" t="s">
        <v>1912</v>
      </c>
      <c r="B944" s="2">
        <v>45478</v>
      </c>
      <c r="C944" s="1" t="s">
        <v>520</v>
      </c>
      <c r="D944" s="1" t="s">
        <v>521</v>
      </c>
      <c r="E944" s="1" t="s">
        <v>37</v>
      </c>
      <c r="F944" s="1" t="s">
        <v>165</v>
      </c>
      <c r="G944" s="1" t="s">
        <v>166</v>
      </c>
      <c r="H944" s="1" t="s">
        <v>24</v>
      </c>
      <c r="I944">
        <v>50132</v>
      </c>
      <c r="J944" s="3">
        <v>33.28</v>
      </c>
      <c r="K944" s="3">
        <v>1668392.96</v>
      </c>
    </row>
    <row r="945" spans="1:11" x14ac:dyDescent="0.2">
      <c r="A945" s="1" t="s">
        <v>1913</v>
      </c>
      <c r="B945" s="2">
        <v>45993</v>
      </c>
      <c r="C945" s="1" t="s">
        <v>1449</v>
      </c>
      <c r="D945" s="1" t="s">
        <v>1450</v>
      </c>
      <c r="E945" s="1" t="s">
        <v>28</v>
      </c>
      <c r="F945" s="1" t="s">
        <v>57</v>
      </c>
      <c r="G945" s="1" t="s">
        <v>58</v>
      </c>
      <c r="H945" s="1" t="s">
        <v>48</v>
      </c>
      <c r="I945">
        <v>21223</v>
      </c>
      <c r="J945" s="3">
        <v>23.27</v>
      </c>
      <c r="K945" s="3">
        <v>493859.21</v>
      </c>
    </row>
    <row r="946" spans="1:11" x14ac:dyDescent="0.2">
      <c r="A946" s="1" t="s">
        <v>1914</v>
      </c>
      <c r="B946" s="2">
        <v>45489</v>
      </c>
      <c r="C946" s="1" t="s">
        <v>1117</v>
      </c>
      <c r="D946" s="1" t="s">
        <v>1118</v>
      </c>
      <c r="E946" s="1" t="s">
        <v>37</v>
      </c>
      <c r="F946" s="1" t="s">
        <v>29</v>
      </c>
      <c r="G946" s="1" t="s">
        <v>30</v>
      </c>
      <c r="H946" s="1" t="s">
        <v>24</v>
      </c>
      <c r="I946">
        <v>64303</v>
      </c>
      <c r="J946" s="3">
        <v>45.71</v>
      </c>
      <c r="K946" s="3">
        <v>2939290.13</v>
      </c>
    </row>
    <row r="947" spans="1:11" x14ac:dyDescent="0.2">
      <c r="A947" s="1" t="s">
        <v>1915</v>
      </c>
      <c r="B947" s="2">
        <v>45351</v>
      </c>
      <c r="C947" s="1" t="s">
        <v>639</v>
      </c>
      <c r="D947" s="1" t="s">
        <v>640</v>
      </c>
      <c r="E947" s="1" t="s">
        <v>28</v>
      </c>
      <c r="F947" s="1" t="s">
        <v>510</v>
      </c>
      <c r="G947" s="1" t="s">
        <v>511</v>
      </c>
      <c r="H947" s="1" t="s">
        <v>17</v>
      </c>
      <c r="I947">
        <v>86873</v>
      </c>
      <c r="J947" s="3">
        <v>49.45</v>
      </c>
      <c r="K947" s="3">
        <v>4295869.8499999996</v>
      </c>
    </row>
    <row r="948" spans="1:11" x14ac:dyDescent="0.2">
      <c r="A948" s="1" t="s">
        <v>1916</v>
      </c>
      <c r="B948" s="2">
        <v>45820</v>
      </c>
      <c r="C948" s="1" t="s">
        <v>602</v>
      </c>
      <c r="D948" s="1" t="s">
        <v>603</v>
      </c>
      <c r="E948" s="1" t="s">
        <v>28</v>
      </c>
      <c r="F948" s="1" t="s">
        <v>70</v>
      </c>
      <c r="G948" s="1" t="s">
        <v>71</v>
      </c>
      <c r="H948" s="1" t="s">
        <v>72</v>
      </c>
      <c r="I948">
        <v>8767</v>
      </c>
      <c r="J948" s="3">
        <v>41.7</v>
      </c>
      <c r="K948" s="3">
        <v>365583.9</v>
      </c>
    </row>
    <row r="949" spans="1:11" x14ac:dyDescent="0.2">
      <c r="A949" s="1" t="s">
        <v>1917</v>
      </c>
      <c r="B949" s="2">
        <v>45827</v>
      </c>
      <c r="C949" s="1" t="s">
        <v>580</v>
      </c>
      <c r="D949" s="1" t="s">
        <v>581</v>
      </c>
      <c r="E949" s="1" t="s">
        <v>21</v>
      </c>
      <c r="F949" s="1" t="s">
        <v>284</v>
      </c>
      <c r="G949" s="1" t="s">
        <v>285</v>
      </c>
      <c r="H949" s="1" t="s">
        <v>37</v>
      </c>
      <c r="I949">
        <v>4756</v>
      </c>
      <c r="J949" s="3">
        <v>41.92</v>
      </c>
      <c r="K949" s="3">
        <v>199371.51999999999</v>
      </c>
    </row>
    <row r="950" spans="1:11" x14ac:dyDescent="0.2">
      <c r="A950" s="1" t="s">
        <v>1918</v>
      </c>
      <c r="B950" s="2">
        <v>45497</v>
      </c>
      <c r="C950" s="1" t="s">
        <v>783</v>
      </c>
      <c r="D950" s="1" t="s">
        <v>784</v>
      </c>
      <c r="E950" s="1" t="s">
        <v>14</v>
      </c>
      <c r="F950" s="1" t="s">
        <v>540</v>
      </c>
      <c r="G950" s="1" t="s">
        <v>541</v>
      </c>
      <c r="H950" s="1" t="s">
        <v>37</v>
      </c>
      <c r="I950">
        <v>45460</v>
      </c>
      <c r="J950" s="3">
        <v>17.34</v>
      </c>
      <c r="K950" s="3">
        <v>788276.4</v>
      </c>
    </row>
    <row r="951" spans="1:11" x14ac:dyDescent="0.2">
      <c r="A951" s="1" t="s">
        <v>1919</v>
      </c>
      <c r="B951" s="2">
        <v>45379</v>
      </c>
      <c r="C951" s="1" t="s">
        <v>1520</v>
      </c>
      <c r="D951" s="1" t="s">
        <v>1521</v>
      </c>
      <c r="E951" s="1" t="s">
        <v>37</v>
      </c>
      <c r="F951" s="1" t="s">
        <v>70</v>
      </c>
      <c r="G951" s="1" t="s">
        <v>71</v>
      </c>
      <c r="H951" s="1" t="s">
        <v>72</v>
      </c>
      <c r="I951">
        <v>2029</v>
      </c>
      <c r="J951" s="3">
        <v>14.75</v>
      </c>
      <c r="K951" s="3">
        <v>29927.75</v>
      </c>
    </row>
    <row r="952" spans="1:11" x14ac:dyDescent="0.2">
      <c r="A952" s="1" t="s">
        <v>1920</v>
      </c>
      <c r="B952" s="2">
        <v>45915</v>
      </c>
      <c r="C952" s="1" t="s">
        <v>538</v>
      </c>
      <c r="D952" s="1" t="s">
        <v>539</v>
      </c>
      <c r="E952" s="1" t="s">
        <v>21</v>
      </c>
      <c r="F952" s="1" t="s">
        <v>108</v>
      </c>
      <c r="G952" s="1" t="s">
        <v>109</v>
      </c>
      <c r="H952" s="1" t="s">
        <v>37</v>
      </c>
      <c r="I952">
        <v>60521</v>
      </c>
      <c r="J952" s="3">
        <v>35.619999999999997</v>
      </c>
      <c r="K952" s="3">
        <v>2155758.02</v>
      </c>
    </row>
    <row r="953" spans="1:11" x14ac:dyDescent="0.2">
      <c r="A953" s="1" t="s">
        <v>1921</v>
      </c>
      <c r="B953" s="2">
        <v>45804</v>
      </c>
      <c r="C953" s="1" t="s">
        <v>1567</v>
      </c>
      <c r="D953" s="1" t="s">
        <v>1568</v>
      </c>
      <c r="E953" s="1" t="s">
        <v>34</v>
      </c>
      <c r="F953" s="1" t="s">
        <v>70</v>
      </c>
      <c r="G953" s="1" t="s">
        <v>71</v>
      </c>
      <c r="H953" s="1" t="s">
        <v>72</v>
      </c>
      <c r="I953">
        <v>95504</v>
      </c>
      <c r="J953" s="3">
        <v>45.86</v>
      </c>
      <c r="K953" s="3">
        <v>4379813.4400000004</v>
      </c>
    </row>
    <row r="954" spans="1:11" x14ac:dyDescent="0.2">
      <c r="A954" s="1" t="s">
        <v>1922</v>
      </c>
      <c r="B954" s="2">
        <v>45692</v>
      </c>
      <c r="C954" s="1" t="s">
        <v>936</v>
      </c>
      <c r="D954" s="1" t="s">
        <v>937</v>
      </c>
      <c r="E954" s="1" t="s">
        <v>28</v>
      </c>
      <c r="F954" s="1" t="s">
        <v>70</v>
      </c>
      <c r="G954" s="1" t="s">
        <v>71</v>
      </c>
      <c r="H954" s="1" t="s">
        <v>72</v>
      </c>
      <c r="I954">
        <v>93180</v>
      </c>
      <c r="J954" s="3">
        <v>35.630000000000003</v>
      </c>
      <c r="K954" s="3">
        <v>3320003.4</v>
      </c>
    </row>
    <row r="955" spans="1:11" x14ac:dyDescent="0.2">
      <c r="A955" s="1" t="s">
        <v>1923</v>
      </c>
      <c r="B955" s="2">
        <v>45730</v>
      </c>
      <c r="C955" s="1" t="s">
        <v>916</v>
      </c>
      <c r="D955" s="1" t="s">
        <v>917</v>
      </c>
      <c r="E955" s="1" t="s">
        <v>28</v>
      </c>
      <c r="F955" s="1" t="s">
        <v>284</v>
      </c>
      <c r="G955" s="1" t="s">
        <v>285</v>
      </c>
      <c r="H955" s="1" t="s">
        <v>37</v>
      </c>
      <c r="I955">
        <v>90494</v>
      </c>
      <c r="J955" s="3">
        <v>19.43</v>
      </c>
      <c r="K955" s="3">
        <v>1758298.42</v>
      </c>
    </row>
    <row r="956" spans="1:11" x14ac:dyDescent="0.2">
      <c r="A956" s="1" t="s">
        <v>1924</v>
      </c>
      <c r="B956" s="2">
        <v>45906</v>
      </c>
      <c r="C956" s="1" t="s">
        <v>1223</v>
      </c>
      <c r="D956" s="1" t="s">
        <v>1224</v>
      </c>
      <c r="E956" s="1" t="s">
        <v>37</v>
      </c>
      <c r="F956" s="1" t="s">
        <v>70</v>
      </c>
      <c r="G956" s="1" t="s">
        <v>71</v>
      </c>
      <c r="H956" s="1" t="s">
        <v>72</v>
      </c>
      <c r="I956">
        <v>10555</v>
      </c>
      <c r="J956" s="3">
        <v>47.11</v>
      </c>
      <c r="K956" s="3">
        <v>497246.05</v>
      </c>
    </row>
    <row r="957" spans="1:11" x14ac:dyDescent="0.2">
      <c r="A957" s="1" t="s">
        <v>1925</v>
      </c>
      <c r="B957" s="2">
        <v>45553</v>
      </c>
      <c r="C957" s="1" t="s">
        <v>391</v>
      </c>
      <c r="D957" s="1" t="s">
        <v>392</v>
      </c>
      <c r="E957" s="1" t="s">
        <v>37</v>
      </c>
      <c r="F957" s="1" t="s">
        <v>195</v>
      </c>
      <c r="G957" s="1" t="s">
        <v>196</v>
      </c>
      <c r="H957" s="1" t="s">
        <v>48</v>
      </c>
      <c r="I957">
        <v>20812</v>
      </c>
      <c r="J957" s="3">
        <v>18.329999999999998</v>
      </c>
      <c r="K957" s="3">
        <v>381483.96</v>
      </c>
    </row>
    <row r="958" spans="1:11" x14ac:dyDescent="0.2">
      <c r="A958" s="1" t="s">
        <v>1926</v>
      </c>
      <c r="B958" s="2">
        <v>45502</v>
      </c>
      <c r="C958" s="1" t="s">
        <v>743</v>
      </c>
      <c r="D958" s="1" t="s">
        <v>744</v>
      </c>
      <c r="E958" s="1" t="s">
        <v>14</v>
      </c>
      <c r="F958" s="1" t="s">
        <v>81</v>
      </c>
      <c r="G958" s="1" t="s">
        <v>82</v>
      </c>
      <c r="H958" s="1" t="s">
        <v>72</v>
      </c>
      <c r="I958">
        <v>74803</v>
      </c>
      <c r="J958" s="3">
        <v>46.52</v>
      </c>
      <c r="K958" s="3">
        <v>3479835.56</v>
      </c>
    </row>
    <row r="959" spans="1:11" x14ac:dyDescent="0.2">
      <c r="A959" s="1" t="s">
        <v>1927</v>
      </c>
      <c r="B959" s="2">
        <v>45383</v>
      </c>
      <c r="C959" s="1" t="s">
        <v>427</v>
      </c>
      <c r="D959" s="1" t="s">
        <v>428</v>
      </c>
      <c r="E959" s="1" t="s">
        <v>21</v>
      </c>
      <c r="F959" s="1" t="s">
        <v>761</v>
      </c>
      <c r="G959" s="1" t="s">
        <v>762</v>
      </c>
      <c r="H959" s="1" t="s">
        <v>48</v>
      </c>
      <c r="I959">
        <v>63951</v>
      </c>
      <c r="J959" s="3">
        <v>36.04</v>
      </c>
      <c r="K959" s="3">
        <v>2304794.04</v>
      </c>
    </row>
    <row r="960" spans="1:11" x14ac:dyDescent="0.2">
      <c r="A960" s="1" t="s">
        <v>1928</v>
      </c>
      <c r="B960" s="2">
        <v>45761</v>
      </c>
      <c r="C960" s="1" t="s">
        <v>1272</v>
      </c>
      <c r="D960" s="1" t="s">
        <v>1273</v>
      </c>
      <c r="E960" s="1" t="s">
        <v>34</v>
      </c>
      <c r="F960" s="1" t="s">
        <v>217</v>
      </c>
      <c r="G960" s="1" t="s">
        <v>218</v>
      </c>
      <c r="H960" s="1" t="s">
        <v>72</v>
      </c>
      <c r="I960">
        <v>89895</v>
      </c>
      <c r="J960" s="3">
        <v>2.63</v>
      </c>
      <c r="K960" s="3">
        <v>236423.85</v>
      </c>
    </row>
    <row r="961" spans="1:11" x14ac:dyDescent="0.2">
      <c r="A961" s="1" t="s">
        <v>1929</v>
      </c>
      <c r="B961" s="2">
        <v>45346</v>
      </c>
      <c r="C961" s="1" t="s">
        <v>1930</v>
      </c>
      <c r="D961" s="1" t="s">
        <v>1931</v>
      </c>
      <c r="E961" s="1" t="s">
        <v>14</v>
      </c>
      <c r="F961" s="1" t="s">
        <v>761</v>
      </c>
      <c r="G961" s="1" t="s">
        <v>762</v>
      </c>
      <c r="H961" s="1" t="s">
        <v>48</v>
      </c>
      <c r="I961">
        <v>34987</v>
      </c>
      <c r="J961" s="3">
        <v>10.75</v>
      </c>
      <c r="K961" s="3">
        <v>376110.25</v>
      </c>
    </row>
    <row r="962" spans="1:11" x14ac:dyDescent="0.2">
      <c r="A962" s="1" t="s">
        <v>1932</v>
      </c>
      <c r="B962" s="2">
        <v>45884</v>
      </c>
      <c r="C962" s="1" t="s">
        <v>756</v>
      </c>
      <c r="D962" s="1" t="s">
        <v>757</v>
      </c>
      <c r="E962" s="1" t="s">
        <v>34</v>
      </c>
      <c r="F962" s="1" t="s">
        <v>41</v>
      </c>
      <c r="G962" s="1" t="s">
        <v>42</v>
      </c>
      <c r="H962" s="1" t="s">
        <v>24</v>
      </c>
      <c r="I962">
        <v>76053</v>
      </c>
      <c r="J962" s="3">
        <v>18.75</v>
      </c>
      <c r="K962" s="3">
        <v>1425993.75</v>
      </c>
    </row>
    <row r="963" spans="1:11" x14ac:dyDescent="0.2">
      <c r="A963" s="1" t="s">
        <v>1933</v>
      </c>
      <c r="B963" s="2">
        <v>45317</v>
      </c>
      <c r="C963" s="1" t="s">
        <v>605</v>
      </c>
      <c r="D963" s="1" t="s">
        <v>606</v>
      </c>
      <c r="E963" s="1" t="s">
        <v>14</v>
      </c>
      <c r="F963" s="1" t="s">
        <v>412</v>
      </c>
      <c r="G963" s="1" t="s">
        <v>413</v>
      </c>
      <c r="H963" s="1" t="s">
        <v>72</v>
      </c>
      <c r="I963">
        <v>33744</v>
      </c>
      <c r="J963" s="3">
        <v>20.47</v>
      </c>
      <c r="K963" s="3">
        <v>690739.68</v>
      </c>
    </row>
    <row r="964" spans="1:11" x14ac:dyDescent="0.2">
      <c r="A964" s="1" t="s">
        <v>1934</v>
      </c>
      <c r="B964" s="2">
        <v>45514</v>
      </c>
      <c r="C964" s="1" t="s">
        <v>901</v>
      </c>
      <c r="D964" s="1" t="s">
        <v>902</v>
      </c>
      <c r="E964" s="1" t="s">
        <v>21</v>
      </c>
      <c r="F964" s="1" t="s">
        <v>458</v>
      </c>
      <c r="G964" s="1" t="s">
        <v>459</v>
      </c>
      <c r="H964" s="1" t="s">
        <v>72</v>
      </c>
      <c r="I964">
        <v>36070</v>
      </c>
      <c r="J964" s="3">
        <v>34.950000000000003</v>
      </c>
      <c r="K964" s="3">
        <v>1260646.5</v>
      </c>
    </row>
    <row r="965" spans="1:11" x14ac:dyDescent="0.2">
      <c r="A965" s="1" t="s">
        <v>1935</v>
      </c>
      <c r="B965" s="2">
        <v>45692</v>
      </c>
      <c r="C965" s="1" t="s">
        <v>220</v>
      </c>
      <c r="D965" s="1" t="s">
        <v>221</v>
      </c>
      <c r="E965" s="1" t="s">
        <v>21</v>
      </c>
      <c r="F965" s="1" t="s">
        <v>761</v>
      </c>
      <c r="G965" s="1" t="s">
        <v>762</v>
      </c>
      <c r="H965" s="1" t="s">
        <v>48</v>
      </c>
      <c r="I965">
        <v>70718</v>
      </c>
      <c r="J965" s="3">
        <v>24.99</v>
      </c>
      <c r="K965" s="3">
        <v>1767242.82</v>
      </c>
    </row>
    <row r="966" spans="1:11" x14ac:dyDescent="0.2">
      <c r="A966" s="1" t="s">
        <v>1936</v>
      </c>
      <c r="B966" s="2">
        <v>45713</v>
      </c>
      <c r="C966" s="1" t="s">
        <v>427</v>
      </c>
      <c r="D966" s="1" t="s">
        <v>428</v>
      </c>
      <c r="E966" s="1" t="s">
        <v>21</v>
      </c>
      <c r="F966" s="1" t="s">
        <v>103</v>
      </c>
      <c r="G966" s="1" t="s">
        <v>104</v>
      </c>
      <c r="H966" s="1" t="s">
        <v>37</v>
      </c>
      <c r="I966">
        <v>30949</v>
      </c>
      <c r="J966" s="3">
        <v>47.2</v>
      </c>
      <c r="K966" s="3">
        <v>1460792.8</v>
      </c>
    </row>
    <row r="967" spans="1:11" x14ac:dyDescent="0.2">
      <c r="A967" s="1" t="s">
        <v>1937</v>
      </c>
      <c r="B967" s="2">
        <v>45416</v>
      </c>
      <c r="C967" s="1" t="s">
        <v>910</v>
      </c>
      <c r="D967" s="1" t="s">
        <v>911</v>
      </c>
      <c r="E967" s="1" t="s">
        <v>28</v>
      </c>
      <c r="F967" s="1" t="s">
        <v>103</v>
      </c>
      <c r="G967" s="1" t="s">
        <v>104</v>
      </c>
      <c r="H967" s="1" t="s">
        <v>37</v>
      </c>
      <c r="I967">
        <v>51932</v>
      </c>
      <c r="J967" s="3">
        <v>31.2</v>
      </c>
      <c r="K967" s="3">
        <v>1620278.4</v>
      </c>
    </row>
    <row r="968" spans="1:11" x14ac:dyDescent="0.2">
      <c r="A968" s="1" t="s">
        <v>1938</v>
      </c>
      <c r="B968" s="2">
        <v>45483</v>
      </c>
      <c r="C968" s="1" t="s">
        <v>880</v>
      </c>
      <c r="D968" s="1" t="s">
        <v>881</v>
      </c>
      <c r="E968" s="1" t="s">
        <v>21</v>
      </c>
      <c r="F968" s="1" t="s">
        <v>113</v>
      </c>
      <c r="G968" s="1" t="s">
        <v>114</v>
      </c>
      <c r="H968" s="1" t="s">
        <v>37</v>
      </c>
      <c r="I968">
        <v>85892</v>
      </c>
      <c r="J968" s="3">
        <v>2.2000000000000002</v>
      </c>
      <c r="K968" s="3">
        <v>188962.4</v>
      </c>
    </row>
    <row r="969" spans="1:11" x14ac:dyDescent="0.2">
      <c r="A969" s="1" t="s">
        <v>1939</v>
      </c>
      <c r="B969" s="2">
        <v>45825</v>
      </c>
      <c r="C969" s="1" t="s">
        <v>1292</v>
      </c>
      <c r="D969" s="1" t="s">
        <v>1293</v>
      </c>
      <c r="E969" s="1" t="s">
        <v>21</v>
      </c>
      <c r="F969" s="1" t="s">
        <v>65</v>
      </c>
      <c r="G969" s="1" t="s">
        <v>66</v>
      </c>
      <c r="H969" s="1" t="s">
        <v>48</v>
      </c>
      <c r="I969">
        <v>89676</v>
      </c>
      <c r="J969" s="3">
        <v>19.14</v>
      </c>
      <c r="K969" s="3">
        <v>1716398.64</v>
      </c>
    </row>
    <row r="970" spans="1:11" x14ac:dyDescent="0.2">
      <c r="A970" s="1" t="s">
        <v>1940</v>
      </c>
      <c r="B970" s="2">
        <v>45342</v>
      </c>
      <c r="C970" s="1" t="s">
        <v>1108</v>
      </c>
      <c r="D970" s="1" t="s">
        <v>1109</v>
      </c>
      <c r="E970" s="1" t="s">
        <v>21</v>
      </c>
      <c r="F970" s="1" t="s">
        <v>406</v>
      </c>
      <c r="G970" s="1" t="s">
        <v>407</v>
      </c>
      <c r="H970" s="1" t="s">
        <v>17</v>
      </c>
      <c r="I970">
        <v>47551</v>
      </c>
      <c r="J970" s="3">
        <v>21.75</v>
      </c>
      <c r="K970" s="3">
        <v>1034234.25</v>
      </c>
    </row>
    <row r="971" spans="1:11" x14ac:dyDescent="0.2">
      <c r="A971" s="1" t="s">
        <v>1941</v>
      </c>
      <c r="B971" s="2">
        <v>45651</v>
      </c>
      <c r="C971" s="1" t="s">
        <v>291</v>
      </c>
      <c r="D971" s="1" t="s">
        <v>292</v>
      </c>
      <c r="E971" s="1" t="s">
        <v>14</v>
      </c>
      <c r="F971" s="1" t="s">
        <v>474</v>
      </c>
      <c r="G971" s="1" t="s">
        <v>475</v>
      </c>
      <c r="H971" s="1" t="s">
        <v>48</v>
      </c>
      <c r="I971">
        <v>23146</v>
      </c>
      <c r="J971" s="3">
        <v>36.770000000000003</v>
      </c>
      <c r="K971" s="3">
        <v>851078.42</v>
      </c>
    </row>
    <row r="972" spans="1:11" x14ac:dyDescent="0.2">
      <c r="A972" s="1" t="s">
        <v>1942</v>
      </c>
      <c r="B972" s="2">
        <v>45492</v>
      </c>
      <c r="C972" s="1" t="s">
        <v>348</v>
      </c>
      <c r="D972" s="1" t="s">
        <v>349</v>
      </c>
      <c r="E972" s="1" t="s">
        <v>28</v>
      </c>
      <c r="F972" s="1" t="s">
        <v>76</v>
      </c>
      <c r="G972" s="1" t="s">
        <v>77</v>
      </c>
      <c r="H972" s="1" t="s">
        <v>48</v>
      </c>
      <c r="I972">
        <v>90090</v>
      </c>
      <c r="J972" s="3">
        <v>30.88</v>
      </c>
      <c r="K972" s="3">
        <v>2781979.2</v>
      </c>
    </row>
    <row r="973" spans="1:11" x14ac:dyDescent="0.2">
      <c r="A973" s="1" t="s">
        <v>1943</v>
      </c>
      <c r="B973" s="2">
        <v>45453</v>
      </c>
      <c r="C973" s="1" t="s">
        <v>1073</v>
      </c>
      <c r="D973" s="1" t="s">
        <v>1074</v>
      </c>
      <c r="E973" s="1" t="s">
        <v>34</v>
      </c>
      <c r="F973" s="1" t="s">
        <v>273</v>
      </c>
      <c r="G973" s="1" t="s">
        <v>274</v>
      </c>
      <c r="H973" s="1" t="s">
        <v>24</v>
      </c>
      <c r="I973">
        <v>43446</v>
      </c>
      <c r="J973" s="3">
        <v>44.02</v>
      </c>
      <c r="K973" s="3">
        <v>1912492.92</v>
      </c>
    </row>
    <row r="974" spans="1:11" x14ac:dyDescent="0.2">
      <c r="A974" s="1" t="s">
        <v>1944</v>
      </c>
      <c r="B974" s="2">
        <v>45481</v>
      </c>
      <c r="C974" s="1" t="s">
        <v>249</v>
      </c>
      <c r="D974" s="1" t="s">
        <v>250</v>
      </c>
      <c r="E974" s="1" t="s">
        <v>21</v>
      </c>
      <c r="F974" s="1" t="s">
        <v>324</v>
      </c>
      <c r="G974" s="1" t="s">
        <v>325</v>
      </c>
      <c r="H974" s="1" t="s">
        <v>24</v>
      </c>
      <c r="I974">
        <v>49440</v>
      </c>
      <c r="J974" s="3">
        <v>17.100000000000001</v>
      </c>
      <c r="K974" s="3">
        <v>845424</v>
      </c>
    </row>
    <row r="975" spans="1:11" x14ac:dyDescent="0.2">
      <c r="A975" s="1" t="s">
        <v>1945</v>
      </c>
      <c r="B975" s="2">
        <v>45982</v>
      </c>
      <c r="C975" s="1" t="s">
        <v>1032</v>
      </c>
      <c r="D975" s="1" t="s">
        <v>1033</v>
      </c>
      <c r="E975" s="1" t="s">
        <v>34</v>
      </c>
      <c r="F975" s="1" t="s">
        <v>237</v>
      </c>
      <c r="G975" s="1" t="s">
        <v>238</v>
      </c>
      <c r="H975" s="1" t="s">
        <v>17</v>
      </c>
      <c r="I975">
        <v>4219</v>
      </c>
      <c r="J975" s="3">
        <v>47.06</v>
      </c>
      <c r="K975" s="3">
        <v>198546.14</v>
      </c>
    </row>
    <row r="976" spans="1:11" x14ac:dyDescent="0.2">
      <c r="A976" s="1" t="s">
        <v>1946</v>
      </c>
      <c r="B976" s="2">
        <v>45838</v>
      </c>
      <c r="C976" s="1" t="s">
        <v>319</v>
      </c>
      <c r="D976" s="1" t="s">
        <v>320</v>
      </c>
      <c r="E976" s="1" t="s">
        <v>21</v>
      </c>
      <c r="F976" s="1" t="s">
        <v>510</v>
      </c>
      <c r="G976" s="1" t="s">
        <v>511</v>
      </c>
      <c r="H976" s="1" t="s">
        <v>17</v>
      </c>
      <c r="I976">
        <v>82086</v>
      </c>
      <c r="J976" s="3">
        <v>47.78</v>
      </c>
      <c r="K976" s="3">
        <v>3922069.08</v>
      </c>
    </row>
    <row r="977" spans="1:11" x14ac:dyDescent="0.2">
      <c r="A977" s="1" t="s">
        <v>1947</v>
      </c>
      <c r="B977" s="2">
        <v>45976</v>
      </c>
      <c r="C977" s="1" t="s">
        <v>1317</v>
      </c>
      <c r="D977" s="1" t="s">
        <v>1318</v>
      </c>
      <c r="E977" s="1" t="s">
        <v>28</v>
      </c>
      <c r="F977" s="1" t="s">
        <v>458</v>
      </c>
      <c r="G977" s="1" t="s">
        <v>459</v>
      </c>
      <c r="H977" s="1" t="s">
        <v>72</v>
      </c>
      <c r="I977">
        <v>94658</v>
      </c>
      <c r="J977" s="3">
        <v>10.79</v>
      </c>
      <c r="K977" s="3">
        <v>1021359.82</v>
      </c>
    </row>
    <row r="978" spans="1:11" x14ac:dyDescent="0.2">
      <c r="A978" s="1" t="s">
        <v>1948</v>
      </c>
      <c r="B978" s="2">
        <v>45487</v>
      </c>
      <c r="C978" s="1" t="s">
        <v>1949</v>
      </c>
      <c r="D978" s="1" t="s">
        <v>1950</v>
      </c>
      <c r="E978" s="1" t="s">
        <v>14</v>
      </c>
      <c r="F978" s="1" t="s">
        <v>98</v>
      </c>
      <c r="G978" s="1" t="s">
        <v>99</v>
      </c>
      <c r="H978" s="1" t="s">
        <v>72</v>
      </c>
      <c r="I978">
        <v>81155</v>
      </c>
      <c r="J978" s="3">
        <v>49.29</v>
      </c>
      <c r="K978" s="3">
        <v>4000129.95</v>
      </c>
    </row>
    <row r="979" spans="1:11" x14ac:dyDescent="0.2">
      <c r="A979" s="1" t="s">
        <v>1951</v>
      </c>
      <c r="B979" s="2">
        <v>45536</v>
      </c>
      <c r="C979" s="1" t="s">
        <v>1340</v>
      </c>
      <c r="D979" s="1" t="s">
        <v>1341</v>
      </c>
      <c r="E979" s="1" t="s">
        <v>28</v>
      </c>
      <c r="F979" s="1" t="s">
        <v>436</v>
      </c>
      <c r="G979" s="1" t="s">
        <v>437</v>
      </c>
      <c r="H979" s="1" t="s">
        <v>24</v>
      </c>
      <c r="I979">
        <v>43698</v>
      </c>
      <c r="J979" s="3">
        <v>41.67</v>
      </c>
      <c r="K979" s="3">
        <v>1820895.66</v>
      </c>
    </row>
    <row r="980" spans="1:11" x14ac:dyDescent="0.2">
      <c r="A980" s="1" t="s">
        <v>1952</v>
      </c>
      <c r="B980" s="2">
        <v>45509</v>
      </c>
      <c r="C980" s="1" t="s">
        <v>1953</v>
      </c>
      <c r="D980" s="1" t="s">
        <v>1954</v>
      </c>
      <c r="E980" s="1" t="s">
        <v>34</v>
      </c>
      <c r="F980" s="1" t="s">
        <v>184</v>
      </c>
      <c r="G980" s="1" t="s">
        <v>185</v>
      </c>
      <c r="H980" s="1" t="s">
        <v>17</v>
      </c>
      <c r="I980">
        <v>2968</v>
      </c>
      <c r="J980" s="3">
        <v>16.09</v>
      </c>
      <c r="K980" s="3">
        <v>47755.12</v>
      </c>
    </row>
    <row r="981" spans="1:11" x14ac:dyDescent="0.2">
      <c r="A981" s="1" t="s">
        <v>1955</v>
      </c>
      <c r="B981" s="2">
        <v>45583</v>
      </c>
      <c r="C981" s="1" t="s">
        <v>695</v>
      </c>
      <c r="D981" s="1" t="s">
        <v>696</v>
      </c>
      <c r="E981" s="1" t="s">
        <v>14</v>
      </c>
      <c r="F981" s="1" t="s">
        <v>324</v>
      </c>
      <c r="G981" s="1" t="s">
        <v>325</v>
      </c>
      <c r="H981" s="1" t="s">
        <v>24</v>
      </c>
      <c r="I981">
        <v>37696</v>
      </c>
      <c r="J981" s="3">
        <v>25.62</v>
      </c>
      <c r="K981" s="3">
        <v>965771.52</v>
      </c>
    </row>
    <row r="982" spans="1:11" x14ac:dyDescent="0.2">
      <c r="A982" s="1" t="s">
        <v>1956</v>
      </c>
      <c r="B982" s="2">
        <v>45348</v>
      </c>
      <c r="C982" s="1" t="s">
        <v>746</v>
      </c>
      <c r="D982" s="1" t="s">
        <v>747</v>
      </c>
      <c r="E982" s="1" t="s">
        <v>37</v>
      </c>
      <c r="F982" s="1" t="s">
        <v>510</v>
      </c>
      <c r="G982" s="1" t="s">
        <v>511</v>
      </c>
      <c r="H982" s="1" t="s">
        <v>17</v>
      </c>
      <c r="I982">
        <v>45333</v>
      </c>
      <c r="J982" s="3">
        <v>36.81</v>
      </c>
      <c r="K982" s="3">
        <v>1668707.73</v>
      </c>
    </row>
    <row r="983" spans="1:11" x14ac:dyDescent="0.2">
      <c r="A983" s="1" t="s">
        <v>1957</v>
      </c>
      <c r="B983" s="2">
        <v>45480</v>
      </c>
      <c r="C983" s="1" t="s">
        <v>418</v>
      </c>
      <c r="D983" s="1" t="s">
        <v>419</v>
      </c>
      <c r="E983" s="1" t="s">
        <v>14</v>
      </c>
      <c r="F983" s="1" t="s">
        <v>330</v>
      </c>
      <c r="G983" s="1" t="s">
        <v>331</v>
      </c>
      <c r="H983" s="1" t="s">
        <v>72</v>
      </c>
      <c r="I983">
        <v>25826</v>
      </c>
      <c r="J983" s="3">
        <v>49.58</v>
      </c>
      <c r="K983" s="3">
        <v>1280453.08</v>
      </c>
    </row>
    <row r="984" spans="1:11" x14ac:dyDescent="0.2">
      <c r="A984" s="1" t="s">
        <v>1958</v>
      </c>
      <c r="B984" s="2">
        <v>45861</v>
      </c>
      <c r="C984" s="1" t="s">
        <v>929</v>
      </c>
      <c r="D984" s="1" t="s">
        <v>930</v>
      </c>
      <c r="E984" s="1" t="s">
        <v>28</v>
      </c>
      <c r="F984" s="1" t="s">
        <v>458</v>
      </c>
      <c r="G984" s="1" t="s">
        <v>459</v>
      </c>
      <c r="H984" s="1" t="s">
        <v>72</v>
      </c>
      <c r="I984">
        <v>61344</v>
      </c>
      <c r="J984" s="3">
        <v>4.75</v>
      </c>
      <c r="K984" s="3">
        <v>291384</v>
      </c>
    </row>
    <row r="985" spans="1:11" x14ac:dyDescent="0.2">
      <c r="A985" s="1" t="s">
        <v>1959</v>
      </c>
      <c r="B985" s="2">
        <v>45729</v>
      </c>
      <c r="C985" s="1" t="s">
        <v>1001</v>
      </c>
      <c r="D985" s="1" t="s">
        <v>1002</v>
      </c>
      <c r="E985" s="1" t="s">
        <v>37</v>
      </c>
      <c r="F985" s="1" t="s">
        <v>436</v>
      </c>
      <c r="G985" s="1" t="s">
        <v>437</v>
      </c>
      <c r="H985" s="1" t="s">
        <v>24</v>
      </c>
      <c r="I985">
        <v>84233</v>
      </c>
      <c r="J985" s="3">
        <v>32.06</v>
      </c>
      <c r="K985" s="3">
        <v>2700509.98</v>
      </c>
    </row>
    <row r="986" spans="1:11" x14ac:dyDescent="0.2">
      <c r="A986" s="1" t="s">
        <v>1960</v>
      </c>
      <c r="B986" s="2">
        <v>46018</v>
      </c>
      <c r="C986" s="1" t="s">
        <v>599</v>
      </c>
      <c r="D986" s="1" t="s">
        <v>600</v>
      </c>
      <c r="E986" s="1" t="s">
        <v>37</v>
      </c>
      <c r="F986" s="1" t="s">
        <v>41</v>
      </c>
      <c r="G986" s="1" t="s">
        <v>42</v>
      </c>
      <c r="H986" s="1" t="s">
        <v>24</v>
      </c>
      <c r="I986">
        <v>35305</v>
      </c>
      <c r="J986" s="3">
        <v>22.68</v>
      </c>
      <c r="K986" s="3">
        <v>800717.4</v>
      </c>
    </row>
    <row r="987" spans="1:11" x14ac:dyDescent="0.2">
      <c r="A987" s="1" t="s">
        <v>1961</v>
      </c>
      <c r="B987" s="2">
        <v>45512</v>
      </c>
      <c r="C987" s="1" t="s">
        <v>1149</v>
      </c>
      <c r="D987" s="1" t="s">
        <v>1150</v>
      </c>
      <c r="E987" s="1" t="s">
        <v>14</v>
      </c>
      <c r="F987" s="1" t="s">
        <v>463</v>
      </c>
      <c r="G987" s="1" t="s">
        <v>464</v>
      </c>
      <c r="H987" s="1" t="s">
        <v>37</v>
      </c>
      <c r="I987">
        <v>53875</v>
      </c>
      <c r="J987" s="3">
        <v>5.38</v>
      </c>
      <c r="K987" s="3">
        <v>289847.5</v>
      </c>
    </row>
    <row r="988" spans="1:11" x14ac:dyDescent="0.2">
      <c r="A988" s="1" t="s">
        <v>1962</v>
      </c>
      <c r="B988" s="2">
        <v>45616</v>
      </c>
      <c r="C988" s="1" t="s">
        <v>1064</v>
      </c>
      <c r="D988" s="1" t="s">
        <v>1065</v>
      </c>
      <c r="E988" s="1" t="s">
        <v>14</v>
      </c>
      <c r="F988" s="1" t="s">
        <v>46</v>
      </c>
      <c r="G988" s="1" t="s">
        <v>47</v>
      </c>
      <c r="H988" s="1" t="s">
        <v>48</v>
      </c>
      <c r="I988">
        <v>53566</v>
      </c>
      <c r="J988" s="3">
        <v>33.049999999999997</v>
      </c>
      <c r="K988" s="3">
        <v>1770356.3</v>
      </c>
    </row>
    <row r="989" spans="1:11" x14ac:dyDescent="0.2">
      <c r="A989" s="1" t="s">
        <v>1963</v>
      </c>
      <c r="B989" s="2">
        <v>45451</v>
      </c>
      <c r="C989" s="1" t="s">
        <v>1964</v>
      </c>
      <c r="D989" s="1" t="s">
        <v>1965</v>
      </c>
      <c r="E989" s="1" t="s">
        <v>21</v>
      </c>
      <c r="F989" s="1" t="s">
        <v>29</v>
      </c>
      <c r="G989" s="1" t="s">
        <v>30</v>
      </c>
      <c r="H989" s="1" t="s">
        <v>24</v>
      </c>
      <c r="I989">
        <v>63471</v>
      </c>
      <c r="J989" s="3">
        <v>48.08</v>
      </c>
      <c r="K989" s="3">
        <v>3051685.68</v>
      </c>
    </row>
    <row r="990" spans="1:11" x14ac:dyDescent="0.2">
      <c r="A990" s="1" t="s">
        <v>1966</v>
      </c>
      <c r="B990" s="2">
        <v>45937</v>
      </c>
      <c r="C990" s="1" t="s">
        <v>427</v>
      </c>
      <c r="D990" s="1" t="s">
        <v>428</v>
      </c>
      <c r="E990" s="1" t="s">
        <v>21</v>
      </c>
      <c r="F990" s="1" t="s">
        <v>29</v>
      </c>
      <c r="G990" s="1" t="s">
        <v>30</v>
      </c>
      <c r="H990" s="1" t="s">
        <v>24</v>
      </c>
      <c r="I990">
        <v>20427</v>
      </c>
      <c r="J990" s="3">
        <v>28.28</v>
      </c>
      <c r="K990" s="3">
        <v>577675.56000000006</v>
      </c>
    </row>
    <row r="991" spans="1:11" x14ac:dyDescent="0.2">
      <c r="A991" s="1" t="s">
        <v>1967</v>
      </c>
      <c r="B991" s="2">
        <v>45368</v>
      </c>
      <c r="C991" s="1" t="s">
        <v>851</v>
      </c>
      <c r="D991" s="1" t="s">
        <v>852</v>
      </c>
      <c r="E991" s="1" t="s">
        <v>21</v>
      </c>
      <c r="F991" s="1" t="s">
        <v>52</v>
      </c>
      <c r="G991" s="1" t="s">
        <v>53</v>
      </c>
      <c r="H991" s="1" t="s">
        <v>17</v>
      </c>
      <c r="I991">
        <v>48963</v>
      </c>
      <c r="J991" s="3">
        <v>9.1300000000000008</v>
      </c>
      <c r="K991" s="3">
        <v>447032.19</v>
      </c>
    </row>
    <row r="992" spans="1:11" x14ac:dyDescent="0.2">
      <c r="A992" s="1" t="s">
        <v>1968</v>
      </c>
      <c r="B992" s="2">
        <v>45674</v>
      </c>
      <c r="C992" s="1" t="s">
        <v>220</v>
      </c>
      <c r="D992" s="1" t="s">
        <v>221</v>
      </c>
      <c r="E992" s="1" t="s">
        <v>21</v>
      </c>
      <c r="F992" s="1" t="s">
        <v>273</v>
      </c>
      <c r="G992" s="1" t="s">
        <v>274</v>
      </c>
      <c r="H992" s="1" t="s">
        <v>24</v>
      </c>
      <c r="I992">
        <v>44136</v>
      </c>
      <c r="J992" s="3">
        <v>31.7</v>
      </c>
      <c r="K992" s="3">
        <v>1399111.2</v>
      </c>
    </row>
    <row r="993" spans="1:11" x14ac:dyDescent="0.2">
      <c r="A993" s="1" t="s">
        <v>1969</v>
      </c>
      <c r="B993" s="2">
        <v>45419</v>
      </c>
      <c r="C993" s="1" t="s">
        <v>1023</v>
      </c>
      <c r="D993" s="1" t="s">
        <v>1024</v>
      </c>
      <c r="E993" s="1" t="s">
        <v>37</v>
      </c>
      <c r="F993" s="1" t="s">
        <v>474</v>
      </c>
      <c r="G993" s="1" t="s">
        <v>475</v>
      </c>
      <c r="H993" s="1" t="s">
        <v>48</v>
      </c>
      <c r="I993">
        <v>52094</v>
      </c>
      <c r="J993" s="3">
        <v>29.36</v>
      </c>
      <c r="K993" s="3">
        <v>1529479.84</v>
      </c>
    </row>
    <row r="994" spans="1:11" x14ac:dyDescent="0.2">
      <c r="A994" s="1" t="s">
        <v>1970</v>
      </c>
      <c r="B994" s="2">
        <v>45442</v>
      </c>
      <c r="C994" s="1" t="s">
        <v>1679</v>
      </c>
      <c r="D994" s="1" t="s">
        <v>1680</v>
      </c>
      <c r="E994" s="1" t="s">
        <v>37</v>
      </c>
      <c r="F994" s="1" t="s">
        <v>412</v>
      </c>
      <c r="G994" s="1" t="s">
        <v>413</v>
      </c>
      <c r="H994" s="1" t="s">
        <v>72</v>
      </c>
      <c r="I994">
        <v>86953</v>
      </c>
      <c r="J994" s="3">
        <v>10.81</v>
      </c>
      <c r="K994" s="3">
        <v>939961.93</v>
      </c>
    </row>
    <row r="995" spans="1:11" x14ac:dyDescent="0.2">
      <c r="A995" s="1" t="s">
        <v>1971</v>
      </c>
      <c r="B995" s="2">
        <v>45778</v>
      </c>
      <c r="C995" s="1" t="s">
        <v>1972</v>
      </c>
      <c r="D995" s="1" t="s">
        <v>1973</v>
      </c>
      <c r="E995" s="1" t="s">
        <v>28</v>
      </c>
      <c r="F995" s="1" t="s">
        <v>552</v>
      </c>
      <c r="G995" s="1" t="s">
        <v>553</v>
      </c>
      <c r="H995" s="1" t="s">
        <v>37</v>
      </c>
      <c r="I995">
        <v>32573</v>
      </c>
      <c r="J995" s="3">
        <v>7.15</v>
      </c>
      <c r="K995" s="3">
        <v>232896.95</v>
      </c>
    </row>
    <row r="996" spans="1:11" x14ac:dyDescent="0.2">
      <c r="A996" s="1" t="s">
        <v>1974</v>
      </c>
      <c r="B996" s="2">
        <v>45587</v>
      </c>
      <c r="C996" s="1" t="s">
        <v>719</v>
      </c>
      <c r="D996" s="1" t="s">
        <v>720</v>
      </c>
      <c r="E996" s="1" t="s">
        <v>37</v>
      </c>
      <c r="F996" s="1" t="s">
        <v>35</v>
      </c>
      <c r="G996" s="1" t="s">
        <v>36</v>
      </c>
      <c r="H996" s="1" t="s">
        <v>37</v>
      </c>
      <c r="I996">
        <v>74287</v>
      </c>
      <c r="J996" s="3">
        <v>7.83</v>
      </c>
      <c r="K996" s="3">
        <v>581667.21</v>
      </c>
    </row>
    <row r="997" spans="1:11" x14ac:dyDescent="0.2">
      <c r="A997" s="1" t="s">
        <v>1975</v>
      </c>
      <c r="B997" s="2">
        <v>45894</v>
      </c>
      <c r="C997" s="1" t="s">
        <v>820</v>
      </c>
      <c r="D997" s="1" t="s">
        <v>821</v>
      </c>
      <c r="E997" s="1" t="s">
        <v>28</v>
      </c>
      <c r="F997" s="1" t="s">
        <v>81</v>
      </c>
      <c r="G997" s="1" t="s">
        <v>82</v>
      </c>
      <c r="H997" s="1" t="s">
        <v>72</v>
      </c>
      <c r="I997">
        <v>26567</v>
      </c>
      <c r="J997" s="3">
        <v>38.1</v>
      </c>
      <c r="K997" s="3">
        <v>1012202.7</v>
      </c>
    </row>
    <row r="998" spans="1:11" x14ac:dyDescent="0.2">
      <c r="A998" s="1" t="s">
        <v>1976</v>
      </c>
      <c r="B998" s="2">
        <v>45775</v>
      </c>
      <c r="C998" s="1" t="s">
        <v>1429</v>
      </c>
      <c r="D998" s="1" t="s">
        <v>1430</v>
      </c>
      <c r="E998" s="1" t="s">
        <v>37</v>
      </c>
      <c r="F998" s="1" t="s">
        <v>15</v>
      </c>
      <c r="G998" s="1" t="s">
        <v>16</v>
      </c>
      <c r="H998" s="1" t="s">
        <v>17</v>
      </c>
      <c r="I998">
        <v>27452</v>
      </c>
      <c r="J998" s="3">
        <v>20.04</v>
      </c>
      <c r="K998" s="3">
        <v>550138.07999999996</v>
      </c>
    </row>
    <row r="999" spans="1:11" x14ac:dyDescent="0.2">
      <c r="A999" s="1" t="s">
        <v>1977</v>
      </c>
      <c r="B999" s="2">
        <v>45675</v>
      </c>
      <c r="C999" s="1" t="s">
        <v>1191</v>
      </c>
      <c r="D999" s="1" t="s">
        <v>1192</v>
      </c>
      <c r="E999" s="1" t="s">
        <v>21</v>
      </c>
      <c r="F999" s="1" t="s">
        <v>41</v>
      </c>
      <c r="G999" s="1" t="s">
        <v>42</v>
      </c>
      <c r="H999" s="1" t="s">
        <v>24</v>
      </c>
      <c r="I999">
        <v>3983</v>
      </c>
      <c r="J999" s="3">
        <v>16.989999999999998</v>
      </c>
      <c r="K999" s="3">
        <v>67671.17</v>
      </c>
    </row>
    <row r="1000" spans="1:11" x14ac:dyDescent="0.2">
      <c r="A1000" s="1" t="s">
        <v>1978</v>
      </c>
      <c r="B1000" s="2">
        <v>45686</v>
      </c>
      <c r="C1000" s="1" t="s">
        <v>1194</v>
      </c>
      <c r="D1000" s="1" t="s">
        <v>1195</v>
      </c>
      <c r="E1000" s="1" t="s">
        <v>28</v>
      </c>
      <c r="F1000" s="1" t="s">
        <v>103</v>
      </c>
      <c r="G1000" s="1" t="s">
        <v>104</v>
      </c>
      <c r="H1000" s="1" t="s">
        <v>37</v>
      </c>
      <c r="I1000">
        <v>81526</v>
      </c>
      <c r="J1000" s="3">
        <v>33.630000000000003</v>
      </c>
      <c r="K1000" s="3">
        <v>2741719.38</v>
      </c>
    </row>
    <row r="1001" spans="1:11" x14ac:dyDescent="0.2">
      <c r="A1001" s="1" t="s">
        <v>1979</v>
      </c>
      <c r="B1001" s="2">
        <v>45510</v>
      </c>
      <c r="C1001" s="1" t="s">
        <v>1637</v>
      </c>
      <c r="D1001" s="1" t="s">
        <v>1638</v>
      </c>
      <c r="E1001" s="1" t="s">
        <v>34</v>
      </c>
      <c r="F1001" s="1" t="s">
        <v>165</v>
      </c>
      <c r="G1001" s="1" t="s">
        <v>166</v>
      </c>
      <c r="H1001" s="1" t="s">
        <v>24</v>
      </c>
      <c r="I1001">
        <v>11781</v>
      </c>
      <c r="J1001" s="3">
        <v>30.61</v>
      </c>
      <c r="K1001" s="3">
        <v>360616.41</v>
      </c>
    </row>
    <row r="1002" spans="1:11" x14ac:dyDescent="0.2">
      <c r="A1002" s="1" t="s">
        <v>1980</v>
      </c>
      <c r="B1002" s="2">
        <v>45618</v>
      </c>
      <c r="C1002" s="1" t="s">
        <v>737</v>
      </c>
      <c r="D1002" s="1" t="s">
        <v>738</v>
      </c>
      <c r="E1002" s="1" t="s">
        <v>37</v>
      </c>
      <c r="F1002" s="1" t="s">
        <v>35</v>
      </c>
      <c r="G1002" s="1" t="s">
        <v>36</v>
      </c>
      <c r="H1002" s="1" t="s">
        <v>37</v>
      </c>
      <c r="I1002">
        <v>13817</v>
      </c>
      <c r="J1002" s="3">
        <v>9.08</v>
      </c>
      <c r="K1002" s="3">
        <v>125458.36</v>
      </c>
    </row>
    <row r="1003" spans="1:11" x14ac:dyDescent="0.2">
      <c r="A1003" s="1" t="s">
        <v>1981</v>
      </c>
      <c r="B1003" s="2">
        <v>45393</v>
      </c>
      <c r="C1003" s="1" t="s">
        <v>1191</v>
      </c>
      <c r="D1003" s="1" t="s">
        <v>1192</v>
      </c>
      <c r="E1003" s="1" t="s">
        <v>21</v>
      </c>
      <c r="F1003" s="1" t="s">
        <v>540</v>
      </c>
      <c r="G1003" s="1" t="s">
        <v>541</v>
      </c>
      <c r="H1003" s="1" t="s">
        <v>37</v>
      </c>
      <c r="I1003">
        <v>53484</v>
      </c>
      <c r="J1003" s="3">
        <v>28.27</v>
      </c>
      <c r="K1003" s="3">
        <v>1511992.68</v>
      </c>
    </row>
    <row r="1004" spans="1:11" x14ac:dyDescent="0.2">
      <c r="A1004" s="1" t="s">
        <v>1982</v>
      </c>
      <c r="B1004" s="2">
        <v>45804</v>
      </c>
      <c r="C1004" s="1" t="s">
        <v>963</v>
      </c>
      <c r="D1004" s="1" t="s">
        <v>964</v>
      </c>
      <c r="E1004" s="1" t="s">
        <v>37</v>
      </c>
      <c r="F1004" s="1" t="s">
        <v>412</v>
      </c>
      <c r="G1004" s="1" t="s">
        <v>413</v>
      </c>
      <c r="H1004" s="1" t="s">
        <v>72</v>
      </c>
      <c r="I1004">
        <v>15606</v>
      </c>
      <c r="J1004" s="3">
        <v>35.75</v>
      </c>
      <c r="K1004" s="3">
        <v>557914.5</v>
      </c>
    </row>
    <row r="1005" spans="1:11" x14ac:dyDescent="0.2">
      <c r="A1005" s="1" t="s">
        <v>1983</v>
      </c>
      <c r="B1005" s="2">
        <v>45335</v>
      </c>
      <c r="C1005" s="1" t="s">
        <v>348</v>
      </c>
      <c r="D1005" s="1" t="s">
        <v>349</v>
      </c>
      <c r="E1005" s="1" t="s">
        <v>28</v>
      </c>
      <c r="F1005" s="1" t="s">
        <v>70</v>
      </c>
      <c r="G1005" s="1" t="s">
        <v>71</v>
      </c>
      <c r="H1005" s="1" t="s">
        <v>72</v>
      </c>
      <c r="I1005">
        <v>49295</v>
      </c>
      <c r="J1005" s="3">
        <v>10.71</v>
      </c>
      <c r="K1005" s="3">
        <v>527949.44999999995</v>
      </c>
    </row>
    <row r="1006" spans="1:11" x14ac:dyDescent="0.2">
      <c r="A1006" s="1" t="s">
        <v>1984</v>
      </c>
      <c r="B1006" s="2">
        <v>45846</v>
      </c>
      <c r="C1006" s="1" t="s">
        <v>1105</v>
      </c>
      <c r="D1006" s="1" t="s">
        <v>1106</v>
      </c>
      <c r="E1006" s="1" t="s">
        <v>34</v>
      </c>
      <c r="F1006" s="1" t="s">
        <v>284</v>
      </c>
      <c r="G1006" s="1" t="s">
        <v>285</v>
      </c>
      <c r="H1006" s="1" t="s">
        <v>37</v>
      </c>
      <c r="I1006">
        <v>60394</v>
      </c>
      <c r="J1006" s="3">
        <v>45.63</v>
      </c>
      <c r="K1006" s="3">
        <v>2755778.22</v>
      </c>
    </row>
    <row r="1007" spans="1:11" x14ac:dyDescent="0.2">
      <c r="A1007" s="1" t="s">
        <v>1985</v>
      </c>
      <c r="B1007" s="2">
        <v>45798</v>
      </c>
      <c r="C1007" s="1" t="s">
        <v>495</v>
      </c>
      <c r="D1007" s="1" t="s">
        <v>496</v>
      </c>
      <c r="E1007" s="1" t="s">
        <v>37</v>
      </c>
      <c r="F1007" s="1" t="s">
        <v>165</v>
      </c>
      <c r="G1007" s="1" t="s">
        <v>166</v>
      </c>
      <c r="H1007" s="1" t="s">
        <v>24</v>
      </c>
      <c r="I1007">
        <v>21781</v>
      </c>
      <c r="J1007" s="3">
        <v>28.24</v>
      </c>
      <c r="K1007" s="3">
        <v>615095.43999999994</v>
      </c>
    </row>
    <row r="1008" spans="1:11" x14ac:dyDescent="0.2">
      <c r="A1008" s="1" t="s">
        <v>1986</v>
      </c>
      <c r="B1008" s="2">
        <v>45623</v>
      </c>
      <c r="C1008" s="1" t="s">
        <v>779</v>
      </c>
      <c r="D1008" s="1" t="s">
        <v>780</v>
      </c>
      <c r="E1008" s="1" t="s">
        <v>21</v>
      </c>
      <c r="F1008" s="1" t="s">
        <v>195</v>
      </c>
      <c r="G1008" s="1" t="s">
        <v>196</v>
      </c>
      <c r="H1008" s="1" t="s">
        <v>48</v>
      </c>
      <c r="I1008">
        <v>30944</v>
      </c>
      <c r="J1008" s="3">
        <v>34.700000000000003</v>
      </c>
      <c r="K1008" s="3">
        <v>1073756.8</v>
      </c>
    </row>
    <row r="1009" spans="1:11" x14ac:dyDescent="0.2">
      <c r="A1009" s="1" t="s">
        <v>1987</v>
      </c>
      <c r="B1009" s="2">
        <v>45619</v>
      </c>
      <c r="C1009" s="1" t="s">
        <v>633</v>
      </c>
      <c r="D1009" s="1" t="s">
        <v>634</v>
      </c>
      <c r="E1009" s="1" t="s">
        <v>34</v>
      </c>
      <c r="F1009" s="1" t="s">
        <v>350</v>
      </c>
      <c r="G1009" s="1" t="s">
        <v>351</v>
      </c>
      <c r="H1009" s="1" t="s">
        <v>37</v>
      </c>
      <c r="I1009">
        <v>32440</v>
      </c>
      <c r="J1009" s="3">
        <v>40.21</v>
      </c>
      <c r="K1009" s="3">
        <v>1304412.3999999999</v>
      </c>
    </row>
    <row r="1010" spans="1:11" x14ac:dyDescent="0.2">
      <c r="A1010" s="1" t="s">
        <v>1988</v>
      </c>
      <c r="B1010" s="2">
        <v>45342</v>
      </c>
      <c r="C1010" s="1" t="s">
        <v>1216</v>
      </c>
      <c r="D1010" s="1" t="s">
        <v>1217</v>
      </c>
      <c r="E1010" s="1" t="s">
        <v>37</v>
      </c>
      <c r="F1010" s="1" t="s">
        <v>350</v>
      </c>
      <c r="G1010" s="1" t="s">
        <v>351</v>
      </c>
      <c r="H1010" s="1" t="s">
        <v>37</v>
      </c>
      <c r="I1010">
        <v>2809</v>
      </c>
      <c r="J1010" s="3">
        <v>48.35</v>
      </c>
      <c r="K1010" s="3">
        <v>135815.15</v>
      </c>
    </row>
    <row r="1011" spans="1:11" x14ac:dyDescent="0.2">
      <c r="A1011" s="1" t="s">
        <v>1989</v>
      </c>
      <c r="B1011" s="2">
        <v>45811</v>
      </c>
      <c r="C1011" s="1" t="s">
        <v>1240</v>
      </c>
      <c r="D1011" s="1" t="s">
        <v>1241</v>
      </c>
      <c r="E1011" s="1" t="s">
        <v>28</v>
      </c>
      <c r="F1011" s="1" t="s">
        <v>552</v>
      </c>
      <c r="G1011" s="1" t="s">
        <v>553</v>
      </c>
      <c r="H1011" s="1" t="s">
        <v>37</v>
      </c>
      <c r="I1011">
        <v>61919</v>
      </c>
      <c r="J1011" s="3">
        <v>48.49</v>
      </c>
      <c r="K1011" s="3">
        <v>3002452.31</v>
      </c>
    </row>
    <row r="1012" spans="1:11" x14ac:dyDescent="0.2">
      <c r="A1012" s="1" t="s">
        <v>1990</v>
      </c>
      <c r="B1012" s="2">
        <v>45748</v>
      </c>
      <c r="C1012" s="1" t="s">
        <v>942</v>
      </c>
      <c r="D1012" s="1" t="s">
        <v>943</v>
      </c>
      <c r="E1012" s="1" t="s">
        <v>28</v>
      </c>
      <c r="F1012" s="1" t="s">
        <v>98</v>
      </c>
      <c r="G1012" s="1" t="s">
        <v>99</v>
      </c>
      <c r="H1012" s="1" t="s">
        <v>72</v>
      </c>
      <c r="I1012">
        <v>98243</v>
      </c>
      <c r="J1012" s="3">
        <v>16.73</v>
      </c>
      <c r="K1012" s="3">
        <v>1643605.39</v>
      </c>
    </row>
    <row r="1013" spans="1:11" x14ac:dyDescent="0.2">
      <c r="A1013" s="1" t="s">
        <v>1991</v>
      </c>
      <c r="B1013" s="2">
        <v>45941</v>
      </c>
      <c r="C1013" s="1" t="s">
        <v>1429</v>
      </c>
      <c r="D1013" s="1" t="s">
        <v>1430</v>
      </c>
      <c r="E1013" s="1" t="s">
        <v>37</v>
      </c>
      <c r="F1013" s="1" t="s">
        <v>284</v>
      </c>
      <c r="G1013" s="1" t="s">
        <v>285</v>
      </c>
      <c r="H1013" s="1" t="s">
        <v>37</v>
      </c>
      <c r="I1013">
        <v>1446</v>
      </c>
      <c r="J1013" s="3">
        <v>26.27</v>
      </c>
      <c r="K1013" s="3">
        <v>37986.42</v>
      </c>
    </row>
    <row r="1014" spans="1:11" x14ac:dyDescent="0.2">
      <c r="A1014" s="1" t="s">
        <v>1992</v>
      </c>
      <c r="B1014" s="2">
        <v>45461</v>
      </c>
      <c r="C1014" s="1" t="s">
        <v>664</v>
      </c>
      <c r="D1014" s="1" t="s">
        <v>665</v>
      </c>
      <c r="E1014" s="1" t="s">
        <v>21</v>
      </c>
      <c r="F1014" s="1" t="s">
        <v>184</v>
      </c>
      <c r="G1014" s="1" t="s">
        <v>185</v>
      </c>
      <c r="H1014" s="1" t="s">
        <v>17</v>
      </c>
      <c r="I1014">
        <v>8821</v>
      </c>
      <c r="J1014" s="3">
        <v>36.450000000000003</v>
      </c>
      <c r="K1014" s="3">
        <v>321525.45</v>
      </c>
    </row>
    <row r="1015" spans="1:11" x14ac:dyDescent="0.2">
      <c r="A1015" s="1" t="s">
        <v>1993</v>
      </c>
      <c r="B1015" s="2">
        <v>45723</v>
      </c>
      <c r="C1015" s="1" t="s">
        <v>1994</v>
      </c>
      <c r="D1015" s="1" t="s">
        <v>1995</v>
      </c>
      <c r="E1015" s="1" t="s">
        <v>28</v>
      </c>
      <c r="F1015" s="1" t="s">
        <v>436</v>
      </c>
      <c r="G1015" s="1" t="s">
        <v>437</v>
      </c>
      <c r="H1015" s="1" t="s">
        <v>24</v>
      </c>
      <c r="I1015">
        <v>10262</v>
      </c>
      <c r="J1015" s="3">
        <v>38.86</v>
      </c>
      <c r="K1015" s="3">
        <v>398781.32</v>
      </c>
    </row>
    <row r="1016" spans="1:11" x14ac:dyDescent="0.2">
      <c r="A1016" s="1" t="s">
        <v>1996</v>
      </c>
      <c r="B1016" s="2">
        <v>45779</v>
      </c>
      <c r="C1016" s="1" t="s">
        <v>297</v>
      </c>
      <c r="D1016" s="1" t="s">
        <v>298</v>
      </c>
      <c r="E1016" s="1" t="s">
        <v>21</v>
      </c>
      <c r="F1016" s="1" t="s">
        <v>29</v>
      </c>
      <c r="G1016" s="1" t="s">
        <v>30</v>
      </c>
      <c r="H1016" s="1" t="s">
        <v>24</v>
      </c>
      <c r="I1016">
        <v>79258</v>
      </c>
      <c r="J1016" s="3">
        <v>46.24</v>
      </c>
      <c r="K1016" s="3">
        <v>3664889.92</v>
      </c>
    </row>
    <row r="1017" spans="1:11" x14ac:dyDescent="0.2">
      <c r="A1017" s="1" t="s">
        <v>1997</v>
      </c>
      <c r="B1017" s="2">
        <v>45385</v>
      </c>
      <c r="C1017" s="1" t="s">
        <v>798</v>
      </c>
      <c r="D1017" s="1" t="s">
        <v>799</v>
      </c>
      <c r="E1017" s="1" t="s">
        <v>34</v>
      </c>
      <c r="F1017" s="1" t="s">
        <v>273</v>
      </c>
      <c r="G1017" s="1" t="s">
        <v>274</v>
      </c>
      <c r="H1017" s="1" t="s">
        <v>24</v>
      </c>
      <c r="I1017">
        <v>29050</v>
      </c>
      <c r="J1017" s="3">
        <v>37.340000000000003</v>
      </c>
      <c r="K1017" s="3">
        <v>1084727</v>
      </c>
    </row>
    <row r="1018" spans="1:11" x14ac:dyDescent="0.2">
      <c r="A1018" s="1" t="s">
        <v>1998</v>
      </c>
      <c r="B1018" s="2">
        <v>45692</v>
      </c>
      <c r="C1018" s="1" t="s">
        <v>1999</v>
      </c>
      <c r="D1018" s="1" t="s">
        <v>2000</v>
      </c>
      <c r="E1018" s="1" t="s">
        <v>21</v>
      </c>
      <c r="F1018" s="1" t="s">
        <v>113</v>
      </c>
      <c r="G1018" s="1" t="s">
        <v>114</v>
      </c>
      <c r="H1018" s="1" t="s">
        <v>37</v>
      </c>
      <c r="I1018">
        <v>51907</v>
      </c>
      <c r="J1018" s="3">
        <v>23.94</v>
      </c>
      <c r="K1018" s="3">
        <v>1242653.58</v>
      </c>
    </row>
    <row r="1019" spans="1:11" x14ac:dyDescent="0.2">
      <c r="A1019" s="1" t="s">
        <v>2001</v>
      </c>
      <c r="B1019" s="2">
        <v>45874</v>
      </c>
      <c r="C1019" s="1" t="s">
        <v>2002</v>
      </c>
      <c r="D1019" s="1" t="s">
        <v>2003</v>
      </c>
      <c r="E1019" s="1" t="s">
        <v>34</v>
      </c>
      <c r="F1019" s="1" t="s">
        <v>208</v>
      </c>
      <c r="G1019" s="1" t="s">
        <v>209</v>
      </c>
      <c r="H1019" s="1" t="s">
        <v>17</v>
      </c>
      <c r="I1019">
        <v>98902</v>
      </c>
      <c r="J1019" s="3">
        <v>20.78</v>
      </c>
      <c r="K1019" s="3">
        <v>2055183.56</v>
      </c>
    </row>
    <row r="1020" spans="1:11" x14ac:dyDescent="0.2">
      <c r="A1020" s="1" t="s">
        <v>2004</v>
      </c>
      <c r="B1020" s="2">
        <v>45307</v>
      </c>
      <c r="C1020" s="1" t="s">
        <v>692</v>
      </c>
      <c r="D1020" s="1" t="s">
        <v>693</v>
      </c>
      <c r="E1020" s="1" t="s">
        <v>28</v>
      </c>
      <c r="F1020" s="1" t="s">
        <v>184</v>
      </c>
      <c r="G1020" s="1" t="s">
        <v>185</v>
      </c>
      <c r="H1020" s="1" t="s">
        <v>17</v>
      </c>
      <c r="I1020">
        <v>46896</v>
      </c>
      <c r="J1020" s="3">
        <v>39.06</v>
      </c>
      <c r="K1020" s="3">
        <v>1831757.76</v>
      </c>
    </row>
    <row r="1021" spans="1:11" x14ac:dyDescent="0.2">
      <c r="A1021" s="1" t="s">
        <v>2005</v>
      </c>
      <c r="B1021" s="2">
        <v>45791</v>
      </c>
      <c r="C1021" s="1" t="s">
        <v>1272</v>
      </c>
      <c r="D1021" s="1" t="s">
        <v>1273</v>
      </c>
      <c r="E1021" s="1" t="s">
        <v>34</v>
      </c>
      <c r="F1021" s="1" t="s">
        <v>98</v>
      </c>
      <c r="G1021" s="1" t="s">
        <v>99</v>
      </c>
      <c r="H1021" s="1" t="s">
        <v>72</v>
      </c>
      <c r="I1021">
        <v>90309</v>
      </c>
      <c r="J1021" s="3">
        <v>34.01</v>
      </c>
      <c r="K1021" s="3">
        <v>3071409.09</v>
      </c>
    </row>
    <row r="1022" spans="1:11" x14ac:dyDescent="0.2">
      <c r="A1022" s="1" t="s">
        <v>2006</v>
      </c>
      <c r="B1022" s="2">
        <v>45764</v>
      </c>
      <c r="C1022" s="1" t="s">
        <v>179</v>
      </c>
      <c r="D1022" s="1" t="s">
        <v>180</v>
      </c>
      <c r="E1022" s="1" t="s">
        <v>37</v>
      </c>
      <c r="F1022" s="1" t="s">
        <v>57</v>
      </c>
      <c r="G1022" s="1" t="s">
        <v>58</v>
      </c>
      <c r="H1022" s="1" t="s">
        <v>48</v>
      </c>
      <c r="I1022">
        <v>85406</v>
      </c>
      <c r="J1022" s="3">
        <v>6.76</v>
      </c>
      <c r="K1022" s="3">
        <v>577344.56000000006</v>
      </c>
    </row>
    <row r="1023" spans="1:11" x14ac:dyDescent="0.2">
      <c r="A1023" s="1" t="s">
        <v>2007</v>
      </c>
      <c r="B1023" s="2">
        <v>45840</v>
      </c>
      <c r="C1023" s="1" t="s">
        <v>605</v>
      </c>
      <c r="D1023" s="1" t="s">
        <v>606</v>
      </c>
      <c r="E1023" s="1" t="s">
        <v>14</v>
      </c>
      <c r="F1023" s="1" t="s">
        <v>268</v>
      </c>
      <c r="G1023" s="1" t="s">
        <v>269</v>
      </c>
      <c r="H1023" s="1" t="s">
        <v>72</v>
      </c>
      <c r="I1023">
        <v>12785</v>
      </c>
      <c r="J1023" s="3">
        <v>31.11</v>
      </c>
      <c r="K1023" s="3">
        <v>397741.35</v>
      </c>
    </row>
    <row r="1024" spans="1:11" x14ac:dyDescent="0.2">
      <c r="A1024" s="1" t="s">
        <v>2008</v>
      </c>
      <c r="B1024" s="2">
        <v>45411</v>
      </c>
      <c r="C1024" s="1" t="s">
        <v>823</v>
      </c>
      <c r="D1024" s="1" t="s">
        <v>824</v>
      </c>
      <c r="E1024" s="1" t="s">
        <v>21</v>
      </c>
      <c r="F1024" s="1" t="s">
        <v>324</v>
      </c>
      <c r="G1024" s="1" t="s">
        <v>325</v>
      </c>
      <c r="H1024" s="1" t="s">
        <v>24</v>
      </c>
      <c r="I1024">
        <v>48721</v>
      </c>
      <c r="J1024" s="3">
        <v>43.4</v>
      </c>
      <c r="K1024" s="3">
        <v>2114491.4</v>
      </c>
    </row>
    <row r="1025" spans="1:11" x14ac:dyDescent="0.2">
      <c r="A1025" s="1" t="s">
        <v>2009</v>
      </c>
      <c r="B1025" s="2">
        <v>45996</v>
      </c>
      <c r="C1025" s="1" t="s">
        <v>654</v>
      </c>
      <c r="D1025" s="1" t="s">
        <v>655</v>
      </c>
      <c r="E1025" s="1" t="s">
        <v>14</v>
      </c>
      <c r="F1025" s="1" t="s">
        <v>157</v>
      </c>
      <c r="G1025" s="1" t="s">
        <v>158</v>
      </c>
      <c r="H1025" s="1" t="s">
        <v>48</v>
      </c>
      <c r="I1025">
        <v>72615</v>
      </c>
      <c r="J1025" s="3">
        <v>43.61</v>
      </c>
      <c r="K1025" s="3">
        <v>3166740.15</v>
      </c>
    </row>
    <row r="1026" spans="1:11" x14ac:dyDescent="0.2">
      <c r="A1026" s="1" t="s">
        <v>2010</v>
      </c>
      <c r="B1026" s="2">
        <v>45445</v>
      </c>
      <c r="C1026" s="1" t="s">
        <v>2011</v>
      </c>
      <c r="D1026" s="1" t="s">
        <v>2012</v>
      </c>
      <c r="E1026" s="1" t="s">
        <v>37</v>
      </c>
      <c r="F1026" s="1" t="s">
        <v>98</v>
      </c>
      <c r="G1026" s="1" t="s">
        <v>99</v>
      </c>
      <c r="H1026" s="1" t="s">
        <v>72</v>
      </c>
      <c r="I1026">
        <v>33104</v>
      </c>
      <c r="J1026" s="3">
        <v>33.630000000000003</v>
      </c>
      <c r="K1026" s="3">
        <v>1113287.52</v>
      </c>
    </row>
    <row r="1027" spans="1:11" x14ac:dyDescent="0.2">
      <c r="A1027" s="1" t="s">
        <v>2013</v>
      </c>
      <c r="B1027" s="2">
        <v>45647</v>
      </c>
      <c r="C1027" s="1" t="s">
        <v>1302</v>
      </c>
      <c r="D1027" s="1" t="s">
        <v>1303</v>
      </c>
      <c r="E1027" s="1" t="s">
        <v>37</v>
      </c>
      <c r="F1027" s="1" t="s">
        <v>406</v>
      </c>
      <c r="G1027" s="1" t="s">
        <v>407</v>
      </c>
      <c r="H1027" s="1" t="s">
        <v>17</v>
      </c>
      <c r="I1027">
        <v>86883</v>
      </c>
      <c r="J1027" s="3">
        <v>45.18</v>
      </c>
      <c r="K1027" s="3">
        <v>3925373.94</v>
      </c>
    </row>
    <row r="1028" spans="1:11" x14ac:dyDescent="0.2">
      <c r="A1028" s="1" t="s">
        <v>2014</v>
      </c>
      <c r="B1028" s="2">
        <v>45849</v>
      </c>
      <c r="C1028" s="1" t="s">
        <v>1626</v>
      </c>
      <c r="D1028" s="1" t="s">
        <v>1627</v>
      </c>
      <c r="E1028" s="1" t="s">
        <v>34</v>
      </c>
      <c r="F1028" s="1" t="s">
        <v>184</v>
      </c>
      <c r="G1028" s="1" t="s">
        <v>185</v>
      </c>
      <c r="H1028" s="1" t="s">
        <v>17</v>
      </c>
      <c r="I1028">
        <v>58863</v>
      </c>
      <c r="J1028" s="3">
        <v>47.35</v>
      </c>
      <c r="K1028" s="3">
        <v>2787163.05</v>
      </c>
    </row>
    <row r="1029" spans="1:11" x14ac:dyDescent="0.2">
      <c r="A1029" s="1" t="s">
        <v>2015</v>
      </c>
      <c r="B1029" s="2">
        <v>45862</v>
      </c>
      <c r="C1029" s="1" t="s">
        <v>249</v>
      </c>
      <c r="D1029" s="1" t="s">
        <v>250</v>
      </c>
      <c r="E1029" s="1" t="s">
        <v>21</v>
      </c>
      <c r="F1029" s="1" t="s">
        <v>350</v>
      </c>
      <c r="G1029" s="1" t="s">
        <v>351</v>
      </c>
      <c r="H1029" s="1" t="s">
        <v>37</v>
      </c>
      <c r="I1029">
        <v>98252</v>
      </c>
      <c r="J1029" s="3">
        <v>34.03</v>
      </c>
      <c r="K1029" s="3">
        <v>3343515.56</v>
      </c>
    </row>
    <row r="1030" spans="1:11" x14ac:dyDescent="0.2">
      <c r="A1030" s="1" t="s">
        <v>2016</v>
      </c>
      <c r="B1030" s="2">
        <v>45497</v>
      </c>
      <c r="C1030" s="1" t="s">
        <v>1598</v>
      </c>
      <c r="D1030" s="1" t="s">
        <v>1599</v>
      </c>
      <c r="E1030" s="1" t="s">
        <v>34</v>
      </c>
      <c r="F1030" s="1" t="s">
        <v>217</v>
      </c>
      <c r="G1030" s="1" t="s">
        <v>218</v>
      </c>
      <c r="H1030" s="1" t="s">
        <v>72</v>
      </c>
      <c r="I1030">
        <v>19758</v>
      </c>
      <c r="J1030" s="3">
        <v>28.28</v>
      </c>
      <c r="K1030" s="3">
        <v>558756.24</v>
      </c>
    </row>
    <row r="1031" spans="1:11" x14ac:dyDescent="0.2">
      <c r="A1031" s="1" t="s">
        <v>2017</v>
      </c>
      <c r="B1031" s="2">
        <v>45620</v>
      </c>
      <c r="C1031" s="1" t="s">
        <v>427</v>
      </c>
      <c r="D1031" s="1" t="s">
        <v>428</v>
      </c>
      <c r="E1031" s="1" t="s">
        <v>21</v>
      </c>
      <c r="F1031" s="1" t="s">
        <v>268</v>
      </c>
      <c r="G1031" s="1" t="s">
        <v>269</v>
      </c>
      <c r="H1031" s="1" t="s">
        <v>72</v>
      </c>
      <c r="I1031">
        <v>53323</v>
      </c>
      <c r="J1031" s="3">
        <v>16.170000000000002</v>
      </c>
      <c r="K1031" s="3">
        <v>862232.91</v>
      </c>
    </row>
    <row r="1032" spans="1:11" x14ac:dyDescent="0.2">
      <c r="A1032" s="1" t="s">
        <v>2018</v>
      </c>
      <c r="B1032" s="2">
        <v>45815</v>
      </c>
      <c r="C1032" s="1" t="s">
        <v>1747</v>
      </c>
      <c r="D1032" s="1" t="s">
        <v>1748</v>
      </c>
      <c r="E1032" s="1" t="s">
        <v>37</v>
      </c>
      <c r="F1032" s="1" t="s">
        <v>761</v>
      </c>
      <c r="G1032" s="1" t="s">
        <v>762</v>
      </c>
      <c r="H1032" s="1" t="s">
        <v>48</v>
      </c>
      <c r="I1032">
        <v>29845</v>
      </c>
      <c r="J1032" s="3">
        <v>2.5</v>
      </c>
      <c r="K1032" s="3">
        <v>74612.5</v>
      </c>
    </row>
    <row r="1033" spans="1:11" x14ac:dyDescent="0.2">
      <c r="A1033" s="1" t="s">
        <v>2019</v>
      </c>
      <c r="B1033" s="2">
        <v>45599</v>
      </c>
      <c r="C1033" s="1" t="s">
        <v>746</v>
      </c>
      <c r="D1033" s="1" t="s">
        <v>747</v>
      </c>
      <c r="E1033" s="1" t="s">
        <v>37</v>
      </c>
      <c r="F1033" s="1" t="s">
        <v>339</v>
      </c>
      <c r="G1033" s="1" t="s">
        <v>340</v>
      </c>
      <c r="H1033" s="1" t="s">
        <v>24</v>
      </c>
      <c r="I1033">
        <v>95689</v>
      </c>
      <c r="J1033" s="3">
        <v>45.8</v>
      </c>
      <c r="K1033" s="3">
        <v>4382556.2</v>
      </c>
    </row>
    <row r="1034" spans="1:11" x14ac:dyDescent="0.2">
      <c r="A1034" s="1" t="s">
        <v>2020</v>
      </c>
      <c r="B1034" s="2">
        <v>45606</v>
      </c>
      <c r="C1034" s="1" t="s">
        <v>1718</v>
      </c>
      <c r="D1034" s="1" t="s">
        <v>1719</v>
      </c>
      <c r="E1034" s="1" t="s">
        <v>21</v>
      </c>
      <c r="F1034" s="1" t="s">
        <v>273</v>
      </c>
      <c r="G1034" s="1" t="s">
        <v>274</v>
      </c>
      <c r="H1034" s="1" t="s">
        <v>24</v>
      </c>
      <c r="I1034">
        <v>60134</v>
      </c>
      <c r="J1034" s="3">
        <v>19.21</v>
      </c>
      <c r="K1034" s="3">
        <v>1155174.1399999999</v>
      </c>
    </row>
    <row r="1035" spans="1:11" x14ac:dyDescent="0.2">
      <c r="A1035" s="1" t="s">
        <v>2021</v>
      </c>
      <c r="B1035" s="2">
        <v>45773</v>
      </c>
      <c r="C1035" s="1" t="s">
        <v>672</v>
      </c>
      <c r="D1035" s="1" t="s">
        <v>673</v>
      </c>
      <c r="E1035" s="1" t="s">
        <v>21</v>
      </c>
      <c r="F1035" s="1" t="s">
        <v>35</v>
      </c>
      <c r="G1035" s="1" t="s">
        <v>36</v>
      </c>
      <c r="H1035" s="1" t="s">
        <v>37</v>
      </c>
      <c r="I1035">
        <v>61266</v>
      </c>
      <c r="J1035" s="3">
        <v>35.71</v>
      </c>
      <c r="K1035" s="3">
        <v>2187808.86</v>
      </c>
    </row>
    <row r="1036" spans="1:11" x14ac:dyDescent="0.2">
      <c r="A1036" s="1" t="s">
        <v>2022</v>
      </c>
      <c r="B1036" s="2">
        <v>45580</v>
      </c>
      <c r="C1036" s="1" t="s">
        <v>886</v>
      </c>
      <c r="D1036" s="1" t="s">
        <v>887</v>
      </c>
      <c r="E1036" s="1" t="s">
        <v>21</v>
      </c>
      <c r="F1036" s="1" t="s">
        <v>157</v>
      </c>
      <c r="G1036" s="1" t="s">
        <v>158</v>
      </c>
      <c r="H1036" s="1" t="s">
        <v>48</v>
      </c>
      <c r="I1036">
        <v>96705</v>
      </c>
      <c r="J1036" s="3">
        <v>11.01</v>
      </c>
      <c r="K1036" s="3">
        <v>1064722.05</v>
      </c>
    </row>
    <row r="1037" spans="1:11" x14ac:dyDescent="0.2">
      <c r="A1037" s="1" t="s">
        <v>2023</v>
      </c>
      <c r="B1037" s="2">
        <v>45419</v>
      </c>
      <c r="C1037" s="1" t="s">
        <v>1513</v>
      </c>
      <c r="D1037" s="1" t="s">
        <v>1514</v>
      </c>
      <c r="E1037" s="1" t="s">
        <v>28</v>
      </c>
      <c r="F1037" s="1" t="s">
        <v>203</v>
      </c>
      <c r="G1037" s="1" t="s">
        <v>204</v>
      </c>
      <c r="H1037" s="1" t="s">
        <v>72</v>
      </c>
      <c r="I1037">
        <v>65666</v>
      </c>
      <c r="J1037" s="3">
        <v>13.17</v>
      </c>
      <c r="K1037" s="3">
        <v>864821.22</v>
      </c>
    </row>
    <row r="1038" spans="1:11" x14ac:dyDescent="0.2">
      <c r="A1038" s="1" t="s">
        <v>2024</v>
      </c>
      <c r="B1038" s="2">
        <v>45841</v>
      </c>
      <c r="C1038" s="1" t="s">
        <v>791</v>
      </c>
      <c r="D1038" s="1" t="s">
        <v>792</v>
      </c>
      <c r="E1038" s="1" t="s">
        <v>34</v>
      </c>
      <c r="F1038" s="1" t="s">
        <v>412</v>
      </c>
      <c r="G1038" s="1" t="s">
        <v>413</v>
      </c>
      <c r="H1038" s="1" t="s">
        <v>72</v>
      </c>
      <c r="I1038">
        <v>64874</v>
      </c>
      <c r="J1038" s="3">
        <v>19.71</v>
      </c>
      <c r="K1038" s="3">
        <v>1278666.54</v>
      </c>
    </row>
    <row r="1039" spans="1:11" x14ac:dyDescent="0.2">
      <c r="A1039" s="1" t="s">
        <v>2025</v>
      </c>
      <c r="B1039" s="2">
        <v>45347</v>
      </c>
      <c r="C1039" s="1" t="s">
        <v>1871</v>
      </c>
      <c r="D1039" s="1" t="s">
        <v>1872</v>
      </c>
      <c r="E1039" s="1" t="s">
        <v>34</v>
      </c>
      <c r="F1039" s="1" t="s">
        <v>412</v>
      </c>
      <c r="G1039" s="1" t="s">
        <v>413</v>
      </c>
      <c r="H1039" s="1" t="s">
        <v>72</v>
      </c>
      <c r="I1039">
        <v>95278</v>
      </c>
      <c r="J1039" s="3">
        <v>3.82</v>
      </c>
      <c r="K1039" s="3">
        <v>363961.96</v>
      </c>
    </row>
    <row r="1040" spans="1:11" x14ac:dyDescent="0.2">
      <c r="A1040" s="1" t="s">
        <v>2026</v>
      </c>
      <c r="B1040" s="2">
        <v>46022</v>
      </c>
      <c r="C1040" s="1" t="s">
        <v>543</v>
      </c>
      <c r="D1040" s="1" t="s">
        <v>544</v>
      </c>
      <c r="E1040" s="1" t="s">
        <v>28</v>
      </c>
      <c r="F1040" s="1" t="s">
        <v>113</v>
      </c>
      <c r="G1040" s="1" t="s">
        <v>114</v>
      </c>
      <c r="H1040" s="1" t="s">
        <v>37</v>
      </c>
      <c r="I1040">
        <v>76725</v>
      </c>
      <c r="J1040" s="3">
        <v>10.5</v>
      </c>
      <c r="K1040" s="3">
        <v>805612.5</v>
      </c>
    </row>
    <row r="1041" spans="1:11" x14ac:dyDescent="0.2">
      <c r="A1041" s="1" t="s">
        <v>2027</v>
      </c>
      <c r="B1041" s="2">
        <v>45797</v>
      </c>
      <c r="C1041" s="1" t="s">
        <v>1240</v>
      </c>
      <c r="D1041" s="1" t="s">
        <v>1241</v>
      </c>
      <c r="E1041" s="1" t="s">
        <v>28</v>
      </c>
      <c r="F1041" s="1" t="s">
        <v>436</v>
      </c>
      <c r="G1041" s="1" t="s">
        <v>437</v>
      </c>
      <c r="H1041" s="1" t="s">
        <v>24</v>
      </c>
      <c r="I1041">
        <v>7977</v>
      </c>
      <c r="J1041" s="3">
        <v>18.86</v>
      </c>
      <c r="K1041" s="3">
        <v>150446.22</v>
      </c>
    </row>
    <row r="1042" spans="1:11" x14ac:dyDescent="0.2">
      <c r="A1042" s="1" t="s">
        <v>2028</v>
      </c>
      <c r="B1042" s="2">
        <v>45340</v>
      </c>
      <c r="C1042" s="1" t="s">
        <v>877</v>
      </c>
      <c r="D1042" s="1" t="s">
        <v>878</v>
      </c>
      <c r="E1042" s="1" t="s">
        <v>37</v>
      </c>
      <c r="F1042" s="1" t="s">
        <v>157</v>
      </c>
      <c r="G1042" s="1" t="s">
        <v>158</v>
      </c>
      <c r="H1042" s="1" t="s">
        <v>48</v>
      </c>
      <c r="I1042">
        <v>1047</v>
      </c>
      <c r="J1042" s="3">
        <v>6.82</v>
      </c>
      <c r="K1042" s="3">
        <v>7140.54</v>
      </c>
    </row>
    <row r="1043" spans="1:11" x14ac:dyDescent="0.2">
      <c r="A1043" s="1" t="s">
        <v>2029</v>
      </c>
      <c r="B1043" s="2">
        <v>45300</v>
      </c>
      <c r="C1043" s="1" t="s">
        <v>951</v>
      </c>
      <c r="D1043" s="1" t="s">
        <v>952</v>
      </c>
      <c r="E1043" s="1" t="s">
        <v>14</v>
      </c>
      <c r="F1043" s="1" t="s">
        <v>394</v>
      </c>
      <c r="G1043" s="1" t="s">
        <v>395</v>
      </c>
      <c r="H1043" s="1" t="s">
        <v>48</v>
      </c>
      <c r="I1043">
        <v>86550</v>
      </c>
      <c r="J1043" s="3">
        <v>13.84</v>
      </c>
      <c r="K1043" s="3">
        <v>1197852</v>
      </c>
    </row>
    <row r="1044" spans="1:11" x14ac:dyDescent="0.2">
      <c r="A1044" s="1" t="s">
        <v>2030</v>
      </c>
      <c r="B1044" s="2">
        <v>45492</v>
      </c>
      <c r="C1044" s="1" t="s">
        <v>2031</v>
      </c>
      <c r="D1044" s="1" t="s">
        <v>2032</v>
      </c>
      <c r="E1044" s="1" t="s">
        <v>14</v>
      </c>
      <c r="F1044" s="1" t="s">
        <v>144</v>
      </c>
      <c r="G1044" s="1" t="s">
        <v>145</v>
      </c>
      <c r="H1044" s="1" t="s">
        <v>24</v>
      </c>
      <c r="I1044">
        <v>3739</v>
      </c>
      <c r="J1044" s="3">
        <v>30.72</v>
      </c>
      <c r="K1044" s="3">
        <v>114862.08</v>
      </c>
    </row>
    <row r="1045" spans="1:11" x14ac:dyDescent="0.2">
      <c r="A1045" s="1" t="s">
        <v>2033</v>
      </c>
      <c r="B1045" s="2">
        <v>45507</v>
      </c>
      <c r="C1045" s="1" t="s">
        <v>573</v>
      </c>
      <c r="D1045" s="1" t="s">
        <v>574</v>
      </c>
      <c r="E1045" s="1" t="s">
        <v>14</v>
      </c>
      <c r="F1045" s="1" t="s">
        <v>268</v>
      </c>
      <c r="G1045" s="1" t="s">
        <v>269</v>
      </c>
      <c r="H1045" s="1" t="s">
        <v>72</v>
      </c>
      <c r="I1045">
        <v>6592</v>
      </c>
      <c r="J1045" s="3">
        <v>40.03</v>
      </c>
      <c r="K1045" s="3">
        <v>263877.76000000001</v>
      </c>
    </row>
    <row r="1046" spans="1:11" x14ac:dyDescent="0.2">
      <c r="A1046" s="1" t="s">
        <v>2034</v>
      </c>
      <c r="B1046" s="2">
        <v>45594</v>
      </c>
      <c r="C1046" s="1" t="s">
        <v>643</v>
      </c>
      <c r="D1046" s="1" t="s">
        <v>644</v>
      </c>
      <c r="E1046" s="1" t="s">
        <v>37</v>
      </c>
      <c r="F1046" s="1" t="s">
        <v>268</v>
      </c>
      <c r="G1046" s="1" t="s">
        <v>269</v>
      </c>
      <c r="H1046" s="1" t="s">
        <v>72</v>
      </c>
      <c r="I1046">
        <v>99585</v>
      </c>
      <c r="J1046" s="3">
        <v>26.57</v>
      </c>
      <c r="K1046" s="3">
        <v>2645973.4500000002</v>
      </c>
    </row>
    <row r="1047" spans="1:11" x14ac:dyDescent="0.2">
      <c r="A1047" s="1" t="s">
        <v>2035</v>
      </c>
      <c r="B1047" s="2">
        <v>45892</v>
      </c>
      <c r="C1047" s="1" t="s">
        <v>174</v>
      </c>
      <c r="D1047" s="1" t="s">
        <v>175</v>
      </c>
      <c r="E1047" s="1" t="s">
        <v>37</v>
      </c>
      <c r="F1047" s="1" t="s">
        <v>108</v>
      </c>
      <c r="G1047" s="1" t="s">
        <v>109</v>
      </c>
      <c r="H1047" s="1" t="s">
        <v>37</v>
      </c>
      <c r="I1047">
        <v>52868</v>
      </c>
      <c r="J1047" s="3">
        <v>29.64</v>
      </c>
      <c r="K1047" s="3">
        <v>1567007.52</v>
      </c>
    </row>
    <row r="1048" spans="1:11" x14ac:dyDescent="0.2">
      <c r="A1048" s="1" t="s">
        <v>2036</v>
      </c>
      <c r="B1048" s="2">
        <v>45389</v>
      </c>
      <c r="C1048" s="1" t="s">
        <v>377</v>
      </c>
      <c r="D1048" s="1" t="s">
        <v>378</v>
      </c>
      <c r="E1048" s="1" t="s">
        <v>37</v>
      </c>
      <c r="F1048" s="1" t="s">
        <v>330</v>
      </c>
      <c r="G1048" s="1" t="s">
        <v>331</v>
      </c>
      <c r="H1048" s="1" t="s">
        <v>72</v>
      </c>
      <c r="I1048">
        <v>84916</v>
      </c>
      <c r="J1048" s="3">
        <v>45.26</v>
      </c>
      <c r="K1048" s="3">
        <v>3843298.16</v>
      </c>
    </row>
    <row r="1049" spans="1:11" x14ac:dyDescent="0.2">
      <c r="A1049" s="1" t="s">
        <v>2037</v>
      </c>
      <c r="B1049" s="2">
        <v>45936</v>
      </c>
      <c r="C1049" s="1" t="s">
        <v>2038</v>
      </c>
      <c r="D1049" s="1" t="s">
        <v>2039</v>
      </c>
      <c r="E1049" s="1" t="s">
        <v>28</v>
      </c>
      <c r="F1049" s="1" t="s">
        <v>436</v>
      </c>
      <c r="G1049" s="1" t="s">
        <v>437</v>
      </c>
      <c r="H1049" s="1" t="s">
        <v>24</v>
      </c>
      <c r="I1049">
        <v>71347</v>
      </c>
      <c r="J1049" s="3">
        <v>46.1</v>
      </c>
      <c r="K1049" s="3">
        <v>3289096.7</v>
      </c>
    </row>
    <row r="1050" spans="1:11" x14ac:dyDescent="0.2">
      <c r="A1050" s="1" t="s">
        <v>2040</v>
      </c>
      <c r="B1050" s="2">
        <v>45637</v>
      </c>
      <c r="C1050" s="1" t="s">
        <v>713</v>
      </c>
      <c r="D1050" s="1" t="s">
        <v>714</v>
      </c>
      <c r="E1050" s="1" t="s">
        <v>34</v>
      </c>
      <c r="F1050" s="1" t="s">
        <v>195</v>
      </c>
      <c r="G1050" s="1" t="s">
        <v>196</v>
      </c>
      <c r="H1050" s="1" t="s">
        <v>48</v>
      </c>
      <c r="I1050">
        <v>65987</v>
      </c>
      <c r="J1050" s="3">
        <v>3.01</v>
      </c>
      <c r="K1050" s="3">
        <v>198620.87</v>
      </c>
    </row>
    <row r="1051" spans="1:11" x14ac:dyDescent="0.2">
      <c r="A1051" s="1" t="s">
        <v>2041</v>
      </c>
      <c r="B1051" s="2">
        <v>45358</v>
      </c>
      <c r="C1051" s="1" t="s">
        <v>12</v>
      </c>
      <c r="D1051" s="1" t="s">
        <v>13</v>
      </c>
      <c r="E1051" s="1" t="s">
        <v>14</v>
      </c>
      <c r="F1051" s="1" t="s">
        <v>65</v>
      </c>
      <c r="G1051" s="1" t="s">
        <v>66</v>
      </c>
      <c r="H1051" s="1" t="s">
        <v>48</v>
      </c>
      <c r="I1051">
        <v>62454</v>
      </c>
      <c r="J1051" s="3">
        <v>26</v>
      </c>
      <c r="K1051" s="3">
        <v>1623804</v>
      </c>
    </row>
    <row r="1052" spans="1:11" x14ac:dyDescent="0.2">
      <c r="A1052" s="1" t="s">
        <v>2042</v>
      </c>
      <c r="B1052" s="2">
        <v>45805</v>
      </c>
      <c r="C1052" s="1" t="s">
        <v>969</v>
      </c>
      <c r="D1052" s="1" t="s">
        <v>970</v>
      </c>
      <c r="E1052" s="1" t="s">
        <v>37</v>
      </c>
      <c r="F1052" s="1" t="s">
        <v>81</v>
      </c>
      <c r="G1052" s="1" t="s">
        <v>82</v>
      </c>
      <c r="H1052" s="1" t="s">
        <v>72</v>
      </c>
      <c r="I1052">
        <v>82755</v>
      </c>
      <c r="J1052" s="3">
        <v>41.46</v>
      </c>
      <c r="K1052" s="3">
        <v>3431022.3</v>
      </c>
    </row>
    <row r="1053" spans="1:11" x14ac:dyDescent="0.2">
      <c r="A1053" s="1" t="s">
        <v>2043</v>
      </c>
      <c r="B1053" s="2">
        <v>45557</v>
      </c>
      <c r="C1053" s="1" t="s">
        <v>128</v>
      </c>
      <c r="D1053" s="1" t="s">
        <v>129</v>
      </c>
      <c r="E1053" s="1" t="s">
        <v>28</v>
      </c>
      <c r="F1053" s="1" t="s">
        <v>41</v>
      </c>
      <c r="G1053" s="1" t="s">
        <v>42</v>
      </c>
      <c r="H1053" s="1" t="s">
        <v>24</v>
      </c>
      <c r="I1053">
        <v>82521</v>
      </c>
      <c r="J1053" s="3">
        <v>10.53</v>
      </c>
      <c r="K1053" s="3">
        <v>868946.13</v>
      </c>
    </row>
    <row r="1054" spans="1:11" x14ac:dyDescent="0.2">
      <c r="A1054" s="1" t="s">
        <v>2044</v>
      </c>
      <c r="B1054" s="2">
        <v>45300</v>
      </c>
      <c r="C1054" s="1" t="s">
        <v>880</v>
      </c>
      <c r="D1054" s="1" t="s">
        <v>881</v>
      </c>
      <c r="E1054" s="1" t="s">
        <v>21</v>
      </c>
      <c r="F1054" s="1" t="s">
        <v>57</v>
      </c>
      <c r="G1054" s="1" t="s">
        <v>58</v>
      </c>
      <c r="H1054" s="1" t="s">
        <v>48</v>
      </c>
      <c r="I1054">
        <v>89019</v>
      </c>
      <c r="J1054" s="3">
        <v>41.83</v>
      </c>
      <c r="K1054" s="3">
        <v>3723664.77</v>
      </c>
    </row>
    <row r="1055" spans="1:11" x14ac:dyDescent="0.2">
      <c r="A1055" s="1" t="s">
        <v>2045</v>
      </c>
      <c r="B1055" s="2">
        <v>46018</v>
      </c>
      <c r="C1055" s="1" t="s">
        <v>1666</v>
      </c>
      <c r="D1055" s="1" t="s">
        <v>1667</v>
      </c>
      <c r="E1055" s="1" t="s">
        <v>28</v>
      </c>
      <c r="F1055" s="1" t="s">
        <v>284</v>
      </c>
      <c r="G1055" s="1" t="s">
        <v>285</v>
      </c>
      <c r="H1055" s="1" t="s">
        <v>37</v>
      </c>
      <c r="I1055">
        <v>9895</v>
      </c>
      <c r="J1055" s="3">
        <v>9.91</v>
      </c>
      <c r="K1055" s="3">
        <v>98059.45</v>
      </c>
    </row>
    <row r="1056" spans="1:11" x14ac:dyDescent="0.2">
      <c r="A1056" s="1" t="s">
        <v>2046</v>
      </c>
      <c r="B1056" s="2">
        <v>45601</v>
      </c>
      <c r="C1056" s="1" t="s">
        <v>1007</v>
      </c>
      <c r="D1056" s="1" t="s">
        <v>1008</v>
      </c>
      <c r="E1056" s="1" t="s">
        <v>37</v>
      </c>
      <c r="F1056" s="1" t="s">
        <v>268</v>
      </c>
      <c r="G1056" s="1" t="s">
        <v>269</v>
      </c>
      <c r="H1056" s="1" t="s">
        <v>72</v>
      </c>
      <c r="I1056">
        <v>46553</v>
      </c>
      <c r="J1056" s="3">
        <v>12.18</v>
      </c>
      <c r="K1056" s="3">
        <v>567015.54</v>
      </c>
    </row>
    <row r="1057" spans="1:11" x14ac:dyDescent="0.2">
      <c r="A1057" s="1" t="s">
        <v>2047</v>
      </c>
      <c r="B1057" s="2">
        <v>45516</v>
      </c>
      <c r="C1057" s="1" t="s">
        <v>804</v>
      </c>
      <c r="D1057" s="1" t="s">
        <v>805</v>
      </c>
      <c r="E1057" s="1" t="s">
        <v>34</v>
      </c>
      <c r="F1057" s="1" t="s">
        <v>406</v>
      </c>
      <c r="G1057" s="1" t="s">
        <v>407</v>
      </c>
      <c r="H1057" s="1" t="s">
        <v>17</v>
      </c>
      <c r="I1057">
        <v>94573</v>
      </c>
      <c r="J1057" s="3">
        <v>41.4</v>
      </c>
      <c r="K1057" s="3">
        <v>3915322.2</v>
      </c>
    </row>
    <row r="1058" spans="1:11" x14ac:dyDescent="0.2">
      <c r="A1058" s="1" t="s">
        <v>2048</v>
      </c>
      <c r="B1058" s="2">
        <v>45708</v>
      </c>
      <c r="C1058" s="1" t="s">
        <v>559</v>
      </c>
      <c r="D1058" s="1" t="s">
        <v>560</v>
      </c>
      <c r="E1058" s="1" t="s">
        <v>14</v>
      </c>
      <c r="F1058" s="1" t="s">
        <v>76</v>
      </c>
      <c r="G1058" s="1" t="s">
        <v>77</v>
      </c>
      <c r="H1058" s="1" t="s">
        <v>48</v>
      </c>
      <c r="I1058">
        <v>84813</v>
      </c>
      <c r="J1058" s="3">
        <v>25.45</v>
      </c>
      <c r="K1058" s="3">
        <v>2158490.85</v>
      </c>
    </row>
    <row r="1059" spans="1:11" x14ac:dyDescent="0.2">
      <c r="A1059" s="1" t="s">
        <v>2049</v>
      </c>
      <c r="B1059" s="2">
        <v>45975</v>
      </c>
      <c r="C1059" s="1" t="s">
        <v>2050</v>
      </c>
      <c r="D1059" s="1" t="s">
        <v>2051</v>
      </c>
      <c r="E1059" s="1" t="s">
        <v>14</v>
      </c>
      <c r="F1059" s="1" t="s">
        <v>350</v>
      </c>
      <c r="G1059" s="1" t="s">
        <v>351</v>
      </c>
      <c r="H1059" s="1" t="s">
        <v>37</v>
      </c>
      <c r="I1059">
        <v>13276</v>
      </c>
      <c r="J1059" s="3">
        <v>39.35</v>
      </c>
      <c r="K1059" s="3">
        <v>522410.6</v>
      </c>
    </row>
    <row r="1060" spans="1:11" x14ac:dyDescent="0.2">
      <c r="A1060" s="1" t="s">
        <v>2052</v>
      </c>
      <c r="B1060" s="2">
        <v>45655</v>
      </c>
      <c r="C1060" s="1" t="s">
        <v>664</v>
      </c>
      <c r="D1060" s="1" t="s">
        <v>665</v>
      </c>
      <c r="E1060" s="1" t="s">
        <v>21</v>
      </c>
      <c r="F1060" s="1" t="s">
        <v>139</v>
      </c>
      <c r="G1060" s="1" t="s">
        <v>140</v>
      </c>
      <c r="H1060" s="1" t="s">
        <v>24</v>
      </c>
      <c r="I1060">
        <v>47796</v>
      </c>
      <c r="J1060" s="3">
        <v>34.479999999999997</v>
      </c>
      <c r="K1060" s="3">
        <v>1648006.08</v>
      </c>
    </row>
    <row r="1061" spans="1:11" x14ac:dyDescent="0.2">
      <c r="A1061" s="1" t="s">
        <v>2053</v>
      </c>
      <c r="B1061" s="2">
        <v>45578</v>
      </c>
      <c r="C1061" s="1" t="s">
        <v>948</v>
      </c>
      <c r="D1061" s="1" t="s">
        <v>949</v>
      </c>
      <c r="E1061" s="1" t="s">
        <v>21</v>
      </c>
      <c r="F1061" s="1" t="s">
        <v>98</v>
      </c>
      <c r="G1061" s="1" t="s">
        <v>99</v>
      </c>
      <c r="H1061" s="1" t="s">
        <v>72</v>
      </c>
      <c r="I1061">
        <v>1053</v>
      </c>
      <c r="J1061" s="3">
        <v>37.54</v>
      </c>
      <c r="K1061" s="3">
        <v>39529.620000000003</v>
      </c>
    </row>
    <row r="1062" spans="1:11" x14ac:dyDescent="0.2">
      <c r="A1062" s="1" t="s">
        <v>2054</v>
      </c>
      <c r="B1062" s="2">
        <v>45915</v>
      </c>
      <c r="C1062" s="1" t="s">
        <v>333</v>
      </c>
      <c r="D1062" s="1" t="s">
        <v>334</v>
      </c>
      <c r="E1062" s="1" t="s">
        <v>21</v>
      </c>
      <c r="F1062" s="1" t="s">
        <v>46</v>
      </c>
      <c r="G1062" s="1" t="s">
        <v>47</v>
      </c>
      <c r="H1062" s="1" t="s">
        <v>48</v>
      </c>
      <c r="I1062">
        <v>6420</v>
      </c>
      <c r="J1062" s="3">
        <v>33.83</v>
      </c>
      <c r="K1062" s="3">
        <v>217188.6</v>
      </c>
    </row>
    <row r="1063" spans="1:11" x14ac:dyDescent="0.2">
      <c r="A1063" s="1" t="s">
        <v>2055</v>
      </c>
      <c r="B1063" s="2">
        <v>45421</v>
      </c>
      <c r="C1063" s="1" t="s">
        <v>1516</v>
      </c>
      <c r="D1063" s="1" t="s">
        <v>1517</v>
      </c>
      <c r="E1063" s="1" t="s">
        <v>21</v>
      </c>
      <c r="F1063" s="1" t="s">
        <v>350</v>
      </c>
      <c r="G1063" s="1" t="s">
        <v>351</v>
      </c>
      <c r="H1063" s="1" t="s">
        <v>37</v>
      </c>
      <c r="I1063">
        <v>48337</v>
      </c>
      <c r="J1063" s="3">
        <v>41.79</v>
      </c>
      <c r="K1063" s="3">
        <v>2020003.23</v>
      </c>
    </row>
    <row r="1064" spans="1:11" x14ac:dyDescent="0.2">
      <c r="A1064" s="1" t="s">
        <v>2056</v>
      </c>
      <c r="B1064" s="2">
        <v>45658</v>
      </c>
      <c r="C1064" s="1" t="s">
        <v>975</v>
      </c>
      <c r="D1064" s="1" t="s">
        <v>976</v>
      </c>
      <c r="E1064" s="1" t="s">
        <v>28</v>
      </c>
      <c r="F1064" s="1" t="s">
        <v>412</v>
      </c>
      <c r="G1064" s="1" t="s">
        <v>413</v>
      </c>
      <c r="H1064" s="1" t="s">
        <v>72</v>
      </c>
      <c r="I1064">
        <v>68262</v>
      </c>
      <c r="J1064" s="3">
        <v>45.75</v>
      </c>
      <c r="K1064" s="3">
        <v>3122986.5</v>
      </c>
    </row>
    <row r="1065" spans="1:11" x14ac:dyDescent="0.2">
      <c r="A1065" s="1" t="s">
        <v>2057</v>
      </c>
      <c r="B1065" s="2">
        <v>45307</v>
      </c>
      <c r="C1065" s="1" t="s">
        <v>55</v>
      </c>
      <c r="D1065" s="1" t="s">
        <v>56</v>
      </c>
      <c r="E1065" s="1" t="s">
        <v>21</v>
      </c>
      <c r="F1065" s="1" t="s">
        <v>228</v>
      </c>
      <c r="G1065" s="1" t="s">
        <v>229</v>
      </c>
      <c r="H1065" s="1" t="s">
        <v>48</v>
      </c>
      <c r="I1065">
        <v>57712</v>
      </c>
      <c r="J1065" s="3">
        <v>21.47</v>
      </c>
      <c r="K1065" s="3">
        <v>1239076.6399999999</v>
      </c>
    </row>
    <row r="1066" spans="1:11" x14ac:dyDescent="0.2">
      <c r="A1066" s="1" t="s">
        <v>2058</v>
      </c>
      <c r="B1066" s="2">
        <v>45483</v>
      </c>
      <c r="C1066" s="1" t="s">
        <v>2059</v>
      </c>
      <c r="D1066" s="1" t="s">
        <v>2060</v>
      </c>
      <c r="E1066" s="1" t="s">
        <v>21</v>
      </c>
      <c r="F1066" s="1" t="s">
        <v>339</v>
      </c>
      <c r="G1066" s="1" t="s">
        <v>340</v>
      </c>
      <c r="H1066" s="1" t="s">
        <v>24</v>
      </c>
      <c r="I1066">
        <v>52576</v>
      </c>
      <c r="J1066" s="3">
        <v>15.32</v>
      </c>
      <c r="K1066" s="3">
        <v>805464.32</v>
      </c>
    </row>
    <row r="1067" spans="1:11" x14ac:dyDescent="0.2">
      <c r="A1067" s="1" t="s">
        <v>2061</v>
      </c>
      <c r="B1067" s="2">
        <v>45354</v>
      </c>
      <c r="C1067" s="1" t="s">
        <v>1949</v>
      </c>
      <c r="D1067" s="1" t="s">
        <v>1950</v>
      </c>
      <c r="E1067" s="1" t="s">
        <v>14</v>
      </c>
      <c r="F1067" s="1" t="s">
        <v>65</v>
      </c>
      <c r="G1067" s="1" t="s">
        <v>66</v>
      </c>
      <c r="H1067" s="1" t="s">
        <v>48</v>
      </c>
      <c r="I1067">
        <v>21885</v>
      </c>
      <c r="J1067" s="3">
        <v>43.19</v>
      </c>
      <c r="K1067" s="3">
        <v>945213.15</v>
      </c>
    </row>
    <row r="1068" spans="1:11" x14ac:dyDescent="0.2">
      <c r="A1068" s="1" t="s">
        <v>2062</v>
      </c>
      <c r="B1068" s="2">
        <v>46019</v>
      </c>
      <c r="C1068" s="1" t="s">
        <v>883</v>
      </c>
      <c r="D1068" s="1" t="s">
        <v>884</v>
      </c>
      <c r="E1068" s="1" t="s">
        <v>37</v>
      </c>
      <c r="F1068" s="1" t="s">
        <v>113</v>
      </c>
      <c r="G1068" s="1" t="s">
        <v>114</v>
      </c>
      <c r="H1068" s="1" t="s">
        <v>37</v>
      </c>
      <c r="I1068">
        <v>20660</v>
      </c>
      <c r="J1068" s="3">
        <v>24.95</v>
      </c>
      <c r="K1068" s="3">
        <v>515467</v>
      </c>
    </row>
    <row r="1069" spans="1:11" x14ac:dyDescent="0.2">
      <c r="A1069" s="1" t="s">
        <v>2063</v>
      </c>
      <c r="B1069" s="2">
        <v>45506</v>
      </c>
      <c r="C1069" s="1" t="s">
        <v>2064</v>
      </c>
      <c r="D1069" s="1" t="s">
        <v>2065</v>
      </c>
      <c r="E1069" s="1" t="s">
        <v>14</v>
      </c>
      <c r="F1069" s="1" t="s">
        <v>76</v>
      </c>
      <c r="G1069" s="1" t="s">
        <v>77</v>
      </c>
      <c r="H1069" s="1" t="s">
        <v>48</v>
      </c>
      <c r="I1069">
        <v>13800</v>
      </c>
      <c r="J1069" s="3">
        <v>48.26</v>
      </c>
      <c r="K1069" s="3">
        <v>665988</v>
      </c>
    </row>
    <row r="1070" spans="1:11" x14ac:dyDescent="0.2">
      <c r="A1070" s="1" t="s">
        <v>2066</v>
      </c>
      <c r="B1070" s="2">
        <v>46014</v>
      </c>
      <c r="C1070" s="1" t="s">
        <v>1023</v>
      </c>
      <c r="D1070" s="1" t="s">
        <v>1024</v>
      </c>
      <c r="E1070" s="1" t="s">
        <v>37</v>
      </c>
      <c r="F1070" s="1" t="s">
        <v>412</v>
      </c>
      <c r="G1070" s="1" t="s">
        <v>413</v>
      </c>
      <c r="H1070" s="1" t="s">
        <v>72</v>
      </c>
      <c r="I1070">
        <v>93416</v>
      </c>
      <c r="J1070" s="3">
        <v>26.71</v>
      </c>
      <c r="K1070" s="3">
        <v>2495141.36</v>
      </c>
    </row>
    <row r="1071" spans="1:11" x14ac:dyDescent="0.2">
      <c r="A1071" s="1" t="s">
        <v>2067</v>
      </c>
      <c r="B1071" s="2">
        <v>45709</v>
      </c>
      <c r="C1071" s="1" t="s">
        <v>756</v>
      </c>
      <c r="D1071" s="1" t="s">
        <v>757</v>
      </c>
      <c r="E1071" s="1" t="s">
        <v>34</v>
      </c>
      <c r="F1071" s="1" t="s">
        <v>284</v>
      </c>
      <c r="G1071" s="1" t="s">
        <v>285</v>
      </c>
      <c r="H1071" s="1" t="s">
        <v>37</v>
      </c>
      <c r="I1071">
        <v>90075</v>
      </c>
      <c r="J1071" s="3">
        <v>38.99</v>
      </c>
      <c r="K1071" s="3">
        <v>3512024.25</v>
      </c>
    </row>
    <row r="1072" spans="1:11" x14ac:dyDescent="0.2">
      <c r="A1072" s="1" t="s">
        <v>2068</v>
      </c>
      <c r="B1072" s="2">
        <v>45734</v>
      </c>
      <c r="C1072" s="1" t="s">
        <v>1894</v>
      </c>
      <c r="D1072" s="1" t="s">
        <v>1895</v>
      </c>
      <c r="E1072" s="1" t="s">
        <v>28</v>
      </c>
      <c r="F1072" s="1" t="s">
        <v>208</v>
      </c>
      <c r="G1072" s="1" t="s">
        <v>209</v>
      </c>
      <c r="H1072" s="1" t="s">
        <v>17</v>
      </c>
      <c r="I1072">
        <v>45995</v>
      </c>
      <c r="J1072" s="3">
        <v>13.07</v>
      </c>
      <c r="K1072" s="3">
        <v>601154.65</v>
      </c>
    </row>
    <row r="1073" spans="1:11" x14ac:dyDescent="0.2">
      <c r="A1073" s="1" t="s">
        <v>2069</v>
      </c>
      <c r="B1073" s="2">
        <v>45371</v>
      </c>
      <c r="C1073" s="1" t="s">
        <v>300</v>
      </c>
      <c r="D1073" s="1" t="s">
        <v>301</v>
      </c>
      <c r="E1073" s="1" t="s">
        <v>14</v>
      </c>
      <c r="F1073" s="1" t="s">
        <v>139</v>
      </c>
      <c r="G1073" s="1" t="s">
        <v>140</v>
      </c>
      <c r="H1073" s="1" t="s">
        <v>24</v>
      </c>
      <c r="I1073">
        <v>33165</v>
      </c>
      <c r="J1073" s="3">
        <v>15.7</v>
      </c>
      <c r="K1073" s="3">
        <v>520690.5</v>
      </c>
    </row>
    <row r="1074" spans="1:11" x14ac:dyDescent="0.2">
      <c r="A1074" s="1" t="s">
        <v>2070</v>
      </c>
      <c r="B1074" s="2">
        <v>45537</v>
      </c>
      <c r="C1074" s="1" t="s">
        <v>1483</v>
      </c>
      <c r="D1074" s="1" t="s">
        <v>1484</v>
      </c>
      <c r="E1074" s="1" t="s">
        <v>21</v>
      </c>
      <c r="F1074" s="1" t="s">
        <v>35</v>
      </c>
      <c r="G1074" s="1" t="s">
        <v>36</v>
      </c>
      <c r="H1074" s="1" t="s">
        <v>37</v>
      </c>
      <c r="I1074">
        <v>99308</v>
      </c>
      <c r="J1074" s="3">
        <v>46.59</v>
      </c>
      <c r="K1074" s="3">
        <v>4626759.72</v>
      </c>
    </row>
    <row r="1075" spans="1:11" x14ac:dyDescent="0.2">
      <c r="A1075" s="1" t="s">
        <v>2071</v>
      </c>
      <c r="B1075" s="2">
        <v>45575</v>
      </c>
      <c r="C1075" s="1" t="s">
        <v>1761</v>
      </c>
      <c r="D1075" s="1" t="s">
        <v>1762</v>
      </c>
      <c r="E1075" s="1" t="s">
        <v>14</v>
      </c>
      <c r="F1075" s="1" t="s">
        <v>339</v>
      </c>
      <c r="G1075" s="1" t="s">
        <v>340</v>
      </c>
      <c r="H1075" s="1" t="s">
        <v>24</v>
      </c>
      <c r="I1075">
        <v>11385</v>
      </c>
      <c r="J1075" s="3">
        <v>15.89</v>
      </c>
      <c r="K1075" s="3">
        <v>180907.65</v>
      </c>
    </row>
    <row r="1076" spans="1:11" x14ac:dyDescent="0.2">
      <c r="A1076" s="1" t="s">
        <v>2072</v>
      </c>
      <c r="B1076" s="2">
        <v>45881</v>
      </c>
      <c r="C1076" s="1" t="s">
        <v>692</v>
      </c>
      <c r="D1076" s="1" t="s">
        <v>693</v>
      </c>
      <c r="E1076" s="1" t="s">
        <v>28</v>
      </c>
      <c r="F1076" s="1" t="s">
        <v>113</v>
      </c>
      <c r="G1076" s="1" t="s">
        <v>114</v>
      </c>
      <c r="H1076" s="1" t="s">
        <v>37</v>
      </c>
      <c r="I1076">
        <v>87952</v>
      </c>
      <c r="J1076" s="3">
        <v>33.64</v>
      </c>
      <c r="K1076" s="3">
        <v>2958705.28</v>
      </c>
    </row>
    <row r="1077" spans="1:11" x14ac:dyDescent="0.2">
      <c r="A1077" s="1" t="s">
        <v>2073</v>
      </c>
      <c r="B1077" s="2">
        <v>45894</v>
      </c>
      <c r="C1077" s="1" t="s">
        <v>322</v>
      </c>
      <c r="D1077" s="1" t="s">
        <v>323</v>
      </c>
      <c r="E1077" s="1" t="s">
        <v>14</v>
      </c>
      <c r="F1077" s="1" t="s">
        <v>113</v>
      </c>
      <c r="G1077" s="1" t="s">
        <v>114</v>
      </c>
      <c r="H1077" s="1" t="s">
        <v>37</v>
      </c>
      <c r="I1077">
        <v>89608</v>
      </c>
      <c r="J1077" s="3">
        <v>30.43</v>
      </c>
      <c r="K1077" s="3">
        <v>2726771.44</v>
      </c>
    </row>
    <row r="1078" spans="1:11" x14ac:dyDescent="0.2">
      <c r="A1078" s="1" t="s">
        <v>2074</v>
      </c>
      <c r="B1078" s="2">
        <v>45570</v>
      </c>
      <c r="C1078" s="1" t="s">
        <v>316</v>
      </c>
      <c r="D1078" s="1" t="s">
        <v>317</v>
      </c>
      <c r="E1078" s="1" t="s">
        <v>14</v>
      </c>
      <c r="F1078" s="1" t="s">
        <v>70</v>
      </c>
      <c r="G1078" s="1" t="s">
        <v>71</v>
      </c>
      <c r="H1078" s="1" t="s">
        <v>72</v>
      </c>
      <c r="I1078">
        <v>80672</v>
      </c>
      <c r="J1078" s="3">
        <v>28.61</v>
      </c>
      <c r="K1078" s="3">
        <v>2308025.92</v>
      </c>
    </row>
    <row r="1079" spans="1:11" x14ac:dyDescent="0.2">
      <c r="A1079" s="1" t="s">
        <v>2075</v>
      </c>
      <c r="B1079" s="2">
        <v>45965</v>
      </c>
      <c r="C1079" s="1" t="s">
        <v>710</v>
      </c>
      <c r="D1079" s="1" t="s">
        <v>711</v>
      </c>
      <c r="E1079" s="1" t="s">
        <v>21</v>
      </c>
      <c r="F1079" s="1" t="s">
        <v>113</v>
      </c>
      <c r="G1079" s="1" t="s">
        <v>114</v>
      </c>
      <c r="H1079" s="1" t="s">
        <v>37</v>
      </c>
      <c r="I1079">
        <v>89244</v>
      </c>
      <c r="J1079" s="3">
        <v>36.090000000000003</v>
      </c>
      <c r="K1079" s="3">
        <v>3220815.96</v>
      </c>
    </row>
    <row r="1080" spans="1:11" x14ac:dyDescent="0.2">
      <c r="A1080" s="1" t="s">
        <v>2076</v>
      </c>
      <c r="B1080" s="2">
        <v>45415</v>
      </c>
      <c r="C1080" s="1" t="s">
        <v>131</v>
      </c>
      <c r="D1080" s="1" t="s">
        <v>132</v>
      </c>
      <c r="E1080" s="1" t="s">
        <v>37</v>
      </c>
      <c r="F1080" s="1" t="s">
        <v>552</v>
      </c>
      <c r="G1080" s="1" t="s">
        <v>553</v>
      </c>
      <c r="H1080" s="1" t="s">
        <v>37</v>
      </c>
      <c r="I1080">
        <v>24729</v>
      </c>
      <c r="J1080" s="3">
        <v>45.32</v>
      </c>
      <c r="K1080" s="3">
        <v>1120718.28</v>
      </c>
    </row>
    <row r="1081" spans="1:11" x14ac:dyDescent="0.2">
      <c r="A1081" s="1" t="s">
        <v>2077</v>
      </c>
      <c r="B1081" s="2">
        <v>45728</v>
      </c>
      <c r="C1081" s="1" t="s">
        <v>345</v>
      </c>
      <c r="D1081" s="1" t="s">
        <v>346</v>
      </c>
      <c r="E1081" s="1" t="s">
        <v>37</v>
      </c>
      <c r="F1081" s="1" t="s">
        <v>52</v>
      </c>
      <c r="G1081" s="1" t="s">
        <v>53</v>
      </c>
      <c r="H1081" s="1" t="s">
        <v>17</v>
      </c>
      <c r="I1081">
        <v>87259</v>
      </c>
      <c r="J1081" s="3">
        <v>39.94</v>
      </c>
      <c r="K1081" s="3">
        <v>3485124.46</v>
      </c>
    </row>
    <row r="1082" spans="1:11" x14ac:dyDescent="0.2">
      <c r="A1082" s="1" t="s">
        <v>2078</v>
      </c>
      <c r="B1082" s="2">
        <v>45811</v>
      </c>
      <c r="C1082" s="1" t="s">
        <v>863</v>
      </c>
      <c r="D1082" s="1" t="s">
        <v>864</v>
      </c>
      <c r="E1082" s="1" t="s">
        <v>37</v>
      </c>
      <c r="F1082" s="1" t="s">
        <v>165</v>
      </c>
      <c r="G1082" s="1" t="s">
        <v>166</v>
      </c>
      <c r="H1082" s="1" t="s">
        <v>24</v>
      </c>
      <c r="I1082">
        <v>97324</v>
      </c>
      <c r="J1082" s="3">
        <v>26.22</v>
      </c>
      <c r="K1082" s="3">
        <v>2551835.2799999998</v>
      </c>
    </row>
    <row r="1083" spans="1:11" x14ac:dyDescent="0.2">
      <c r="A1083" s="1" t="s">
        <v>2079</v>
      </c>
      <c r="B1083" s="2">
        <v>45401</v>
      </c>
      <c r="C1083" s="1" t="s">
        <v>243</v>
      </c>
      <c r="D1083" s="1" t="s">
        <v>244</v>
      </c>
      <c r="E1083" s="1" t="s">
        <v>21</v>
      </c>
      <c r="F1083" s="1" t="s">
        <v>76</v>
      </c>
      <c r="G1083" s="1" t="s">
        <v>77</v>
      </c>
      <c r="H1083" s="1" t="s">
        <v>48</v>
      </c>
      <c r="I1083">
        <v>80571</v>
      </c>
      <c r="J1083" s="3">
        <v>7.93</v>
      </c>
      <c r="K1083" s="3">
        <v>638928.03</v>
      </c>
    </row>
    <row r="1084" spans="1:11" x14ac:dyDescent="0.2">
      <c r="A1084" s="1" t="s">
        <v>2080</v>
      </c>
      <c r="B1084" s="2">
        <v>45717</v>
      </c>
      <c r="C1084" s="1" t="s">
        <v>1578</v>
      </c>
      <c r="D1084" s="1" t="s">
        <v>1579</v>
      </c>
      <c r="E1084" s="1" t="s">
        <v>28</v>
      </c>
      <c r="F1084" s="1" t="s">
        <v>412</v>
      </c>
      <c r="G1084" s="1" t="s">
        <v>413</v>
      </c>
      <c r="H1084" s="1" t="s">
        <v>72</v>
      </c>
      <c r="I1084">
        <v>13917</v>
      </c>
      <c r="J1084" s="3">
        <v>38.979999999999997</v>
      </c>
      <c r="K1084" s="3">
        <v>542484.66</v>
      </c>
    </row>
    <row r="1085" spans="1:11" x14ac:dyDescent="0.2">
      <c r="A1085" s="1" t="s">
        <v>2081</v>
      </c>
      <c r="B1085" s="2">
        <v>45828</v>
      </c>
      <c r="C1085" s="1" t="s">
        <v>1761</v>
      </c>
      <c r="D1085" s="1" t="s">
        <v>1762</v>
      </c>
      <c r="E1085" s="1" t="s">
        <v>14</v>
      </c>
      <c r="F1085" s="1" t="s">
        <v>217</v>
      </c>
      <c r="G1085" s="1" t="s">
        <v>218</v>
      </c>
      <c r="H1085" s="1" t="s">
        <v>72</v>
      </c>
      <c r="I1085">
        <v>77379</v>
      </c>
      <c r="J1085" s="3">
        <v>49.11</v>
      </c>
      <c r="K1085" s="3">
        <v>3800082.69</v>
      </c>
    </row>
    <row r="1086" spans="1:11" x14ac:dyDescent="0.2">
      <c r="A1086" s="1" t="s">
        <v>2082</v>
      </c>
      <c r="B1086" s="2">
        <v>45786</v>
      </c>
      <c r="C1086" s="1" t="s">
        <v>90</v>
      </c>
      <c r="D1086" s="1" t="s">
        <v>91</v>
      </c>
      <c r="E1086" s="1" t="s">
        <v>28</v>
      </c>
      <c r="F1086" s="1" t="s">
        <v>103</v>
      </c>
      <c r="G1086" s="1" t="s">
        <v>104</v>
      </c>
      <c r="H1086" s="1" t="s">
        <v>37</v>
      </c>
      <c r="I1086">
        <v>14259</v>
      </c>
      <c r="J1086" s="3">
        <v>14.87</v>
      </c>
      <c r="K1086" s="3">
        <v>212031.33</v>
      </c>
    </row>
    <row r="1087" spans="1:11" x14ac:dyDescent="0.2">
      <c r="A1087" s="1" t="s">
        <v>2083</v>
      </c>
      <c r="B1087" s="2">
        <v>45420</v>
      </c>
      <c r="C1087" s="1" t="s">
        <v>1994</v>
      </c>
      <c r="D1087" s="1" t="s">
        <v>1995</v>
      </c>
      <c r="E1087" s="1" t="s">
        <v>28</v>
      </c>
      <c r="F1087" s="1" t="s">
        <v>139</v>
      </c>
      <c r="G1087" s="1" t="s">
        <v>140</v>
      </c>
      <c r="H1087" s="1" t="s">
        <v>24</v>
      </c>
      <c r="I1087">
        <v>96979</v>
      </c>
      <c r="J1087" s="3">
        <v>24.47</v>
      </c>
      <c r="K1087" s="3">
        <v>2373076.13</v>
      </c>
    </row>
    <row r="1088" spans="1:11" x14ac:dyDescent="0.2">
      <c r="A1088" s="1" t="s">
        <v>2084</v>
      </c>
      <c r="B1088" s="2">
        <v>45695</v>
      </c>
      <c r="C1088" s="1" t="s">
        <v>1230</v>
      </c>
      <c r="D1088" s="1" t="s">
        <v>1231</v>
      </c>
      <c r="E1088" s="1" t="s">
        <v>21</v>
      </c>
      <c r="F1088" s="1" t="s">
        <v>237</v>
      </c>
      <c r="G1088" s="1" t="s">
        <v>238</v>
      </c>
      <c r="H1088" s="1" t="s">
        <v>17</v>
      </c>
      <c r="I1088">
        <v>83656</v>
      </c>
      <c r="J1088" s="3">
        <v>17.88</v>
      </c>
      <c r="K1088" s="3">
        <v>1495769.28</v>
      </c>
    </row>
    <row r="1089" spans="1:11" x14ac:dyDescent="0.2">
      <c r="A1089" s="1" t="s">
        <v>2085</v>
      </c>
      <c r="B1089" s="2">
        <v>45737</v>
      </c>
      <c r="C1089" s="1" t="s">
        <v>1191</v>
      </c>
      <c r="D1089" s="1" t="s">
        <v>1192</v>
      </c>
      <c r="E1089" s="1" t="s">
        <v>21</v>
      </c>
      <c r="F1089" s="1" t="s">
        <v>46</v>
      </c>
      <c r="G1089" s="1" t="s">
        <v>47</v>
      </c>
      <c r="H1089" s="1" t="s">
        <v>48</v>
      </c>
      <c r="I1089">
        <v>85440</v>
      </c>
      <c r="J1089" s="3">
        <v>12.83</v>
      </c>
      <c r="K1089" s="3">
        <v>1096195.2</v>
      </c>
    </row>
    <row r="1090" spans="1:11" x14ac:dyDescent="0.2">
      <c r="A1090" s="1" t="s">
        <v>2086</v>
      </c>
      <c r="B1090" s="2">
        <v>45596</v>
      </c>
      <c r="C1090" s="1" t="s">
        <v>566</v>
      </c>
      <c r="D1090" s="1" t="s">
        <v>567</v>
      </c>
      <c r="E1090" s="1" t="s">
        <v>28</v>
      </c>
      <c r="F1090" s="1" t="s">
        <v>324</v>
      </c>
      <c r="G1090" s="1" t="s">
        <v>325</v>
      </c>
      <c r="H1090" s="1" t="s">
        <v>24</v>
      </c>
      <c r="I1090">
        <v>97558</v>
      </c>
      <c r="J1090" s="3">
        <v>49.84</v>
      </c>
      <c r="K1090" s="3">
        <v>4862290.72</v>
      </c>
    </row>
    <row r="1091" spans="1:11" x14ac:dyDescent="0.2">
      <c r="A1091" s="1" t="s">
        <v>2087</v>
      </c>
      <c r="B1091" s="2">
        <v>45442</v>
      </c>
      <c r="C1091" s="1" t="s">
        <v>596</v>
      </c>
      <c r="D1091" s="1" t="s">
        <v>597</v>
      </c>
      <c r="E1091" s="1" t="s">
        <v>37</v>
      </c>
      <c r="F1091" s="1" t="s">
        <v>273</v>
      </c>
      <c r="G1091" s="1" t="s">
        <v>274</v>
      </c>
      <c r="H1091" s="1" t="s">
        <v>24</v>
      </c>
      <c r="I1091">
        <v>83318</v>
      </c>
      <c r="J1091" s="3">
        <v>49.8</v>
      </c>
      <c r="K1091" s="3">
        <v>4149236.4</v>
      </c>
    </row>
    <row r="1092" spans="1:11" x14ac:dyDescent="0.2">
      <c r="A1092" s="1" t="s">
        <v>2088</v>
      </c>
      <c r="B1092" s="2">
        <v>45682</v>
      </c>
      <c r="C1092" s="1" t="s">
        <v>1032</v>
      </c>
      <c r="D1092" s="1" t="s">
        <v>1033</v>
      </c>
      <c r="E1092" s="1" t="s">
        <v>34</v>
      </c>
      <c r="F1092" s="1" t="s">
        <v>29</v>
      </c>
      <c r="G1092" s="1" t="s">
        <v>30</v>
      </c>
      <c r="H1092" s="1" t="s">
        <v>24</v>
      </c>
      <c r="I1092">
        <v>55019</v>
      </c>
      <c r="J1092" s="3">
        <v>3.21</v>
      </c>
      <c r="K1092" s="3">
        <v>176610.99</v>
      </c>
    </row>
    <row r="1093" spans="1:11" x14ac:dyDescent="0.2">
      <c r="A1093" s="1" t="s">
        <v>2089</v>
      </c>
      <c r="B1093" s="2">
        <v>45433</v>
      </c>
      <c r="C1093" s="1" t="s">
        <v>291</v>
      </c>
      <c r="D1093" s="1" t="s">
        <v>292</v>
      </c>
      <c r="E1093" s="1" t="s">
        <v>14</v>
      </c>
      <c r="F1093" s="1" t="s">
        <v>217</v>
      </c>
      <c r="G1093" s="1" t="s">
        <v>218</v>
      </c>
      <c r="H1093" s="1" t="s">
        <v>72</v>
      </c>
      <c r="I1093">
        <v>4992</v>
      </c>
      <c r="J1093" s="3">
        <v>33.590000000000003</v>
      </c>
      <c r="K1093" s="3">
        <v>167681.28</v>
      </c>
    </row>
    <row r="1094" spans="1:11" x14ac:dyDescent="0.2">
      <c r="A1094" s="1" t="s">
        <v>2090</v>
      </c>
      <c r="B1094" s="2">
        <v>45979</v>
      </c>
      <c r="C1094" s="1" t="s">
        <v>625</v>
      </c>
      <c r="D1094" s="1" t="s">
        <v>626</v>
      </c>
      <c r="E1094" s="1" t="s">
        <v>34</v>
      </c>
      <c r="F1094" s="1" t="s">
        <v>458</v>
      </c>
      <c r="G1094" s="1" t="s">
        <v>459</v>
      </c>
      <c r="H1094" s="1" t="s">
        <v>72</v>
      </c>
      <c r="I1094">
        <v>69001</v>
      </c>
      <c r="J1094" s="3">
        <v>25.55</v>
      </c>
      <c r="K1094" s="3">
        <v>1762975.55</v>
      </c>
    </row>
    <row r="1095" spans="1:11" x14ac:dyDescent="0.2">
      <c r="A1095" s="1" t="s">
        <v>2091</v>
      </c>
      <c r="B1095" s="2">
        <v>45555</v>
      </c>
      <c r="C1095" s="1" t="s">
        <v>39</v>
      </c>
      <c r="D1095" s="1" t="s">
        <v>40</v>
      </c>
      <c r="E1095" s="1" t="s">
        <v>21</v>
      </c>
      <c r="F1095" s="1" t="s">
        <v>98</v>
      </c>
      <c r="G1095" s="1" t="s">
        <v>99</v>
      </c>
      <c r="H1095" s="1" t="s">
        <v>72</v>
      </c>
      <c r="I1095">
        <v>18913</v>
      </c>
      <c r="J1095" s="3">
        <v>13.54</v>
      </c>
      <c r="K1095" s="3">
        <v>256082.02</v>
      </c>
    </row>
    <row r="1096" spans="1:11" x14ac:dyDescent="0.2">
      <c r="A1096" s="1" t="s">
        <v>2092</v>
      </c>
      <c r="B1096" s="2">
        <v>45324</v>
      </c>
      <c r="C1096" s="1" t="s">
        <v>495</v>
      </c>
      <c r="D1096" s="1" t="s">
        <v>496</v>
      </c>
      <c r="E1096" s="1" t="s">
        <v>37</v>
      </c>
      <c r="F1096" s="1" t="s">
        <v>189</v>
      </c>
      <c r="G1096" s="1" t="s">
        <v>190</v>
      </c>
      <c r="H1096" s="1" t="s">
        <v>17</v>
      </c>
      <c r="I1096">
        <v>32036</v>
      </c>
      <c r="J1096" s="3">
        <v>44.04</v>
      </c>
      <c r="K1096" s="3">
        <v>1410865.44</v>
      </c>
    </row>
    <row r="1097" spans="1:11" x14ac:dyDescent="0.2">
      <c r="A1097" s="1" t="s">
        <v>2093</v>
      </c>
      <c r="B1097" s="2">
        <v>45969</v>
      </c>
      <c r="C1097" s="1" t="s">
        <v>1064</v>
      </c>
      <c r="D1097" s="1" t="s">
        <v>1065</v>
      </c>
      <c r="E1097" s="1" t="s">
        <v>14</v>
      </c>
      <c r="F1097" s="1" t="s">
        <v>46</v>
      </c>
      <c r="G1097" s="1" t="s">
        <v>47</v>
      </c>
      <c r="H1097" s="1" t="s">
        <v>48</v>
      </c>
      <c r="I1097">
        <v>53256</v>
      </c>
      <c r="J1097" s="3">
        <v>45.26</v>
      </c>
      <c r="K1097" s="3">
        <v>2410366.56</v>
      </c>
    </row>
    <row r="1098" spans="1:11" x14ac:dyDescent="0.2">
      <c r="A1098" s="1" t="s">
        <v>2094</v>
      </c>
      <c r="B1098" s="2">
        <v>45479</v>
      </c>
      <c r="C1098" s="1" t="s">
        <v>1050</v>
      </c>
      <c r="D1098" s="1" t="s">
        <v>1051</v>
      </c>
      <c r="E1098" s="1" t="s">
        <v>14</v>
      </c>
      <c r="F1098" s="1" t="s">
        <v>46</v>
      </c>
      <c r="G1098" s="1" t="s">
        <v>47</v>
      </c>
      <c r="H1098" s="1" t="s">
        <v>48</v>
      </c>
      <c r="I1098">
        <v>66537</v>
      </c>
      <c r="J1098" s="3">
        <v>28.55</v>
      </c>
      <c r="K1098" s="3">
        <v>1899631.35</v>
      </c>
    </row>
    <row r="1099" spans="1:11" x14ac:dyDescent="0.2">
      <c r="A1099" s="1" t="s">
        <v>2095</v>
      </c>
      <c r="B1099" s="2">
        <v>45452</v>
      </c>
      <c r="C1099" s="1" t="s">
        <v>125</v>
      </c>
      <c r="D1099" s="1" t="s">
        <v>126</v>
      </c>
      <c r="E1099" s="1" t="s">
        <v>21</v>
      </c>
      <c r="F1099" s="1" t="s">
        <v>552</v>
      </c>
      <c r="G1099" s="1" t="s">
        <v>553</v>
      </c>
      <c r="H1099" s="1" t="s">
        <v>37</v>
      </c>
      <c r="I1099">
        <v>42304</v>
      </c>
      <c r="J1099" s="3">
        <v>3.88</v>
      </c>
      <c r="K1099" s="3">
        <v>164139.51999999999</v>
      </c>
    </row>
    <row r="1100" spans="1:11" x14ac:dyDescent="0.2">
      <c r="A1100" s="1" t="s">
        <v>2096</v>
      </c>
      <c r="B1100" s="2">
        <v>45623</v>
      </c>
      <c r="C1100" s="1" t="s">
        <v>1125</v>
      </c>
      <c r="D1100" s="1" t="s">
        <v>1126</v>
      </c>
      <c r="E1100" s="1" t="s">
        <v>21</v>
      </c>
      <c r="F1100" s="1" t="s">
        <v>29</v>
      </c>
      <c r="G1100" s="1" t="s">
        <v>30</v>
      </c>
      <c r="H1100" s="1" t="s">
        <v>24</v>
      </c>
      <c r="I1100">
        <v>44199</v>
      </c>
      <c r="J1100" s="3">
        <v>23.04</v>
      </c>
      <c r="K1100" s="3">
        <v>1018344.96</v>
      </c>
    </row>
    <row r="1101" spans="1:11" x14ac:dyDescent="0.2">
      <c r="A1101" s="1" t="s">
        <v>2097</v>
      </c>
      <c r="B1101" s="2">
        <v>45475</v>
      </c>
      <c r="C1101" s="1" t="s">
        <v>368</v>
      </c>
      <c r="D1101" s="1" t="s">
        <v>369</v>
      </c>
      <c r="E1101" s="1" t="s">
        <v>37</v>
      </c>
      <c r="F1101" s="1" t="s">
        <v>474</v>
      </c>
      <c r="G1101" s="1" t="s">
        <v>475</v>
      </c>
      <c r="H1101" s="1" t="s">
        <v>48</v>
      </c>
      <c r="I1101">
        <v>17924</v>
      </c>
      <c r="J1101" s="3">
        <v>48.88</v>
      </c>
      <c r="K1101" s="3">
        <v>876125.12</v>
      </c>
    </row>
    <row r="1102" spans="1:11" x14ac:dyDescent="0.2">
      <c r="A1102" s="1" t="s">
        <v>2098</v>
      </c>
      <c r="B1102" s="2">
        <v>45958</v>
      </c>
      <c r="C1102" s="1" t="s">
        <v>1268</v>
      </c>
      <c r="D1102" s="1" t="s">
        <v>1269</v>
      </c>
      <c r="E1102" s="1" t="s">
        <v>34</v>
      </c>
      <c r="F1102" s="1" t="s">
        <v>540</v>
      </c>
      <c r="G1102" s="1" t="s">
        <v>541</v>
      </c>
      <c r="H1102" s="1" t="s">
        <v>37</v>
      </c>
      <c r="I1102">
        <v>23369</v>
      </c>
      <c r="J1102" s="3">
        <v>20.91</v>
      </c>
      <c r="K1102" s="3">
        <v>488645.79</v>
      </c>
    </row>
    <row r="1103" spans="1:11" x14ac:dyDescent="0.2">
      <c r="A1103" s="1" t="s">
        <v>2099</v>
      </c>
      <c r="B1103" s="2">
        <v>45906</v>
      </c>
      <c r="C1103" s="1" t="s">
        <v>2100</v>
      </c>
      <c r="D1103" s="1" t="s">
        <v>2101</v>
      </c>
      <c r="E1103" s="1" t="s">
        <v>37</v>
      </c>
      <c r="F1103" s="1" t="s">
        <v>510</v>
      </c>
      <c r="G1103" s="1" t="s">
        <v>511</v>
      </c>
      <c r="H1103" s="1" t="s">
        <v>17</v>
      </c>
      <c r="I1103">
        <v>24695</v>
      </c>
      <c r="J1103" s="3">
        <v>29.56</v>
      </c>
      <c r="K1103" s="3">
        <v>729984.2</v>
      </c>
    </row>
    <row r="1104" spans="1:11" x14ac:dyDescent="0.2">
      <c r="A1104" s="1" t="s">
        <v>2102</v>
      </c>
      <c r="B1104" s="2">
        <v>45476</v>
      </c>
      <c r="C1104" s="1" t="s">
        <v>1310</v>
      </c>
      <c r="D1104" s="1" t="s">
        <v>1311</v>
      </c>
      <c r="E1104" s="1" t="s">
        <v>37</v>
      </c>
      <c r="F1104" s="1" t="s">
        <v>237</v>
      </c>
      <c r="G1104" s="1" t="s">
        <v>238</v>
      </c>
      <c r="H1104" s="1" t="s">
        <v>17</v>
      </c>
      <c r="I1104">
        <v>35565</v>
      </c>
      <c r="J1104" s="3">
        <v>45.06</v>
      </c>
      <c r="K1104" s="3">
        <v>1602558.9</v>
      </c>
    </row>
    <row r="1105" spans="1:11" x14ac:dyDescent="0.2">
      <c r="A1105" s="1" t="s">
        <v>2103</v>
      </c>
      <c r="B1105" s="2">
        <v>45935</v>
      </c>
      <c r="C1105" s="1" t="s">
        <v>2104</v>
      </c>
      <c r="D1105" s="1" t="s">
        <v>2105</v>
      </c>
      <c r="E1105" s="1" t="s">
        <v>34</v>
      </c>
      <c r="F1105" s="1" t="s">
        <v>76</v>
      </c>
      <c r="G1105" s="1" t="s">
        <v>77</v>
      </c>
      <c r="H1105" s="1" t="s">
        <v>48</v>
      </c>
      <c r="I1105">
        <v>34471</v>
      </c>
      <c r="J1105" s="3">
        <v>14.67</v>
      </c>
      <c r="K1105" s="3">
        <v>505689.57</v>
      </c>
    </row>
    <row r="1106" spans="1:11" x14ac:dyDescent="0.2">
      <c r="A1106" s="1" t="s">
        <v>2106</v>
      </c>
      <c r="B1106" s="2">
        <v>45481</v>
      </c>
      <c r="C1106" s="1" t="s">
        <v>1125</v>
      </c>
      <c r="D1106" s="1" t="s">
        <v>1126</v>
      </c>
      <c r="E1106" s="1" t="s">
        <v>21</v>
      </c>
      <c r="F1106" s="1" t="s">
        <v>41</v>
      </c>
      <c r="G1106" s="1" t="s">
        <v>42</v>
      </c>
      <c r="H1106" s="1" t="s">
        <v>24</v>
      </c>
      <c r="I1106">
        <v>15199</v>
      </c>
      <c r="J1106" s="3">
        <v>46.01</v>
      </c>
      <c r="K1106" s="3">
        <v>699305.99</v>
      </c>
    </row>
    <row r="1107" spans="1:11" x14ac:dyDescent="0.2">
      <c r="A1107" s="1" t="s">
        <v>2107</v>
      </c>
      <c r="B1107" s="2">
        <v>45383</v>
      </c>
      <c r="C1107" s="1" t="s">
        <v>801</v>
      </c>
      <c r="D1107" s="1" t="s">
        <v>802</v>
      </c>
      <c r="E1107" s="1" t="s">
        <v>14</v>
      </c>
      <c r="F1107" s="1" t="s">
        <v>217</v>
      </c>
      <c r="G1107" s="1" t="s">
        <v>218</v>
      </c>
      <c r="H1107" s="1" t="s">
        <v>72</v>
      </c>
      <c r="I1107">
        <v>54853</v>
      </c>
      <c r="J1107" s="3">
        <v>39.15</v>
      </c>
      <c r="K1107" s="3">
        <v>2147494.9500000002</v>
      </c>
    </row>
    <row r="1108" spans="1:11" x14ac:dyDescent="0.2">
      <c r="A1108" s="1" t="s">
        <v>2108</v>
      </c>
      <c r="B1108" s="2">
        <v>45667</v>
      </c>
      <c r="C1108" s="1" t="s">
        <v>2109</v>
      </c>
      <c r="D1108" s="1" t="s">
        <v>2110</v>
      </c>
      <c r="E1108" s="1" t="s">
        <v>28</v>
      </c>
      <c r="F1108" s="1" t="s">
        <v>510</v>
      </c>
      <c r="G1108" s="1" t="s">
        <v>511</v>
      </c>
      <c r="H1108" s="1" t="s">
        <v>17</v>
      </c>
      <c r="I1108">
        <v>77171</v>
      </c>
      <c r="J1108" s="3">
        <v>17.010000000000002</v>
      </c>
      <c r="K1108" s="3">
        <v>1312678.71</v>
      </c>
    </row>
    <row r="1109" spans="1:11" x14ac:dyDescent="0.2">
      <c r="A1109" s="1" t="s">
        <v>2111</v>
      </c>
      <c r="B1109" s="2">
        <v>45404</v>
      </c>
      <c r="C1109" s="1" t="s">
        <v>1201</v>
      </c>
      <c r="D1109" s="1" t="s">
        <v>1202</v>
      </c>
      <c r="E1109" s="1" t="s">
        <v>37</v>
      </c>
      <c r="F1109" s="1" t="s">
        <v>189</v>
      </c>
      <c r="G1109" s="1" t="s">
        <v>190</v>
      </c>
      <c r="H1109" s="1" t="s">
        <v>17</v>
      </c>
      <c r="I1109">
        <v>19619</v>
      </c>
      <c r="J1109" s="3">
        <v>21.99</v>
      </c>
      <c r="K1109" s="3">
        <v>431421.81</v>
      </c>
    </row>
    <row r="1110" spans="1:11" x14ac:dyDescent="0.2">
      <c r="A1110" s="1" t="s">
        <v>2112</v>
      </c>
      <c r="B1110" s="2">
        <v>45350</v>
      </c>
      <c r="C1110" s="1" t="s">
        <v>1137</v>
      </c>
      <c r="D1110" s="1" t="s">
        <v>1138</v>
      </c>
      <c r="E1110" s="1" t="s">
        <v>21</v>
      </c>
      <c r="F1110" s="1" t="s">
        <v>52</v>
      </c>
      <c r="G1110" s="1" t="s">
        <v>53</v>
      </c>
      <c r="H1110" s="1" t="s">
        <v>17</v>
      </c>
      <c r="I1110">
        <v>18791</v>
      </c>
      <c r="J1110" s="3">
        <v>2.88</v>
      </c>
      <c r="K1110" s="3">
        <v>54118.080000000002</v>
      </c>
    </row>
    <row r="1111" spans="1:11" x14ac:dyDescent="0.2">
      <c r="A1111" s="1" t="s">
        <v>2113</v>
      </c>
      <c r="B1111" s="2">
        <v>45383</v>
      </c>
      <c r="C1111" s="1" t="s">
        <v>206</v>
      </c>
      <c r="D1111" s="1" t="s">
        <v>207</v>
      </c>
      <c r="E1111" s="1" t="s">
        <v>14</v>
      </c>
      <c r="F1111" s="1" t="s">
        <v>176</v>
      </c>
      <c r="G1111" s="1" t="s">
        <v>177</v>
      </c>
      <c r="H1111" s="1" t="s">
        <v>37</v>
      </c>
      <c r="I1111">
        <v>30002</v>
      </c>
      <c r="J1111" s="3">
        <v>23.69</v>
      </c>
      <c r="K1111" s="3">
        <v>710747.38</v>
      </c>
    </row>
    <row r="1112" spans="1:11" x14ac:dyDescent="0.2">
      <c r="A1112" s="1" t="s">
        <v>2114</v>
      </c>
      <c r="B1112" s="2">
        <v>45506</v>
      </c>
      <c r="C1112" s="1" t="s">
        <v>1261</v>
      </c>
      <c r="D1112" s="1" t="s">
        <v>1262</v>
      </c>
      <c r="E1112" s="1" t="s">
        <v>28</v>
      </c>
      <c r="F1112" s="1" t="s">
        <v>761</v>
      </c>
      <c r="G1112" s="1" t="s">
        <v>762</v>
      </c>
      <c r="H1112" s="1" t="s">
        <v>48</v>
      </c>
      <c r="I1112">
        <v>98233</v>
      </c>
      <c r="J1112" s="3">
        <v>16.61</v>
      </c>
      <c r="K1112" s="3">
        <v>1631650.13</v>
      </c>
    </row>
    <row r="1113" spans="1:11" x14ac:dyDescent="0.2">
      <c r="A1113" s="1" t="s">
        <v>2115</v>
      </c>
      <c r="B1113" s="2">
        <v>45368</v>
      </c>
      <c r="C1113" s="1" t="s">
        <v>150</v>
      </c>
      <c r="D1113" s="1" t="s">
        <v>151</v>
      </c>
      <c r="E1113" s="1" t="s">
        <v>14</v>
      </c>
      <c r="F1113" s="1" t="s">
        <v>228</v>
      </c>
      <c r="G1113" s="1" t="s">
        <v>229</v>
      </c>
      <c r="H1113" s="1" t="s">
        <v>48</v>
      </c>
      <c r="I1113">
        <v>81115</v>
      </c>
      <c r="J1113" s="3">
        <v>5.91</v>
      </c>
      <c r="K1113" s="3">
        <v>479389.65</v>
      </c>
    </row>
    <row r="1114" spans="1:11" x14ac:dyDescent="0.2">
      <c r="A1114" s="1" t="s">
        <v>2116</v>
      </c>
      <c r="B1114" s="2">
        <v>45378</v>
      </c>
      <c r="C1114" s="1" t="s">
        <v>945</v>
      </c>
      <c r="D1114" s="1" t="s">
        <v>946</v>
      </c>
      <c r="E1114" s="1" t="s">
        <v>14</v>
      </c>
      <c r="F1114" s="1" t="s">
        <v>268</v>
      </c>
      <c r="G1114" s="1" t="s">
        <v>269</v>
      </c>
      <c r="H1114" s="1" t="s">
        <v>72</v>
      </c>
      <c r="I1114">
        <v>76666</v>
      </c>
      <c r="J1114" s="3">
        <v>39.9</v>
      </c>
      <c r="K1114" s="3">
        <v>3058973.4</v>
      </c>
    </row>
    <row r="1115" spans="1:11" x14ac:dyDescent="0.2">
      <c r="A1115" s="1" t="s">
        <v>2117</v>
      </c>
      <c r="B1115" s="2">
        <v>45353</v>
      </c>
      <c r="C1115" s="1" t="s">
        <v>740</v>
      </c>
      <c r="D1115" s="1" t="s">
        <v>741</v>
      </c>
      <c r="E1115" s="1" t="s">
        <v>14</v>
      </c>
      <c r="F1115" s="1" t="s">
        <v>463</v>
      </c>
      <c r="G1115" s="1" t="s">
        <v>464</v>
      </c>
      <c r="H1115" s="1" t="s">
        <v>37</v>
      </c>
      <c r="I1115">
        <v>42008</v>
      </c>
      <c r="J1115" s="3">
        <v>44.28</v>
      </c>
      <c r="K1115" s="3">
        <v>1860114.24</v>
      </c>
    </row>
    <row r="1116" spans="1:11" x14ac:dyDescent="0.2">
      <c r="A1116" s="1" t="s">
        <v>2118</v>
      </c>
      <c r="B1116" s="2">
        <v>45518</v>
      </c>
      <c r="C1116" s="1" t="s">
        <v>1164</v>
      </c>
      <c r="D1116" s="1" t="s">
        <v>1165</v>
      </c>
      <c r="E1116" s="1" t="s">
        <v>37</v>
      </c>
      <c r="F1116" s="1" t="s">
        <v>98</v>
      </c>
      <c r="G1116" s="1" t="s">
        <v>99</v>
      </c>
      <c r="H1116" s="1" t="s">
        <v>72</v>
      </c>
      <c r="I1116">
        <v>37878</v>
      </c>
      <c r="J1116" s="3">
        <v>2.57</v>
      </c>
      <c r="K1116" s="3">
        <v>97346.46</v>
      </c>
    </row>
    <row r="1117" spans="1:11" x14ac:dyDescent="0.2">
      <c r="A1117" s="1" t="s">
        <v>2119</v>
      </c>
      <c r="B1117" s="2">
        <v>45317</v>
      </c>
      <c r="C1117" s="1" t="s">
        <v>345</v>
      </c>
      <c r="D1117" s="1" t="s">
        <v>346</v>
      </c>
      <c r="E1117" s="1" t="s">
        <v>37</v>
      </c>
      <c r="F1117" s="1" t="s">
        <v>176</v>
      </c>
      <c r="G1117" s="1" t="s">
        <v>177</v>
      </c>
      <c r="H1117" s="1" t="s">
        <v>37</v>
      </c>
      <c r="I1117">
        <v>88203</v>
      </c>
      <c r="J1117" s="3">
        <v>32.58</v>
      </c>
      <c r="K1117" s="3">
        <v>2873653.74</v>
      </c>
    </row>
    <row r="1118" spans="1:11" x14ac:dyDescent="0.2">
      <c r="A1118" s="1" t="s">
        <v>2120</v>
      </c>
      <c r="B1118" s="2">
        <v>45350</v>
      </c>
      <c r="C1118" s="1" t="s">
        <v>2121</v>
      </c>
      <c r="D1118" s="1" t="s">
        <v>2122</v>
      </c>
      <c r="E1118" s="1" t="s">
        <v>34</v>
      </c>
      <c r="F1118" s="1" t="s">
        <v>324</v>
      </c>
      <c r="G1118" s="1" t="s">
        <v>325</v>
      </c>
      <c r="H1118" s="1" t="s">
        <v>24</v>
      </c>
      <c r="I1118">
        <v>33523</v>
      </c>
      <c r="J1118" s="3">
        <v>8.15</v>
      </c>
      <c r="K1118" s="3">
        <v>273212.45</v>
      </c>
    </row>
    <row r="1119" spans="1:11" x14ac:dyDescent="0.2">
      <c r="A1119" s="1" t="s">
        <v>2123</v>
      </c>
      <c r="B1119" s="2">
        <v>45769</v>
      </c>
      <c r="C1119" s="1" t="s">
        <v>1161</v>
      </c>
      <c r="D1119" s="1" t="s">
        <v>1162</v>
      </c>
      <c r="E1119" s="1" t="s">
        <v>21</v>
      </c>
      <c r="F1119" s="1" t="s">
        <v>35</v>
      </c>
      <c r="G1119" s="1" t="s">
        <v>36</v>
      </c>
      <c r="H1119" s="1" t="s">
        <v>37</v>
      </c>
      <c r="I1119">
        <v>60491</v>
      </c>
      <c r="J1119" s="3">
        <v>13.14</v>
      </c>
      <c r="K1119" s="3">
        <v>794851.74</v>
      </c>
    </row>
    <row r="1120" spans="1:11" x14ac:dyDescent="0.2">
      <c r="A1120" s="1" t="s">
        <v>2124</v>
      </c>
      <c r="B1120" s="2">
        <v>45945</v>
      </c>
      <c r="C1120" s="1" t="s">
        <v>249</v>
      </c>
      <c r="D1120" s="1" t="s">
        <v>250</v>
      </c>
      <c r="E1120" s="1" t="s">
        <v>21</v>
      </c>
      <c r="F1120" s="1" t="s">
        <v>157</v>
      </c>
      <c r="G1120" s="1" t="s">
        <v>158</v>
      </c>
      <c r="H1120" s="1" t="s">
        <v>48</v>
      </c>
      <c r="I1120">
        <v>37096</v>
      </c>
      <c r="J1120" s="3">
        <v>8.83</v>
      </c>
      <c r="K1120" s="3">
        <v>327557.68</v>
      </c>
    </row>
    <row r="1121" spans="1:11" x14ac:dyDescent="0.2">
      <c r="A1121" s="1" t="s">
        <v>2125</v>
      </c>
      <c r="B1121" s="2">
        <v>46002</v>
      </c>
      <c r="C1121" s="1" t="s">
        <v>1637</v>
      </c>
      <c r="D1121" s="1" t="s">
        <v>1638</v>
      </c>
      <c r="E1121" s="1" t="s">
        <v>34</v>
      </c>
      <c r="F1121" s="1" t="s">
        <v>176</v>
      </c>
      <c r="G1121" s="1" t="s">
        <v>177</v>
      </c>
      <c r="H1121" s="1" t="s">
        <v>37</v>
      </c>
      <c r="I1121">
        <v>71739</v>
      </c>
      <c r="J1121" s="3">
        <v>18.13</v>
      </c>
      <c r="K1121" s="3">
        <v>1300628.07</v>
      </c>
    </row>
    <row r="1122" spans="1:11" x14ac:dyDescent="0.2">
      <c r="A1122" s="1" t="s">
        <v>2126</v>
      </c>
      <c r="B1122" s="2">
        <v>46010</v>
      </c>
      <c r="C1122" s="1" t="s">
        <v>722</v>
      </c>
      <c r="D1122" s="1" t="s">
        <v>723</v>
      </c>
      <c r="E1122" s="1" t="s">
        <v>21</v>
      </c>
      <c r="F1122" s="1" t="s">
        <v>108</v>
      </c>
      <c r="G1122" s="1" t="s">
        <v>109</v>
      </c>
      <c r="H1122" s="1" t="s">
        <v>37</v>
      </c>
      <c r="I1122">
        <v>26774</v>
      </c>
      <c r="J1122" s="3">
        <v>15.02</v>
      </c>
      <c r="K1122" s="3">
        <v>402145.48</v>
      </c>
    </row>
    <row r="1123" spans="1:11" x14ac:dyDescent="0.2">
      <c r="A1123" s="1" t="s">
        <v>2127</v>
      </c>
      <c r="B1123" s="2">
        <v>45568</v>
      </c>
      <c r="C1123" s="1" t="s">
        <v>2128</v>
      </c>
      <c r="D1123" s="1" t="s">
        <v>2129</v>
      </c>
      <c r="E1123" s="1" t="s">
        <v>37</v>
      </c>
      <c r="F1123" s="1" t="s">
        <v>22</v>
      </c>
      <c r="G1123" s="1" t="s">
        <v>23</v>
      </c>
      <c r="H1123" s="1" t="s">
        <v>24</v>
      </c>
      <c r="I1123">
        <v>64459</v>
      </c>
      <c r="J1123" s="3">
        <v>12.8</v>
      </c>
      <c r="K1123" s="3">
        <v>825075.19999999995</v>
      </c>
    </row>
    <row r="1124" spans="1:11" x14ac:dyDescent="0.2">
      <c r="A1124" s="1" t="s">
        <v>2130</v>
      </c>
      <c r="B1124" s="2">
        <v>45862</v>
      </c>
      <c r="C1124" s="1" t="s">
        <v>984</v>
      </c>
      <c r="D1124" s="1" t="s">
        <v>985</v>
      </c>
      <c r="E1124" s="1" t="s">
        <v>14</v>
      </c>
      <c r="F1124" s="1" t="s">
        <v>339</v>
      </c>
      <c r="G1124" s="1" t="s">
        <v>340</v>
      </c>
      <c r="H1124" s="1" t="s">
        <v>24</v>
      </c>
      <c r="I1124">
        <v>55127</v>
      </c>
      <c r="J1124" s="3">
        <v>33.14</v>
      </c>
      <c r="K1124" s="3">
        <v>1826908.78</v>
      </c>
    </row>
    <row r="1125" spans="1:11" x14ac:dyDescent="0.2">
      <c r="A1125" s="1" t="s">
        <v>2131</v>
      </c>
      <c r="B1125" s="2">
        <v>45740</v>
      </c>
      <c r="C1125" s="1" t="s">
        <v>1567</v>
      </c>
      <c r="D1125" s="1" t="s">
        <v>1568</v>
      </c>
      <c r="E1125" s="1" t="s">
        <v>34</v>
      </c>
      <c r="F1125" s="1" t="s">
        <v>184</v>
      </c>
      <c r="G1125" s="1" t="s">
        <v>185</v>
      </c>
      <c r="H1125" s="1" t="s">
        <v>17</v>
      </c>
      <c r="I1125">
        <v>74374</v>
      </c>
      <c r="J1125" s="3">
        <v>11.63</v>
      </c>
      <c r="K1125" s="3">
        <v>864969.62</v>
      </c>
    </row>
    <row r="1126" spans="1:11" x14ac:dyDescent="0.2">
      <c r="A1126" s="1" t="s">
        <v>2132</v>
      </c>
      <c r="B1126" s="2">
        <v>45351</v>
      </c>
      <c r="C1126" s="1" t="s">
        <v>1064</v>
      </c>
      <c r="D1126" s="1" t="s">
        <v>1065</v>
      </c>
      <c r="E1126" s="1" t="s">
        <v>14</v>
      </c>
      <c r="F1126" s="1" t="s">
        <v>165</v>
      </c>
      <c r="G1126" s="1" t="s">
        <v>166</v>
      </c>
      <c r="H1126" s="1" t="s">
        <v>24</v>
      </c>
      <c r="I1126">
        <v>45361</v>
      </c>
      <c r="J1126" s="3">
        <v>35.090000000000003</v>
      </c>
      <c r="K1126" s="3">
        <v>1591717.49</v>
      </c>
    </row>
    <row r="1127" spans="1:11" x14ac:dyDescent="0.2">
      <c r="A1127" s="1" t="s">
        <v>2133</v>
      </c>
      <c r="B1127" s="2">
        <v>45848</v>
      </c>
      <c r="C1127" s="1" t="s">
        <v>240</v>
      </c>
      <c r="D1127" s="1" t="s">
        <v>241</v>
      </c>
      <c r="E1127" s="1" t="s">
        <v>28</v>
      </c>
      <c r="F1127" s="1" t="s">
        <v>203</v>
      </c>
      <c r="G1127" s="1" t="s">
        <v>204</v>
      </c>
      <c r="H1127" s="1" t="s">
        <v>72</v>
      </c>
      <c r="I1127">
        <v>50330</v>
      </c>
      <c r="J1127" s="3">
        <v>23.02</v>
      </c>
      <c r="K1127" s="3">
        <v>1158596.6000000001</v>
      </c>
    </row>
    <row r="1128" spans="1:11" x14ac:dyDescent="0.2">
      <c r="A1128" s="1" t="s">
        <v>2134</v>
      </c>
      <c r="B1128" s="2">
        <v>45549</v>
      </c>
      <c r="C1128" s="1" t="s">
        <v>743</v>
      </c>
      <c r="D1128" s="1" t="s">
        <v>744</v>
      </c>
      <c r="E1128" s="1" t="s">
        <v>14</v>
      </c>
      <c r="F1128" s="1" t="s">
        <v>436</v>
      </c>
      <c r="G1128" s="1" t="s">
        <v>437</v>
      </c>
      <c r="H1128" s="1" t="s">
        <v>24</v>
      </c>
      <c r="I1128">
        <v>65468</v>
      </c>
      <c r="J1128" s="3">
        <v>39.49</v>
      </c>
      <c r="K1128" s="3">
        <v>2585331.3199999998</v>
      </c>
    </row>
    <row r="1129" spans="1:11" x14ac:dyDescent="0.2">
      <c r="A1129" s="1" t="s">
        <v>2135</v>
      </c>
      <c r="B1129" s="2">
        <v>45714</v>
      </c>
      <c r="C1129" s="1" t="s">
        <v>1050</v>
      </c>
      <c r="D1129" s="1" t="s">
        <v>1051</v>
      </c>
      <c r="E1129" s="1" t="s">
        <v>14</v>
      </c>
      <c r="F1129" s="1" t="s">
        <v>139</v>
      </c>
      <c r="G1129" s="1" t="s">
        <v>140</v>
      </c>
      <c r="H1129" s="1" t="s">
        <v>24</v>
      </c>
      <c r="I1129">
        <v>33082</v>
      </c>
      <c r="J1129" s="3">
        <v>48.38</v>
      </c>
      <c r="K1129" s="3">
        <v>1600507.16</v>
      </c>
    </row>
    <row r="1130" spans="1:11" x14ac:dyDescent="0.2">
      <c r="A1130" s="1" t="s">
        <v>2136</v>
      </c>
      <c r="B1130" s="2">
        <v>45558</v>
      </c>
      <c r="C1130" s="1" t="s">
        <v>1949</v>
      </c>
      <c r="D1130" s="1" t="s">
        <v>1950</v>
      </c>
      <c r="E1130" s="1" t="s">
        <v>14</v>
      </c>
      <c r="F1130" s="1" t="s">
        <v>237</v>
      </c>
      <c r="G1130" s="1" t="s">
        <v>238</v>
      </c>
      <c r="H1130" s="1" t="s">
        <v>17</v>
      </c>
      <c r="I1130">
        <v>24518</v>
      </c>
      <c r="J1130" s="3">
        <v>34.26</v>
      </c>
      <c r="K1130" s="3">
        <v>839986.68</v>
      </c>
    </row>
    <row r="1131" spans="1:11" x14ac:dyDescent="0.2">
      <c r="A1131" s="1" t="s">
        <v>2137</v>
      </c>
      <c r="B1131" s="2">
        <v>45304</v>
      </c>
      <c r="C1131" s="1" t="s">
        <v>829</v>
      </c>
      <c r="D1131" s="1" t="s">
        <v>830</v>
      </c>
      <c r="E1131" s="1" t="s">
        <v>14</v>
      </c>
      <c r="F1131" s="1" t="s">
        <v>463</v>
      </c>
      <c r="G1131" s="1" t="s">
        <v>464</v>
      </c>
      <c r="H1131" s="1" t="s">
        <v>37</v>
      </c>
      <c r="I1131">
        <v>78518</v>
      </c>
      <c r="J1131" s="3">
        <v>10.6</v>
      </c>
      <c r="K1131" s="3">
        <v>832290.8</v>
      </c>
    </row>
    <row r="1132" spans="1:11" x14ac:dyDescent="0.2">
      <c r="A1132" s="1" t="s">
        <v>2138</v>
      </c>
      <c r="B1132" s="2">
        <v>45644</v>
      </c>
      <c r="C1132" s="1" t="s">
        <v>1014</v>
      </c>
      <c r="D1132" s="1" t="s">
        <v>1015</v>
      </c>
      <c r="E1132" s="1" t="s">
        <v>34</v>
      </c>
      <c r="F1132" s="1" t="s">
        <v>165</v>
      </c>
      <c r="G1132" s="1" t="s">
        <v>166</v>
      </c>
      <c r="H1132" s="1" t="s">
        <v>24</v>
      </c>
      <c r="I1132">
        <v>84579</v>
      </c>
      <c r="J1132" s="3">
        <v>8.34</v>
      </c>
      <c r="K1132" s="3">
        <v>705388.86</v>
      </c>
    </row>
    <row r="1133" spans="1:11" x14ac:dyDescent="0.2">
      <c r="A1133" s="1" t="s">
        <v>2139</v>
      </c>
      <c r="B1133" s="2">
        <v>45734</v>
      </c>
      <c r="C1133" s="1" t="s">
        <v>1220</v>
      </c>
      <c r="D1133" s="1" t="s">
        <v>1221</v>
      </c>
      <c r="E1133" s="1" t="s">
        <v>34</v>
      </c>
      <c r="F1133" s="1" t="s">
        <v>189</v>
      </c>
      <c r="G1133" s="1" t="s">
        <v>190</v>
      </c>
      <c r="H1133" s="1" t="s">
        <v>17</v>
      </c>
      <c r="I1133">
        <v>28268</v>
      </c>
      <c r="J1133" s="3">
        <v>6.76</v>
      </c>
      <c r="K1133" s="3">
        <v>191091.68</v>
      </c>
    </row>
    <row r="1134" spans="1:11" x14ac:dyDescent="0.2">
      <c r="A1134" s="1" t="s">
        <v>2140</v>
      </c>
      <c r="B1134" s="2">
        <v>45548</v>
      </c>
      <c r="C1134" s="1" t="s">
        <v>1421</v>
      </c>
      <c r="D1134" s="1" t="s">
        <v>1422</v>
      </c>
      <c r="E1134" s="1" t="s">
        <v>21</v>
      </c>
      <c r="F1134" s="1" t="s">
        <v>324</v>
      </c>
      <c r="G1134" s="1" t="s">
        <v>325</v>
      </c>
      <c r="H1134" s="1" t="s">
        <v>24</v>
      </c>
      <c r="I1134">
        <v>71663</v>
      </c>
      <c r="J1134" s="3">
        <v>32.130000000000003</v>
      </c>
      <c r="K1134" s="3">
        <v>2302532.19</v>
      </c>
    </row>
    <row r="1135" spans="1:11" x14ac:dyDescent="0.2">
      <c r="A1135" s="1" t="s">
        <v>2141</v>
      </c>
      <c r="B1135" s="2">
        <v>45577</v>
      </c>
      <c r="C1135" s="1" t="s">
        <v>291</v>
      </c>
      <c r="D1135" s="1" t="s">
        <v>292</v>
      </c>
      <c r="E1135" s="1" t="s">
        <v>14</v>
      </c>
      <c r="F1135" s="1" t="s">
        <v>41</v>
      </c>
      <c r="G1135" s="1" t="s">
        <v>42</v>
      </c>
      <c r="H1135" s="1" t="s">
        <v>24</v>
      </c>
      <c r="I1135">
        <v>62800</v>
      </c>
      <c r="J1135" s="3">
        <v>38.21</v>
      </c>
      <c r="K1135" s="3">
        <v>2399588</v>
      </c>
    </row>
    <row r="1136" spans="1:11" x14ac:dyDescent="0.2">
      <c r="A1136" s="1" t="s">
        <v>2142</v>
      </c>
      <c r="B1136" s="2">
        <v>45716</v>
      </c>
      <c r="C1136" s="1" t="s">
        <v>1254</v>
      </c>
      <c r="D1136" s="1" t="s">
        <v>1255</v>
      </c>
      <c r="E1136" s="1" t="s">
        <v>14</v>
      </c>
      <c r="F1136" s="1" t="s">
        <v>108</v>
      </c>
      <c r="G1136" s="1" t="s">
        <v>109</v>
      </c>
      <c r="H1136" s="1" t="s">
        <v>37</v>
      </c>
      <c r="I1136">
        <v>83412</v>
      </c>
      <c r="J1136" s="3">
        <v>28.93</v>
      </c>
      <c r="K1136" s="3">
        <v>2413109.16</v>
      </c>
    </row>
    <row r="1137" spans="1:11" x14ac:dyDescent="0.2">
      <c r="A1137" s="1" t="s">
        <v>2143</v>
      </c>
      <c r="B1137" s="2">
        <v>45550</v>
      </c>
      <c r="C1137" s="1" t="s">
        <v>201</v>
      </c>
      <c r="D1137" s="1" t="s">
        <v>202</v>
      </c>
      <c r="E1137" s="1" t="s">
        <v>14</v>
      </c>
      <c r="F1137" s="1" t="s">
        <v>46</v>
      </c>
      <c r="G1137" s="1" t="s">
        <v>47</v>
      </c>
      <c r="H1137" s="1" t="s">
        <v>48</v>
      </c>
      <c r="I1137">
        <v>57077</v>
      </c>
      <c r="J1137" s="3">
        <v>32.950000000000003</v>
      </c>
      <c r="K1137" s="3">
        <v>1880687.15</v>
      </c>
    </row>
    <row r="1138" spans="1:11" x14ac:dyDescent="0.2">
      <c r="A1138" s="1" t="s">
        <v>2144</v>
      </c>
      <c r="B1138" s="2">
        <v>45442</v>
      </c>
      <c r="C1138" s="1" t="s">
        <v>2145</v>
      </c>
      <c r="D1138" s="1" t="s">
        <v>2146</v>
      </c>
      <c r="E1138" s="1" t="s">
        <v>37</v>
      </c>
      <c r="F1138" s="1" t="s">
        <v>284</v>
      </c>
      <c r="G1138" s="1" t="s">
        <v>285</v>
      </c>
      <c r="H1138" s="1" t="s">
        <v>37</v>
      </c>
      <c r="I1138">
        <v>7035</v>
      </c>
      <c r="J1138" s="3">
        <v>4.1500000000000004</v>
      </c>
      <c r="K1138" s="3">
        <v>29195.25</v>
      </c>
    </row>
    <row r="1139" spans="1:11" x14ac:dyDescent="0.2">
      <c r="A1139" s="1" t="s">
        <v>2147</v>
      </c>
      <c r="B1139" s="2">
        <v>45462</v>
      </c>
      <c r="C1139" s="1" t="s">
        <v>155</v>
      </c>
      <c r="D1139" s="1" t="s">
        <v>156</v>
      </c>
      <c r="E1139" s="1" t="s">
        <v>14</v>
      </c>
      <c r="F1139" s="1" t="s">
        <v>237</v>
      </c>
      <c r="G1139" s="1" t="s">
        <v>238</v>
      </c>
      <c r="H1139" s="1" t="s">
        <v>17</v>
      </c>
      <c r="I1139">
        <v>30586</v>
      </c>
      <c r="J1139" s="3">
        <v>28.72</v>
      </c>
      <c r="K1139" s="3">
        <v>878429.92</v>
      </c>
    </row>
    <row r="1140" spans="1:11" x14ac:dyDescent="0.2">
      <c r="A1140" s="1" t="s">
        <v>2148</v>
      </c>
      <c r="B1140" s="2">
        <v>45409</v>
      </c>
      <c r="C1140" s="1" t="s">
        <v>1036</v>
      </c>
      <c r="D1140" s="1" t="s">
        <v>1037</v>
      </c>
      <c r="E1140" s="1" t="s">
        <v>21</v>
      </c>
      <c r="F1140" s="1" t="s">
        <v>251</v>
      </c>
      <c r="G1140" s="1" t="s">
        <v>252</v>
      </c>
      <c r="H1140" s="1" t="s">
        <v>72</v>
      </c>
      <c r="I1140">
        <v>10410</v>
      </c>
      <c r="J1140" s="3">
        <v>4.0199999999999996</v>
      </c>
      <c r="K1140" s="3">
        <v>41848.199999999997</v>
      </c>
    </row>
    <row r="1141" spans="1:11" x14ac:dyDescent="0.2">
      <c r="A1141" s="1" t="s">
        <v>2149</v>
      </c>
      <c r="B1141" s="2">
        <v>45744</v>
      </c>
      <c r="C1141" s="1" t="s">
        <v>487</v>
      </c>
      <c r="D1141" s="1" t="s">
        <v>488</v>
      </c>
      <c r="E1141" s="1" t="s">
        <v>28</v>
      </c>
      <c r="F1141" s="1" t="s">
        <v>52</v>
      </c>
      <c r="G1141" s="1" t="s">
        <v>53</v>
      </c>
      <c r="H1141" s="1" t="s">
        <v>17</v>
      </c>
      <c r="I1141">
        <v>38346</v>
      </c>
      <c r="J1141" s="3">
        <v>5.19</v>
      </c>
      <c r="K1141" s="3">
        <v>199015.74</v>
      </c>
    </row>
    <row r="1142" spans="1:11" x14ac:dyDescent="0.2">
      <c r="A1142" s="1" t="s">
        <v>2150</v>
      </c>
      <c r="B1142" s="2">
        <v>45339</v>
      </c>
      <c r="C1142" s="1" t="s">
        <v>767</v>
      </c>
      <c r="D1142" s="1" t="s">
        <v>768</v>
      </c>
      <c r="E1142" s="1" t="s">
        <v>28</v>
      </c>
      <c r="F1142" s="1" t="s">
        <v>57</v>
      </c>
      <c r="G1142" s="1" t="s">
        <v>58</v>
      </c>
      <c r="H1142" s="1" t="s">
        <v>48</v>
      </c>
      <c r="I1142">
        <v>91112</v>
      </c>
      <c r="J1142" s="3">
        <v>17.989999999999998</v>
      </c>
      <c r="K1142" s="3">
        <v>1639104.88</v>
      </c>
    </row>
    <row r="1143" spans="1:11" x14ac:dyDescent="0.2">
      <c r="A1143" s="1" t="s">
        <v>2151</v>
      </c>
      <c r="B1143" s="2">
        <v>45377</v>
      </c>
      <c r="C1143" s="1" t="s">
        <v>495</v>
      </c>
      <c r="D1143" s="1" t="s">
        <v>496</v>
      </c>
      <c r="E1143" s="1" t="s">
        <v>37</v>
      </c>
      <c r="F1143" s="1" t="s">
        <v>273</v>
      </c>
      <c r="G1143" s="1" t="s">
        <v>274</v>
      </c>
      <c r="H1143" s="1" t="s">
        <v>24</v>
      </c>
      <c r="I1143">
        <v>44293</v>
      </c>
      <c r="J1143" s="3">
        <v>15.14</v>
      </c>
      <c r="K1143" s="3">
        <v>670596.02</v>
      </c>
    </row>
    <row r="1144" spans="1:11" x14ac:dyDescent="0.2">
      <c r="A1144" s="1" t="s">
        <v>2152</v>
      </c>
      <c r="B1144" s="2">
        <v>45653</v>
      </c>
      <c r="C1144" s="1" t="s">
        <v>32</v>
      </c>
      <c r="D1144" s="1" t="s">
        <v>33</v>
      </c>
      <c r="E1144" s="1" t="s">
        <v>34</v>
      </c>
      <c r="F1144" s="1" t="s">
        <v>237</v>
      </c>
      <c r="G1144" s="1" t="s">
        <v>238</v>
      </c>
      <c r="H1144" s="1" t="s">
        <v>17</v>
      </c>
      <c r="I1144">
        <v>87028</v>
      </c>
      <c r="J1144" s="3">
        <v>34.49</v>
      </c>
      <c r="K1144" s="3">
        <v>3001595.72</v>
      </c>
    </row>
    <row r="1145" spans="1:11" x14ac:dyDescent="0.2">
      <c r="A1145" s="1" t="s">
        <v>2153</v>
      </c>
      <c r="B1145" s="2">
        <v>45984</v>
      </c>
      <c r="C1145" s="1" t="s">
        <v>1426</v>
      </c>
      <c r="D1145" s="1" t="s">
        <v>1427</v>
      </c>
      <c r="E1145" s="1" t="s">
        <v>28</v>
      </c>
      <c r="F1145" s="1" t="s">
        <v>108</v>
      </c>
      <c r="G1145" s="1" t="s">
        <v>109</v>
      </c>
      <c r="H1145" s="1" t="s">
        <v>37</v>
      </c>
      <c r="I1145">
        <v>36916</v>
      </c>
      <c r="J1145" s="3">
        <v>38.020000000000003</v>
      </c>
      <c r="K1145" s="3">
        <v>1403546.32</v>
      </c>
    </row>
    <row r="1146" spans="1:11" x14ac:dyDescent="0.2">
      <c r="A1146" s="1" t="s">
        <v>2154</v>
      </c>
      <c r="B1146" s="2">
        <v>45448</v>
      </c>
      <c r="C1146" s="1" t="s">
        <v>1640</v>
      </c>
      <c r="D1146" s="1" t="s">
        <v>1641</v>
      </c>
      <c r="E1146" s="1" t="s">
        <v>28</v>
      </c>
      <c r="F1146" s="1" t="s">
        <v>157</v>
      </c>
      <c r="G1146" s="1" t="s">
        <v>158</v>
      </c>
      <c r="H1146" s="1" t="s">
        <v>48</v>
      </c>
      <c r="I1146">
        <v>86959</v>
      </c>
      <c r="J1146" s="3">
        <v>17.899999999999999</v>
      </c>
      <c r="K1146" s="3">
        <v>1556566.1</v>
      </c>
    </row>
    <row r="1147" spans="1:11" x14ac:dyDescent="0.2">
      <c r="A1147" s="1" t="s">
        <v>2155</v>
      </c>
      <c r="B1147" s="2">
        <v>45667</v>
      </c>
      <c r="C1147" s="1" t="s">
        <v>811</v>
      </c>
      <c r="D1147" s="1" t="s">
        <v>812</v>
      </c>
      <c r="E1147" s="1" t="s">
        <v>14</v>
      </c>
      <c r="F1147" s="1" t="s">
        <v>203</v>
      </c>
      <c r="G1147" s="1" t="s">
        <v>204</v>
      </c>
      <c r="H1147" s="1" t="s">
        <v>72</v>
      </c>
      <c r="I1147">
        <v>46047</v>
      </c>
      <c r="J1147" s="3">
        <v>16.739999999999998</v>
      </c>
      <c r="K1147" s="3">
        <v>770826.78</v>
      </c>
    </row>
    <row r="1148" spans="1:11" x14ac:dyDescent="0.2">
      <c r="A1148" s="1" t="s">
        <v>2156</v>
      </c>
      <c r="B1148" s="2">
        <v>45656</v>
      </c>
      <c r="C1148" s="1" t="s">
        <v>307</v>
      </c>
      <c r="D1148" s="1" t="s">
        <v>308</v>
      </c>
      <c r="E1148" s="1" t="s">
        <v>14</v>
      </c>
      <c r="F1148" s="1" t="s">
        <v>65</v>
      </c>
      <c r="G1148" s="1" t="s">
        <v>66</v>
      </c>
      <c r="H1148" s="1" t="s">
        <v>48</v>
      </c>
      <c r="I1148">
        <v>64775</v>
      </c>
      <c r="J1148" s="3">
        <v>44.04</v>
      </c>
      <c r="K1148" s="3">
        <v>2852691</v>
      </c>
    </row>
    <row r="1149" spans="1:11" x14ac:dyDescent="0.2">
      <c r="A1149" s="1" t="s">
        <v>2157</v>
      </c>
      <c r="B1149" s="2">
        <v>45480</v>
      </c>
      <c r="C1149" s="1" t="s">
        <v>1393</v>
      </c>
      <c r="D1149" s="1" t="s">
        <v>1394</v>
      </c>
      <c r="E1149" s="1" t="s">
        <v>28</v>
      </c>
      <c r="F1149" s="1" t="s">
        <v>46</v>
      </c>
      <c r="G1149" s="1" t="s">
        <v>47</v>
      </c>
      <c r="H1149" s="1" t="s">
        <v>48</v>
      </c>
      <c r="I1149">
        <v>45993</v>
      </c>
      <c r="J1149" s="3">
        <v>28.42</v>
      </c>
      <c r="K1149" s="3">
        <v>1307121.06</v>
      </c>
    </row>
    <row r="1150" spans="1:11" x14ac:dyDescent="0.2">
      <c r="A1150" s="1" t="s">
        <v>2158</v>
      </c>
      <c r="B1150" s="2">
        <v>45328</v>
      </c>
      <c r="C1150" s="1" t="s">
        <v>920</v>
      </c>
      <c r="D1150" s="1" t="s">
        <v>921</v>
      </c>
      <c r="E1150" s="1" t="s">
        <v>14</v>
      </c>
      <c r="F1150" s="1" t="s">
        <v>152</v>
      </c>
      <c r="G1150" s="1" t="s">
        <v>153</v>
      </c>
      <c r="H1150" s="1" t="s">
        <v>17</v>
      </c>
      <c r="I1150">
        <v>56078</v>
      </c>
      <c r="J1150" s="3">
        <v>14.89</v>
      </c>
      <c r="K1150" s="3">
        <v>835001.42</v>
      </c>
    </row>
    <row r="1151" spans="1:11" x14ac:dyDescent="0.2">
      <c r="A1151" s="1" t="s">
        <v>2159</v>
      </c>
      <c r="B1151" s="2">
        <v>45893</v>
      </c>
      <c r="C1151" s="1" t="s">
        <v>866</v>
      </c>
      <c r="D1151" s="1" t="s">
        <v>867</v>
      </c>
      <c r="E1151" s="1" t="s">
        <v>14</v>
      </c>
      <c r="F1151" s="1" t="s">
        <v>208</v>
      </c>
      <c r="G1151" s="1" t="s">
        <v>209</v>
      </c>
      <c r="H1151" s="1" t="s">
        <v>17</v>
      </c>
      <c r="I1151">
        <v>42900</v>
      </c>
      <c r="J1151" s="3">
        <v>34.590000000000003</v>
      </c>
      <c r="K1151" s="3">
        <v>1483911</v>
      </c>
    </row>
    <row r="1152" spans="1:11" x14ac:dyDescent="0.2">
      <c r="A1152" s="1" t="s">
        <v>2160</v>
      </c>
      <c r="B1152" s="2">
        <v>45823</v>
      </c>
      <c r="C1152" s="1" t="s">
        <v>756</v>
      </c>
      <c r="D1152" s="1" t="s">
        <v>757</v>
      </c>
      <c r="E1152" s="1" t="s">
        <v>34</v>
      </c>
      <c r="F1152" s="1" t="s">
        <v>412</v>
      </c>
      <c r="G1152" s="1" t="s">
        <v>413</v>
      </c>
      <c r="H1152" s="1" t="s">
        <v>72</v>
      </c>
      <c r="I1152">
        <v>49220</v>
      </c>
      <c r="J1152" s="3">
        <v>21.99</v>
      </c>
      <c r="K1152" s="3">
        <v>1082347.8</v>
      </c>
    </row>
    <row r="1153" spans="1:11" x14ac:dyDescent="0.2">
      <c r="A1153" s="1" t="s">
        <v>2161</v>
      </c>
      <c r="B1153" s="2">
        <v>45842</v>
      </c>
      <c r="C1153" s="1" t="s">
        <v>1332</v>
      </c>
      <c r="D1153" s="1" t="s">
        <v>1333</v>
      </c>
      <c r="E1153" s="1" t="s">
        <v>34</v>
      </c>
      <c r="F1153" s="1" t="s">
        <v>176</v>
      </c>
      <c r="G1153" s="1" t="s">
        <v>177</v>
      </c>
      <c r="H1153" s="1" t="s">
        <v>37</v>
      </c>
      <c r="I1153">
        <v>33308</v>
      </c>
      <c r="J1153" s="3">
        <v>16.13</v>
      </c>
      <c r="K1153" s="3">
        <v>537258.04</v>
      </c>
    </row>
    <row r="1154" spans="1:11" x14ac:dyDescent="0.2">
      <c r="A1154" s="1" t="s">
        <v>2162</v>
      </c>
      <c r="B1154" s="2">
        <v>45735</v>
      </c>
      <c r="C1154" s="1" t="s">
        <v>1630</v>
      </c>
      <c r="D1154" s="1" t="s">
        <v>1631</v>
      </c>
      <c r="E1154" s="1" t="s">
        <v>37</v>
      </c>
      <c r="F1154" s="1" t="s">
        <v>65</v>
      </c>
      <c r="G1154" s="1" t="s">
        <v>66</v>
      </c>
      <c r="H1154" s="1" t="s">
        <v>48</v>
      </c>
      <c r="I1154">
        <v>59024</v>
      </c>
      <c r="J1154" s="3">
        <v>37.24</v>
      </c>
      <c r="K1154" s="3">
        <v>2198053.7599999998</v>
      </c>
    </row>
    <row r="1155" spans="1:11" x14ac:dyDescent="0.2">
      <c r="A1155" s="1" t="s">
        <v>2163</v>
      </c>
      <c r="B1155" s="2">
        <v>46015</v>
      </c>
      <c r="C1155" s="1" t="s">
        <v>1108</v>
      </c>
      <c r="D1155" s="1" t="s">
        <v>1109</v>
      </c>
      <c r="E1155" s="1" t="s">
        <v>21</v>
      </c>
      <c r="F1155" s="1" t="s">
        <v>176</v>
      </c>
      <c r="G1155" s="1" t="s">
        <v>177</v>
      </c>
      <c r="H1155" s="1" t="s">
        <v>37</v>
      </c>
      <c r="I1155">
        <v>11590</v>
      </c>
      <c r="J1155" s="3">
        <v>47.5</v>
      </c>
      <c r="K1155" s="3">
        <v>550525</v>
      </c>
    </row>
    <row r="1156" spans="1:11" x14ac:dyDescent="0.2">
      <c r="A1156" s="1" t="s">
        <v>2164</v>
      </c>
      <c r="B1156" s="2">
        <v>45525</v>
      </c>
      <c r="C1156" s="1" t="s">
        <v>2121</v>
      </c>
      <c r="D1156" s="1" t="s">
        <v>2122</v>
      </c>
      <c r="E1156" s="1" t="s">
        <v>34</v>
      </c>
      <c r="F1156" s="1" t="s">
        <v>103</v>
      </c>
      <c r="G1156" s="1" t="s">
        <v>104</v>
      </c>
      <c r="H1156" s="1" t="s">
        <v>37</v>
      </c>
      <c r="I1156">
        <v>21854</v>
      </c>
      <c r="J1156" s="3">
        <v>49.48</v>
      </c>
      <c r="K1156" s="3">
        <v>1081335.92</v>
      </c>
    </row>
    <row r="1157" spans="1:11" x14ac:dyDescent="0.2">
      <c r="A1157" s="1" t="s">
        <v>2165</v>
      </c>
      <c r="B1157" s="2">
        <v>45839</v>
      </c>
      <c r="C1157" s="1" t="s">
        <v>587</v>
      </c>
      <c r="D1157" s="1" t="s">
        <v>588</v>
      </c>
      <c r="E1157" s="1" t="s">
        <v>21</v>
      </c>
      <c r="F1157" s="1" t="s">
        <v>324</v>
      </c>
      <c r="G1157" s="1" t="s">
        <v>325</v>
      </c>
      <c r="H1157" s="1" t="s">
        <v>24</v>
      </c>
      <c r="I1157">
        <v>69077</v>
      </c>
      <c r="J1157" s="3">
        <v>16.96</v>
      </c>
      <c r="K1157" s="3">
        <v>1171545.92</v>
      </c>
    </row>
    <row r="1158" spans="1:11" x14ac:dyDescent="0.2">
      <c r="A1158" s="1" t="s">
        <v>2166</v>
      </c>
      <c r="B1158" s="2">
        <v>45475</v>
      </c>
      <c r="C1158" s="1" t="s">
        <v>863</v>
      </c>
      <c r="D1158" s="1" t="s">
        <v>864</v>
      </c>
      <c r="E1158" s="1" t="s">
        <v>37</v>
      </c>
      <c r="F1158" s="1" t="s">
        <v>273</v>
      </c>
      <c r="G1158" s="1" t="s">
        <v>274</v>
      </c>
      <c r="H1158" s="1" t="s">
        <v>24</v>
      </c>
      <c r="I1158">
        <v>34996</v>
      </c>
      <c r="J1158" s="3">
        <v>40.93</v>
      </c>
      <c r="K1158" s="3">
        <v>1432386.28</v>
      </c>
    </row>
    <row r="1159" spans="1:11" x14ac:dyDescent="0.2">
      <c r="A1159" s="1" t="s">
        <v>2167</v>
      </c>
      <c r="B1159" s="2">
        <v>45960</v>
      </c>
      <c r="C1159" s="1" t="s">
        <v>243</v>
      </c>
      <c r="D1159" s="1" t="s">
        <v>244</v>
      </c>
      <c r="E1159" s="1" t="s">
        <v>21</v>
      </c>
      <c r="F1159" s="1" t="s">
        <v>70</v>
      </c>
      <c r="G1159" s="1" t="s">
        <v>71</v>
      </c>
      <c r="H1159" s="1" t="s">
        <v>72</v>
      </c>
      <c r="I1159">
        <v>25931</v>
      </c>
      <c r="J1159" s="3">
        <v>26.95</v>
      </c>
      <c r="K1159" s="3">
        <v>698840.45</v>
      </c>
    </row>
    <row r="1160" spans="1:11" x14ac:dyDescent="0.2">
      <c r="A1160" s="1" t="s">
        <v>2168</v>
      </c>
      <c r="B1160" s="2">
        <v>45302</v>
      </c>
      <c r="C1160" s="1" t="s">
        <v>2169</v>
      </c>
      <c r="D1160" s="1" t="s">
        <v>2170</v>
      </c>
      <c r="E1160" s="1" t="s">
        <v>28</v>
      </c>
      <c r="F1160" s="1" t="s">
        <v>108</v>
      </c>
      <c r="G1160" s="1" t="s">
        <v>109</v>
      </c>
      <c r="H1160" s="1" t="s">
        <v>37</v>
      </c>
      <c r="I1160">
        <v>48174</v>
      </c>
      <c r="J1160" s="3">
        <v>32.49</v>
      </c>
      <c r="K1160" s="3">
        <v>1565173.26</v>
      </c>
    </row>
    <row r="1161" spans="1:11" x14ac:dyDescent="0.2">
      <c r="A1161" s="1" t="s">
        <v>2171</v>
      </c>
      <c r="B1161" s="2">
        <v>45601</v>
      </c>
      <c r="C1161" s="1" t="s">
        <v>1728</v>
      </c>
      <c r="D1161" s="1" t="s">
        <v>1729</v>
      </c>
      <c r="E1161" s="1" t="s">
        <v>21</v>
      </c>
      <c r="F1161" s="1" t="s">
        <v>65</v>
      </c>
      <c r="G1161" s="1" t="s">
        <v>66</v>
      </c>
      <c r="H1161" s="1" t="s">
        <v>48</v>
      </c>
      <c r="I1161">
        <v>25684</v>
      </c>
      <c r="J1161" s="3">
        <v>39.880000000000003</v>
      </c>
      <c r="K1161" s="3">
        <v>1024277.92</v>
      </c>
    </row>
    <row r="1162" spans="1:11" x14ac:dyDescent="0.2">
      <c r="A1162" s="1" t="s">
        <v>2172</v>
      </c>
      <c r="B1162" s="2">
        <v>45452</v>
      </c>
      <c r="C1162" s="1" t="s">
        <v>1207</v>
      </c>
      <c r="D1162" s="1" t="s">
        <v>1208</v>
      </c>
      <c r="E1162" s="1" t="s">
        <v>37</v>
      </c>
      <c r="F1162" s="1" t="s">
        <v>41</v>
      </c>
      <c r="G1162" s="1" t="s">
        <v>42</v>
      </c>
      <c r="H1162" s="1" t="s">
        <v>24</v>
      </c>
      <c r="I1162">
        <v>48772</v>
      </c>
      <c r="J1162" s="3">
        <v>26.21</v>
      </c>
      <c r="K1162" s="3">
        <v>1278314.1200000001</v>
      </c>
    </row>
    <row r="1163" spans="1:11" x14ac:dyDescent="0.2">
      <c r="A1163" s="1" t="s">
        <v>2173</v>
      </c>
      <c r="B1163" s="2">
        <v>45587</v>
      </c>
      <c r="C1163" s="1" t="s">
        <v>2038</v>
      </c>
      <c r="D1163" s="1" t="s">
        <v>2039</v>
      </c>
      <c r="E1163" s="1" t="s">
        <v>28</v>
      </c>
      <c r="F1163" s="1" t="s">
        <v>76</v>
      </c>
      <c r="G1163" s="1" t="s">
        <v>77</v>
      </c>
      <c r="H1163" s="1" t="s">
        <v>48</v>
      </c>
      <c r="I1163">
        <v>70131</v>
      </c>
      <c r="J1163" s="3">
        <v>15.86</v>
      </c>
      <c r="K1163" s="3">
        <v>1112277.6599999999</v>
      </c>
    </row>
    <row r="1164" spans="1:11" x14ac:dyDescent="0.2">
      <c r="A1164" s="1" t="s">
        <v>2174</v>
      </c>
      <c r="B1164" s="2">
        <v>45772</v>
      </c>
      <c r="C1164" s="1" t="s">
        <v>119</v>
      </c>
      <c r="D1164" s="1" t="s">
        <v>120</v>
      </c>
      <c r="E1164" s="1" t="s">
        <v>28</v>
      </c>
      <c r="F1164" s="1" t="s">
        <v>412</v>
      </c>
      <c r="G1164" s="1" t="s">
        <v>413</v>
      </c>
      <c r="H1164" s="1" t="s">
        <v>72</v>
      </c>
      <c r="I1164">
        <v>95405</v>
      </c>
      <c r="J1164" s="3">
        <v>24.54</v>
      </c>
      <c r="K1164" s="3">
        <v>2341238.7000000002</v>
      </c>
    </row>
    <row r="1165" spans="1:11" x14ac:dyDescent="0.2">
      <c r="A1165" s="1" t="s">
        <v>2175</v>
      </c>
      <c r="B1165" s="2">
        <v>45673</v>
      </c>
      <c r="C1165" s="1" t="s">
        <v>979</v>
      </c>
      <c r="D1165" s="1" t="s">
        <v>980</v>
      </c>
      <c r="E1165" s="1" t="s">
        <v>37</v>
      </c>
      <c r="F1165" s="1" t="s">
        <v>330</v>
      </c>
      <c r="G1165" s="1" t="s">
        <v>331</v>
      </c>
      <c r="H1165" s="1" t="s">
        <v>72</v>
      </c>
      <c r="I1165">
        <v>18540</v>
      </c>
      <c r="J1165" s="3">
        <v>18.04</v>
      </c>
      <c r="K1165" s="3">
        <v>334461.59999999998</v>
      </c>
    </row>
    <row r="1166" spans="1:11" x14ac:dyDescent="0.2">
      <c r="A1166" s="1" t="s">
        <v>2176</v>
      </c>
      <c r="B1166" s="2">
        <v>45635</v>
      </c>
      <c r="C1166" s="1" t="s">
        <v>550</v>
      </c>
      <c r="D1166" s="1" t="s">
        <v>551</v>
      </c>
      <c r="E1166" s="1" t="s">
        <v>34</v>
      </c>
      <c r="F1166" s="1" t="s">
        <v>263</v>
      </c>
      <c r="G1166" s="1" t="s">
        <v>264</v>
      </c>
      <c r="H1166" s="1" t="s">
        <v>17</v>
      </c>
      <c r="I1166">
        <v>35714</v>
      </c>
      <c r="J1166" s="3">
        <v>9.4700000000000006</v>
      </c>
      <c r="K1166" s="3">
        <v>338211.58</v>
      </c>
    </row>
    <row r="1167" spans="1:11" x14ac:dyDescent="0.2">
      <c r="A1167" s="1" t="s">
        <v>2177</v>
      </c>
      <c r="B1167" s="2">
        <v>45696</v>
      </c>
      <c r="C1167" s="1" t="s">
        <v>1157</v>
      </c>
      <c r="D1167" s="1" t="s">
        <v>1158</v>
      </c>
      <c r="E1167" s="1" t="s">
        <v>28</v>
      </c>
      <c r="F1167" s="1" t="s">
        <v>350</v>
      </c>
      <c r="G1167" s="1" t="s">
        <v>351</v>
      </c>
      <c r="H1167" s="1" t="s">
        <v>37</v>
      </c>
      <c r="I1167">
        <v>97499</v>
      </c>
      <c r="J1167" s="3">
        <v>16.03</v>
      </c>
      <c r="K1167" s="3">
        <v>1562908.97</v>
      </c>
    </row>
    <row r="1168" spans="1:11" x14ac:dyDescent="0.2">
      <c r="A1168" s="1" t="s">
        <v>2178</v>
      </c>
      <c r="B1168" s="2">
        <v>45552</v>
      </c>
      <c r="C1168" s="1" t="s">
        <v>1292</v>
      </c>
      <c r="D1168" s="1" t="s">
        <v>1293</v>
      </c>
      <c r="E1168" s="1" t="s">
        <v>21</v>
      </c>
      <c r="F1168" s="1" t="s">
        <v>284</v>
      </c>
      <c r="G1168" s="1" t="s">
        <v>285</v>
      </c>
      <c r="H1168" s="1" t="s">
        <v>37</v>
      </c>
      <c r="I1168">
        <v>50778</v>
      </c>
      <c r="J1168" s="3">
        <v>45.38</v>
      </c>
      <c r="K1168" s="3">
        <v>2304305.64</v>
      </c>
    </row>
    <row r="1169" spans="1:11" x14ac:dyDescent="0.2">
      <c r="A1169" s="1" t="s">
        <v>2179</v>
      </c>
      <c r="B1169" s="2">
        <v>45910</v>
      </c>
      <c r="C1169" s="1" t="s">
        <v>1454</v>
      </c>
      <c r="D1169" s="1" t="s">
        <v>1455</v>
      </c>
      <c r="E1169" s="1" t="s">
        <v>37</v>
      </c>
      <c r="F1169" s="1" t="s">
        <v>350</v>
      </c>
      <c r="G1169" s="1" t="s">
        <v>351</v>
      </c>
      <c r="H1169" s="1" t="s">
        <v>37</v>
      </c>
      <c r="I1169">
        <v>89009</v>
      </c>
      <c r="J1169" s="3">
        <v>20.14</v>
      </c>
      <c r="K1169" s="3">
        <v>1792641.26</v>
      </c>
    </row>
    <row r="1170" spans="1:11" x14ac:dyDescent="0.2">
      <c r="A1170" s="1" t="s">
        <v>2180</v>
      </c>
      <c r="B1170" s="2">
        <v>45433</v>
      </c>
      <c r="C1170" s="1" t="s">
        <v>2181</v>
      </c>
      <c r="D1170" s="1" t="s">
        <v>2182</v>
      </c>
      <c r="E1170" s="1" t="s">
        <v>14</v>
      </c>
      <c r="F1170" s="1" t="s">
        <v>217</v>
      </c>
      <c r="G1170" s="1" t="s">
        <v>218</v>
      </c>
      <c r="H1170" s="1" t="s">
        <v>72</v>
      </c>
      <c r="I1170">
        <v>8093</v>
      </c>
      <c r="J1170" s="3">
        <v>28.72</v>
      </c>
      <c r="K1170" s="3">
        <v>232430.96</v>
      </c>
    </row>
    <row r="1171" spans="1:11" x14ac:dyDescent="0.2">
      <c r="A1171" s="1" t="s">
        <v>2183</v>
      </c>
      <c r="B1171" s="2">
        <v>45964</v>
      </c>
      <c r="C1171" s="1" t="s">
        <v>832</v>
      </c>
      <c r="D1171" s="1" t="s">
        <v>833</v>
      </c>
      <c r="E1171" s="1" t="s">
        <v>28</v>
      </c>
      <c r="F1171" s="1" t="s">
        <v>35</v>
      </c>
      <c r="G1171" s="1" t="s">
        <v>36</v>
      </c>
      <c r="H1171" s="1" t="s">
        <v>37</v>
      </c>
      <c r="I1171">
        <v>27343</v>
      </c>
      <c r="J1171" s="3">
        <v>47.08</v>
      </c>
      <c r="K1171" s="3">
        <v>1287308.44</v>
      </c>
    </row>
    <row r="1172" spans="1:11" x14ac:dyDescent="0.2">
      <c r="A1172" s="1" t="s">
        <v>2184</v>
      </c>
      <c r="B1172" s="2">
        <v>45842</v>
      </c>
      <c r="C1172" s="1" t="s">
        <v>1201</v>
      </c>
      <c r="D1172" s="1" t="s">
        <v>1202</v>
      </c>
      <c r="E1172" s="1" t="s">
        <v>37</v>
      </c>
      <c r="F1172" s="1" t="s">
        <v>263</v>
      </c>
      <c r="G1172" s="1" t="s">
        <v>264</v>
      </c>
      <c r="H1172" s="1" t="s">
        <v>17</v>
      </c>
      <c r="I1172">
        <v>96905</v>
      </c>
      <c r="J1172" s="3">
        <v>44.96</v>
      </c>
      <c r="K1172" s="3">
        <v>4356848.8</v>
      </c>
    </row>
    <row r="1173" spans="1:11" x14ac:dyDescent="0.2">
      <c r="A1173" s="1" t="s">
        <v>2185</v>
      </c>
      <c r="B1173" s="2">
        <v>45305</v>
      </c>
      <c r="C1173" s="1" t="s">
        <v>2002</v>
      </c>
      <c r="D1173" s="1" t="s">
        <v>2003</v>
      </c>
      <c r="E1173" s="1" t="s">
        <v>34</v>
      </c>
      <c r="F1173" s="1" t="s">
        <v>217</v>
      </c>
      <c r="G1173" s="1" t="s">
        <v>218</v>
      </c>
      <c r="H1173" s="1" t="s">
        <v>72</v>
      </c>
      <c r="I1173">
        <v>3507</v>
      </c>
      <c r="J1173" s="3">
        <v>9.31</v>
      </c>
      <c r="K1173" s="3">
        <v>32650.17</v>
      </c>
    </row>
    <row r="1174" spans="1:11" x14ac:dyDescent="0.2">
      <c r="A1174" s="1" t="s">
        <v>2186</v>
      </c>
      <c r="B1174" s="2">
        <v>45614</v>
      </c>
      <c r="C1174" s="1" t="s">
        <v>307</v>
      </c>
      <c r="D1174" s="1" t="s">
        <v>308</v>
      </c>
      <c r="E1174" s="1" t="s">
        <v>14</v>
      </c>
      <c r="F1174" s="1" t="s">
        <v>144</v>
      </c>
      <c r="G1174" s="1" t="s">
        <v>145</v>
      </c>
      <c r="H1174" s="1" t="s">
        <v>24</v>
      </c>
      <c r="I1174">
        <v>77132</v>
      </c>
      <c r="J1174" s="3">
        <v>48.35</v>
      </c>
      <c r="K1174" s="3">
        <v>3729332.2</v>
      </c>
    </row>
    <row r="1175" spans="1:11" x14ac:dyDescent="0.2">
      <c r="A1175" s="1" t="s">
        <v>2187</v>
      </c>
      <c r="B1175" s="2">
        <v>45875</v>
      </c>
      <c r="C1175" s="1" t="s">
        <v>643</v>
      </c>
      <c r="D1175" s="1" t="s">
        <v>644</v>
      </c>
      <c r="E1175" s="1" t="s">
        <v>37</v>
      </c>
      <c r="F1175" s="1" t="s">
        <v>251</v>
      </c>
      <c r="G1175" s="1" t="s">
        <v>252</v>
      </c>
      <c r="H1175" s="1" t="s">
        <v>72</v>
      </c>
      <c r="I1175">
        <v>21200</v>
      </c>
      <c r="J1175" s="3">
        <v>14.54</v>
      </c>
      <c r="K1175" s="3">
        <v>308248</v>
      </c>
    </row>
    <row r="1176" spans="1:11" x14ac:dyDescent="0.2">
      <c r="A1176" s="1" t="s">
        <v>2188</v>
      </c>
      <c r="B1176" s="2">
        <v>45578</v>
      </c>
      <c r="C1176" s="1" t="s">
        <v>1314</v>
      </c>
      <c r="D1176" s="1" t="s">
        <v>1315</v>
      </c>
      <c r="E1176" s="1" t="s">
        <v>14</v>
      </c>
      <c r="F1176" s="1" t="s">
        <v>76</v>
      </c>
      <c r="G1176" s="1" t="s">
        <v>77</v>
      </c>
      <c r="H1176" s="1" t="s">
        <v>48</v>
      </c>
      <c r="I1176">
        <v>13048</v>
      </c>
      <c r="J1176" s="3">
        <v>42.06</v>
      </c>
      <c r="K1176" s="3">
        <v>548798.88</v>
      </c>
    </row>
    <row r="1177" spans="1:11" x14ac:dyDescent="0.2">
      <c r="A1177" s="1" t="s">
        <v>2189</v>
      </c>
      <c r="B1177" s="2">
        <v>45849</v>
      </c>
      <c r="C1177" s="1" t="s">
        <v>498</v>
      </c>
      <c r="D1177" s="1" t="s">
        <v>499</v>
      </c>
      <c r="E1177" s="1" t="s">
        <v>14</v>
      </c>
      <c r="F1177" s="1" t="s">
        <v>463</v>
      </c>
      <c r="G1177" s="1" t="s">
        <v>464</v>
      </c>
      <c r="H1177" s="1" t="s">
        <v>37</v>
      </c>
      <c r="I1177">
        <v>21532</v>
      </c>
      <c r="J1177" s="3">
        <v>44.85</v>
      </c>
      <c r="K1177" s="3">
        <v>965710.2</v>
      </c>
    </row>
    <row r="1178" spans="1:11" x14ac:dyDescent="0.2">
      <c r="A1178" s="1" t="s">
        <v>2190</v>
      </c>
      <c r="B1178" s="2">
        <v>45638</v>
      </c>
      <c r="C1178" s="1" t="s">
        <v>1105</v>
      </c>
      <c r="D1178" s="1" t="s">
        <v>1106</v>
      </c>
      <c r="E1178" s="1" t="s">
        <v>34</v>
      </c>
      <c r="F1178" s="1" t="s">
        <v>330</v>
      </c>
      <c r="G1178" s="1" t="s">
        <v>331</v>
      </c>
      <c r="H1178" s="1" t="s">
        <v>72</v>
      </c>
      <c r="I1178">
        <v>3281</v>
      </c>
      <c r="J1178" s="3">
        <v>7.4</v>
      </c>
      <c r="K1178" s="3">
        <v>24279.4</v>
      </c>
    </row>
    <row r="1179" spans="1:11" x14ac:dyDescent="0.2">
      <c r="A1179" s="1" t="s">
        <v>2191</v>
      </c>
      <c r="B1179" s="2">
        <v>45677</v>
      </c>
      <c r="C1179" s="1" t="s">
        <v>1701</v>
      </c>
      <c r="D1179" s="1" t="s">
        <v>1702</v>
      </c>
      <c r="E1179" s="1" t="s">
        <v>34</v>
      </c>
      <c r="F1179" s="1" t="s">
        <v>436</v>
      </c>
      <c r="G1179" s="1" t="s">
        <v>437</v>
      </c>
      <c r="H1179" s="1" t="s">
        <v>24</v>
      </c>
      <c r="I1179">
        <v>90899</v>
      </c>
      <c r="J1179" s="3">
        <v>12.71</v>
      </c>
      <c r="K1179" s="3">
        <v>1155326.29</v>
      </c>
    </row>
    <row r="1180" spans="1:11" x14ac:dyDescent="0.2">
      <c r="A1180" s="1" t="s">
        <v>2192</v>
      </c>
      <c r="B1180" s="2">
        <v>45947</v>
      </c>
      <c r="C1180" s="1" t="s">
        <v>752</v>
      </c>
      <c r="D1180" s="1" t="s">
        <v>753</v>
      </c>
      <c r="E1180" s="1" t="s">
        <v>34</v>
      </c>
      <c r="F1180" s="1" t="s">
        <v>284</v>
      </c>
      <c r="G1180" s="1" t="s">
        <v>285</v>
      </c>
      <c r="H1180" s="1" t="s">
        <v>37</v>
      </c>
      <c r="I1180">
        <v>31112</v>
      </c>
      <c r="J1180" s="3">
        <v>41.73</v>
      </c>
      <c r="K1180" s="3">
        <v>1298303.76</v>
      </c>
    </row>
    <row r="1181" spans="1:11" x14ac:dyDescent="0.2">
      <c r="A1181" s="1" t="s">
        <v>2193</v>
      </c>
      <c r="B1181" s="2">
        <v>45654</v>
      </c>
      <c r="C1181" s="1" t="s">
        <v>1223</v>
      </c>
      <c r="D1181" s="1" t="s">
        <v>1224</v>
      </c>
      <c r="E1181" s="1" t="s">
        <v>37</v>
      </c>
      <c r="F1181" s="1" t="s">
        <v>29</v>
      </c>
      <c r="G1181" s="1" t="s">
        <v>30</v>
      </c>
      <c r="H1181" s="1" t="s">
        <v>24</v>
      </c>
      <c r="I1181">
        <v>54406</v>
      </c>
      <c r="J1181" s="3">
        <v>20.94</v>
      </c>
      <c r="K1181" s="3">
        <v>1139261.6399999999</v>
      </c>
    </row>
    <row r="1182" spans="1:11" x14ac:dyDescent="0.2">
      <c r="A1182" s="1" t="s">
        <v>2194</v>
      </c>
      <c r="B1182" s="2">
        <v>45861</v>
      </c>
      <c r="C1182" s="1" t="s">
        <v>1204</v>
      </c>
      <c r="D1182" s="1" t="s">
        <v>1205</v>
      </c>
      <c r="E1182" s="1" t="s">
        <v>14</v>
      </c>
      <c r="F1182" s="1" t="s">
        <v>35</v>
      </c>
      <c r="G1182" s="1" t="s">
        <v>36</v>
      </c>
      <c r="H1182" s="1" t="s">
        <v>37</v>
      </c>
      <c r="I1182">
        <v>65743</v>
      </c>
      <c r="J1182" s="3">
        <v>49.69</v>
      </c>
      <c r="K1182" s="3">
        <v>3266769.67</v>
      </c>
    </row>
    <row r="1183" spans="1:11" x14ac:dyDescent="0.2">
      <c r="A1183" s="1" t="s">
        <v>2195</v>
      </c>
      <c r="B1183" s="2">
        <v>45718</v>
      </c>
      <c r="C1183" s="1" t="s">
        <v>2196</v>
      </c>
      <c r="D1183" s="1" t="s">
        <v>2197</v>
      </c>
      <c r="E1183" s="1" t="s">
        <v>34</v>
      </c>
      <c r="F1183" s="1" t="s">
        <v>22</v>
      </c>
      <c r="G1183" s="1" t="s">
        <v>23</v>
      </c>
      <c r="H1183" s="1" t="s">
        <v>24</v>
      </c>
      <c r="I1183">
        <v>78043</v>
      </c>
      <c r="J1183" s="3">
        <v>23.29</v>
      </c>
      <c r="K1183" s="3">
        <v>1817621.47</v>
      </c>
    </row>
    <row r="1184" spans="1:11" x14ac:dyDescent="0.2">
      <c r="A1184" s="1" t="s">
        <v>2198</v>
      </c>
      <c r="B1184" s="2">
        <v>45470</v>
      </c>
      <c r="C1184" s="1" t="s">
        <v>563</v>
      </c>
      <c r="D1184" s="1" t="s">
        <v>564</v>
      </c>
      <c r="E1184" s="1" t="s">
        <v>37</v>
      </c>
      <c r="F1184" s="1" t="s">
        <v>98</v>
      </c>
      <c r="G1184" s="1" t="s">
        <v>99</v>
      </c>
      <c r="H1184" s="1" t="s">
        <v>72</v>
      </c>
      <c r="I1184">
        <v>83597</v>
      </c>
      <c r="J1184" s="3">
        <v>35.19</v>
      </c>
      <c r="K1184" s="3">
        <v>2941778.43</v>
      </c>
    </row>
    <row r="1185" spans="1:11" x14ac:dyDescent="0.2">
      <c r="A1185" s="1" t="s">
        <v>2199</v>
      </c>
      <c r="B1185" s="2">
        <v>45662</v>
      </c>
      <c r="C1185" s="1" t="s">
        <v>1449</v>
      </c>
      <c r="D1185" s="1" t="s">
        <v>1450</v>
      </c>
      <c r="E1185" s="1" t="s">
        <v>28</v>
      </c>
      <c r="F1185" s="1" t="s">
        <v>57</v>
      </c>
      <c r="G1185" s="1" t="s">
        <v>58</v>
      </c>
      <c r="H1185" s="1" t="s">
        <v>48</v>
      </c>
      <c r="I1185">
        <v>34502</v>
      </c>
      <c r="J1185" s="3">
        <v>24.93</v>
      </c>
      <c r="K1185" s="3">
        <v>860134.86</v>
      </c>
    </row>
    <row r="1186" spans="1:11" x14ac:dyDescent="0.2">
      <c r="A1186" s="1" t="s">
        <v>2200</v>
      </c>
      <c r="B1186" s="2">
        <v>45905</v>
      </c>
      <c r="C1186" s="1" t="s">
        <v>2169</v>
      </c>
      <c r="D1186" s="1" t="s">
        <v>2170</v>
      </c>
      <c r="E1186" s="1" t="s">
        <v>28</v>
      </c>
      <c r="F1186" s="1" t="s">
        <v>189</v>
      </c>
      <c r="G1186" s="1" t="s">
        <v>190</v>
      </c>
      <c r="H1186" s="1" t="s">
        <v>17</v>
      </c>
      <c r="I1186">
        <v>7633</v>
      </c>
      <c r="J1186" s="3">
        <v>14.79</v>
      </c>
      <c r="K1186" s="3">
        <v>112892.07</v>
      </c>
    </row>
    <row r="1187" spans="1:11" x14ac:dyDescent="0.2">
      <c r="A1187" s="1" t="s">
        <v>2201</v>
      </c>
      <c r="B1187" s="2">
        <v>45774</v>
      </c>
      <c r="C1187" s="1" t="s">
        <v>794</v>
      </c>
      <c r="D1187" s="1" t="s">
        <v>795</v>
      </c>
      <c r="E1187" s="1" t="s">
        <v>28</v>
      </c>
      <c r="F1187" s="1" t="s">
        <v>761</v>
      </c>
      <c r="G1187" s="1" t="s">
        <v>762</v>
      </c>
      <c r="H1187" s="1" t="s">
        <v>48</v>
      </c>
      <c r="I1187">
        <v>15687</v>
      </c>
      <c r="J1187" s="3">
        <v>30.18</v>
      </c>
      <c r="K1187" s="3">
        <v>473433.66</v>
      </c>
    </row>
    <row r="1188" spans="1:11" x14ac:dyDescent="0.2">
      <c r="A1188" s="1" t="s">
        <v>2202</v>
      </c>
      <c r="B1188" s="2">
        <v>45662</v>
      </c>
      <c r="C1188" s="1" t="s">
        <v>1017</v>
      </c>
      <c r="D1188" s="1" t="s">
        <v>1018</v>
      </c>
      <c r="E1188" s="1" t="s">
        <v>34</v>
      </c>
      <c r="F1188" s="1" t="s">
        <v>324</v>
      </c>
      <c r="G1188" s="1" t="s">
        <v>325</v>
      </c>
      <c r="H1188" s="1" t="s">
        <v>24</v>
      </c>
      <c r="I1188">
        <v>3103</v>
      </c>
      <c r="J1188" s="3">
        <v>26.06</v>
      </c>
      <c r="K1188" s="3">
        <v>80864.179999999993</v>
      </c>
    </row>
    <row r="1189" spans="1:11" x14ac:dyDescent="0.2">
      <c r="A1189" s="1" t="s">
        <v>2203</v>
      </c>
      <c r="B1189" s="2">
        <v>45411</v>
      </c>
      <c r="C1189" s="1" t="s">
        <v>404</v>
      </c>
      <c r="D1189" s="1" t="s">
        <v>405</v>
      </c>
      <c r="E1189" s="1" t="s">
        <v>37</v>
      </c>
      <c r="F1189" s="1" t="s">
        <v>139</v>
      </c>
      <c r="G1189" s="1" t="s">
        <v>140</v>
      </c>
      <c r="H1189" s="1" t="s">
        <v>24</v>
      </c>
      <c r="I1189">
        <v>12713</v>
      </c>
      <c r="J1189" s="3">
        <v>41.26</v>
      </c>
      <c r="K1189" s="3">
        <v>524538.38</v>
      </c>
    </row>
    <row r="1190" spans="1:11" x14ac:dyDescent="0.2">
      <c r="A1190" s="1" t="s">
        <v>2204</v>
      </c>
      <c r="B1190" s="2">
        <v>45658</v>
      </c>
      <c r="C1190" s="1" t="s">
        <v>1076</v>
      </c>
      <c r="D1190" s="1" t="s">
        <v>1077</v>
      </c>
      <c r="E1190" s="1" t="s">
        <v>34</v>
      </c>
      <c r="F1190" s="1" t="s">
        <v>203</v>
      </c>
      <c r="G1190" s="1" t="s">
        <v>204</v>
      </c>
      <c r="H1190" s="1" t="s">
        <v>72</v>
      </c>
      <c r="I1190">
        <v>56633</v>
      </c>
      <c r="J1190" s="3">
        <v>7.18</v>
      </c>
      <c r="K1190" s="3">
        <v>406624.94</v>
      </c>
    </row>
    <row r="1191" spans="1:11" x14ac:dyDescent="0.2">
      <c r="A1191" s="1" t="s">
        <v>2205</v>
      </c>
      <c r="B1191" s="2">
        <v>45422</v>
      </c>
      <c r="C1191" s="1" t="s">
        <v>710</v>
      </c>
      <c r="D1191" s="1" t="s">
        <v>711</v>
      </c>
      <c r="E1191" s="1" t="s">
        <v>21</v>
      </c>
      <c r="F1191" s="1" t="s">
        <v>268</v>
      </c>
      <c r="G1191" s="1" t="s">
        <v>269</v>
      </c>
      <c r="H1191" s="1" t="s">
        <v>72</v>
      </c>
      <c r="I1191">
        <v>83294</v>
      </c>
      <c r="J1191" s="3">
        <v>27.51</v>
      </c>
      <c r="K1191" s="3">
        <v>2291417.94</v>
      </c>
    </row>
    <row r="1192" spans="1:11" x14ac:dyDescent="0.2">
      <c r="A1192" s="1" t="s">
        <v>2206</v>
      </c>
      <c r="B1192" s="2">
        <v>45544</v>
      </c>
      <c r="C1192" s="1" t="s">
        <v>2207</v>
      </c>
      <c r="D1192" s="1" t="s">
        <v>2208</v>
      </c>
      <c r="E1192" s="1" t="s">
        <v>37</v>
      </c>
      <c r="F1192" s="1" t="s">
        <v>458</v>
      </c>
      <c r="G1192" s="1" t="s">
        <v>459</v>
      </c>
      <c r="H1192" s="1" t="s">
        <v>72</v>
      </c>
      <c r="I1192">
        <v>58702</v>
      </c>
      <c r="J1192" s="3">
        <v>8.74</v>
      </c>
      <c r="K1192" s="3">
        <v>513055.48</v>
      </c>
    </row>
    <row r="1193" spans="1:11" x14ac:dyDescent="0.2">
      <c r="A1193" s="1" t="s">
        <v>2209</v>
      </c>
      <c r="B1193" s="2">
        <v>45706</v>
      </c>
      <c r="C1193" s="1" t="s">
        <v>1132</v>
      </c>
      <c r="D1193" s="1" t="s">
        <v>1133</v>
      </c>
      <c r="E1193" s="1" t="s">
        <v>34</v>
      </c>
      <c r="F1193" s="1" t="s">
        <v>22</v>
      </c>
      <c r="G1193" s="1" t="s">
        <v>23</v>
      </c>
      <c r="H1193" s="1" t="s">
        <v>24</v>
      </c>
      <c r="I1193">
        <v>5133</v>
      </c>
      <c r="J1193" s="3">
        <v>36.380000000000003</v>
      </c>
      <c r="K1193" s="3">
        <v>186738.54</v>
      </c>
    </row>
    <row r="1194" spans="1:11" x14ac:dyDescent="0.2">
      <c r="A1194" s="1" t="s">
        <v>2210</v>
      </c>
      <c r="B1194" s="2">
        <v>45878</v>
      </c>
      <c r="C1194" s="1" t="s">
        <v>2211</v>
      </c>
      <c r="D1194" s="1" t="s">
        <v>2212</v>
      </c>
      <c r="E1194" s="1" t="s">
        <v>21</v>
      </c>
      <c r="F1194" s="1" t="s">
        <v>412</v>
      </c>
      <c r="G1194" s="1" t="s">
        <v>413</v>
      </c>
      <c r="H1194" s="1" t="s">
        <v>72</v>
      </c>
      <c r="I1194">
        <v>20699</v>
      </c>
      <c r="J1194" s="3">
        <v>43.61</v>
      </c>
      <c r="K1194" s="3">
        <v>902683.39</v>
      </c>
    </row>
    <row r="1195" spans="1:11" x14ac:dyDescent="0.2">
      <c r="A1195" s="1" t="s">
        <v>2213</v>
      </c>
      <c r="B1195" s="2">
        <v>45751</v>
      </c>
      <c r="C1195" s="1" t="s">
        <v>654</v>
      </c>
      <c r="D1195" s="1" t="s">
        <v>655</v>
      </c>
      <c r="E1195" s="1" t="s">
        <v>14</v>
      </c>
      <c r="F1195" s="1" t="s">
        <v>436</v>
      </c>
      <c r="G1195" s="1" t="s">
        <v>437</v>
      </c>
      <c r="H1195" s="1" t="s">
        <v>24</v>
      </c>
      <c r="I1195">
        <v>80976</v>
      </c>
      <c r="J1195" s="3">
        <v>41.52</v>
      </c>
      <c r="K1195" s="3">
        <v>3362123.52</v>
      </c>
    </row>
    <row r="1196" spans="1:11" x14ac:dyDescent="0.2">
      <c r="A1196" s="1" t="s">
        <v>2214</v>
      </c>
      <c r="B1196" s="2">
        <v>45566</v>
      </c>
      <c r="C1196" s="1" t="s">
        <v>1317</v>
      </c>
      <c r="D1196" s="1" t="s">
        <v>1318</v>
      </c>
      <c r="E1196" s="1" t="s">
        <v>28</v>
      </c>
      <c r="F1196" s="1" t="s">
        <v>22</v>
      </c>
      <c r="G1196" s="1" t="s">
        <v>23</v>
      </c>
      <c r="H1196" s="1" t="s">
        <v>24</v>
      </c>
      <c r="I1196">
        <v>58965</v>
      </c>
      <c r="J1196" s="3">
        <v>24.08</v>
      </c>
      <c r="K1196" s="3">
        <v>1419877.2</v>
      </c>
    </row>
    <row r="1197" spans="1:11" x14ac:dyDescent="0.2">
      <c r="A1197" s="1" t="s">
        <v>2215</v>
      </c>
      <c r="B1197" s="2">
        <v>45557</v>
      </c>
      <c r="C1197" s="1" t="s">
        <v>96</v>
      </c>
      <c r="D1197" s="1" t="s">
        <v>97</v>
      </c>
      <c r="E1197" s="1" t="s">
        <v>21</v>
      </c>
      <c r="F1197" s="1" t="s">
        <v>98</v>
      </c>
      <c r="G1197" s="1" t="s">
        <v>99</v>
      </c>
      <c r="H1197" s="1" t="s">
        <v>72</v>
      </c>
      <c r="I1197">
        <v>97402</v>
      </c>
      <c r="J1197" s="3">
        <v>42.44</v>
      </c>
      <c r="K1197" s="3">
        <v>4133740.88</v>
      </c>
    </row>
    <row r="1198" spans="1:11" x14ac:dyDescent="0.2">
      <c r="A1198" s="1" t="s">
        <v>2216</v>
      </c>
      <c r="B1198" s="2">
        <v>45853</v>
      </c>
      <c r="C1198" s="1" t="s">
        <v>235</v>
      </c>
      <c r="D1198" s="1" t="s">
        <v>236</v>
      </c>
      <c r="E1198" s="1" t="s">
        <v>14</v>
      </c>
      <c r="F1198" s="1" t="s">
        <v>339</v>
      </c>
      <c r="G1198" s="1" t="s">
        <v>340</v>
      </c>
      <c r="H1198" s="1" t="s">
        <v>24</v>
      </c>
      <c r="I1198">
        <v>10806</v>
      </c>
      <c r="J1198" s="3">
        <v>3.3</v>
      </c>
      <c r="K1198" s="3">
        <v>35659.800000000003</v>
      </c>
    </row>
    <row r="1199" spans="1:11" x14ac:dyDescent="0.2">
      <c r="A1199" s="1" t="s">
        <v>2217</v>
      </c>
      <c r="B1199" s="2">
        <v>45835</v>
      </c>
      <c r="C1199" s="1" t="s">
        <v>1014</v>
      </c>
      <c r="D1199" s="1" t="s">
        <v>1015</v>
      </c>
      <c r="E1199" s="1" t="s">
        <v>34</v>
      </c>
      <c r="F1199" s="1" t="s">
        <v>330</v>
      </c>
      <c r="G1199" s="1" t="s">
        <v>331</v>
      </c>
      <c r="H1199" s="1" t="s">
        <v>72</v>
      </c>
      <c r="I1199">
        <v>23305</v>
      </c>
      <c r="J1199" s="3">
        <v>25.36</v>
      </c>
      <c r="K1199" s="3">
        <v>591014.80000000005</v>
      </c>
    </row>
    <row r="1200" spans="1:11" x14ac:dyDescent="0.2">
      <c r="A1200" s="1" t="s">
        <v>2218</v>
      </c>
      <c r="B1200" s="2">
        <v>45975</v>
      </c>
      <c r="C1200" s="1" t="s">
        <v>916</v>
      </c>
      <c r="D1200" s="1" t="s">
        <v>917</v>
      </c>
      <c r="E1200" s="1" t="s">
        <v>28</v>
      </c>
      <c r="F1200" s="1" t="s">
        <v>458</v>
      </c>
      <c r="G1200" s="1" t="s">
        <v>459</v>
      </c>
      <c r="H1200" s="1" t="s">
        <v>72</v>
      </c>
      <c r="I1200">
        <v>52981</v>
      </c>
      <c r="J1200" s="3">
        <v>40.4</v>
      </c>
      <c r="K1200" s="3">
        <v>2140432.4</v>
      </c>
    </row>
    <row r="1201" spans="1:11" x14ac:dyDescent="0.2">
      <c r="A1201" s="1" t="s">
        <v>2219</v>
      </c>
      <c r="B1201" s="2">
        <v>45775</v>
      </c>
      <c r="C1201" s="1" t="s">
        <v>2031</v>
      </c>
      <c r="D1201" s="1" t="s">
        <v>2032</v>
      </c>
      <c r="E1201" s="1" t="s">
        <v>14</v>
      </c>
      <c r="F1201" s="1" t="s">
        <v>176</v>
      </c>
      <c r="G1201" s="1" t="s">
        <v>177</v>
      </c>
      <c r="H1201" s="1" t="s">
        <v>37</v>
      </c>
      <c r="I1201">
        <v>50880</v>
      </c>
      <c r="J1201" s="3">
        <v>35.24</v>
      </c>
      <c r="K1201" s="3">
        <v>1793011.2</v>
      </c>
    </row>
    <row r="1202" spans="1:11" x14ac:dyDescent="0.2">
      <c r="A1202" s="1" t="s">
        <v>2220</v>
      </c>
      <c r="B1202" s="2">
        <v>45360</v>
      </c>
      <c r="C1202" s="1" t="s">
        <v>1563</v>
      </c>
      <c r="D1202" s="1" t="s">
        <v>1564</v>
      </c>
      <c r="E1202" s="1" t="s">
        <v>14</v>
      </c>
      <c r="F1202" s="1" t="s">
        <v>208</v>
      </c>
      <c r="G1202" s="1" t="s">
        <v>209</v>
      </c>
      <c r="H1202" s="1" t="s">
        <v>17</v>
      </c>
      <c r="I1202">
        <v>25561</v>
      </c>
      <c r="J1202" s="3">
        <v>42.95</v>
      </c>
      <c r="K1202" s="3">
        <v>1097844.95</v>
      </c>
    </row>
    <row r="1203" spans="1:11" x14ac:dyDescent="0.2">
      <c r="A1203" s="1" t="s">
        <v>2221</v>
      </c>
      <c r="B1203" s="2">
        <v>45736</v>
      </c>
      <c r="C1203" s="1" t="s">
        <v>400</v>
      </c>
      <c r="D1203" s="1" t="s">
        <v>401</v>
      </c>
      <c r="E1203" s="1" t="s">
        <v>21</v>
      </c>
      <c r="F1203" s="1" t="s">
        <v>330</v>
      </c>
      <c r="G1203" s="1" t="s">
        <v>331</v>
      </c>
      <c r="H1203" s="1" t="s">
        <v>72</v>
      </c>
      <c r="I1203">
        <v>73161</v>
      </c>
      <c r="J1203" s="3">
        <v>31.93</v>
      </c>
      <c r="K1203" s="3">
        <v>2336030.73</v>
      </c>
    </row>
    <row r="1204" spans="1:11" x14ac:dyDescent="0.2">
      <c r="A1204" s="1" t="s">
        <v>2222</v>
      </c>
      <c r="B1204" s="2">
        <v>46009</v>
      </c>
      <c r="C1204" s="1" t="s">
        <v>913</v>
      </c>
      <c r="D1204" s="1" t="s">
        <v>914</v>
      </c>
      <c r="E1204" s="1" t="s">
        <v>37</v>
      </c>
      <c r="F1204" s="1" t="s">
        <v>152</v>
      </c>
      <c r="G1204" s="1" t="s">
        <v>153</v>
      </c>
      <c r="H1204" s="1" t="s">
        <v>17</v>
      </c>
      <c r="I1204">
        <v>39375</v>
      </c>
      <c r="J1204" s="3">
        <v>24.35</v>
      </c>
      <c r="K1204" s="3">
        <v>958781.25</v>
      </c>
    </row>
    <row r="1205" spans="1:11" x14ac:dyDescent="0.2">
      <c r="A1205" s="1" t="s">
        <v>2223</v>
      </c>
      <c r="B1205" s="2">
        <v>45878</v>
      </c>
      <c r="C1205" s="1" t="s">
        <v>1793</v>
      </c>
      <c r="D1205" s="1" t="s">
        <v>1794</v>
      </c>
      <c r="E1205" s="1" t="s">
        <v>37</v>
      </c>
      <c r="F1205" s="1" t="s">
        <v>29</v>
      </c>
      <c r="G1205" s="1" t="s">
        <v>30</v>
      </c>
      <c r="H1205" s="1" t="s">
        <v>24</v>
      </c>
      <c r="I1205">
        <v>15373</v>
      </c>
      <c r="J1205" s="3">
        <v>19.45</v>
      </c>
      <c r="K1205" s="3">
        <v>299004.84999999998</v>
      </c>
    </row>
    <row r="1206" spans="1:11" x14ac:dyDescent="0.2">
      <c r="A1206" s="1" t="s">
        <v>2224</v>
      </c>
      <c r="B1206" s="2">
        <v>45714</v>
      </c>
      <c r="C1206" s="1" t="s">
        <v>182</v>
      </c>
      <c r="D1206" s="1" t="s">
        <v>183</v>
      </c>
      <c r="E1206" s="1" t="s">
        <v>14</v>
      </c>
      <c r="F1206" s="1" t="s">
        <v>237</v>
      </c>
      <c r="G1206" s="1" t="s">
        <v>238</v>
      </c>
      <c r="H1206" s="1" t="s">
        <v>17</v>
      </c>
      <c r="I1206">
        <v>71278</v>
      </c>
      <c r="J1206" s="3">
        <v>11.27</v>
      </c>
      <c r="K1206" s="3">
        <v>803303.06</v>
      </c>
    </row>
    <row r="1207" spans="1:11" x14ac:dyDescent="0.2">
      <c r="A1207" s="1" t="s">
        <v>2225</v>
      </c>
      <c r="B1207" s="2">
        <v>45369</v>
      </c>
      <c r="C1207" s="1" t="s">
        <v>684</v>
      </c>
      <c r="D1207" s="1" t="s">
        <v>685</v>
      </c>
      <c r="E1207" s="1" t="s">
        <v>37</v>
      </c>
      <c r="F1207" s="1" t="s">
        <v>165</v>
      </c>
      <c r="G1207" s="1" t="s">
        <v>166</v>
      </c>
      <c r="H1207" s="1" t="s">
        <v>24</v>
      </c>
      <c r="I1207">
        <v>68114</v>
      </c>
      <c r="J1207" s="3">
        <v>36.76</v>
      </c>
      <c r="K1207" s="3">
        <v>2503870.64</v>
      </c>
    </row>
    <row r="1208" spans="1:11" x14ac:dyDescent="0.2">
      <c r="A1208" s="1" t="s">
        <v>2226</v>
      </c>
      <c r="B1208" s="2">
        <v>45973</v>
      </c>
      <c r="C1208" s="1" t="s">
        <v>201</v>
      </c>
      <c r="D1208" s="1" t="s">
        <v>202</v>
      </c>
      <c r="E1208" s="1" t="s">
        <v>14</v>
      </c>
      <c r="F1208" s="1" t="s">
        <v>144</v>
      </c>
      <c r="G1208" s="1" t="s">
        <v>145</v>
      </c>
      <c r="H1208" s="1" t="s">
        <v>24</v>
      </c>
      <c r="I1208">
        <v>46212</v>
      </c>
      <c r="J1208" s="3">
        <v>24.91</v>
      </c>
      <c r="K1208" s="3">
        <v>1151140.92</v>
      </c>
    </row>
    <row r="1209" spans="1:11" x14ac:dyDescent="0.2">
      <c r="A1209" s="1" t="s">
        <v>2227</v>
      </c>
      <c r="B1209" s="2">
        <v>45969</v>
      </c>
      <c r="C1209" s="1" t="s">
        <v>835</v>
      </c>
      <c r="D1209" s="1" t="s">
        <v>836</v>
      </c>
      <c r="E1209" s="1" t="s">
        <v>21</v>
      </c>
      <c r="F1209" s="1" t="s">
        <v>228</v>
      </c>
      <c r="G1209" s="1" t="s">
        <v>229</v>
      </c>
      <c r="H1209" s="1" t="s">
        <v>48</v>
      </c>
      <c r="I1209">
        <v>11400</v>
      </c>
      <c r="J1209" s="3">
        <v>43.22</v>
      </c>
      <c r="K1209" s="3">
        <v>492708</v>
      </c>
    </row>
    <row r="1210" spans="1:11" x14ac:dyDescent="0.2">
      <c r="A1210" s="1" t="s">
        <v>2228</v>
      </c>
      <c r="B1210" s="2">
        <v>45944</v>
      </c>
      <c r="C1210" s="1" t="s">
        <v>1108</v>
      </c>
      <c r="D1210" s="1" t="s">
        <v>1109</v>
      </c>
      <c r="E1210" s="1" t="s">
        <v>21</v>
      </c>
      <c r="F1210" s="1" t="s">
        <v>217</v>
      </c>
      <c r="G1210" s="1" t="s">
        <v>218</v>
      </c>
      <c r="H1210" s="1" t="s">
        <v>72</v>
      </c>
      <c r="I1210">
        <v>86111</v>
      </c>
      <c r="J1210" s="3">
        <v>6.49</v>
      </c>
      <c r="K1210" s="3">
        <v>558860.39</v>
      </c>
    </row>
    <row r="1211" spans="1:11" x14ac:dyDescent="0.2">
      <c r="A1211" s="1" t="s">
        <v>2229</v>
      </c>
      <c r="B1211" s="2">
        <v>45865</v>
      </c>
      <c r="C1211" s="1" t="s">
        <v>215</v>
      </c>
      <c r="D1211" s="1" t="s">
        <v>216</v>
      </c>
      <c r="E1211" s="1" t="s">
        <v>21</v>
      </c>
      <c r="F1211" s="1" t="s">
        <v>203</v>
      </c>
      <c r="G1211" s="1" t="s">
        <v>204</v>
      </c>
      <c r="H1211" s="1" t="s">
        <v>72</v>
      </c>
      <c r="I1211">
        <v>39214</v>
      </c>
      <c r="J1211" s="3">
        <v>32.32</v>
      </c>
      <c r="K1211" s="3">
        <v>1267396.48</v>
      </c>
    </row>
    <row r="1212" spans="1:11" x14ac:dyDescent="0.2">
      <c r="A1212" s="1" t="s">
        <v>2230</v>
      </c>
      <c r="B1212" s="2">
        <v>45378</v>
      </c>
      <c r="C1212" s="1" t="s">
        <v>829</v>
      </c>
      <c r="D1212" s="1" t="s">
        <v>830</v>
      </c>
      <c r="E1212" s="1" t="s">
        <v>14</v>
      </c>
      <c r="F1212" s="1" t="s">
        <v>113</v>
      </c>
      <c r="G1212" s="1" t="s">
        <v>114</v>
      </c>
      <c r="H1212" s="1" t="s">
        <v>37</v>
      </c>
      <c r="I1212">
        <v>45342</v>
      </c>
      <c r="J1212" s="3">
        <v>45.89</v>
      </c>
      <c r="K1212" s="3">
        <v>2080744.38</v>
      </c>
    </row>
    <row r="1213" spans="1:11" x14ac:dyDescent="0.2">
      <c r="A1213" s="1" t="s">
        <v>2231</v>
      </c>
      <c r="B1213" s="2">
        <v>45695</v>
      </c>
      <c r="C1213" s="1" t="s">
        <v>664</v>
      </c>
      <c r="D1213" s="1" t="s">
        <v>665</v>
      </c>
      <c r="E1213" s="1" t="s">
        <v>21</v>
      </c>
      <c r="F1213" s="1" t="s">
        <v>228</v>
      </c>
      <c r="G1213" s="1" t="s">
        <v>229</v>
      </c>
      <c r="H1213" s="1" t="s">
        <v>48</v>
      </c>
      <c r="I1213">
        <v>14988</v>
      </c>
      <c r="J1213" s="3">
        <v>24.06</v>
      </c>
      <c r="K1213" s="3">
        <v>360611.28</v>
      </c>
    </row>
    <row r="1214" spans="1:11" x14ac:dyDescent="0.2">
      <c r="A1214" s="1" t="s">
        <v>2232</v>
      </c>
      <c r="B1214" s="2">
        <v>45467</v>
      </c>
      <c r="C1214" s="1" t="s">
        <v>2233</v>
      </c>
      <c r="D1214" s="1" t="s">
        <v>2234</v>
      </c>
      <c r="E1214" s="1" t="s">
        <v>37</v>
      </c>
      <c r="F1214" s="1" t="s">
        <v>176</v>
      </c>
      <c r="G1214" s="1" t="s">
        <v>177</v>
      </c>
      <c r="H1214" s="1" t="s">
        <v>37</v>
      </c>
      <c r="I1214">
        <v>51665</v>
      </c>
      <c r="J1214" s="3">
        <v>11.54</v>
      </c>
      <c r="K1214" s="3">
        <v>596214.1</v>
      </c>
    </row>
    <row r="1215" spans="1:11" x14ac:dyDescent="0.2">
      <c r="A1215" s="1" t="s">
        <v>2235</v>
      </c>
      <c r="B1215" s="2">
        <v>45354</v>
      </c>
      <c r="C1215" s="1" t="s">
        <v>1317</v>
      </c>
      <c r="D1215" s="1" t="s">
        <v>1318</v>
      </c>
      <c r="E1215" s="1" t="s">
        <v>28</v>
      </c>
      <c r="F1215" s="1" t="s">
        <v>284</v>
      </c>
      <c r="G1215" s="1" t="s">
        <v>285</v>
      </c>
      <c r="H1215" s="1" t="s">
        <v>37</v>
      </c>
      <c r="I1215">
        <v>20091</v>
      </c>
      <c r="J1215" s="3">
        <v>44.26</v>
      </c>
      <c r="K1215" s="3">
        <v>889227.66</v>
      </c>
    </row>
    <row r="1216" spans="1:11" x14ac:dyDescent="0.2">
      <c r="A1216" s="1" t="s">
        <v>2236</v>
      </c>
      <c r="B1216" s="2">
        <v>45448</v>
      </c>
      <c r="C1216" s="1" t="s">
        <v>1860</v>
      </c>
      <c r="D1216" s="1" t="s">
        <v>1861</v>
      </c>
      <c r="E1216" s="1" t="s">
        <v>21</v>
      </c>
      <c r="F1216" s="1" t="s">
        <v>263</v>
      </c>
      <c r="G1216" s="1" t="s">
        <v>264</v>
      </c>
      <c r="H1216" s="1" t="s">
        <v>17</v>
      </c>
      <c r="I1216">
        <v>61574</v>
      </c>
      <c r="J1216" s="3">
        <v>49.59</v>
      </c>
      <c r="K1216" s="3">
        <v>3053454.66</v>
      </c>
    </row>
    <row r="1217" spans="1:11" x14ac:dyDescent="0.2">
      <c r="A1217" s="1" t="s">
        <v>2237</v>
      </c>
      <c r="B1217" s="2">
        <v>45761</v>
      </c>
      <c r="C1217" s="1" t="s">
        <v>163</v>
      </c>
      <c r="D1217" s="1" t="s">
        <v>164</v>
      </c>
      <c r="E1217" s="1" t="s">
        <v>14</v>
      </c>
      <c r="F1217" s="1" t="s">
        <v>176</v>
      </c>
      <c r="G1217" s="1" t="s">
        <v>177</v>
      </c>
      <c r="H1217" s="1" t="s">
        <v>37</v>
      </c>
      <c r="I1217">
        <v>17890</v>
      </c>
      <c r="J1217" s="3">
        <v>24.6</v>
      </c>
      <c r="K1217" s="3">
        <v>440094</v>
      </c>
    </row>
    <row r="1218" spans="1:11" x14ac:dyDescent="0.2">
      <c r="A1218" s="1" t="s">
        <v>2238</v>
      </c>
      <c r="B1218" s="2">
        <v>45513</v>
      </c>
      <c r="C1218" s="1" t="s">
        <v>1337</v>
      </c>
      <c r="D1218" s="1" t="s">
        <v>1338</v>
      </c>
      <c r="E1218" s="1" t="s">
        <v>34</v>
      </c>
      <c r="F1218" s="1" t="s">
        <v>324</v>
      </c>
      <c r="G1218" s="1" t="s">
        <v>325</v>
      </c>
      <c r="H1218" s="1" t="s">
        <v>24</v>
      </c>
      <c r="I1218">
        <v>73643</v>
      </c>
      <c r="J1218" s="3">
        <v>35.25</v>
      </c>
      <c r="K1218" s="3">
        <v>2595915.75</v>
      </c>
    </row>
    <row r="1219" spans="1:11" x14ac:dyDescent="0.2">
      <c r="A1219" s="1" t="s">
        <v>2239</v>
      </c>
      <c r="B1219" s="2">
        <v>45607</v>
      </c>
      <c r="C1219" s="1" t="s">
        <v>1276</v>
      </c>
      <c r="D1219" s="1" t="s">
        <v>1277</v>
      </c>
      <c r="E1219" s="1" t="s">
        <v>37</v>
      </c>
      <c r="F1219" s="1" t="s">
        <v>15</v>
      </c>
      <c r="G1219" s="1" t="s">
        <v>16</v>
      </c>
      <c r="H1219" s="1" t="s">
        <v>17</v>
      </c>
      <c r="I1219">
        <v>14569</v>
      </c>
      <c r="J1219" s="3">
        <v>20.68</v>
      </c>
      <c r="K1219" s="3">
        <v>301286.92</v>
      </c>
    </row>
    <row r="1220" spans="1:11" x14ac:dyDescent="0.2">
      <c r="A1220" s="1" t="s">
        <v>2240</v>
      </c>
      <c r="B1220" s="2">
        <v>45540</v>
      </c>
      <c r="C1220" s="1" t="s">
        <v>1972</v>
      </c>
      <c r="D1220" s="1" t="s">
        <v>1973</v>
      </c>
      <c r="E1220" s="1" t="s">
        <v>28</v>
      </c>
      <c r="F1220" s="1" t="s">
        <v>108</v>
      </c>
      <c r="G1220" s="1" t="s">
        <v>109</v>
      </c>
      <c r="H1220" s="1" t="s">
        <v>37</v>
      </c>
      <c r="I1220">
        <v>30741</v>
      </c>
      <c r="J1220" s="3">
        <v>12.85</v>
      </c>
      <c r="K1220" s="3">
        <v>395021.85</v>
      </c>
    </row>
    <row r="1221" spans="1:11" x14ac:dyDescent="0.2">
      <c r="A1221" s="1" t="s">
        <v>2241</v>
      </c>
      <c r="B1221" s="2">
        <v>45613</v>
      </c>
      <c r="C1221" s="1" t="s">
        <v>2242</v>
      </c>
      <c r="D1221" s="1" t="s">
        <v>2243</v>
      </c>
      <c r="E1221" s="1" t="s">
        <v>34</v>
      </c>
      <c r="F1221" s="1" t="s">
        <v>412</v>
      </c>
      <c r="G1221" s="1" t="s">
        <v>413</v>
      </c>
      <c r="H1221" s="1" t="s">
        <v>72</v>
      </c>
      <c r="I1221">
        <v>23412</v>
      </c>
      <c r="J1221" s="3">
        <v>5.24</v>
      </c>
      <c r="K1221" s="3">
        <v>122678.88</v>
      </c>
    </row>
    <row r="1222" spans="1:11" x14ac:dyDescent="0.2">
      <c r="A1222" s="1" t="s">
        <v>2244</v>
      </c>
      <c r="B1222" s="2">
        <v>45699</v>
      </c>
      <c r="C1222" s="1" t="s">
        <v>1092</v>
      </c>
      <c r="D1222" s="1" t="s">
        <v>1093</v>
      </c>
      <c r="E1222" s="1" t="s">
        <v>34</v>
      </c>
      <c r="F1222" s="1" t="s">
        <v>350</v>
      </c>
      <c r="G1222" s="1" t="s">
        <v>351</v>
      </c>
      <c r="H1222" s="1" t="s">
        <v>37</v>
      </c>
      <c r="I1222">
        <v>22556</v>
      </c>
      <c r="J1222" s="3">
        <v>41.93</v>
      </c>
      <c r="K1222" s="3">
        <v>945773.08</v>
      </c>
    </row>
    <row r="1223" spans="1:11" x14ac:dyDescent="0.2">
      <c r="A1223" s="1" t="s">
        <v>2245</v>
      </c>
      <c r="B1223" s="2">
        <v>45929</v>
      </c>
      <c r="C1223" s="1" t="s">
        <v>1132</v>
      </c>
      <c r="D1223" s="1" t="s">
        <v>1133</v>
      </c>
      <c r="E1223" s="1" t="s">
        <v>34</v>
      </c>
      <c r="F1223" s="1" t="s">
        <v>339</v>
      </c>
      <c r="G1223" s="1" t="s">
        <v>340</v>
      </c>
      <c r="H1223" s="1" t="s">
        <v>24</v>
      </c>
      <c r="I1223">
        <v>50413</v>
      </c>
      <c r="J1223" s="3">
        <v>34.79</v>
      </c>
      <c r="K1223" s="3">
        <v>1753868.27</v>
      </c>
    </row>
    <row r="1224" spans="1:11" x14ac:dyDescent="0.2">
      <c r="A1224" s="1" t="s">
        <v>2246</v>
      </c>
      <c r="B1224" s="2">
        <v>45564</v>
      </c>
      <c r="C1224" s="1" t="s">
        <v>788</v>
      </c>
      <c r="D1224" s="1" t="s">
        <v>789</v>
      </c>
      <c r="E1224" s="1" t="s">
        <v>14</v>
      </c>
      <c r="F1224" s="1" t="s">
        <v>284</v>
      </c>
      <c r="G1224" s="1" t="s">
        <v>285</v>
      </c>
      <c r="H1224" s="1" t="s">
        <v>37</v>
      </c>
      <c r="I1224">
        <v>5034</v>
      </c>
      <c r="J1224" s="3">
        <v>26.77</v>
      </c>
      <c r="K1224" s="3">
        <v>134760.18</v>
      </c>
    </row>
    <row r="1225" spans="1:11" x14ac:dyDescent="0.2">
      <c r="A1225" s="1" t="s">
        <v>2247</v>
      </c>
      <c r="B1225" s="2">
        <v>45436</v>
      </c>
      <c r="C1225" s="1" t="s">
        <v>851</v>
      </c>
      <c r="D1225" s="1" t="s">
        <v>852</v>
      </c>
      <c r="E1225" s="1" t="s">
        <v>21</v>
      </c>
      <c r="F1225" s="1" t="s">
        <v>324</v>
      </c>
      <c r="G1225" s="1" t="s">
        <v>325</v>
      </c>
      <c r="H1225" s="1" t="s">
        <v>24</v>
      </c>
      <c r="I1225">
        <v>62352</v>
      </c>
      <c r="J1225" s="3">
        <v>42.44</v>
      </c>
      <c r="K1225" s="3">
        <v>2646218.88</v>
      </c>
    </row>
    <row r="1226" spans="1:11" x14ac:dyDescent="0.2">
      <c r="A1226" s="1" t="s">
        <v>2248</v>
      </c>
      <c r="B1226" s="2">
        <v>45341</v>
      </c>
      <c r="C1226" s="1" t="s">
        <v>294</v>
      </c>
      <c r="D1226" s="1" t="s">
        <v>295</v>
      </c>
      <c r="E1226" s="1" t="s">
        <v>37</v>
      </c>
      <c r="F1226" s="1" t="s">
        <v>463</v>
      </c>
      <c r="G1226" s="1" t="s">
        <v>464</v>
      </c>
      <c r="H1226" s="1" t="s">
        <v>37</v>
      </c>
      <c r="I1226">
        <v>5905</v>
      </c>
      <c r="J1226" s="3">
        <v>30.18</v>
      </c>
      <c r="K1226" s="3">
        <v>178212.9</v>
      </c>
    </row>
    <row r="1227" spans="1:11" x14ac:dyDescent="0.2">
      <c r="A1227" s="1" t="s">
        <v>2249</v>
      </c>
      <c r="B1227" s="2">
        <v>45621</v>
      </c>
      <c r="C1227" s="1" t="s">
        <v>857</v>
      </c>
      <c r="D1227" s="1" t="s">
        <v>858</v>
      </c>
      <c r="E1227" s="1" t="s">
        <v>34</v>
      </c>
      <c r="F1227" s="1" t="s">
        <v>113</v>
      </c>
      <c r="G1227" s="1" t="s">
        <v>114</v>
      </c>
      <c r="H1227" s="1" t="s">
        <v>37</v>
      </c>
      <c r="I1227">
        <v>59854</v>
      </c>
      <c r="J1227" s="3">
        <v>24.67</v>
      </c>
      <c r="K1227" s="3">
        <v>1476598.18</v>
      </c>
    </row>
    <row r="1228" spans="1:11" x14ac:dyDescent="0.2">
      <c r="A1228" s="1" t="s">
        <v>2250</v>
      </c>
      <c r="B1228" s="2">
        <v>45535</v>
      </c>
      <c r="C1228" s="1" t="s">
        <v>319</v>
      </c>
      <c r="D1228" s="1" t="s">
        <v>320</v>
      </c>
      <c r="E1228" s="1" t="s">
        <v>21</v>
      </c>
      <c r="F1228" s="1" t="s">
        <v>57</v>
      </c>
      <c r="G1228" s="1" t="s">
        <v>58</v>
      </c>
      <c r="H1228" s="1" t="s">
        <v>48</v>
      </c>
      <c r="I1228">
        <v>64272</v>
      </c>
      <c r="J1228" s="3">
        <v>28.88</v>
      </c>
      <c r="K1228" s="3">
        <v>1856175.36</v>
      </c>
    </row>
    <row r="1229" spans="1:11" x14ac:dyDescent="0.2">
      <c r="A1229" s="1" t="s">
        <v>2251</v>
      </c>
      <c r="B1229" s="2">
        <v>45775</v>
      </c>
      <c r="C1229" s="1" t="s">
        <v>2252</v>
      </c>
      <c r="D1229" s="1" t="s">
        <v>2253</v>
      </c>
      <c r="E1229" s="1" t="s">
        <v>34</v>
      </c>
      <c r="F1229" s="1" t="s">
        <v>29</v>
      </c>
      <c r="G1229" s="1" t="s">
        <v>30</v>
      </c>
      <c r="H1229" s="1" t="s">
        <v>24</v>
      </c>
      <c r="I1229">
        <v>66472</v>
      </c>
      <c r="J1229" s="3">
        <v>46.77</v>
      </c>
      <c r="K1229" s="3">
        <v>3108895.44</v>
      </c>
    </row>
    <row r="1230" spans="1:11" x14ac:dyDescent="0.2">
      <c r="A1230" s="1" t="s">
        <v>2254</v>
      </c>
      <c r="B1230" s="2">
        <v>45391</v>
      </c>
      <c r="C1230" s="1" t="s">
        <v>96</v>
      </c>
      <c r="D1230" s="1" t="s">
        <v>97</v>
      </c>
      <c r="E1230" s="1" t="s">
        <v>21</v>
      </c>
      <c r="F1230" s="1" t="s">
        <v>81</v>
      </c>
      <c r="G1230" s="1" t="s">
        <v>82</v>
      </c>
      <c r="H1230" s="1" t="s">
        <v>72</v>
      </c>
      <c r="I1230">
        <v>33722</v>
      </c>
      <c r="J1230" s="3">
        <v>34.07</v>
      </c>
      <c r="K1230" s="3">
        <v>1148908.54</v>
      </c>
    </row>
    <row r="1231" spans="1:11" x14ac:dyDescent="0.2">
      <c r="A1231" s="1" t="s">
        <v>2255</v>
      </c>
      <c r="B1231" s="2">
        <v>45897</v>
      </c>
      <c r="C1231" s="1" t="s">
        <v>1708</v>
      </c>
      <c r="D1231" s="1" t="s">
        <v>1709</v>
      </c>
      <c r="E1231" s="1" t="s">
        <v>14</v>
      </c>
      <c r="F1231" s="1" t="s">
        <v>113</v>
      </c>
      <c r="G1231" s="1" t="s">
        <v>114</v>
      </c>
      <c r="H1231" s="1" t="s">
        <v>37</v>
      </c>
      <c r="I1231">
        <v>71743</v>
      </c>
      <c r="J1231" s="3">
        <v>46.3</v>
      </c>
      <c r="K1231" s="3">
        <v>3321700.9</v>
      </c>
    </row>
    <row r="1232" spans="1:11" x14ac:dyDescent="0.2">
      <c r="A1232" s="1" t="s">
        <v>2256</v>
      </c>
      <c r="B1232" s="2">
        <v>45329</v>
      </c>
      <c r="C1232" s="1" t="s">
        <v>74</v>
      </c>
      <c r="D1232" s="1" t="s">
        <v>75</v>
      </c>
      <c r="E1232" s="1" t="s">
        <v>37</v>
      </c>
      <c r="F1232" s="1" t="s">
        <v>29</v>
      </c>
      <c r="G1232" s="1" t="s">
        <v>30</v>
      </c>
      <c r="H1232" s="1" t="s">
        <v>24</v>
      </c>
      <c r="I1232">
        <v>71319</v>
      </c>
      <c r="J1232" s="3">
        <v>8.92</v>
      </c>
      <c r="K1232" s="3">
        <v>636165.48</v>
      </c>
    </row>
    <row r="1233" spans="1:11" x14ac:dyDescent="0.2">
      <c r="A1233" s="1" t="s">
        <v>2257</v>
      </c>
      <c r="B1233" s="2">
        <v>45972</v>
      </c>
      <c r="C1233" s="1" t="s">
        <v>1191</v>
      </c>
      <c r="D1233" s="1" t="s">
        <v>1192</v>
      </c>
      <c r="E1233" s="1" t="s">
        <v>21</v>
      </c>
      <c r="F1233" s="1" t="s">
        <v>113</v>
      </c>
      <c r="G1233" s="1" t="s">
        <v>114</v>
      </c>
      <c r="H1233" s="1" t="s">
        <v>37</v>
      </c>
      <c r="I1233">
        <v>74908</v>
      </c>
      <c r="J1233" s="3">
        <v>37.21</v>
      </c>
      <c r="K1233" s="3">
        <v>2787326.68</v>
      </c>
    </row>
    <row r="1234" spans="1:11" x14ac:dyDescent="0.2">
      <c r="A1234" s="1" t="s">
        <v>2258</v>
      </c>
      <c r="B1234" s="2">
        <v>45727</v>
      </c>
      <c r="C1234" s="1" t="s">
        <v>2109</v>
      </c>
      <c r="D1234" s="1" t="s">
        <v>2110</v>
      </c>
      <c r="E1234" s="1" t="s">
        <v>28</v>
      </c>
      <c r="F1234" s="1" t="s">
        <v>339</v>
      </c>
      <c r="G1234" s="1" t="s">
        <v>340</v>
      </c>
      <c r="H1234" s="1" t="s">
        <v>24</v>
      </c>
      <c r="I1234">
        <v>79226</v>
      </c>
      <c r="J1234" s="3">
        <v>33.6</v>
      </c>
      <c r="K1234" s="3">
        <v>2661993.6</v>
      </c>
    </row>
    <row r="1235" spans="1:11" x14ac:dyDescent="0.2">
      <c r="A1235" s="1" t="s">
        <v>2259</v>
      </c>
      <c r="B1235" s="2">
        <v>45561</v>
      </c>
      <c r="C1235" s="1" t="s">
        <v>2260</v>
      </c>
      <c r="D1235" s="1" t="s">
        <v>2261</v>
      </c>
      <c r="E1235" s="1" t="s">
        <v>14</v>
      </c>
      <c r="F1235" s="1" t="s">
        <v>189</v>
      </c>
      <c r="G1235" s="1" t="s">
        <v>190</v>
      </c>
      <c r="H1235" s="1" t="s">
        <v>17</v>
      </c>
      <c r="I1235">
        <v>48698</v>
      </c>
      <c r="J1235" s="3">
        <v>13.61</v>
      </c>
      <c r="K1235" s="3">
        <v>662779.78</v>
      </c>
    </row>
    <row r="1236" spans="1:11" x14ac:dyDescent="0.2">
      <c r="A1236" s="1" t="s">
        <v>2262</v>
      </c>
      <c r="B1236" s="2">
        <v>45879</v>
      </c>
      <c r="C1236" s="1" t="s">
        <v>1571</v>
      </c>
      <c r="D1236" s="1" t="s">
        <v>1572</v>
      </c>
      <c r="E1236" s="1" t="s">
        <v>14</v>
      </c>
      <c r="F1236" s="1" t="s">
        <v>412</v>
      </c>
      <c r="G1236" s="1" t="s">
        <v>413</v>
      </c>
      <c r="H1236" s="1" t="s">
        <v>72</v>
      </c>
      <c r="I1236">
        <v>84274</v>
      </c>
      <c r="J1236" s="3">
        <v>16.84</v>
      </c>
      <c r="K1236" s="3">
        <v>1419174.16</v>
      </c>
    </row>
    <row r="1237" spans="1:11" x14ac:dyDescent="0.2">
      <c r="A1237" s="1" t="s">
        <v>2263</v>
      </c>
      <c r="B1237" s="2">
        <v>45926</v>
      </c>
      <c r="C1237" s="1" t="s">
        <v>835</v>
      </c>
      <c r="D1237" s="1" t="s">
        <v>836</v>
      </c>
      <c r="E1237" s="1" t="s">
        <v>21</v>
      </c>
      <c r="F1237" s="1" t="s">
        <v>412</v>
      </c>
      <c r="G1237" s="1" t="s">
        <v>413</v>
      </c>
      <c r="H1237" s="1" t="s">
        <v>72</v>
      </c>
      <c r="I1237">
        <v>86948</v>
      </c>
      <c r="J1237" s="3">
        <v>49.36</v>
      </c>
      <c r="K1237" s="3">
        <v>4291753.28</v>
      </c>
    </row>
    <row r="1238" spans="1:11" x14ac:dyDescent="0.2">
      <c r="A1238" s="1" t="s">
        <v>2264</v>
      </c>
      <c r="B1238" s="2">
        <v>45811</v>
      </c>
      <c r="C1238" s="1" t="s">
        <v>1237</v>
      </c>
      <c r="D1238" s="1" t="s">
        <v>1238</v>
      </c>
      <c r="E1238" s="1" t="s">
        <v>34</v>
      </c>
      <c r="F1238" s="1" t="s">
        <v>152</v>
      </c>
      <c r="G1238" s="1" t="s">
        <v>153</v>
      </c>
      <c r="H1238" s="1" t="s">
        <v>17</v>
      </c>
      <c r="I1238">
        <v>17603</v>
      </c>
      <c r="J1238" s="3">
        <v>5.01</v>
      </c>
      <c r="K1238" s="3">
        <v>88191.03</v>
      </c>
    </row>
    <row r="1239" spans="1:11" x14ac:dyDescent="0.2">
      <c r="A1239" s="1" t="s">
        <v>2265</v>
      </c>
      <c r="B1239" s="2">
        <v>45576</v>
      </c>
      <c r="C1239" s="1" t="s">
        <v>1244</v>
      </c>
      <c r="D1239" s="1" t="s">
        <v>1245</v>
      </c>
      <c r="E1239" s="1" t="s">
        <v>28</v>
      </c>
      <c r="F1239" s="1" t="s">
        <v>394</v>
      </c>
      <c r="G1239" s="1" t="s">
        <v>395</v>
      </c>
      <c r="H1239" s="1" t="s">
        <v>48</v>
      </c>
      <c r="I1239">
        <v>23125</v>
      </c>
      <c r="J1239" s="3">
        <v>15.69</v>
      </c>
      <c r="K1239" s="3">
        <v>362831.25</v>
      </c>
    </row>
    <row r="1240" spans="1:11" x14ac:dyDescent="0.2">
      <c r="A1240" s="1" t="s">
        <v>2266</v>
      </c>
      <c r="B1240" s="2">
        <v>46001</v>
      </c>
      <c r="C1240" s="1" t="s">
        <v>2064</v>
      </c>
      <c r="D1240" s="1" t="s">
        <v>2065</v>
      </c>
      <c r="E1240" s="1" t="s">
        <v>14</v>
      </c>
      <c r="F1240" s="1" t="s">
        <v>273</v>
      </c>
      <c r="G1240" s="1" t="s">
        <v>274</v>
      </c>
      <c r="H1240" s="1" t="s">
        <v>24</v>
      </c>
      <c r="I1240">
        <v>98530</v>
      </c>
      <c r="J1240" s="3">
        <v>26.58</v>
      </c>
      <c r="K1240" s="3">
        <v>2618927.4</v>
      </c>
    </row>
    <row r="1241" spans="1:11" x14ac:dyDescent="0.2">
      <c r="A1241" s="1" t="s">
        <v>2267</v>
      </c>
      <c r="B1241" s="2">
        <v>45852</v>
      </c>
      <c r="C1241" s="1" t="s">
        <v>1053</v>
      </c>
      <c r="D1241" s="1" t="s">
        <v>1054</v>
      </c>
      <c r="E1241" s="1" t="s">
        <v>21</v>
      </c>
      <c r="F1241" s="1" t="s">
        <v>510</v>
      </c>
      <c r="G1241" s="1" t="s">
        <v>511</v>
      </c>
      <c r="H1241" s="1" t="s">
        <v>17</v>
      </c>
      <c r="I1241">
        <v>96907</v>
      </c>
      <c r="J1241" s="3">
        <v>8.76</v>
      </c>
      <c r="K1241" s="3">
        <v>848905.32</v>
      </c>
    </row>
    <row r="1242" spans="1:11" x14ac:dyDescent="0.2">
      <c r="A1242" s="1" t="s">
        <v>2268</v>
      </c>
      <c r="B1242" s="2">
        <v>45845</v>
      </c>
      <c r="C1242" s="1" t="s">
        <v>448</v>
      </c>
      <c r="D1242" s="1" t="s">
        <v>449</v>
      </c>
      <c r="E1242" s="1" t="s">
        <v>28</v>
      </c>
      <c r="F1242" s="1" t="s">
        <v>552</v>
      </c>
      <c r="G1242" s="1" t="s">
        <v>553</v>
      </c>
      <c r="H1242" s="1" t="s">
        <v>37</v>
      </c>
      <c r="I1242">
        <v>70915</v>
      </c>
      <c r="J1242" s="3">
        <v>7.41</v>
      </c>
      <c r="K1242" s="3">
        <v>525480.15</v>
      </c>
    </row>
    <row r="1243" spans="1:11" x14ac:dyDescent="0.2">
      <c r="A1243" s="1" t="s">
        <v>2269</v>
      </c>
      <c r="B1243" s="2">
        <v>45915</v>
      </c>
      <c r="C1243" s="1" t="s">
        <v>2270</v>
      </c>
      <c r="D1243" s="1" t="s">
        <v>2271</v>
      </c>
      <c r="E1243" s="1" t="s">
        <v>21</v>
      </c>
      <c r="F1243" s="1" t="s">
        <v>70</v>
      </c>
      <c r="G1243" s="1" t="s">
        <v>71</v>
      </c>
      <c r="H1243" s="1" t="s">
        <v>72</v>
      </c>
      <c r="I1243">
        <v>62214</v>
      </c>
      <c r="J1243" s="3">
        <v>24.92</v>
      </c>
      <c r="K1243" s="3">
        <v>1550372.88</v>
      </c>
    </row>
    <row r="1244" spans="1:11" x14ac:dyDescent="0.2">
      <c r="A1244" s="1" t="s">
        <v>2272</v>
      </c>
      <c r="B1244" s="2">
        <v>45953</v>
      </c>
      <c r="C1244" s="1" t="s">
        <v>2273</v>
      </c>
      <c r="D1244" s="1" t="s">
        <v>2274</v>
      </c>
      <c r="E1244" s="1" t="s">
        <v>28</v>
      </c>
      <c r="F1244" s="1" t="s">
        <v>284</v>
      </c>
      <c r="G1244" s="1" t="s">
        <v>285</v>
      </c>
      <c r="H1244" s="1" t="s">
        <v>37</v>
      </c>
      <c r="I1244">
        <v>16606</v>
      </c>
      <c r="J1244" s="3">
        <v>8.68</v>
      </c>
      <c r="K1244" s="3">
        <v>144140.07999999999</v>
      </c>
    </row>
    <row r="1245" spans="1:11" x14ac:dyDescent="0.2">
      <c r="A1245" s="1" t="s">
        <v>2275</v>
      </c>
      <c r="B1245" s="2">
        <v>45812</v>
      </c>
      <c r="C1245" s="1" t="s">
        <v>801</v>
      </c>
      <c r="D1245" s="1" t="s">
        <v>802</v>
      </c>
      <c r="E1245" s="1" t="s">
        <v>14</v>
      </c>
      <c r="F1245" s="1" t="s">
        <v>113</v>
      </c>
      <c r="G1245" s="1" t="s">
        <v>114</v>
      </c>
      <c r="H1245" s="1" t="s">
        <v>37</v>
      </c>
      <c r="I1245">
        <v>74649</v>
      </c>
      <c r="J1245" s="3">
        <v>36.44</v>
      </c>
      <c r="K1245" s="3">
        <v>2720209.56</v>
      </c>
    </row>
    <row r="1246" spans="1:11" x14ac:dyDescent="0.2">
      <c r="A1246" s="1" t="s">
        <v>2276</v>
      </c>
      <c r="B1246" s="2">
        <v>45903</v>
      </c>
      <c r="C1246" s="1" t="s">
        <v>1662</v>
      </c>
      <c r="D1246" s="1" t="s">
        <v>1663</v>
      </c>
      <c r="E1246" s="1" t="s">
        <v>37</v>
      </c>
      <c r="F1246" s="1" t="s">
        <v>761</v>
      </c>
      <c r="G1246" s="1" t="s">
        <v>762</v>
      </c>
      <c r="H1246" s="1" t="s">
        <v>48</v>
      </c>
      <c r="I1246">
        <v>7440</v>
      </c>
      <c r="J1246" s="3">
        <v>12.96</v>
      </c>
      <c r="K1246" s="3">
        <v>96422.399999999994</v>
      </c>
    </row>
    <row r="1247" spans="1:11" x14ac:dyDescent="0.2">
      <c r="A1247" s="1" t="s">
        <v>2277</v>
      </c>
      <c r="B1247" s="2">
        <v>45786</v>
      </c>
      <c r="C1247" s="1" t="s">
        <v>1737</v>
      </c>
      <c r="D1247" s="1" t="s">
        <v>1738</v>
      </c>
      <c r="E1247" s="1" t="s">
        <v>21</v>
      </c>
      <c r="F1247" s="1" t="s">
        <v>65</v>
      </c>
      <c r="G1247" s="1" t="s">
        <v>66</v>
      </c>
      <c r="H1247" s="1" t="s">
        <v>48</v>
      </c>
      <c r="I1247">
        <v>19615</v>
      </c>
      <c r="J1247" s="3">
        <v>5.61</v>
      </c>
      <c r="K1247" s="3">
        <v>110040.15</v>
      </c>
    </row>
    <row r="1248" spans="1:11" x14ac:dyDescent="0.2">
      <c r="A1248" s="1" t="s">
        <v>2278</v>
      </c>
      <c r="B1248" s="2">
        <v>45366</v>
      </c>
      <c r="C1248" s="1" t="s">
        <v>1117</v>
      </c>
      <c r="D1248" s="1" t="s">
        <v>1118</v>
      </c>
      <c r="E1248" s="1" t="s">
        <v>37</v>
      </c>
      <c r="F1248" s="1" t="s">
        <v>474</v>
      </c>
      <c r="G1248" s="1" t="s">
        <v>475</v>
      </c>
      <c r="H1248" s="1" t="s">
        <v>48</v>
      </c>
      <c r="I1248">
        <v>44497</v>
      </c>
      <c r="J1248" s="3">
        <v>2.13</v>
      </c>
      <c r="K1248" s="3">
        <v>94778.61</v>
      </c>
    </row>
    <row r="1249" spans="1:11" x14ac:dyDescent="0.2">
      <c r="A1249" s="1" t="s">
        <v>2279</v>
      </c>
      <c r="B1249" s="2">
        <v>46018</v>
      </c>
      <c r="C1249" s="1" t="s">
        <v>1841</v>
      </c>
      <c r="D1249" s="1" t="s">
        <v>1842</v>
      </c>
      <c r="E1249" s="1" t="s">
        <v>14</v>
      </c>
      <c r="F1249" s="1" t="s">
        <v>268</v>
      </c>
      <c r="G1249" s="1" t="s">
        <v>269</v>
      </c>
      <c r="H1249" s="1" t="s">
        <v>72</v>
      </c>
      <c r="I1249">
        <v>11964</v>
      </c>
      <c r="J1249" s="3">
        <v>9.0299999999999994</v>
      </c>
      <c r="K1249" s="3">
        <v>108034.92</v>
      </c>
    </row>
    <row r="1250" spans="1:11" x14ac:dyDescent="0.2">
      <c r="A1250" s="1" t="s">
        <v>2280</v>
      </c>
      <c r="B1250" s="2">
        <v>45752</v>
      </c>
      <c r="C1250" s="1" t="s">
        <v>1949</v>
      </c>
      <c r="D1250" s="1" t="s">
        <v>1950</v>
      </c>
      <c r="E1250" s="1" t="s">
        <v>14</v>
      </c>
      <c r="F1250" s="1" t="s">
        <v>189</v>
      </c>
      <c r="G1250" s="1" t="s">
        <v>190</v>
      </c>
      <c r="H1250" s="1" t="s">
        <v>17</v>
      </c>
      <c r="I1250">
        <v>96822</v>
      </c>
      <c r="J1250" s="3">
        <v>47.48</v>
      </c>
      <c r="K1250" s="3">
        <v>4597108.5599999996</v>
      </c>
    </row>
    <row r="1251" spans="1:11" x14ac:dyDescent="0.2">
      <c r="A1251" s="1" t="s">
        <v>2281</v>
      </c>
      <c r="B1251" s="2">
        <v>45696</v>
      </c>
      <c r="C1251" s="1" t="s">
        <v>808</v>
      </c>
      <c r="D1251" s="1" t="s">
        <v>809</v>
      </c>
      <c r="E1251" s="1" t="s">
        <v>28</v>
      </c>
      <c r="F1251" s="1" t="s">
        <v>350</v>
      </c>
      <c r="G1251" s="1" t="s">
        <v>351</v>
      </c>
      <c r="H1251" s="1" t="s">
        <v>37</v>
      </c>
      <c r="I1251">
        <v>69414</v>
      </c>
      <c r="J1251" s="3">
        <v>33.340000000000003</v>
      </c>
      <c r="K1251" s="3">
        <v>2314262.7599999998</v>
      </c>
    </row>
    <row r="1252" spans="1:11" x14ac:dyDescent="0.2">
      <c r="A1252" s="1" t="s">
        <v>2282</v>
      </c>
      <c r="B1252" s="2">
        <v>45623</v>
      </c>
      <c r="C1252" s="1" t="s">
        <v>1149</v>
      </c>
      <c r="D1252" s="1" t="s">
        <v>1150</v>
      </c>
      <c r="E1252" s="1" t="s">
        <v>14</v>
      </c>
      <c r="F1252" s="1" t="s">
        <v>339</v>
      </c>
      <c r="G1252" s="1" t="s">
        <v>340</v>
      </c>
      <c r="H1252" s="1" t="s">
        <v>24</v>
      </c>
      <c r="I1252">
        <v>46482</v>
      </c>
      <c r="J1252" s="3">
        <v>36.57</v>
      </c>
      <c r="K1252" s="3">
        <v>1699846.74</v>
      </c>
    </row>
    <row r="1253" spans="1:11" x14ac:dyDescent="0.2">
      <c r="A1253" s="1" t="s">
        <v>2283</v>
      </c>
      <c r="B1253" s="2">
        <v>45416</v>
      </c>
      <c r="C1253" s="1" t="s">
        <v>1930</v>
      </c>
      <c r="D1253" s="1" t="s">
        <v>1931</v>
      </c>
      <c r="E1253" s="1" t="s">
        <v>14</v>
      </c>
      <c r="F1253" s="1" t="s">
        <v>139</v>
      </c>
      <c r="G1253" s="1" t="s">
        <v>140</v>
      </c>
      <c r="H1253" s="1" t="s">
        <v>24</v>
      </c>
      <c r="I1253">
        <v>91536</v>
      </c>
      <c r="J1253" s="3">
        <v>11.76</v>
      </c>
      <c r="K1253" s="3">
        <v>1076463.3600000001</v>
      </c>
    </row>
    <row r="1254" spans="1:11" x14ac:dyDescent="0.2">
      <c r="A1254" s="1" t="s">
        <v>2284</v>
      </c>
      <c r="B1254" s="2">
        <v>45794</v>
      </c>
      <c r="C1254" s="1" t="s">
        <v>1666</v>
      </c>
      <c r="D1254" s="1" t="s">
        <v>1667</v>
      </c>
      <c r="E1254" s="1" t="s">
        <v>28</v>
      </c>
      <c r="F1254" s="1" t="s">
        <v>76</v>
      </c>
      <c r="G1254" s="1" t="s">
        <v>77</v>
      </c>
      <c r="H1254" s="1" t="s">
        <v>48</v>
      </c>
      <c r="I1254">
        <v>77590</v>
      </c>
      <c r="J1254" s="3">
        <v>29.73</v>
      </c>
      <c r="K1254" s="3">
        <v>2306750.7000000002</v>
      </c>
    </row>
    <row r="1255" spans="1:11" x14ac:dyDescent="0.2">
      <c r="A1255" s="1" t="s">
        <v>2285</v>
      </c>
      <c r="B1255" s="2">
        <v>45549</v>
      </c>
      <c r="C1255" s="1" t="s">
        <v>994</v>
      </c>
      <c r="D1255" s="1" t="s">
        <v>995</v>
      </c>
      <c r="E1255" s="1" t="s">
        <v>21</v>
      </c>
      <c r="F1255" s="1" t="s">
        <v>65</v>
      </c>
      <c r="G1255" s="1" t="s">
        <v>66</v>
      </c>
      <c r="H1255" s="1" t="s">
        <v>48</v>
      </c>
      <c r="I1255">
        <v>6091</v>
      </c>
      <c r="J1255" s="3">
        <v>24.58</v>
      </c>
      <c r="K1255" s="3">
        <v>149716.78</v>
      </c>
    </row>
    <row r="1256" spans="1:11" x14ac:dyDescent="0.2">
      <c r="A1256" s="1" t="s">
        <v>2286</v>
      </c>
      <c r="B1256" s="2">
        <v>45838</v>
      </c>
      <c r="C1256" s="1" t="s">
        <v>990</v>
      </c>
      <c r="D1256" s="1" t="s">
        <v>991</v>
      </c>
      <c r="E1256" s="1" t="s">
        <v>34</v>
      </c>
      <c r="F1256" s="1" t="s">
        <v>217</v>
      </c>
      <c r="G1256" s="1" t="s">
        <v>218</v>
      </c>
      <c r="H1256" s="1" t="s">
        <v>72</v>
      </c>
      <c r="I1256">
        <v>91653</v>
      </c>
      <c r="J1256" s="3">
        <v>42.28</v>
      </c>
      <c r="K1256" s="3">
        <v>3875088.84</v>
      </c>
    </row>
    <row r="1257" spans="1:11" x14ac:dyDescent="0.2">
      <c r="A1257" s="1" t="s">
        <v>2287</v>
      </c>
      <c r="B1257" s="2">
        <v>46010</v>
      </c>
      <c r="C1257" s="1" t="s">
        <v>654</v>
      </c>
      <c r="D1257" s="1" t="s">
        <v>655</v>
      </c>
      <c r="E1257" s="1" t="s">
        <v>14</v>
      </c>
      <c r="F1257" s="1" t="s">
        <v>761</v>
      </c>
      <c r="G1257" s="1" t="s">
        <v>762</v>
      </c>
      <c r="H1257" s="1" t="s">
        <v>48</v>
      </c>
      <c r="I1257">
        <v>82287</v>
      </c>
      <c r="J1257" s="3">
        <v>29.74</v>
      </c>
      <c r="K1257" s="3">
        <v>2447215.38</v>
      </c>
    </row>
    <row r="1258" spans="1:11" x14ac:dyDescent="0.2">
      <c r="A1258" s="1" t="s">
        <v>2288</v>
      </c>
      <c r="B1258" s="2">
        <v>45343</v>
      </c>
      <c r="C1258" s="1" t="s">
        <v>570</v>
      </c>
      <c r="D1258" s="1" t="s">
        <v>571</v>
      </c>
      <c r="E1258" s="1" t="s">
        <v>28</v>
      </c>
      <c r="F1258" s="1" t="s">
        <v>113</v>
      </c>
      <c r="G1258" s="1" t="s">
        <v>114</v>
      </c>
      <c r="H1258" s="1" t="s">
        <v>37</v>
      </c>
      <c r="I1258">
        <v>59087</v>
      </c>
      <c r="J1258" s="3">
        <v>35.159999999999997</v>
      </c>
      <c r="K1258" s="3">
        <v>2077498.92</v>
      </c>
    </row>
    <row r="1259" spans="1:11" x14ac:dyDescent="0.2">
      <c r="A1259" s="1" t="s">
        <v>2289</v>
      </c>
      <c r="B1259" s="2">
        <v>45502</v>
      </c>
      <c r="C1259" s="1" t="s">
        <v>566</v>
      </c>
      <c r="D1259" s="1" t="s">
        <v>567</v>
      </c>
      <c r="E1259" s="1" t="s">
        <v>28</v>
      </c>
      <c r="F1259" s="1" t="s">
        <v>176</v>
      </c>
      <c r="G1259" s="1" t="s">
        <v>177</v>
      </c>
      <c r="H1259" s="1" t="s">
        <v>37</v>
      </c>
      <c r="I1259">
        <v>85978</v>
      </c>
      <c r="J1259" s="3">
        <v>26.32</v>
      </c>
      <c r="K1259" s="3">
        <v>2262940.96</v>
      </c>
    </row>
    <row r="1260" spans="1:11" x14ac:dyDescent="0.2">
      <c r="A1260" s="1" t="s">
        <v>2290</v>
      </c>
      <c r="B1260" s="2">
        <v>46021</v>
      </c>
      <c r="C1260" s="1" t="s">
        <v>1578</v>
      </c>
      <c r="D1260" s="1" t="s">
        <v>1579</v>
      </c>
      <c r="E1260" s="1" t="s">
        <v>28</v>
      </c>
      <c r="F1260" s="1" t="s">
        <v>52</v>
      </c>
      <c r="G1260" s="1" t="s">
        <v>53</v>
      </c>
      <c r="H1260" s="1" t="s">
        <v>17</v>
      </c>
      <c r="I1260">
        <v>4714</v>
      </c>
      <c r="J1260" s="3">
        <v>25.03</v>
      </c>
      <c r="K1260" s="3">
        <v>117991.42</v>
      </c>
    </row>
    <row r="1261" spans="1:11" x14ac:dyDescent="0.2">
      <c r="A1261" s="1" t="s">
        <v>2291</v>
      </c>
      <c r="B1261" s="2">
        <v>45882</v>
      </c>
      <c r="C1261" s="1" t="s">
        <v>348</v>
      </c>
      <c r="D1261" s="1" t="s">
        <v>349</v>
      </c>
      <c r="E1261" s="1" t="s">
        <v>28</v>
      </c>
      <c r="F1261" s="1" t="s">
        <v>552</v>
      </c>
      <c r="G1261" s="1" t="s">
        <v>553</v>
      </c>
      <c r="H1261" s="1" t="s">
        <v>37</v>
      </c>
      <c r="I1261">
        <v>68518</v>
      </c>
      <c r="J1261" s="3">
        <v>3.82</v>
      </c>
      <c r="K1261" s="3">
        <v>261738.76</v>
      </c>
    </row>
    <row r="1262" spans="1:11" x14ac:dyDescent="0.2">
      <c r="A1262" s="1" t="s">
        <v>2292</v>
      </c>
      <c r="B1262" s="2">
        <v>45798</v>
      </c>
      <c r="C1262" s="1" t="s">
        <v>2293</v>
      </c>
      <c r="D1262" s="1" t="s">
        <v>2294</v>
      </c>
      <c r="E1262" s="1" t="s">
        <v>34</v>
      </c>
      <c r="F1262" s="1" t="s">
        <v>29</v>
      </c>
      <c r="G1262" s="1" t="s">
        <v>30</v>
      </c>
      <c r="H1262" s="1" t="s">
        <v>24</v>
      </c>
      <c r="I1262">
        <v>45678</v>
      </c>
      <c r="J1262" s="3">
        <v>17.23</v>
      </c>
      <c r="K1262" s="3">
        <v>787031.94</v>
      </c>
    </row>
    <row r="1263" spans="1:11" x14ac:dyDescent="0.2">
      <c r="A1263" s="1" t="s">
        <v>2295</v>
      </c>
      <c r="B1263" s="2">
        <v>45875</v>
      </c>
      <c r="C1263" s="1" t="s">
        <v>1891</v>
      </c>
      <c r="D1263" s="1" t="s">
        <v>1892</v>
      </c>
      <c r="E1263" s="1" t="s">
        <v>14</v>
      </c>
      <c r="F1263" s="1" t="s">
        <v>284</v>
      </c>
      <c r="G1263" s="1" t="s">
        <v>285</v>
      </c>
      <c r="H1263" s="1" t="s">
        <v>37</v>
      </c>
      <c r="I1263">
        <v>10112</v>
      </c>
      <c r="J1263" s="3">
        <v>47.7</v>
      </c>
      <c r="K1263" s="3">
        <v>482342.40000000002</v>
      </c>
    </row>
    <row r="1264" spans="1:11" x14ac:dyDescent="0.2">
      <c r="A1264" s="1" t="s">
        <v>2296</v>
      </c>
      <c r="B1264" s="2">
        <v>45678</v>
      </c>
      <c r="C1264" s="1" t="s">
        <v>966</v>
      </c>
      <c r="D1264" s="1" t="s">
        <v>967</v>
      </c>
      <c r="E1264" s="1" t="s">
        <v>34</v>
      </c>
      <c r="F1264" s="1" t="s">
        <v>458</v>
      </c>
      <c r="G1264" s="1" t="s">
        <v>459</v>
      </c>
      <c r="H1264" s="1" t="s">
        <v>72</v>
      </c>
      <c r="I1264">
        <v>71952</v>
      </c>
      <c r="J1264" s="3">
        <v>33.99</v>
      </c>
      <c r="K1264" s="3">
        <v>2445648.48</v>
      </c>
    </row>
    <row r="1265" spans="1:11" x14ac:dyDescent="0.2">
      <c r="A1265" s="1" t="s">
        <v>2297</v>
      </c>
      <c r="B1265" s="2">
        <v>45302</v>
      </c>
      <c r="C1265" s="1" t="s">
        <v>1164</v>
      </c>
      <c r="D1265" s="1" t="s">
        <v>1165</v>
      </c>
      <c r="E1265" s="1" t="s">
        <v>37</v>
      </c>
      <c r="F1265" s="1" t="s">
        <v>510</v>
      </c>
      <c r="G1265" s="1" t="s">
        <v>511</v>
      </c>
      <c r="H1265" s="1" t="s">
        <v>17</v>
      </c>
      <c r="I1265">
        <v>16342</v>
      </c>
      <c r="J1265" s="3">
        <v>46.48</v>
      </c>
      <c r="K1265" s="3">
        <v>759576.16</v>
      </c>
    </row>
    <row r="1266" spans="1:11" x14ac:dyDescent="0.2">
      <c r="A1266" s="1" t="s">
        <v>2298</v>
      </c>
      <c r="B1266" s="2">
        <v>45977</v>
      </c>
      <c r="C1266" s="1" t="s">
        <v>814</v>
      </c>
      <c r="D1266" s="1" t="s">
        <v>815</v>
      </c>
      <c r="E1266" s="1" t="s">
        <v>14</v>
      </c>
      <c r="F1266" s="1" t="s">
        <v>70</v>
      </c>
      <c r="G1266" s="1" t="s">
        <v>71</v>
      </c>
      <c r="H1266" s="1" t="s">
        <v>72</v>
      </c>
      <c r="I1266">
        <v>12718</v>
      </c>
      <c r="J1266" s="3">
        <v>47.99</v>
      </c>
      <c r="K1266" s="3">
        <v>610336.81999999995</v>
      </c>
    </row>
    <row r="1267" spans="1:11" x14ac:dyDescent="0.2">
      <c r="A1267" s="1" t="s">
        <v>2299</v>
      </c>
      <c r="B1267" s="2">
        <v>45292</v>
      </c>
      <c r="C1267" s="1" t="s">
        <v>2300</v>
      </c>
      <c r="D1267" s="1" t="s">
        <v>2301</v>
      </c>
      <c r="E1267" s="1" t="s">
        <v>21</v>
      </c>
      <c r="F1267" s="1" t="s">
        <v>157</v>
      </c>
      <c r="G1267" s="1" t="s">
        <v>158</v>
      </c>
      <c r="H1267" s="1" t="s">
        <v>48</v>
      </c>
      <c r="I1267">
        <v>62228</v>
      </c>
      <c r="J1267" s="3">
        <v>31.63</v>
      </c>
      <c r="K1267" s="3">
        <v>1968271.64</v>
      </c>
    </row>
    <row r="1268" spans="1:11" x14ac:dyDescent="0.2">
      <c r="A1268" s="1" t="s">
        <v>2302</v>
      </c>
      <c r="B1268" s="2">
        <v>45952</v>
      </c>
      <c r="C1268" s="1" t="s">
        <v>1068</v>
      </c>
      <c r="D1268" s="1" t="s">
        <v>1069</v>
      </c>
      <c r="E1268" s="1" t="s">
        <v>37</v>
      </c>
      <c r="F1268" s="1" t="s">
        <v>237</v>
      </c>
      <c r="G1268" s="1" t="s">
        <v>238</v>
      </c>
      <c r="H1268" s="1" t="s">
        <v>17</v>
      </c>
      <c r="I1268">
        <v>96383</v>
      </c>
      <c r="J1268" s="3">
        <v>13.67</v>
      </c>
      <c r="K1268" s="3">
        <v>1317555.6100000001</v>
      </c>
    </row>
    <row r="1269" spans="1:11" x14ac:dyDescent="0.2">
      <c r="A1269" s="1" t="s">
        <v>2303</v>
      </c>
      <c r="B1269" s="2">
        <v>45885</v>
      </c>
      <c r="C1269" s="1" t="s">
        <v>1841</v>
      </c>
      <c r="D1269" s="1" t="s">
        <v>1842</v>
      </c>
      <c r="E1269" s="1" t="s">
        <v>14</v>
      </c>
      <c r="F1269" s="1" t="s">
        <v>761</v>
      </c>
      <c r="G1269" s="1" t="s">
        <v>762</v>
      </c>
      <c r="H1269" s="1" t="s">
        <v>48</v>
      </c>
      <c r="I1269">
        <v>92036</v>
      </c>
      <c r="J1269" s="3">
        <v>26.08</v>
      </c>
      <c r="K1269" s="3">
        <v>2400298.88</v>
      </c>
    </row>
    <row r="1270" spans="1:11" x14ac:dyDescent="0.2">
      <c r="A1270" s="1" t="s">
        <v>2304</v>
      </c>
      <c r="B1270" s="2">
        <v>45959</v>
      </c>
      <c r="C1270" s="1" t="s">
        <v>1972</v>
      </c>
      <c r="D1270" s="1" t="s">
        <v>1973</v>
      </c>
      <c r="E1270" s="1" t="s">
        <v>28</v>
      </c>
      <c r="F1270" s="1" t="s">
        <v>474</v>
      </c>
      <c r="G1270" s="1" t="s">
        <v>475</v>
      </c>
      <c r="H1270" s="1" t="s">
        <v>48</v>
      </c>
      <c r="I1270">
        <v>5508</v>
      </c>
      <c r="J1270" s="3">
        <v>17.260000000000002</v>
      </c>
      <c r="K1270" s="3">
        <v>95068.08</v>
      </c>
    </row>
    <row r="1271" spans="1:11" x14ac:dyDescent="0.2">
      <c r="A1271" s="1" t="s">
        <v>2305</v>
      </c>
      <c r="B1271" s="2">
        <v>45326</v>
      </c>
      <c r="C1271" s="1" t="s">
        <v>654</v>
      </c>
      <c r="D1271" s="1" t="s">
        <v>655</v>
      </c>
      <c r="E1271" s="1" t="s">
        <v>14</v>
      </c>
      <c r="F1271" s="1" t="s">
        <v>35</v>
      </c>
      <c r="G1271" s="1" t="s">
        <v>36</v>
      </c>
      <c r="H1271" s="1" t="s">
        <v>37</v>
      </c>
      <c r="I1271">
        <v>23096</v>
      </c>
      <c r="J1271" s="3">
        <v>20.53</v>
      </c>
      <c r="K1271" s="3">
        <v>474160.88</v>
      </c>
    </row>
    <row r="1272" spans="1:11" x14ac:dyDescent="0.2">
      <c r="A1272" s="1" t="s">
        <v>2306</v>
      </c>
      <c r="B1272" s="2">
        <v>45410</v>
      </c>
      <c r="C1272" s="1" t="s">
        <v>1332</v>
      </c>
      <c r="D1272" s="1" t="s">
        <v>1333</v>
      </c>
      <c r="E1272" s="1" t="s">
        <v>34</v>
      </c>
      <c r="F1272" s="1" t="s">
        <v>52</v>
      </c>
      <c r="G1272" s="1" t="s">
        <v>53</v>
      </c>
      <c r="H1272" s="1" t="s">
        <v>17</v>
      </c>
      <c r="I1272">
        <v>66685</v>
      </c>
      <c r="J1272" s="3">
        <v>37.21</v>
      </c>
      <c r="K1272" s="3">
        <v>2481348.85</v>
      </c>
    </row>
    <row r="1273" spans="1:11" x14ac:dyDescent="0.2">
      <c r="A1273" s="1" t="s">
        <v>2307</v>
      </c>
      <c r="B1273" s="2">
        <v>45932</v>
      </c>
      <c r="C1273" s="1" t="s">
        <v>1105</v>
      </c>
      <c r="D1273" s="1" t="s">
        <v>1106</v>
      </c>
      <c r="E1273" s="1" t="s">
        <v>34</v>
      </c>
      <c r="F1273" s="1" t="s">
        <v>324</v>
      </c>
      <c r="G1273" s="1" t="s">
        <v>325</v>
      </c>
      <c r="H1273" s="1" t="s">
        <v>24</v>
      </c>
      <c r="I1273">
        <v>61450</v>
      </c>
      <c r="J1273" s="3">
        <v>10.16</v>
      </c>
      <c r="K1273" s="3">
        <v>624332</v>
      </c>
    </row>
    <row r="1274" spans="1:11" x14ac:dyDescent="0.2">
      <c r="A1274" s="1" t="s">
        <v>2308</v>
      </c>
      <c r="B1274" s="2">
        <v>45826</v>
      </c>
      <c r="C1274" s="1" t="s">
        <v>1757</v>
      </c>
      <c r="D1274" s="1" t="s">
        <v>1758</v>
      </c>
      <c r="E1274" s="1" t="s">
        <v>37</v>
      </c>
      <c r="F1274" s="1" t="s">
        <v>412</v>
      </c>
      <c r="G1274" s="1" t="s">
        <v>413</v>
      </c>
      <c r="H1274" s="1" t="s">
        <v>72</v>
      </c>
      <c r="I1274">
        <v>69644</v>
      </c>
      <c r="J1274" s="3">
        <v>34.979999999999997</v>
      </c>
      <c r="K1274" s="3">
        <v>2436147.12</v>
      </c>
    </row>
    <row r="1275" spans="1:11" x14ac:dyDescent="0.2">
      <c r="A1275" s="1" t="s">
        <v>2309</v>
      </c>
      <c r="B1275" s="2">
        <v>45678</v>
      </c>
      <c r="C1275" s="1" t="s">
        <v>1429</v>
      </c>
      <c r="D1275" s="1" t="s">
        <v>1430</v>
      </c>
      <c r="E1275" s="1" t="s">
        <v>37</v>
      </c>
      <c r="F1275" s="1" t="s">
        <v>474</v>
      </c>
      <c r="G1275" s="1" t="s">
        <v>475</v>
      </c>
      <c r="H1275" s="1" t="s">
        <v>48</v>
      </c>
      <c r="I1275">
        <v>54429</v>
      </c>
      <c r="J1275" s="3">
        <v>48.43</v>
      </c>
      <c r="K1275" s="3">
        <v>2635996.4700000002</v>
      </c>
    </row>
    <row r="1276" spans="1:11" x14ac:dyDescent="0.2">
      <c r="A1276" s="1" t="s">
        <v>2310</v>
      </c>
      <c r="B1276" s="2">
        <v>45791</v>
      </c>
      <c r="C1276" s="1" t="s">
        <v>192</v>
      </c>
      <c r="D1276" s="1" t="s">
        <v>193</v>
      </c>
      <c r="E1276" s="1" t="s">
        <v>37</v>
      </c>
      <c r="F1276" s="1" t="s">
        <v>46</v>
      </c>
      <c r="G1276" s="1" t="s">
        <v>47</v>
      </c>
      <c r="H1276" s="1" t="s">
        <v>48</v>
      </c>
      <c r="I1276">
        <v>75081</v>
      </c>
      <c r="J1276" s="3">
        <v>18.010000000000002</v>
      </c>
      <c r="K1276" s="3">
        <v>1352208.81</v>
      </c>
    </row>
    <row r="1277" spans="1:11" x14ac:dyDescent="0.2">
      <c r="A1277" s="1" t="s">
        <v>2311</v>
      </c>
      <c r="B1277" s="2">
        <v>45754</v>
      </c>
      <c r="C1277" s="1" t="s">
        <v>932</v>
      </c>
      <c r="D1277" s="1" t="s">
        <v>933</v>
      </c>
      <c r="E1277" s="1" t="s">
        <v>14</v>
      </c>
      <c r="F1277" s="1" t="s">
        <v>35</v>
      </c>
      <c r="G1277" s="1" t="s">
        <v>36</v>
      </c>
      <c r="H1277" s="1" t="s">
        <v>37</v>
      </c>
      <c r="I1277">
        <v>30984</v>
      </c>
      <c r="J1277" s="3">
        <v>22.51</v>
      </c>
      <c r="K1277" s="3">
        <v>697449.84</v>
      </c>
    </row>
    <row r="1278" spans="1:11" x14ac:dyDescent="0.2">
      <c r="A1278" s="1" t="s">
        <v>2312</v>
      </c>
      <c r="B1278" s="2">
        <v>45468</v>
      </c>
      <c r="C1278" s="1" t="s">
        <v>1547</v>
      </c>
      <c r="D1278" s="1" t="s">
        <v>1548</v>
      </c>
      <c r="E1278" s="1" t="s">
        <v>21</v>
      </c>
      <c r="F1278" s="1" t="s">
        <v>157</v>
      </c>
      <c r="G1278" s="1" t="s">
        <v>158</v>
      </c>
      <c r="H1278" s="1" t="s">
        <v>48</v>
      </c>
      <c r="I1278">
        <v>1485</v>
      </c>
      <c r="J1278" s="3">
        <v>14.17</v>
      </c>
      <c r="K1278" s="3">
        <v>21042.45</v>
      </c>
    </row>
    <row r="1279" spans="1:11" x14ac:dyDescent="0.2">
      <c r="A1279" s="1" t="s">
        <v>2313</v>
      </c>
      <c r="B1279" s="2">
        <v>45561</v>
      </c>
      <c r="C1279" s="1" t="s">
        <v>2314</v>
      </c>
      <c r="D1279" s="1" t="s">
        <v>2315</v>
      </c>
      <c r="E1279" s="1" t="s">
        <v>21</v>
      </c>
      <c r="F1279" s="1" t="s">
        <v>330</v>
      </c>
      <c r="G1279" s="1" t="s">
        <v>331</v>
      </c>
      <c r="H1279" s="1" t="s">
        <v>72</v>
      </c>
      <c r="I1279">
        <v>99608</v>
      </c>
      <c r="J1279" s="3">
        <v>31.73</v>
      </c>
      <c r="K1279" s="3">
        <v>3160561.84</v>
      </c>
    </row>
    <row r="1280" spans="1:11" x14ac:dyDescent="0.2">
      <c r="A1280" s="1" t="s">
        <v>2316</v>
      </c>
      <c r="B1280" s="2">
        <v>46017</v>
      </c>
      <c r="C1280" s="1" t="s">
        <v>122</v>
      </c>
      <c r="D1280" s="1" t="s">
        <v>123</v>
      </c>
      <c r="E1280" s="1" t="s">
        <v>28</v>
      </c>
      <c r="F1280" s="1" t="s">
        <v>228</v>
      </c>
      <c r="G1280" s="1" t="s">
        <v>229</v>
      </c>
      <c r="H1280" s="1" t="s">
        <v>48</v>
      </c>
      <c r="I1280">
        <v>26776</v>
      </c>
      <c r="J1280" s="3">
        <v>22.89</v>
      </c>
      <c r="K1280" s="3">
        <v>612902.64</v>
      </c>
    </row>
    <row r="1281" spans="1:11" x14ac:dyDescent="0.2">
      <c r="A1281" s="1" t="s">
        <v>2317</v>
      </c>
      <c r="B1281" s="2">
        <v>45764</v>
      </c>
      <c r="C1281" s="1" t="s">
        <v>1647</v>
      </c>
      <c r="D1281" s="1" t="s">
        <v>1648</v>
      </c>
      <c r="E1281" s="1" t="s">
        <v>14</v>
      </c>
      <c r="F1281" s="1" t="s">
        <v>406</v>
      </c>
      <c r="G1281" s="1" t="s">
        <v>407</v>
      </c>
      <c r="H1281" s="1" t="s">
        <v>17</v>
      </c>
      <c r="I1281">
        <v>48202</v>
      </c>
      <c r="J1281" s="3">
        <v>45.65</v>
      </c>
      <c r="K1281" s="3">
        <v>2200421.2999999998</v>
      </c>
    </row>
    <row r="1282" spans="1:11" x14ac:dyDescent="0.2">
      <c r="A1282" s="1" t="s">
        <v>2318</v>
      </c>
      <c r="B1282" s="2">
        <v>45978</v>
      </c>
      <c r="C1282" s="1" t="s">
        <v>2319</v>
      </c>
      <c r="D1282" s="1" t="s">
        <v>2320</v>
      </c>
      <c r="E1282" s="1" t="s">
        <v>21</v>
      </c>
      <c r="F1282" s="1" t="s">
        <v>761</v>
      </c>
      <c r="G1282" s="1" t="s">
        <v>762</v>
      </c>
      <c r="H1282" s="1" t="s">
        <v>48</v>
      </c>
      <c r="I1282">
        <v>39325</v>
      </c>
      <c r="J1282" s="3">
        <v>12.96</v>
      </c>
      <c r="K1282" s="3">
        <v>509652</v>
      </c>
    </row>
    <row r="1283" spans="1:11" x14ac:dyDescent="0.2">
      <c r="A1283" s="1" t="s">
        <v>2321</v>
      </c>
      <c r="B1283" s="2">
        <v>45474</v>
      </c>
      <c r="C1283" s="1" t="s">
        <v>418</v>
      </c>
      <c r="D1283" s="1" t="s">
        <v>419</v>
      </c>
      <c r="E1283" s="1" t="s">
        <v>14</v>
      </c>
      <c r="F1283" s="1" t="s">
        <v>263</v>
      </c>
      <c r="G1283" s="1" t="s">
        <v>264</v>
      </c>
      <c r="H1283" s="1" t="s">
        <v>17</v>
      </c>
      <c r="I1283">
        <v>6380</v>
      </c>
      <c r="J1283" s="3">
        <v>21.89</v>
      </c>
      <c r="K1283" s="3">
        <v>139658.20000000001</v>
      </c>
    </row>
    <row r="1284" spans="1:11" x14ac:dyDescent="0.2">
      <c r="A1284" s="1" t="s">
        <v>2322</v>
      </c>
      <c r="B1284" s="2">
        <v>45929</v>
      </c>
      <c r="C1284" s="1" t="s">
        <v>2323</v>
      </c>
      <c r="D1284" s="1" t="s">
        <v>2324</v>
      </c>
      <c r="E1284" s="1" t="s">
        <v>34</v>
      </c>
      <c r="F1284" s="1" t="s">
        <v>761</v>
      </c>
      <c r="G1284" s="1" t="s">
        <v>762</v>
      </c>
      <c r="H1284" s="1" t="s">
        <v>48</v>
      </c>
      <c r="I1284">
        <v>71059</v>
      </c>
      <c r="J1284" s="3">
        <v>46.62</v>
      </c>
      <c r="K1284" s="3">
        <v>3312770.58</v>
      </c>
    </row>
    <row r="1285" spans="1:11" x14ac:dyDescent="0.2">
      <c r="A1285" s="1" t="s">
        <v>2325</v>
      </c>
      <c r="B1285" s="2">
        <v>45360</v>
      </c>
      <c r="C1285" s="1" t="s">
        <v>2326</v>
      </c>
      <c r="D1285" s="1" t="s">
        <v>2327</v>
      </c>
      <c r="E1285" s="1" t="s">
        <v>37</v>
      </c>
      <c r="F1285" s="1" t="s">
        <v>157</v>
      </c>
      <c r="G1285" s="1" t="s">
        <v>158</v>
      </c>
      <c r="H1285" s="1" t="s">
        <v>48</v>
      </c>
      <c r="I1285">
        <v>58879</v>
      </c>
      <c r="J1285" s="3">
        <v>38.130000000000003</v>
      </c>
      <c r="K1285" s="3">
        <v>2245056.27</v>
      </c>
    </row>
    <row r="1286" spans="1:11" x14ac:dyDescent="0.2">
      <c r="A1286" s="1" t="s">
        <v>2328</v>
      </c>
      <c r="B1286" s="2">
        <v>45407</v>
      </c>
      <c r="C1286" s="1" t="s">
        <v>187</v>
      </c>
      <c r="D1286" s="1" t="s">
        <v>188</v>
      </c>
      <c r="E1286" s="1" t="s">
        <v>34</v>
      </c>
      <c r="F1286" s="1" t="s">
        <v>350</v>
      </c>
      <c r="G1286" s="1" t="s">
        <v>351</v>
      </c>
      <c r="H1286" s="1" t="s">
        <v>37</v>
      </c>
      <c r="I1286">
        <v>18278</v>
      </c>
      <c r="J1286" s="3">
        <v>23.25</v>
      </c>
      <c r="K1286" s="3">
        <v>424963.5</v>
      </c>
    </row>
    <row r="1287" spans="1:11" x14ac:dyDescent="0.2">
      <c r="A1287" s="1" t="s">
        <v>2329</v>
      </c>
      <c r="B1287" s="2">
        <v>45641</v>
      </c>
      <c r="C1287" s="1" t="s">
        <v>1637</v>
      </c>
      <c r="D1287" s="1" t="s">
        <v>1638</v>
      </c>
      <c r="E1287" s="1" t="s">
        <v>34</v>
      </c>
      <c r="F1287" s="1" t="s">
        <v>15</v>
      </c>
      <c r="G1287" s="1" t="s">
        <v>16</v>
      </c>
      <c r="H1287" s="1" t="s">
        <v>17</v>
      </c>
      <c r="I1287">
        <v>59962</v>
      </c>
      <c r="J1287" s="3">
        <v>11.79</v>
      </c>
      <c r="K1287" s="3">
        <v>706951.98</v>
      </c>
    </row>
    <row r="1288" spans="1:11" x14ac:dyDescent="0.2">
      <c r="A1288" s="1" t="s">
        <v>2330</v>
      </c>
      <c r="B1288" s="2">
        <v>45312</v>
      </c>
      <c r="C1288" s="1" t="s">
        <v>171</v>
      </c>
      <c r="D1288" s="1" t="s">
        <v>172</v>
      </c>
      <c r="E1288" s="1" t="s">
        <v>28</v>
      </c>
      <c r="F1288" s="1" t="s">
        <v>540</v>
      </c>
      <c r="G1288" s="1" t="s">
        <v>541</v>
      </c>
      <c r="H1288" s="1" t="s">
        <v>37</v>
      </c>
      <c r="I1288">
        <v>31463</v>
      </c>
      <c r="J1288" s="3">
        <v>34.5</v>
      </c>
      <c r="K1288" s="3">
        <v>1085473.5</v>
      </c>
    </row>
    <row r="1289" spans="1:11" x14ac:dyDescent="0.2">
      <c r="A1289" s="1" t="s">
        <v>2331</v>
      </c>
      <c r="B1289" s="2">
        <v>45841</v>
      </c>
      <c r="C1289" s="1" t="s">
        <v>60</v>
      </c>
      <c r="D1289" s="1" t="s">
        <v>61</v>
      </c>
      <c r="E1289" s="1" t="s">
        <v>28</v>
      </c>
      <c r="F1289" s="1" t="s">
        <v>46</v>
      </c>
      <c r="G1289" s="1" t="s">
        <v>47</v>
      </c>
      <c r="H1289" s="1" t="s">
        <v>48</v>
      </c>
      <c r="I1289">
        <v>41045</v>
      </c>
      <c r="J1289" s="3">
        <v>34.090000000000003</v>
      </c>
      <c r="K1289" s="3">
        <v>1399224.05</v>
      </c>
    </row>
    <row r="1290" spans="1:11" x14ac:dyDescent="0.2">
      <c r="A1290" s="1" t="s">
        <v>2332</v>
      </c>
      <c r="B1290" s="2">
        <v>45498</v>
      </c>
      <c r="C1290" s="1" t="s">
        <v>1108</v>
      </c>
      <c r="D1290" s="1" t="s">
        <v>1109</v>
      </c>
      <c r="E1290" s="1" t="s">
        <v>21</v>
      </c>
      <c r="F1290" s="1" t="s">
        <v>103</v>
      </c>
      <c r="G1290" s="1" t="s">
        <v>104</v>
      </c>
      <c r="H1290" s="1" t="s">
        <v>37</v>
      </c>
      <c r="I1290">
        <v>1532</v>
      </c>
      <c r="J1290" s="3">
        <v>35.81</v>
      </c>
      <c r="K1290" s="3">
        <v>54860.92</v>
      </c>
    </row>
    <row r="1291" spans="1:11" x14ac:dyDescent="0.2">
      <c r="A1291" s="1" t="s">
        <v>2333</v>
      </c>
      <c r="B1291" s="2">
        <v>45895</v>
      </c>
      <c r="C1291" s="1" t="s">
        <v>502</v>
      </c>
      <c r="D1291" s="1" t="s">
        <v>503</v>
      </c>
      <c r="E1291" s="1" t="s">
        <v>14</v>
      </c>
      <c r="F1291" s="1" t="s">
        <v>761</v>
      </c>
      <c r="G1291" s="1" t="s">
        <v>762</v>
      </c>
      <c r="H1291" s="1" t="s">
        <v>48</v>
      </c>
      <c r="I1291">
        <v>59534</v>
      </c>
      <c r="J1291" s="3">
        <v>29.7</v>
      </c>
      <c r="K1291" s="3">
        <v>1768159.8</v>
      </c>
    </row>
    <row r="1292" spans="1:11" x14ac:dyDescent="0.2">
      <c r="A1292" s="1" t="s">
        <v>2334</v>
      </c>
      <c r="B1292" s="2">
        <v>45995</v>
      </c>
      <c r="C1292" s="1" t="s">
        <v>555</v>
      </c>
      <c r="D1292" s="1" t="s">
        <v>556</v>
      </c>
      <c r="E1292" s="1" t="s">
        <v>21</v>
      </c>
      <c r="F1292" s="1" t="s">
        <v>217</v>
      </c>
      <c r="G1292" s="1" t="s">
        <v>218</v>
      </c>
      <c r="H1292" s="1" t="s">
        <v>72</v>
      </c>
      <c r="I1292">
        <v>20181</v>
      </c>
      <c r="J1292" s="3">
        <v>11.64</v>
      </c>
      <c r="K1292" s="3">
        <v>234906.84</v>
      </c>
    </row>
    <row r="1293" spans="1:11" x14ac:dyDescent="0.2">
      <c r="A1293" s="1" t="s">
        <v>2335</v>
      </c>
      <c r="B1293" s="2">
        <v>45524</v>
      </c>
      <c r="C1293" s="1" t="s">
        <v>1740</v>
      </c>
      <c r="D1293" s="1" t="s">
        <v>1741</v>
      </c>
      <c r="E1293" s="1" t="s">
        <v>21</v>
      </c>
      <c r="F1293" s="1" t="s">
        <v>70</v>
      </c>
      <c r="G1293" s="1" t="s">
        <v>71</v>
      </c>
      <c r="H1293" s="1" t="s">
        <v>72</v>
      </c>
      <c r="I1293">
        <v>96080</v>
      </c>
      <c r="J1293" s="3">
        <v>43.98</v>
      </c>
      <c r="K1293" s="3">
        <v>4225598.4000000004</v>
      </c>
    </row>
    <row r="1294" spans="1:11" x14ac:dyDescent="0.2">
      <c r="A1294" s="1" t="s">
        <v>2336</v>
      </c>
      <c r="B1294" s="2">
        <v>45414</v>
      </c>
      <c r="C1294" s="1" t="s">
        <v>583</v>
      </c>
      <c r="D1294" s="1" t="s">
        <v>584</v>
      </c>
      <c r="E1294" s="1" t="s">
        <v>37</v>
      </c>
      <c r="F1294" s="1" t="s">
        <v>510</v>
      </c>
      <c r="G1294" s="1" t="s">
        <v>511</v>
      </c>
      <c r="H1294" s="1" t="s">
        <v>17</v>
      </c>
      <c r="I1294">
        <v>62764</v>
      </c>
      <c r="J1294" s="3">
        <v>24.73</v>
      </c>
      <c r="K1294" s="3">
        <v>1552153.72</v>
      </c>
    </row>
    <row r="1295" spans="1:11" x14ac:dyDescent="0.2">
      <c r="A1295" s="1" t="s">
        <v>2337</v>
      </c>
      <c r="B1295" s="2">
        <v>45386</v>
      </c>
      <c r="C1295" s="1" t="s">
        <v>445</v>
      </c>
      <c r="D1295" s="1" t="s">
        <v>446</v>
      </c>
      <c r="E1295" s="1" t="s">
        <v>34</v>
      </c>
      <c r="F1295" s="1" t="s">
        <v>339</v>
      </c>
      <c r="G1295" s="1" t="s">
        <v>340</v>
      </c>
      <c r="H1295" s="1" t="s">
        <v>24</v>
      </c>
      <c r="I1295">
        <v>62756</v>
      </c>
      <c r="J1295" s="3">
        <v>47.22</v>
      </c>
      <c r="K1295" s="3">
        <v>2963338.32</v>
      </c>
    </row>
    <row r="1296" spans="1:11" x14ac:dyDescent="0.2">
      <c r="A1296" s="1" t="s">
        <v>2338</v>
      </c>
      <c r="B1296" s="2">
        <v>45422</v>
      </c>
      <c r="C1296" s="1" t="s">
        <v>975</v>
      </c>
      <c r="D1296" s="1" t="s">
        <v>976</v>
      </c>
      <c r="E1296" s="1" t="s">
        <v>28</v>
      </c>
      <c r="F1296" s="1" t="s">
        <v>98</v>
      </c>
      <c r="G1296" s="1" t="s">
        <v>99</v>
      </c>
      <c r="H1296" s="1" t="s">
        <v>72</v>
      </c>
      <c r="I1296">
        <v>32431</v>
      </c>
      <c r="J1296" s="3">
        <v>12.64</v>
      </c>
      <c r="K1296" s="3">
        <v>409927.84</v>
      </c>
    </row>
    <row r="1297" spans="1:11" x14ac:dyDescent="0.2">
      <c r="A1297" s="1" t="s">
        <v>2339</v>
      </c>
      <c r="B1297" s="2">
        <v>45988</v>
      </c>
      <c r="C1297" s="1" t="s">
        <v>249</v>
      </c>
      <c r="D1297" s="1" t="s">
        <v>250</v>
      </c>
      <c r="E1297" s="1" t="s">
        <v>21</v>
      </c>
      <c r="F1297" s="1" t="s">
        <v>41</v>
      </c>
      <c r="G1297" s="1" t="s">
        <v>42</v>
      </c>
      <c r="H1297" s="1" t="s">
        <v>24</v>
      </c>
      <c r="I1297">
        <v>48173</v>
      </c>
      <c r="J1297" s="3">
        <v>47.5</v>
      </c>
      <c r="K1297" s="3">
        <v>2288217.5</v>
      </c>
    </row>
    <row r="1298" spans="1:11" x14ac:dyDescent="0.2">
      <c r="A1298" s="1" t="s">
        <v>2340</v>
      </c>
      <c r="B1298" s="2">
        <v>45505</v>
      </c>
      <c r="C1298" s="1" t="s">
        <v>365</v>
      </c>
      <c r="D1298" s="1" t="s">
        <v>366</v>
      </c>
      <c r="E1298" s="1" t="s">
        <v>14</v>
      </c>
      <c r="F1298" s="1" t="s">
        <v>761</v>
      </c>
      <c r="G1298" s="1" t="s">
        <v>762</v>
      </c>
      <c r="H1298" s="1" t="s">
        <v>48</v>
      </c>
      <c r="I1298">
        <v>62330</v>
      </c>
      <c r="J1298" s="3">
        <v>21.05</v>
      </c>
      <c r="K1298" s="3">
        <v>1312046.5</v>
      </c>
    </row>
    <row r="1299" spans="1:11" x14ac:dyDescent="0.2">
      <c r="A1299" s="1" t="s">
        <v>2341</v>
      </c>
      <c r="B1299" s="2">
        <v>45965</v>
      </c>
      <c r="C1299" s="1" t="s">
        <v>984</v>
      </c>
      <c r="D1299" s="1" t="s">
        <v>985</v>
      </c>
      <c r="E1299" s="1" t="s">
        <v>14</v>
      </c>
      <c r="F1299" s="1" t="s">
        <v>273</v>
      </c>
      <c r="G1299" s="1" t="s">
        <v>274</v>
      </c>
      <c r="H1299" s="1" t="s">
        <v>24</v>
      </c>
      <c r="I1299">
        <v>57944</v>
      </c>
      <c r="J1299" s="3">
        <v>48.36</v>
      </c>
      <c r="K1299" s="3">
        <v>2802171.84</v>
      </c>
    </row>
    <row r="1300" spans="1:11" x14ac:dyDescent="0.2">
      <c r="A1300" s="1" t="s">
        <v>2342</v>
      </c>
      <c r="B1300" s="2">
        <v>45403</v>
      </c>
      <c r="C1300" s="1" t="s">
        <v>523</v>
      </c>
      <c r="D1300" s="1" t="s">
        <v>524</v>
      </c>
      <c r="E1300" s="1" t="s">
        <v>14</v>
      </c>
      <c r="F1300" s="1" t="s">
        <v>350</v>
      </c>
      <c r="G1300" s="1" t="s">
        <v>351</v>
      </c>
      <c r="H1300" s="1" t="s">
        <v>37</v>
      </c>
      <c r="I1300">
        <v>87392</v>
      </c>
      <c r="J1300" s="3">
        <v>27.31</v>
      </c>
      <c r="K1300" s="3">
        <v>2386675.52</v>
      </c>
    </row>
    <row r="1301" spans="1:11" x14ac:dyDescent="0.2">
      <c r="A1301" s="1" t="s">
        <v>2343</v>
      </c>
      <c r="B1301" s="2">
        <v>45367</v>
      </c>
      <c r="C1301" s="1" t="s">
        <v>1007</v>
      </c>
      <c r="D1301" s="1" t="s">
        <v>1008</v>
      </c>
      <c r="E1301" s="1" t="s">
        <v>37</v>
      </c>
      <c r="F1301" s="1" t="s">
        <v>113</v>
      </c>
      <c r="G1301" s="1" t="s">
        <v>114</v>
      </c>
      <c r="H1301" s="1" t="s">
        <v>37</v>
      </c>
      <c r="I1301">
        <v>50521</v>
      </c>
      <c r="J1301" s="3">
        <v>18.149999999999999</v>
      </c>
      <c r="K1301" s="3">
        <v>916956.15</v>
      </c>
    </row>
    <row r="1302" spans="1:11" x14ac:dyDescent="0.2">
      <c r="A1302" s="1" t="s">
        <v>2344</v>
      </c>
      <c r="B1302" s="2">
        <v>45320</v>
      </c>
      <c r="C1302" s="1" t="s">
        <v>60</v>
      </c>
      <c r="D1302" s="1" t="s">
        <v>61</v>
      </c>
      <c r="E1302" s="1" t="s">
        <v>28</v>
      </c>
      <c r="F1302" s="1" t="s">
        <v>436</v>
      </c>
      <c r="G1302" s="1" t="s">
        <v>437</v>
      </c>
      <c r="H1302" s="1" t="s">
        <v>24</v>
      </c>
      <c r="I1302">
        <v>55259</v>
      </c>
      <c r="J1302" s="3">
        <v>45.25</v>
      </c>
      <c r="K1302" s="3">
        <v>2500469.75</v>
      </c>
    </row>
    <row r="1303" spans="1:11" x14ac:dyDescent="0.2">
      <c r="A1303" s="1" t="s">
        <v>2345</v>
      </c>
      <c r="B1303" s="2">
        <v>45720</v>
      </c>
      <c r="C1303" s="1" t="s">
        <v>1240</v>
      </c>
      <c r="D1303" s="1" t="s">
        <v>1241</v>
      </c>
      <c r="E1303" s="1" t="s">
        <v>28</v>
      </c>
      <c r="F1303" s="1" t="s">
        <v>98</v>
      </c>
      <c r="G1303" s="1" t="s">
        <v>99</v>
      </c>
      <c r="H1303" s="1" t="s">
        <v>72</v>
      </c>
      <c r="I1303">
        <v>12133</v>
      </c>
      <c r="J1303" s="3">
        <v>28.87</v>
      </c>
      <c r="K1303" s="3">
        <v>350279.71</v>
      </c>
    </row>
    <row r="1304" spans="1:11" x14ac:dyDescent="0.2">
      <c r="A1304" s="1" t="s">
        <v>2346</v>
      </c>
      <c r="B1304" s="2">
        <v>45708</v>
      </c>
      <c r="C1304" s="1" t="s">
        <v>1999</v>
      </c>
      <c r="D1304" s="1" t="s">
        <v>2000</v>
      </c>
      <c r="E1304" s="1" t="s">
        <v>21</v>
      </c>
      <c r="F1304" s="1" t="s">
        <v>237</v>
      </c>
      <c r="G1304" s="1" t="s">
        <v>238</v>
      </c>
      <c r="H1304" s="1" t="s">
        <v>17</v>
      </c>
      <c r="I1304">
        <v>69807</v>
      </c>
      <c r="J1304" s="3">
        <v>41.81</v>
      </c>
      <c r="K1304" s="3">
        <v>2918630.67</v>
      </c>
    </row>
    <row r="1305" spans="1:11" x14ac:dyDescent="0.2">
      <c r="A1305" s="1" t="s">
        <v>2347</v>
      </c>
      <c r="B1305" s="2">
        <v>45516</v>
      </c>
      <c r="C1305" s="1" t="s">
        <v>313</v>
      </c>
      <c r="D1305" s="1" t="s">
        <v>314</v>
      </c>
      <c r="E1305" s="1" t="s">
        <v>37</v>
      </c>
      <c r="F1305" s="1" t="s">
        <v>263</v>
      </c>
      <c r="G1305" s="1" t="s">
        <v>264</v>
      </c>
      <c r="H1305" s="1" t="s">
        <v>17</v>
      </c>
      <c r="I1305">
        <v>34192</v>
      </c>
      <c r="J1305" s="3">
        <v>22.99</v>
      </c>
      <c r="K1305" s="3">
        <v>786074.08</v>
      </c>
    </row>
    <row r="1306" spans="1:11" x14ac:dyDescent="0.2">
      <c r="A1306" s="1" t="s">
        <v>2348</v>
      </c>
      <c r="B1306" s="2">
        <v>45539</v>
      </c>
      <c r="C1306" s="1" t="s">
        <v>580</v>
      </c>
      <c r="D1306" s="1" t="s">
        <v>581</v>
      </c>
      <c r="E1306" s="1" t="s">
        <v>21</v>
      </c>
      <c r="F1306" s="1" t="s">
        <v>81</v>
      </c>
      <c r="G1306" s="1" t="s">
        <v>82</v>
      </c>
      <c r="H1306" s="1" t="s">
        <v>72</v>
      </c>
      <c r="I1306">
        <v>76530</v>
      </c>
      <c r="J1306" s="3">
        <v>47.58</v>
      </c>
      <c r="K1306" s="3">
        <v>3641297.4</v>
      </c>
    </row>
    <row r="1307" spans="1:11" x14ac:dyDescent="0.2">
      <c r="A1307" s="1" t="s">
        <v>2349</v>
      </c>
      <c r="B1307" s="2">
        <v>45635</v>
      </c>
      <c r="C1307" s="1" t="s">
        <v>2319</v>
      </c>
      <c r="D1307" s="1" t="s">
        <v>2320</v>
      </c>
      <c r="E1307" s="1" t="s">
        <v>21</v>
      </c>
      <c r="F1307" s="1" t="s">
        <v>406</v>
      </c>
      <c r="G1307" s="1" t="s">
        <v>407</v>
      </c>
      <c r="H1307" s="1" t="s">
        <v>17</v>
      </c>
      <c r="I1307">
        <v>43897</v>
      </c>
      <c r="J1307" s="3">
        <v>16.12</v>
      </c>
      <c r="K1307" s="3">
        <v>707619.64</v>
      </c>
    </row>
    <row r="1308" spans="1:11" x14ac:dyDescent="0.2">
      <c r="A1308" s="1" t="s">
        <v>2350</v>
      </c>
      <c r="B1308" s="2">
        <v>45314</v>
      </c>
      <c r="C1308" s="1" t="s">
        <v>1438</v>
      </c>
      <c r="D1308" s="1" t="s">
        <v>1439</v>
      </c>
      <c r="E1308" s="1" t="s">
        <v>34</v>
      </c>
      <c r="F1308" s="1" t="s">
        <v>237</v>
      </c>
      <c r="G1308" s="1" t="s">
        <v>238</v>
      </c>
      <c r="H1308" s="1" t="s">
        <v>17</v>
      </c>
      <c r="I1308">
        <v>22237</v>
      </c>
      <c r="J1308" s="3">
        <v>39.159999999999997</v>
      </c>
      <c r="K1308" s="3">
        <v>870800.92</v>
      </c>
    </row>
    <row r="1309" spans="1:11" x14ac:dyDescent="0.2">
      <c r="A1309" s="1" t="s">
        <v>2351</v>
      </c>
      <c r="B1309" s="2">
        <v>45728</v>
      </c>
      <c r="C1309" s="1" t="s">
        <v>1302</v>
      </c>
      <c r="D1309" s="1" t="s">
        <v>1303</v>
      </c>
      <c r="E1309" s="1" t="s">
        <v>37</v>
      </c>
      <c r="F1309" s="1" t="s">
        <v>540</v>
      </c>
      <c r="G1309" s="1" t="s">
        <v>541</v>
      </c>
      <c r="H1309" s="1" t="s">
        <v>37</v>
      </c>
      <c r="I1309">
        <v>16803</v>
      </c>
      <c r="J1309" s="3">
        <v>49.72</v>
      </c>
      <c r="K1309" s="3">
        <v>835445.16</v>
      </c>
    </row>
    <row r="1310" spans="1:11" x14ac:dyDescent="0.2">
      <c r="A1310" s="1" t="s">
        <v>2352</v>
      </c>
      <c r="B1310" s="2">
        <v>45387</v>
      </c>
      <c r="C1310" s="1" t="s">
        <v>287</v>
      </c>
      <c r="D1310" s="1" t="s">
        <v>288</v>
      </c>
      <c r="E1310" s="1" t="s">
        <v>21</v>
      </c>
      <c r="F1310" s="1" t="s">
        <v>144</v>
      </c>
      <c r="G1310" s="1" t="s">
        <v>145</v>
      </c>
      <c r="H1310" s="1" t="s">
        <v>24</v>
      </c>
      <c r="I1310">
        <v>70647</v>
      </c>
      <c r="J1310" s="3">
        <v>36.619999999999997</v>
      </c>
      <c r="K1310" s="3">
        <v>2587093.14</v>
      </c>
    </row>
    <row r="1311" spans="1:11" x14ac:dyDescent="0.2">
      <c r="A1311" s="1" t="s">
        <v>2353</v>
      </c>
      <c r="B1311" s="2">
        <v>45358</v>
      </c>
      <c r="C1311" s="1" t="s">
        <v>481</v>
      </c>
      <c r="D1311" s="1" t="s">
        <v>482</v>
      </c>
      <c r="E1311" s="1" t="s">
        <v>34</v>
      </c>
      <c r="F1311" s="1" t="s">
        <v>268</v>
      </c>
      <c r="G1311" s="1" t="s">
        <v>269</v>
      </c>
      <c r="H1311" s="1" t="s">
        <v>72</v>
      </c>
      <c r="I1311">
        <v>80666</v>
      </c>
      <c r="J1311" s="3">
        <v>8.64</v>
      </c>
      <c r="K1311" s="3">
        <v>696954.24</v>
      </c>
    </row>
    <row r="1312" spans="1:11" x14ac:dyDescent="0.2">
      <c r="A1312" s="1" t="s">
        <v>2354</v>
      </c>
      <c r="B1312" s="2">
        <v>45390</v>
      </c>
      <c r="C1312" s="1" t="s">
        <v>342</v>
      </c>
      <c r="D1312" s="1" t="s">
        <v>343</v>
      </c>
      <c r="E1312" s="1" t="s">
        <v>37</v>
      </c>
      <c r="F1312" s="1" t="s">
        <v>324</v>
      </c>
      <c r="G1312" s="1" t="s">
        <v>325</v>
      </c>
      <c r="H1312" s="1" t="s">
        <v>24</v>
      </c>
      <c r="I1312">
        <v>59317</v>
      </c>
      <c r="J1312" s="3">
        <v>21.73</v>
      </c>
      <c r="K1312" s="3">
        <v>1288958.4099999999</v>
      </c>
    </row>
    <row r="1313" spans="1:11" x14ac:dyDescent="0.2">
      <c r="A1313" s="1" t="s">
        <v>2355</v>
      </c>
      <c r="B1313" s="2">
        <v>45557</v>
      </c>
      <c r="C1313" s="1" t="s">
        <v>1082</v>
      </c>
      <c r="D1313" s="1" t="s">
        <v>1083</v>
      </c>
      <c r="E1313" s="1" t="s">
        <v>28</v>
      </c>
      <c r="F1313" s="1" t="s">
        <v>284</v>
      </c>
      <c r="G1313" s="1" t="s">
        <v>285</v>
      </c>
      <c r="H1313" s="1" t="s">
        <v>37</v>
      </c>
      <c r="I1313">
        <v>62135</v>
      </c>
      <c r="J1313" s="3">
        <v>25.25</v>
      </c>
      <c r="K1313" s="3">
        <v>1568908.75</v>
      </c>
    </row>
    <row r="1314" spans="1:11" x14ac:dyDescent="0.2">
      <c r="A1314" s="1" t="s">
        <v>2356</v>
      </c>
      <c r="B1314" s="2">
        <v>45977</v>
      </c>
      <c r="C1314" s="1" t="s">
        <v>2121</v>
      </c>
      <c r="D1314" s="1" t="s">
        <v>2122</v>
      </c>
      <c r="E1314" s="1" t="s">
        <v>34</v>
      </c>
      <c r="F1314" s="1" t="s">
        <v>35</v>
      </c>
      <c r="G1314" s="1" t="s">
        <v>36</v>
      </c>
      <c r="H1314" s="1" t="s">
        <v>37</v>
      </c>
      <c r="I1314">
        <v>59821</v>
      </c>
      <c r="J1314" s="3">
        <v>39.630000000000003</v>
      </c>
      <c r="K1314" s="3">
        <v>2370706.23</v>
      </c>
    </row>
    <row r="1315" spans="1:11" x14ac:dyDescent="0.2">
      <c r="A1315" s="1" t="s">
        <v>2357</v>
      </c>
      <c r="B1315" s="2">
        <v>45420</v>
      </c>
      <c r="C1315" s="1" t="s">
        <v>106</v>
      </c>
      <c r="D1315" s="1" t="s">
        <v>107</v>
      </c>
      <c r="E1315" s="1" t="s">
        <v>14</v>
      </c>
      <c r="F1315" s="1" t="s">
        <v>139</v>
      </c>
      <c r="G1315" s="1" t="s">
        <v>140</v>
      </c>
      <c r="H1315" s="1" t="s">
        <v>24</v>
      </c>
      <c r="I1315">
        <v>62109</v>
      </c>
      <c r="J1315" s="3">
        <v>5.15</v>
      </c>
      <c r="K1315" s="3">
        <v>319861.34999999998</v>
      </c>
    </row>
    <row r="1316" spans="1:11" x14ac:dyDescent="0.2">
      <c r="A1316" s="1" t="s">
        <v>2358</v>
      </c>
      <c r="B1316" s="2">
        <v>45382</v>
      </c>
      <c r="C1316" s="1" t="s">
        <v>142</v>
      </c>
      <c r="D1316" s="1" t="s">
        <v>143</v>
      </c>
      <c r="E1316" s="1" t="s">
        <v>37</v>
      </c>
      <c r="F1316" s="1" t="s">
        <v>70</v>
      </c>
      <c r="G1316" s="1" t="s">
        <v>71</v>
      </c>
      <c r="H1316" s="1" t="s">
        <v>72</v>
      </c>
      <c r="I1316">
        <v>69419</v>
      </c>
      <c r="J1316" s="3">
        <v>45.14</v>
      </c>
      <c r="K1316" s="3">
        <v>3133573.66</v>
      </c>
    </row>
    <row r="1317" spans="1:11" x14ac:dyDescent="0.2">
      <c r="A1317" s="1" t="s">
        <v>2359</v>
      </c>
      <c r="B1317" s="2">
        <v>45461</v>
      </c>
      <c r="C1317" s="1" t="s">
        <v>371</v>
      </c>
      <c r="D1317" s="1" t="s">
        <v>372</v>
      </c>
      <c r="E1317" s="1" t="s">
        <v>14</v>
      </c>
      <c r="F1317" s="1" t="s">
        <v>35</v>
      </c>
      <c r="G1317" s="1" t="s">
        <v>36</v>
      </c>
      <c r="H1317" s="1" t="s">
        <v>37</v>
      </c>
      <c r="I1317">
        <v>16158</v>
      </c>
      <c r="J1317" s="3">
        <v>4.6100000000000003</v>
      </c>
      <c r="K1317" s="3">
        <v>74488.38</v>
      </c>
    </row>
    <row r="1318" spans="1:11" x14ac:dyDescent="0.2">
      <c r="A1318" s="1" t="s">
        <v>2360</v>
      </c>
      <c r="B1318" s="2">
        <v>45608</v>
      </c>
      <c r="C1318" s="1" t="s">
        <v>106</v>
      </c>
      <c r="D1318" s="1" t="s">
        <v>107</v>
      </c>
      <c r="E1318" s="1" t="s">
        <v>14</v>
      </c>
      <c r="F1318" s="1" t="s">
        <v>139</v>
      </c>
      <c r="G1318" s="1" t="s">
        <v>140</v>
      </c>
      <c r="H1318" s="1" t="s">
        <v>24</v>
      </c>
      <c r="I1318">
        <v>63524</v>
      </c>
      <c r="J1318" s="3">
        <v>7.76</v>
      </c>
      <c r="K1318" s="3">
        <v>492946.24</v>
      </c>
    </row>
    <row r="1319" spans="1:11" x14ac:dyDescent="0.2">
      <c r="A1319" s="1" t="s">
        <v>2361</v>
      </c>
      <c r="B1319" s="2">
        <v>45648</v>
      </c>
      <c r="C1319" s="1" t="s">
        <v>643</v>
      </c>
      <c r="D1319" s="1" t="s">
        <v>644</v>
      </c>
      <c r="E1319" s="1" t="s">
        <v>37</v>
      </c>
      <c r="F1319" s="1" t="s">
        <v>761</v>
      </c>
      <c r="G1319" s="1" t="s">
        <v>762</v>
      </c>
      <c r="H1319" s="1" t="s">
        <v>48</v>
      </c>
      <c r="I1319">
        <v>34954</v>
      </c>
      <c r="J1319" s="3">
        <v>21.43</v>
      </c>
      <c r="K1319" s="3">
        <v>749064.22</v>
      </c>
    </row>
    <row r="1320" spans="1:11" x14ac:dyDescent="0.2">
      <c r="A1320" s="1" t="s">
        <v>2362</v>
      </c>
      <c r="B1320" s="2">
        <v>45941</v>
      </c>
      <c r="C1320" s="1" t="s">
        <v>2363</v>
      </c>
      <c r="D1320" s="1" t="s">
        <v>2364</v>
      </c>
      <c r="E1320" s="1" t="s">
        <v>14</v>
      </c>
      <c r="F1320" s="1" t="s">
        <v>70</v>
      </c>
      <c r="G1320" s="1" t="s">
        <v>71</v>
      </c>
      <c r="H1320" s="1" t="s">
        <v>72</v>
      </c>
      <c r="I1320">
        <v>39135</v>
      </c>
      <c r="J1320" s="3">
        <v>24.2</v>
      </c>
      <c r="K1320" s="3">
        <v>947067</v>
      </c>
    </row>
    <row r="1321" spans="1:11" x14ac:dyDescent="0.2">
      <c r="A1321" s="1" t="s">
        <v>2365</v>
      </c>
      <c r="B1321" s="2">
        <v>45310</v>
      </c>
      <c r="C1321" s="1" t="s">
        <v>2270</v>
      </c>
      <c r="D1321" s="1" t="s">
        <v>2271</v>
      </c>
      <c r="E1321" s="1" t="s">
        <v>21</v>
      </c>
      <c r="F1321" s="1" t="s">
        <v>139</v>
      </c>
      <c r="G1321" s="1" t="s">
        <v>140</v>
      </c>
      <c r="H1321" s="1" t="s">
        <v>24</v>
      </c>
      <c r="I1321">
        <v>47532</v>
      </c>
      <c r="J1321" s="3">
        <v>14.71</v>
      </c>
      <c r="K1321" s="3">
        <v>699195.72</v>
      </c>
    </row>
    <row r="1322" spans="1:11" x14ac:dyDescent="0.2">
      <c r="A1322" s="1" t="s">
        <v>2366</v>
      </c>
      <c r="B1322" s="2">
        <v>45423</v>
      </c>
      <c r="C1322" s="1" t="s">
        <v>566</v>
      </c>
      <c r="D1322" s="1" t="s">
        <v>567</v>
      </c>
      <c r="E1322" s="1" t="s">
        <v>28</v>
      </c>
      <c r="F1322" s="1" t="s">
        <v>98</v>
      </c>
      <c r="G1322" s="1" t="s">
        <v>99</v>
      </c>
      <c r="H1322" s="1" t="s">
        <v>72</v>
      </c>
      <c r="I1322">
        <v>80725</v>
      </c>
      <c r="J1322" s="3">
        <v>27.6</v>
      </c>
      <c r="K1322" s="3">
        <v>2228010</v>
      </c>
    </row>
    <row r="1323" spans="1:11" x14ac:dyDescent="0.2">
      <c r="A1323" s="1" t="s">
        <v>2367</v>
      </c>
      <c r="B1323" s="2">
        <v>45319</v>
      </c>
      <c r="C1323" s="1" t="s">
        <v>397</v>
      </c>
      <c r="D1323" s="1" t="s">
        <v>398</v>
      </c>
      <c r="E1323" s="1" t="s">
        <v>34</v>
      </c>
      <c r="F1323" s="1" t="s">
        <v>81</v>
      </c>
      <c r="G1323" s="1" t="s">
        <v>82</v>
      </c>
      <c r="H1323" s="1" t="s">
        <v>72</v>
      </c>
      <c r="I1323">
        <v>44970</v>
      </c>
      <c r="J1323" s="3">
        <v>14.65</v>
      </c>
      <c r="K1323" s="3">
        <v>658810.5</v>
      </c>
    </row>
    <row r="1324" spans="1:11" x14ac:dyDescent="0.2">
      <c r="A1324" s="1" t="s">
        <v>2368</v>
      </c>
      <c r="B1324" s="2">
        <v>45307</v>
      </c>
      <c r="C1324" s="1" t="s">
        <v>1810</v>
      </c>
      <c r="D1324" s="1" t="s">
        <v>1811</v>
      </c>
      <c r="E1324" s="1" t="s">
        <v>21</v>
      </c>
      <c r="F1324" s="1" t="s">
        <v>324</v>
      </c>
      <c r="G1324" s="1" t="s">
        <v>325</v>
      </c>
      <c r="H1324" s="1" t="s">
        <v>24</v>
      </c>
      <c r="I1324">
        <v>62041</v>
      </c>
      <c r="J1324" s="3">
        <v>2.04</v>
      </c>
      <c r="K1324" s="3">
        <v>126563.64</v>
      </c>
    </row>
    <row r="1325" spans="1:11" x14ac:dyDescent="0.2">
      <c r="A1325" s="1" t="s">
        <v>2369</v>
      </c>
      <c r="B1325" s="2">
        <v>45324</v>
      </c>
      <c r="C1325" s="1" t="s">
        <v>1117</v>
      </c>
      <c r="D1325" s="1" t="s">
        <v>1118</v>
      </c>
      <c r="E1325" s="1" t="s">
        <v>37</v>
      </c>
      <c r="F1325" s="1" t="s">
        <v>540</v>
      </c>
      <c r="G1325" s="1" t="s">
        <v>541</v>
      </c>
      <c r="H1325" s="1" t="s">
        <v>37</v>
      </c>
      <c r="I1325">
        <v>57604</v>
      </c>
      <c r="J1325" s="3">
        <v>7.28</v>
      </c>
      <c r="K1325" s="3">
        <v>419357.12</v>
      </c>
    </row>
    <row r="1326" spans="1:11" x14ac:dyDescent="0.2">
      <c r="A1326" s="1" t="s">
        <v>2370</v>
      </c>
      <c r="B1326" s="2">
        <v>45658</v>
      </c>
      <c r="C1326" s="1" t="s">
        <v>1102</v>
      </c>
      <c r="D1326" s="1" t="s">
        <v>1103</v>
      </c>
      <c r="E1326" s="1" t="s">
        <v>21</v>
      </c>
      <c r="F1326" s="1" t="s">
        <v>52</v>
      </c>
      <c r="G1326" s="1" t="s">
        <v>53</v>
      </c>
      <c r="H1326" s="1" t="s">
        <v>17</v>
      </c>
      <c r="I1326">
        <v>6809</v>
      </c>
      <c r="J1326" s="3">
        <v>41.46</v>
      </c>
      <c r="K1326" s="3">
        <v>282301.14</v>
      </c>
    </row>
    <row r="1327" spans="1:11" x14ac:dyDescent="0.2">
      <c r="A1327" s="1" t="s">
        <v>2371</v>
      </c>
      <c r="B1327" s="2">
        <v>45635</v>
      </c>
      <c r="C1327" s="1" t="s">
        <v>1020</v>
      </c>
      <c r="D1327" s="1" t="s">
        <v>1021</v>
      </c>
      <c r="E1327" s="1" t="s">
        <v>14</v>
      </c>
      <c r="F1327" s="1" t="s">
        <v>350</v>
      </c>
      <c r="G1327" s="1" t="s">
        <v>351</v>
      </c>
      <c r="H1327" s="1" t="s">
        <v>37</v>
      </c>
      <c r="I1327">
        <v>54852</v>
      </c>
      <c r="J1327" s="3">
        <v>35.299999999999997</v>
      </c>
      <c r="K1327" s="3">
        <v>1936275.6</v>
      </c>
    </row>
    <row r="1328" spans="1:11" x14ac:dyDescent="0.2">
      <c r="A1328" s="1" t="s">
        <v>2372</v>
      </c>
      <c r="B1328" s="2">
        <v>45438</v>
      </c>
      <c r="C1328" s="1" t="s">
        <v>1567</v>
      </c>
      <c r="D1328" s="1" t="s">
        <v>1568</v>
      </c>
      <c r="E1328" s="1" t="s">
        <v>34</v>
      </c>
      <c r="F1328" s="1" t="s">
        <v>139</v>
      </c>
      <c r="G1328" s="1" t="s">
        <v>140</v>
      </c>
      <c r="H1328" s="1" t="s">
        <v>24</v>
      </c>
      <c r="I1328">
        <v>37442</v>
      </c>
      <c r="J1328" s="3">
        <v>25.45</v>
      </c>
      <c r="K1328" s="3">
        <v>952898.9</v>
      </c>
    </row>
    <row r="1329" spans="1:11" x14ac:dyDescent="0.2">
      <c r="A1329" s="1" t="s">
        <v>2373</v>
      </c>
      <c r="B1329" s="2">
        <v>45367</v>
      </c>
      <c r="C1329" s="1" t="s">
        <v>2207</v>
      </c>
      <c r="D1329" s="1" t="s">
        <v>2208</v>
      </c>
      <c r="E1329" s="1" t="s">
        <v>37</v>
      </c>
      <c r="F1329" s="1" t="s">
        <v>263</v>
      </c>
      <c r="G1329" s="1" t="s">
        <v>264</v>
      </c>
      <c r="H1329" s="1" t="s">
        <v>17</v>
      </c>
      <c r="I1329">
        <v>23498</v>
      </c>
      <c r="J1329" s="3">
        <v>26.33</v>
      </c>
      <c r="K1329" s="3">
        <v>618702.34</v>
      </c>
    </row>
    <row r="1330" spans="1:11" x14ac:dyDescent="0.2">
      <c r="A1330" s="1" t="s">
        <v>2374</v>
      </c>
      <c r="B1330" s="2">
        <v>45602</v>
      </c>
      <c r="C1330" s="1" t="s">
        <v>508</v>
      </c>
      <c r="D1330" s="1" t="s">
        <v>509</v>
      </c>
      <c r="E1330" s="1" t="s">
        <v>34</v>
      </c>
      <c r="F1330" s="1" t="s">
        <v>70</v>
      </c>
      <c r="G1330" s="1" t="s">
        <v>71</v>
      </c>
      <c r="H1330" s="1" t="s">
        <v>72</v>
      </c>
      <c r="I1330">
        <v>84025</v>
      </c>
      <c r="J1330" s="3">
        <v>7.58</v>
      </c>
      <c r="K1330" s="3">
        <v>636909.5</v>
      </c>
    </row>
    <row r="1331" spans="1:11" x14ac:dyDescent="0.2">
      <c r="A1331" s="1" t="s">
        <v>2375</v>
      </c>
      <c r="B1331" s="2">
        <v>45884</v>
      </c>
      <c r="C1331" s="1" t="s">
        <v>1757</v>
      </c>
      <c r="D1331" s="1" t="s">
        <v>1758</v>
      </c>
      <c r="E1331" s="1" t="s">
        <v>37</v>
      </c>
      <c r="F1331" s="1" t="s">
        <v>152</v>
      </c>
      <c r="G1331" s="1" t="s">
        <v>153</v>
      </c>
      <c r="H1331" s="1" t="s">
        <v>17</v>
      </c>
      <c r="I1331">
        <v>65481</v>
      </c>
      <c r="J1331" s="3">
        <v>39.39</v>
      </c>
      <c r="K1331" s="3">
        <v>2579296.59</v>
      </c>
    </row>
    <row r="1332" spans="1:11" x14ac:dyDescent="0.2">
      <c r="A1332" s="1" t="s">
        <v>2376</v>
      </c>
      <c r="B1332" s="2">
        <v>45327</v>
      </c>
      <c r="C1332" s="1" t="s">
        <v>1364</v>
      </c>
      <c r="D1332" s="1" t="s">
        <v>1365</v>
      </c>
      <c r="E1332" s="1" t="s">
        <v>37</v>
      </c>
      <c r="F1332" s="1" t="s">
        <v>540</v>
      </c>
      <c r="G1332" s="1" t="s">
        <v>541</v>
      </c>
      <c r="H1332" s="1" t="s">
        <v>37</v>
      </c>
      <c r="I1332">
        <v>59024</v>
      </c>
      <c r="J1332" s="3">
        <v>9.9499999999999993</v>
      </c>
      <c r="K1332" s="3">
        <v>587288.80000000005</v>
      </c>
    </row>
    <row r="1333" spans="1:11" x14ac:dyDescent="0.2">
      <c r="A1333" s="1" t="s">
        <v>2377</v>
      </c>
      <c r="B1333" s="2">
        <v>45403</v>
      </c>
      <c r="C1333" s="1" t="s">
        <v>1575</v>
      </c>
      <c r="D1333" s="1" t="s">
        <v>1576</v>
      </c>
      <c r="E1333" s="1" t="s">
        <v>14</v>
      </c>
      <c r="F1333" s="1" t="s">
        <v>350</v>
      </c>
      <c r="G1333" s="1" t="s">
        <v>351</v>
      </c>
      <c r="H1333" s="1" t="s">
        <v>37</v>
      </c>
      <c r="I1333">
        <v>44432</v>
      </c>
      <c r="J1333" s="3">
        <v>23.63</v>
      </c>
      <c r="K1333" s="3">
        <v>1049928.1599999999</v>
      </c>
    </row>
    <row r="1334" spans="1:11" x14ac:dyDescent="0.2">
      <c r="A1334" s="1" t="s">
        <v>2378</v>
      </c>
      <c r="B1334" s="2">
        <v>45517</v>
      </c>
      <c r="C1334" s="1" t="s">
        <v>2011</v>
      </c>
      <c r="D1334" s="1" t="s">
        <v>2012</v>
      </c>
      <c r="E1334" s="1" t="s">
        <v>37</v>
      </c>
      <c r="F1334" s="1" t="s">
        <v>510</v>
      </c>
      <c r="G1334" s="1" t="s">
        <v>511</v>
      </c>
      <c r="H1334" s="1" t="s">
        <v>17</v>
      </c>
      <c r="I1334">
        <v>76275</v>
      </c>
      <c r="J1334" s="3">
        <v>39.520000000000003</v>
      </c>
      <c r="K1334" s="3">
        <v>3014388</v>
      </c>
    </row>
    <row r="1335" spans="1:11" x14ac:dyDescent="0.2">
      <c r="A1335" s="1" t="s">
        <v>2379</v>
      </c>
      <c r="B1335" s="2">
        <v>45370</v>
      </c>
      <c r="C1335" s="1" t="s">
        <v>526</v>
      </c>
      <c r="D1335" s="1" t="s">
        <v>527</v>
      </c>
      <c r="E1335" s="1" t="s">
        <v>34</v>
      </c>
      <c r="F1335" s="1" t="s">
        <v>339</v>
      </c>
      <c r="G1335" s="1" t="s">
        <v>340</v>
      </c>
      <c r="H1335" s="1" t="s">
        <v>24</v>
      </c>
      <c r="I1335">
        <v>31510</v>
      </c>
      <c r="J1335" s="3">
        <v>19.11</v>
      </c>
      <c r="K1335" s="3">
        <v>602156.1</v>
      </c>
    </row>
    <row r="1336" spans="1:11" x14ac:dyDescent="0.2">
      <c r="A1336" s="1" t="s">
        <v>2380</v>
      </c>
      <c r="B1336" s="2">
        <v>45438</v>
      </c>
      <c r="C1336" s="1" t="s">
        <v>1149</v>
      </c>
      <c r="D1336" s="1" t="s">
        <v>1150</v>
      </c>
      <c r="E1336" s="1" t="s">
        <v>14</v>
      </c>
      <c r="F1336" s="1" t="s">
        <v>113</v>
      </c>
      <c r="G1336" s="1" t="s">
        <v>114</v>
      </c>
      <c r="H1336" s="1" t="s">
        <v>37</v>
      </c>
      <c r="I1336">
        <v>12573</v>
      </c>
      <c r="J1336" s="3">
        <v>17.72</v>
      </c>
      <c r="K1336" s="3">
        <v>222793.56</v>
      </c>
    </row>
    <row r="1337" spans="1:11" x14ac:dyDescent="0.2">
      <c r="A1337" s="1" t="s">
        <v>2381</v>
      </c>
      <c r="B1337" s="2">
        <v>45562</v>
      </c>
      <c r="C1337" s="1" t="s">
        <v>994</v>
      </c>
      <c r="D1337" s="1" t="s">
        <v>995</v>
      </c>
      <c r="E1337" s="1" t="s">
        <v>21</v>
      </c>
      <c r="F1337" s="1" t="s">
        <v>108</v>
      </c>
      <c r="G1337" s="1" t="s">
        <v>109</v>
      </c>
      <c r="H1337" s="1" t="s">
        <v>37</v>
      </c>
      <c r="I1337">
        <v>58024</v>
      </c>
      <c r="J1337" s="3">
        <v>28.7</v>
      </c>
      <c r="K1337" s="3">
        <v>1665288.8</v>
      </c>
    </row>
    <row r="1338" spans="1:11" x14ac:dyDescent="0.2">
      <c r="A1338" s="1" t="s">
        <v>2382</v>
      </c>
      <c r="B1338" s="2">
        <v>45740</v>
      </c>
      <c r="C1338" s="1" t="s">
        <v>749</v>
      </c>
      <c r="D1338" s="1" t="s">
        <v>750</v>
      </c>
      <c r="E1338" s="1" t="s">
        <v>28</v>
      </c>
      <c r="F1338" s="1" t="s">
        <v>208</v>
      </c>
      <c r="G1338" s="1" t="s">
        <v>209</v>
      </c>
      <c r="H1338" s="1" t="s">
        <v>17</v>
      </c>
      <c r="I1338">
        <v>87121</v>
      </c>
      <c r="J1338" s="3">
        <v>13.04</v>
      </c>
      <c r="K1338" s="3">
        <v>1136057.8400000001</v>
      </c>
    </row>
    <row r="1339" spans="1:11" x14ac:dyDescent="0.2">
      <c r="A1339" s="1" t="s">
        <v>2383</v>
      </c>
      <c r="B1339" s="2">
        <v>45435</v>
      </c>
      <c r="C1339" s="1" t="s">
        <v>692</v>
      </c>
      <c r="D1339" s="1" t="s">
        <v>693</v>
      </c>
      <c r="E1339" s="1" t="s">
        <v>28</v>
      </c>
      <c r="F1339" s="1" t="s">
        <v>46</v>
      </c>
      <c r="G1339" s="1" t="s">
        <v>47</v>
      </c>
      <c r="H1339" s="1" t="s">
        <v>48</v>
      </c>
      <c r="I1339">
        <v>12699</v>
      </c>
      <c r="J1339" s="3">
        <v>36.51</v>
      </c>
      <c r="K1339" s="3">
        <v>463640.49</v>
      </c>
    </row>
    <row r="1340" spans="1:11" x14ac:dyDescent="0.2">
      <c r="A1340" s="1" t="s">
        <v>2384</v>
      </c>
      <c r="B1340" s="2">
        <v>45474</v>
      </c>
      <c r="C1340" s="1" t="s">
        <v>271</v>
      </c>
      <c r="D1340" s="1" t="s">
        <v>272</v>
      </c>
      <c r="E1340" s="1" t="s">
        <v>37</v>
      </c>
      <c r="F1340" s="1" t="s">
        <v>237</v>
      </c>
      <c r="G1340" s="1" t="s">
        <v>238</v>
      </c>
      <c r="H1340" s="1" t="s">
        <v>17</v>
      </c>
      <c r="I1340">
        <v>35365</v>
      </c>
      <c r="J1340" s="3">
        <v>8.19</v>
      </c>
      <c r="K1340" s="3">
        <v>289639.34999999998</v>
      </c>
    </row>
    <row r="1341" spans="1:11" x14ac:dyDescent="0.2">
      <c r="A1341" s="1" t="s">
        <v>2385</v>
      </c>
      <c r="B1341" s="2">
        <v>45323</v>
      </c>
      <c r="C1341" s="1" t="s">
        <v>2386</v>
      </c>
      <c r="D1341" s="1" t="s">
        <v>2387</v>
      </c>
      <c r="E1341" s="1" t="s">
        <v>28</v>
      </c>
      <c r="F1341" s="1" t="s">
        <v>463</v>
      </c>
      <c r="G1341" s="1" t="s">
        <v>464</v>
      </c>
      <c r="H1341" s="1" t="s">
        <v>37</v>
      </c>
      <c r="I1341">
        <v>64187</v>
      </c>
      <c r="J1341" s="3">
        <v>19.87</v>
      </c>
      <c r="K1341" s="3">
        <v>1275395.69</v>
      </c>
    </row>
    <row r="1342" spans="1:11" x14ac:dyDescent="0.2">
      <c r="A1342" s="1" t="s">
        <v>2388</v>
      </c>
      <c r="B1342" s="2">
        <v>45331</v>
      </c>
      <c r="C1342" s="1" t="s">
        <v>820</v>
      </c>
      <c r="D1342" s="1" t="s">
        <v>821</v>
      </c>
      <c r="E1342" s="1" t="s">
        <v>28</v>
      </c>
      <c r="F1342" s="1" t="s">
        <v>152</v>
      </c>
      <c r="G1342" s="1" t="s">
        <v>153</v>
      </c>
      <c r="H1342" s="1" t="s">
        <v>17</v>
      </c>
      <c r="I1342">
        <v>12375</v>
      </c>
      <c r="J1342" s="3">
        <v>12.73</v>
      </c>
      <c r="K1342" s="3">
        <v>157533.75</v>
      </c>
    </row>
    <row r="1343" spans="1:11" x14ac:dyDescent="0.2">
      <c r="A1343" s="1" t="s">
        <v>2389</v>
      </c>
      <c r="B1343" s="2">
        <v>45668</v>
      </c>
      <c r="C1343" s="1" t="s">
        <v>163</v>
      </c>
      <c r="D1343" s="1" t="s">
        <v>164</v>
      </c>
      <c r="E1343" s="1" t="s">
        <v>14</v>
      </c>
      <c r="F1343" s="1" t="s">
        <v>157</v>
      </c>
      <c r="G1343" s="1" t="s">
        <v>158</v>
      </c>
      <c r="H1343" s="1" t="s">
        <v>48</v>
      </c>
      <c r="I1343">
        <v>99288</v>
      </c>
      <c r="J1343" s="3">
        <v>46.74</v>
      </c>
      <c r="K1343" s="3">
        <v>4640721.12</v>
      </c>
    </row>
    <row r="1344" spans="1:11" x14ac:dyDescent="0.2">
      <c r="A1344" s="1" t="s">
        <v>2390</v>
      </c>
      <c r="B1344" s="2">
        <v>45594</v>
      </c>
      <c r="C1344" s="1" t="s">
        <v>2064</v>
      </c>
      <c r="D1344" s="1" t="s">
        <v>2065</v>
      </c>
      <c r="E1344" s="1" t="s">
        <v>14</v>
      </c>
      <c r="F1344" s="1" t="s">
        <v>139</v>
      </c>
      <c r="G1344" s="1" t="s">
        <v>140</v>
      </c>
      <c r="H1344" s="1" t="s">
        <v>24</v>
      </c>
      <c r="I1344">
        <v>39673</v>
      </c>
      <c r="J1344" s="3">
        <v>28.45</v>
      </c>
      <c r="K1344" s="3">
        <v>1128696.8500000001</v>
      </c>
    </row>
    <row r="1345" spans="1:11" x14ac:dyDescent="0.2">
      <c r="A1345" s="1" t="s">
        <v>2391</v>
      </c>
      <c r="B1345" s="2">
        <v>46012</v>
      </c>
      <c r="C1345" s="1" t="s">
        <v>596</v>
      </c>
      <c r="D1345" s="1" t="s">
        <v>597</v>
      </c>
      <c r="E1345" s="1" t="s">
        <v>37</v>
      </c>
      <c r="F1345" s="1" t="s">
        <v>394</v>
      </c>
      <c r="G1345" s="1" t="s">
        <v>395</v>
      </c>
      <c r="H1345" s="1" t="s">
        <v>48</v>
      </c>
      <c r="I1345">
        <v>60252</v>
      </c>
      <c r="J1345" s="3">
        <v>9.35</v>
      </c>
      <c r="K1345" s="3">
        <v>563356.19999999995</v>
      </c>
    </row>
    <row r="1346" spans="1:11" x14ac:dyDescent="0.2">
      <c r="A1346" s="1" t="s">
        <v>2392</v>
      </c>
      <c r="B1346" s="2">
        <v>45772</v>
      </c>
      <c r="C1346" s="1" t="s">
        <v>397</v>
      </c>
      <c r="D1346" s="1" t="s">
        <v>398</v>
      </c>
      <c r="E1346" s="1" t="s">
        <v>34</v>
      </c>
      <c r="F1346" s="1" t="s">
        <v>35</v>
      </c>
      <c r="G1346" s="1" t="s">
        <v>36</v>
      </c>
      <c r="H1346" s="1" t="s">
        <v>37</v>
      </c>
      <c r="I1346">
        <v>56237</v>
      </c>
      <c r="J1346" s="3">
        <v>45.19</v>
      </c>
      <c r="K1346" s="3">
        <v>2541350.0299999998</v>
      </c>
    </row>
    <row r="1347" spans="1:11" x14ac:dyDescent="0.2">
      <c r="A1347" s="1" t="s">
        <v>2393</v>
      </c>
      <c r="B1347" s="2">
        <v>45417</v>
      </c>
      <c r="C1347" s="1" t="s">
        <v>1468</v>
      </c>
      <c r="D1347" s="1" t="s">
        <v>1469</v>
      </c>
      <c r="E1347" s="1" t="s">
        <v>21</v>
      </c>
      <c r="F1347" s="1" t="s">
        <v>184</v>
      </c>
      <c r="G1347" s="1" t="s">
        <v>185</v>
      </c>
      <c r="H1347" s="1" t="s">
        <v>17</v>
      </c>
      <c r="I1347">
        <v>65283</v>
      </c>
      <c r="J1347" s="3">
        <v>41.15</v>
      </c>
      <c r="K1347" s="3">
        <v>2686395.45</v>
      </c>
    </row>
    <row r="1348" spans="1:11" x14ac:dyDescent="0.2">
      <c r="A1348" s="1" t="s">
        <v>2394</v>
      </c>
      <c r="B1348" s="2">
        <v>45449</v>
      </c>
      <c r="C1348" s="1" t="s">
        <v>1630</v>
      </c>
      <c r="D1348" s="1" t="s">
        <v>1631</v>
      </c>
      <c r="E1348" s="1" t="s">
        <v>37</v>
      </c>
      <c r="F1348" s="1" t="s">
        <v>65</v>
      </c>
      <c r="G1348" s="1" t="s">
        <v>66</v>
      </c>
      <c r="H1348" s="1" t="s">
        <v>48</v>
      </c>
      <c r="I1348">
        <v>14022</v>
      </c>
      <c r="J1348" s="3">
        <v>43.33</v>
      </c>
      <c r="K1348" s="3">
        <v>607573.26</v>
      </c>
    </row>
    <row r="1349" spans="1:11" x14ac:dyDescent="0.2">
      <c r="A1349" s="1" t="s">
        <v>2395</v>
      </c>
      <c r="B1349" s="2">
        <v>45317</v>
      </c>
      <c r="C1349" s="1" t="s">
        <v>307</v>
      </c>
      <c r="D1349" s="1" t="s">
        <v>308</v>
      </c>
      <c r="E1349" s="1" t="s">
        <v>14</v>
      </c>
      <c r="F1349" s="1" t="s">
        <v>81</v>
      </c>
      <c r="G1349" s="1" t="s">
        <v>82</v>
      </c>
      <c r="H1349" s="1" t="s">
        <v>72</v>
      </c>
      <c r="I1349">
        <v>11046</v>
      </c>
      <c r="J1349" s="3">
        <v>40.5</v>
      </c>
      <c r="K1349" s="3">
        <v>447363</v>
      </c>
    </row>
    <row r="1350" spans="1:11" x14ac:dyDescent="0.2">
      <c r="A1350" s="1" t="s">
        <v>2396</v>
      </c>
      <c r="B1350" s="2">
        <v>45914</v>
      </c>
      <c r="C1350" s="1" t="s">
        <v>2207</v>
      </c>
      <c r="D1350" s="1" t="s">
        <v>2208</v>
      </c>
      <c r="E1350" s="1" t="s">
        <v>37</v>
      </c>
      <c r="F1350" s="1" t="s">
        <v>474</v>
      </c>
      <c r="G1350" s="1" t="s">
        <v>475</v>
      </c>
      <c r="H1350" s="1" t="s">
        <v>48</v>
      </c>
      <c r="I1350">
        <v>30227</v>
      </c>
      <c r="J1350" s="3">
        <v>22.38</v>
      </c>
      <c r="K1350" s="3">
        <v>676480.26</v>
      </c>
    </row>
    <row r="1351" spans="1:11" x14ac:dyDescent="0.2">
      <c r="A1351" s="1" t="s">
        <v>2397</v>
      </c>
      <c r="B1351" s="2">
        <v>45412</v>
      </c>
      <c r="C1351" s="1" t="s">
        <v>2398</v>
      </c>
      <c r="D1351" s="1" t="s">
        <v>2399</v>
      </c>
      <c r="E1351" s="1" t="s">
        <v>37</v>
      </c>
      <c r="F1351" s="1" t="s">
        <v>208</v>
      </c>
      <c r="G1351" s="1" t="s">
        <v>209</v>
      </c>
      <c r="H1351" s="1" t="s">
        <v>17</v>
      </c>
      <c r="I1351">
        <v>12902</v>
      </c>
      <c r="J1351" s="3">
        <v>18.71</v>
      </c>
      <c r="K1351" s="3">
        <v>241396.42</v>
      </c>
    </row>
    <row r="1352" spans="1:11" x14ac:dyDescent="0.2">
      <c r="A1352" s="1" t="s">
        <v>2400</v>
      </c>
      <c r="B1352" s="2">
        <v>45538</v>
      </c>
      <c r="C1352" s="1" t="s">
        <v>1881</v>
      </c>
      <c r="D1352" s="1" t="s">
        <v>1882</v>
      </c>
      <c r="E1352" s="1" t="s">
        <v>34</v>
      </c>
      <c r="F1352" s="1" t="s">
        <v>70</v>
      </c>
      <c r="G1352" s="1" t="s">
        <v>71</v>
      </c>
      <c r="H1352" s="1" t="s">
        <v>72</v>
      </c>
      <c r="I1352">
        <v>21704</v>
      </c>
      <c r="J1352" s="3">
        <v>7.29</v>
      </c>
      <c r="K1352" s="3">
        <v>158222.16</v>
      </c>
    </row>
    <row r="1353" spans="1:11" x14ac:dyDescent="0.2">
      <c r="A1353" s="1" t="s">
        <v>2401</v>
      </c>
      <c r="B1353" s="2">
        <v>45681</v>
      </c>
      <c r="C1353" s="1" t="s">
        <v>1722</v>
      </c>
      <c r="D1353" s="1" t="s">
        <v>1723</v>
      </c>
      <c r="E1353" s="1" t="s">
        <v>34</v>
      </c>
      <c r="F1353" s="1" t="s">
        <v>15</v>
      </c>
      <c r="G1353" s="1" t="s">
        <v>16</v>
      </c>
      <c r="H1353" s="1" t="s">
        <v>17</v>
      </c>
      <c r="I1353">
        <v>69151</v>
      </c>
      <c r="J1353" s="3">
        <v>41.5</v>
      </c>
      <c r="K1353" s="3">
        <v>2869766.5</v>
      </c>
    </row>
    <row r="1354" spans="1:11" x14ac:dyDescent="0.2">
      <c r="A1354" s="1" t="s">
        <v>2402</v>
      </c>
      <c r="B1354" s="2">
        <v>45563</v>
      </c>
      <c r="C1354" s="1" t="s">
        <v>368</v>
      </c>
      <c r="D1354" s="1" t="s">
        <v>369</v>
      </c>
      <c r="E1354" s="1" t="s">
        <v>37</v>
      </c>
      <c r="F1354" s="1" t="s">
        <v>144</v>
      </c>
      <c r="G1354" s="1" t="s">
        <v>145</v>
      </c>
      <c r="H1354" s="1" t="s">
        <v>24</v>
      </c>
      <c r="I1354">
        <v>80725</v>
      </c>
      <c r="J1354" s="3">
        <v>26.02</v>
      </c>
      <c r="K1354" s="3">
        <v>2100464.5</v>
      </c>
    </row>
    <row r="1355" spans="1:11" x14ac:dyDescent="0.2">
      <c r="A1355" s="1" t="s">
        <v>2403</v>
      </c>
      <c r="B1355" s="2">
        <v>45905</v>
      </c>
      <c r="C1355" s="1" t="s">
        <v>1314</v>
      </c>
      <c r="D1355" s="1" t="s">
        <v>1315</v>
      </c>
      <c r="E1355" s="1" t="s">
        <v>14</v>
      </c>
      <c r="F1355" s="1" t="s">
        <v>458</v>
      </c>
      <c r="G1355" s="1" t="s">
        <v>459</v>
      </c>
      <c r="H1355" s="1" t="s">
        <v>72</v>
      </c>
      <c r="I1355">
        <v>58472</v>
      </c>
      <c r="J1355" s="3">
        <v>21.96</v>
      </c>
      <c r="K1355" s="3">
        <v>1284045.1200000001</v>
      </c>
    </row>
    <row r="1356" spans="1:11" x14ac:dyDescent="0.2">
      <c r="A1356" s="1" t="s">
        <v>2404</v>
      </c>
      <c r="B1356" s="2">
        <v>45861</v>
      </c>
      <c r="C1356" s="1" t="s">
        <v>1023</v>
      </c>
      <c r="D1356" s="1" t="s">
        <v>1024</v>
      </c>
      <c r="E1356" s="1" t="s">
        <v>37</v>
      </c>
      <c r="F1356" s="1" t="s">
        <v>157</v>
      </c>
      <c r="G1356" s="1" t="s">
        <v>158</v>
      </c>
      <c r="H1356" s="1" t="s">
        <v>48</v>
      </c>
      <c r="I1356">
        <v>66552</v>
      </c>
      <c r="J1356" s="3">
        <v>46.85</v>
      </c>
      <c r="K1356" s="3">
        <v>3117961.2</v>
      </c>
    </row>
    <row r="1357" spans="1:11" x14ac:dyDescent="0.2">
      <c r="A1357" s="1" t="s">
        <v>2405</v>
      </c>
      <c r="B1357" s="2">
        <v>45466</v>
      </c>
      <c r="C1357" s="1" t="s">
        <v>1520</v>
      </c>
      <c r="D1357" s="1" t="s">
        <v>1521</v>
      </c>
      <c r="E1357" s="1" t="s">
        <v>37</v>
      </c>
      <c r="F1357" s="1" t="s">
        <v>217</v>
      </c>
      <c r="G1357" s="1" t="s">
        <v>218</v>
      </c>
      <c r="H1357" s="1" t="s">
        <v>72</v>
      </c>
      <c r="I1357">
        <v>18402</v>
      </c>
      <c r="J1357" s="3">
        <v>41.97</v>
      </c>
      <c r="K1357" s="3">
        <v>772331.94</v>
      </c>
    </row>
    <row r="1358" spans="1:11" x14ac:dyDescent="0.2">
      <c r="A1358" s="1" t="s">
        <v>2406</v>
      </c>
      <c r="B1358" s="2">
        <v>45397</v>
      </c>
      <c r="C1358" s="1" t="s">
        <v>1240</v>
      </c>
      <c r="D1358" s="1" t="s">
        <v>1241</v>
      </c>
      <c r="E1358" s="1" t="s">
        <v>28</v>
      </c>
      <c r="F1358" s="1" t="s">
        <v>330</v>
      </c>
      <c r="G1358" s="1" t="s">
        <v>331</v>
      </c>
      <c r="H1358" s="1" t="s">
        <v>72</v>
      </c>
      <c r="I1358">
        <v>15055</v>
      </c>
      <c r="J1358" s="3">
        <v>32.21</v>
      </c>
      <c r="K1358" s="3">
        <v>484921.55</v>
      </c>
    </row>
    <row r="1359" spans="1:11" x14ac:dyDescent="0.2">
      <c r="A1359" s="1" t="s">
        <v>2407</v>
      </c>
      <c r="B1359" s="2">
        <v>45598</v>
      </c>
      <c r="C1359" s="1" t="s">
        <v>1637</v>
      </c>
      <c r="D1359" s="1" t="s">
        <v>1638</v>
      </c>
      <c r="E1359" s="1" t="s">
        <v>34</v>
      </c>
      <c r="F1359" s="1" t="s">
        <v>284</v>
      </c>
      <c r="G1359" s="1" t="s">
        <v>285</v>
      </c>
      <c r="H1359" s="1" t="s">
        <v>37</v>
      </c>
      <c r="I1359">
        <v>80437</v>
      </c>
      <c r="J1359" s="3">
        <v>24.84</v>
      </c>
      <c r="K1359" s="3">
        <v>1998055.08</v>
      </c>
    </row>
    <row r="1360" spans="1:11" x14ac:dyDescent="0.2">
      <c r="A1360" s="1" t="s">
        <v>2408</v>
      </c>
      <c r="B1360" s="2">
        <v>45333</v>
      </c>
      <c r="C1360" s="1" t="s">
        <v>599</v>
      </c>
      <c r="D1360" s="1" t="s">
        <v>600</v>
      </c>
      <c r="E1360" s="1" t="s">
        <v>37</v>
      </c>
      <c r="F1360" s="1" t="s">
        <v>98</v>
      </c>
      <c r="G1360" s="1" t="s">
        <v>99</v>
      </c>
      <c r="H1360" s="1" t="s">
        <v>72</v>
      </c>
      <c r="I1360">
        <v>91461</v>
      </c>
      <c r="J1360" s="3">
        <v>27.73</v>
      </c>
      <c r="K1360" s="3">
        <v>2536213.5299999998</v>
      </c>
    </row>
    <row r="1361" spans="1:11" x14ac:dyDescent="0.2">
      <c r="A1361" s="1" t="s">
        <v>2409</v>
      </c>
      <c r="B1361" s="2">
        <v>45663</v>
      </c>
      <c r="C1361" s="1" t="s">
        <v>12</v>
      </c>
      <c r="D1361" s="1" t="s">
        <v>13</v>
      </c>
      <c r="E1361" s="1" t="s">
        <v>14</v>
      </c>
      <c r="F1361" s="1" t="s">
        <v>237</v>
      </c>
      <c r="G1361" s="1" t="s">
        <v>238</v>
      </c>
      <c r="H1361" s="1" t="s">
        <v>17</v>
      </c>
      <c r="I1361">
        <v>33985</v>
      </c>
      <c r="J1361" s="3">
        <v>16.170000000000002</v>
      </c>
      <c r="K1361" s="3">
        <v>549537.44999999995</v>
      </c>
    </row>
    <row r="1362" spans="1:11" x14ac:dyDescent="0.2">
      <c r="A1362" s="1" t="s">
        <v>2410</v>
      </c>
      <c r="B1362" s="2">
        <v>45560</v>
      </c>
      <c r="C1362" s="1" t="s">
        <v>150</v>
      </c>
      <c r="D1362" s="1" t="s">
        <v>151</v>
      </c>
      <c r="E1362" s="1" t="s">
        <v>14</v>
      </c>
      <c r="F1362" s="1" t="s">
        <v>330</v>
      </c>
      <c r="G1362" s="1" t="s">
        <v>331</v>
      </c>
      <c r="H1362" s="1" t="s">
        <v>72</v>
      </c>
      <c r="I1362">
        <v>58571</v>
      </c>
      <c r="J1362" s="3">
        <v>44.65</v>
      </c>
      <c r="K1362" s="3">
        <v>2615195.15</v>
      </c>
    </row>
    <row r="1363" spans="1:11" x14ac:dyDescent="0.2">
      <c r="A1363" s="1" t="s">
        <v>2411</v>
      </c>
      <c r="B1363" s="2">
        <v>45789</v>
      </c>
      <c r="C1363" s="1" t="s">
        <v>847</v>
      </c>
      <c r="D1363" s="1" t="s">
        <v>848</v>
      </c>
      <c r="E1363" s="1" t="s">
        <v>34</v>
      </c>
      <c r="F1363" s="1" t="s">
        <v>144</v>
      </c>
      <c r="G1363" s="1" t="s">
        <v>145</v>
      </c>
      <c r="H1363" s="1" t="s">
        <v>24</v>
      </c>
      <c r="I1363">
        <v>19230</v>
      </c>
      <c r="J1363" s="3">
        <v>6.66</v>
      </c>
      <c r="K1363" s="3">
        <v>128071.8</v>
      </c>
    </row>
    <row r="1364" spans="1:11" x14ac:dyDescent="0.2">
      <c r="A1364" s="1" t="s">
        <v>2412</v>
      </c>
      <c r="B1364" s="2">
        <v>45873</v>
      </c>
      <c r="C1364" s="1" t="s">
        <v>1194</v>
      </c>
      <c r="D1364" s="1" t="s">
        <v>1195</v>
      </c>
      <c r="E1364" s="1" t="s">
        <v>28</v>
      </c>
      <c r="F1364" s="1" t="s">
        <v>458</v>
      </c>
      <c r="G1364" s="1" t="s">
        <v>459</v>
      </c>
      <c r="H1364" s="1" t="s">
        <v>72</v>
      </c>
      <c r="I1364">
        <v>75227</v>
      </c>
      <c r="J1364" s="3">
        <v>48.02</v>
      </c>
      <c r="K1364" s="3">
        <v>3612400.54</v>
      </c>
    </row>
    <row r="1365" spans="1:11" x14ac:dyDescent="0.2">
      <c r="A1365" s="1" t="s">
        <v>2413</v>
      </c>
      <c r="B1365" s="2">
        <v>45320</v>
      </c>
      <c r="C1365" s="1" t="s">
        <v>756</v>
      </c>
      <c r="D1365" s="1" t="s">
        <v>757</v>
      </c>
      <c r="E1365" s="1" t="s">
        <v>34</v>
      </c>
      <c r="F1365" s="1" t="s">
        <v>57</v>
      </c>
      <c r="G1365" s="1" t="s">
        <v>58</v>
      </c>
      <c r="H1365" s="1" t="s">
        <v>48</v>
      </c>
      <c r="I1365">
        <v>53662</v>
      </c>
      <c r="J1365" s="3">
        <v>29.34</v>
      </c>
      <c r="K1365" s="3">
        <v>1574443.08</v>
      </c>
    </row>
    <row r="1366" spans="1:11" x14ac:dyDescent="0.2">
      <c r="A1366" s="1" t="s">
        <v>2414</v>
      </c>
      <c r="B1366" s="2">
        <v>45919</v>
      </c>
      <c r="C1366" s="1" t="s">
        <v>684</v>
      </c>
      <c r="D1366" s="1" t="s">
        <v>685</v>
      </c>
      <c r="E1366" s="1" t="s">
        <v>37</v>
      </c>
      <c r="F1366" s="1" t="s">
        <v>273</v>
      </c>
      <c r="G1366" s="1" t="s">
        <v>274</v>
      </c>
      <c r="H1366" s="1" t="s">
        <v>24</v>
      </c>
      <c r="I1366">
        <v>74874</v>
      </c>
      <c r="J1366" s="3">
        <v>42.8</v>
      </c>
      <c r="K1366" s="3">
        <v>3204607.2</v>
      </c>
    </row>
    <row r="1367" spans="1:11" x14ac:dyDescent="0.2">
      <c r="A1367" s="1" t="s">
        <v>2415</v>
      </c>
      <c r="B1367" s="2">
        <v>45931</v>
      </c>
      <c r="C1367" s="1" t="s">
        <v>2011</v>
      </c>
      <c r="D1367" s="1" t="s">
        <v>2012</v>
      </c>
      <c r="E1367" s="1" t="s">
        <v>37</v>
      </c>
      <c r="F1367" s="1" t="s">
        <v>330</v>
      </c>
      <c r="G1367" s="1" t="s">
        <v>331</v>
      </c>
      <c r="H1367" s="1" t="s">
        <v>72</v>
      </c>
      <c r="I1367">
        <v>92248</v>
      </c>
      <c r="J1367" s="3">
        <v>29.81</v>
      </c>
      <c r="K1367" s="3">
        <v>2749912.88</v>
      </c>
    </row>
    <row r="1368" spans="1:11" x14ac:dyDescent="0.2">
      <c r="A1368" s="1" t="s">
        <v>2416</v>
      </c>
      <c r="B1368" s="2">
        <v>45549</v>
      </c>
      <c r="C1368" s="1" t="s">
        <v>316</v>
      </c>
      <c r="D1368" s="1" t="s">
        <v>317</v>
      </c>
      <c r="E1368" s="1" t="s">
        <v>14</v>
      </c>
      <c r="F1368" s="1" t="s">
        <v>339</v>
      </c>
      <c r="G1368" s="1" t="s">
        <v>340</v>
      </c>
      <c r="H1368" s="1" t="s">
        <v>24</v>
      </c>
      <c r="I1368">
        <v>5180</v>
      </c>
      <c r="J1368" s="3">
        <v>15.22</v>
      </c>
      <c r="K1368" s="3">
        <v>78839.600000000006</v>
      </c>
    </row>
    <row r="1369" spans="1:11" x14ac:dyDescent="0.2">
      <c r="A1369" s="1" t="s">
        <v>2417</v>
      </c>
      <c r="B1369" s="2">
        <v>45311</v>
      </c>
      <c r="C1369" s="1" t="s">
        <v>2418</v>
      </c>
      <c r="D1369" s="1" t="s">
        <v>2419</v>
      </c>
      <c r="E1369" s="1" t="s">
        <v>37</v>
      </c>
      <c r="F1369" s="1" t="s">
        <v>412</v>
      </c>
      <c r="G1369" s="1" t="s">
        <v>413</v>
      </c>
      <c r="H1369" s="1" t="s">
        <v>72</v>
      </c>
      <c r="I1369">
        <v>58525</v>
      </c>
      <c r="J1369" s="3">
        <v>24.59</v>
      </c>
      <c r="K1369" s="3">
        <v>1439129.75</v>
      </c>
    </row>
    <row r="1370" spans="1:11" x14ac:dyDescent="0.2">
      <c r="A1370" s="1" t="s">
        <v>2420</v>
      </c>
      <c r="B1370" s="2">
        <v>45807</v>
      </c>
      <c r="C1370" s="1" t="s">
        <v>404</v>
      </c>
      <c r="D1370" s="1" t="s">
        <v>405</v>
      </c>
      <c r="E1370" s="1" t="s">
        <v>37</v>
      </c>
      <c r="F1370" s="1" t="s">
        <v>217</v>
      </c>
      <c r="G1370" s="1" t="s">
        <v>218</v>
      </c>
      <c r="H1370" s="1" t="s">
        <v>72</v>
      </c>
      <c r="I1370">
        <v>78505</v>
      </c>
      <c r="J1370" s="3">
        <v>5.39</v>
      </c>
      <c r="K1370" s="3">
        <v>423141.95</v>
      </c>
    </row>
    <row r="1371" spans="1:11" x14ac:dyDescent="0.2">
      <c r="A1371" s="1" t="s">
        <v>2421</v>
      </c>
      <c r="B1371" s="2">
        <v>45472</v>
      </c>
      <c r="C1371" s="1" t="s">
        <v>111</v>
      </c>
      <c r="D1371" s="1" t="s">
        <v>112</v>
      </c>
      <c r="E1371" s="1" t="s">
        <v>14</v>
      </c>
      <c r="F1371" s="1" t="s">
        <v>46</v>
      </c>
      <c r="G1371" s="1" t="s">
        <v>47</v>
      </c>
      <c r="H1371" s="1" t="s">
        <v>48</v>
      </c>
      <c r="I1371">
        <v>93131</v>
      </c>
      <c r="J1371" s="3">
        <v>7.99</v>
      </c>
      <c r="K1371" s="3">
        <v>744116.69</v>
      </c>
    </row>
    <row r="1372" spans="1:11" x14ac:dyDescent="0.2">
      <c r="A1372" s="1" t="s">
        <v>2422</v>
      </c>
      <c r="B1372" s="2">
        <v>45316</v>
      </c>
      <c r="C1372" s="1" t="s">
        <v>1004</v>
      </c>
      <c r="D1372" s="1" t="s">
        <v>1005</v>
      </c>
      <c r="E1372" s="1" t="s">
        <v>21</v>
      </c>
      <c r="F1372" s="1" t="s">
        <v>189</v>
      </c>
      <c r="G1372" s="1" t="s">
        <v>190</v>
      </c>
      <c r="H1372" s="1" t="s">
        <v>17</v>
      </c>
      <c r="I1372">
        <v>9526</v>
      </c>
      <c r="J1372" s="3">
        <v>46.06</v>
      </c>
      <c r="K1372" s="3">
        <v>438767.56</v>
      </c>
    </row>
    <row r="1373" spans="1:11" x14ac:dyDescent="0.2">
      <c r="A1373" s="1" t="s">
        <v>2423</v>
      </c>
      <c r="B1373" s="2">
        <v>45654</v>
      </c>
      <c r="C1373" s="1" t="s">
        <v>32</v>
      </c>
      <c r="D1373" s="1" t="s">
        <v>33</v>
      </c>
      <c r="E1373" s="1" t="s">
        <v>34</v>
      </c>
      <c r="F1373" s="1" t="s">
        <v>251</v>
      </c>
      <c r="G1373" s="1" t="s">
        <v>252</v>
      </c>
      <c r="H1373" s="1" t="s">
        <v>72</v>
      </c>
      <c r="I1373">
        <v>28360</v>
      </c>
      <c r="J1373" s="3">
        <v>41.68</v>
      </c>
      <c r="K1373" s="3">
        <v>1182044.8</v>
      </c>
    </row>
    <row r="1374" spans="1:11" x14ac:dyDescent="0.2">
      <c r="A1374" s="1" t="s">
        <v>2424</v>
      </c>
      <c r="B1374" s="2">
        <v>45872</v>
      </c>
      <c r="C1374" s="1" t="s">
        <v>249</v>
      </c>
      <c r="D1374" s="1" t="s">
        <v>250</v>
      </c>
      <c r="E1374" s="1" t="s">
        <v>21</v>
      </c>
      <c r="F1374" s="1" t="s">
        <v>22</v>
      </c>
      <c r="G1374" s="1" t="s">
        <v>23</v>
      </c>
      <c r="H1374" s="1" t="s">
        <v>24</v>
      </c>
      <c r="I1374">
        <v>89293</v>
      </c>
      <c r="J1374" s="3">
        <v>3.5</v>
      </c>
      <c r="K1374" s="3">
        <v>312525.5</v>
      </c>
    </row>
    <row r="1375" spans="1:11" x14ac:dyDescent="0.2">
      <c r="A1375" s="1" t="s">
        <v>2425</v>
      </c>
      <c r="B1375" s="2">
        <v>45995</v>
      </c>
      <c r="C1375" s="1" t="s">
        <v>966</v>
      </c>
      <c r="D1375" s="1" t="s">
        <v>967</v>
      </c>
      <c r="E1375" s="1" t="s">
        <v>34</v>
      </c>
      <c r="F1375" s="1" t="s">
        <v>474</v>
      </c>
      <c r="G1375" s="1" t="s">
        <v>475</v>
      </c>
      <c r="H1375" s="1" t="s">
        <v>48</v>
      </c>
      <c r="I1375">
        <v>16747</v>
      </c>
      <c r="J1375" s="3">
        <v>24.26</v>
      </c>
      <c r="K1375" s="3">
        <v>406282.22</v>
      </c>
    </row>
    <row r="1376" spans="1:11" x14ac:dyDescent="0.2">
      <c r="A1376" s="1" t="s">
        <v>2426</v>
      </c>
      <c r="B1376" s="2">
        <v>45404</v>
      </c>
      <c r="C1376" s="1" t="s">
        <v>303</v>
      </c>
      <c r="D1376" s="1" t="s">
        <v>304</v>
      </c>
      <c r="E1376" s="1" t="s">
        <v>28</v>
      </c>
      <c r="F1376" s="1" t="s">
        <v>273</v>
      </c>
      <c r="G1376" s="1" t="s">
        <v>274</v>
      </c>
      <c r="H1376" s="1" t="s">
        <v>24</v>
      </c>
      <c r="I1376">
        <v>83603</v>
      </c>
      <c r="J1376" s="3">
        <v>46.95</v>
      </c>
      <c r="K1376" s="3">
        <v>3925160.85</v>
      </c>
    </row>
    <row r="1377" spans="1:11" x14ac:dyDescent="0.2">
      <c r="A1377" s="1" t="s">
        <v>2427</v>
      </c>
      <c r="B1377" s="2">
        <v>45371</v>
      </c>
      <c r="C1377" s="1" t="s">
        <v>633</v>
      </c>
      <c r="D1377" s="1" t="s">
        <v>634</v>
      </c>
      <c r="E1377" s="1" t="s">
        <v>34</v>
      </c>
      <c r="F1377" s="1" t="s">
        <v>208</v>
      </c>
      <c r="G1377" s="1" t="s">
        <v>209</v>
      </c>
      <c r="H1377" s="1" t="s">
        <v>17</v>
      </c>
      <c r="I1377">
        <v>70424</v>
      </c>
      <c r="J1377" s="3">
        <v>37.770000000000003</v>
      </c>
      <c r="K1377" s="3">
        <v>2659914.48</v>
      </c>
    </row>
    <row r="1378" spans="1:11" x14ac:dyDescent="0.2">
      <c r="A1378" s="1" t="s">
        <v>2428</v>
      </c>
      <c r="B1378" s="2">
        <v>45366</v>
      </c>
      <c r="C1378" s="1" t="s">
        <v>746</v>
      </c>
      <c r="D1378" s="1" t="s">
        <v>747</v>
      </c>
      <c r="E1378" s="1" t="s">
        <v>37</v>
      </c>
      <c r="F1378" s="1" t="s">
        <v>552</v>
      </c>
      <c r="G1378" s="1" t="s">
        <v>553</v>
      </c>
      <c r="H1378" s="1" t="s">
        <v>37</v>
      </c>
      <c r="I1378">
        <v>7175</v>
      </c>
      <c r="J1378" s="3">
        <v>37.450000000000003</v>
      </c>
      <c r="K1378" s="3">
        <v>268703.75</v>
      </c>
    </row>
    <row r="1379" spans="1:11" x14ac:dyDescent="0.2">
      <c r="A1379" s="1" t="s">
        <v>2429</v>
      </c>
      <c r="B1379" s="2">
        <v>45798</v>
      </c>
      <c r="C1379" s="1" t="s">
        <v>439</v>
      </c>
      <c r="D1379" s="1" t="s">
        <v>440</v>
      </c>
      <c r="E1379" s="1" t="s">
        <v>28</v>
      </c>
      <c r="F1379" s="1" t="s">
        <v>15</v>
      </c>
      <c r="G1379" s="1" t="s">
        <v>16</v>
      </c>
      <c r="H1379" s="1" t="s">
        <v>17</v>
      </c>
      <c r="I1379">
        <v>80480</v>
      </c>
      <c r="J1379" s="3">
        <v>38.69</v>
      </c>
      <c r="K1379" s="3">
        <v>3113771.2</v>
      </c>
    </row>
    <row r="1380" spans="1:11" x14ac:dyDescent="0.2">
      <c r="A1380" s="1" t="s">
        <v>2430</v>
      </c>
      <c r="B1380" s="2">
        <v>45358</v>
      </c>
      <c r="C1380" s="1" t="s">
        <v>639</v>
      </c>
      <c r="D1380" s="1" t="s">
        <v>640</v>
      </c>
      <c r="E1380" s="1" t="s">
        <v>28</v>
      </c>
      <c r="F1380" s="1" t="s">
        <v>139</v>
      </c>
      <c r="G1380" s="1" t="s">
        <v>140</v>
      </c>
      <c r="H1380" s="1" t="s">
        <v>24</v>
      </c>
      <c r="I1380">
        <v>36499</v>
      </c>
      <c r="J1380" s="3">
        <v>4.72</v>
      </c>
      <c r="K1380" s="3">
        <v>172275.28</v>
      </c>
    </row>
    <row r="1381" spans="1:11" x14ac:dyDescent="0.2">
      <c r="A1381" s="1" t="s">
        <v>2431</v>
      </c>
      <c r="B1381" s="2">
        <v>45489</v>
      </c>
      <c r="C1381" s="1" t="s">
        <v>495</v>
      </c>
      <c r="D1381" s="1" t="s">
        <v>496</v>
      </c>
      <c r="E1381" s="1" t="s">
        <v>37</v>
      </c>
      <c r="F1381" s="1" t="s">
        <v>70</v>
      </c>
      <c r="G1381" s="1" t="s">
        <v>71</v>
      </c>
      <c r="H1381" s="1" t="s">
        <v>72</v>
      </c>
      <c r="I1381">
        <v>6185</v>
      </c>
      <c r="J1381" s="3">
        <v>21.44</v>
      </c>
      <c r="K1381" s="3">
        <v>132606.39999999999</v>
      </c>
    </row>
    <row r="1382" spans="1:11" x14ac:dyDescent="0.2">
      <c r="A1382" s="1" t="s">
        <v>2432</v>
      </c>
      <c r="B1382" s="2">
        <v>45868</v>
      </c>
      <c r="C1382" s="1" t="s">
        <v>1092</v>
      </c>
      <c r="D1382" s="1" t="s">
        <v>1093</v>
      </c>
      <c r="E1382" s="1" t="s">
        <v>34</v>
      </c>
      <c r="F1382" s="1" t="s">
        <v>350</v>
      </c>
      <c r="G1382" s="1" t="s">
        <v>351</v>
      </c>
      <c r="H1382" s="1" t="s">
        <v>37</v>
      </c>
      <c r="I1382">
        <v>54339</v>
      </c>
      <c r="J1382" s="3">
        <v>34.729999999999997</v>
      </c>
      <c r="K1382" s="3">
        <v>1887193.47</v>
      </c>
    </row>
    <row r="1383" spans="1:11" x14ac:dyDescent="0.2">
      <c r="A1383" s="1" t="s">
        <v>2433</v>
      </c>
      <c r="B1383" s="2">
        <v>45582</v>
      </c>
      <c r="C1383" s="1" t="s">
        <v>2326</v>
      </c>
      <c r="D1383" s="1" t="s">
        <v>2327</v>
      </c>
      <c r="E1383" s="1" t="s">
        <v>37</v>
      </c>
      <c r="F1383" s="1" t="s">
        <v>165</v>
      </c>
      <c r="G1383" s="1" t="s">
        <v>166</v>
      </c>
      <c r="H1383" s="1" t="s">
        <v>24</v>
      </c>
      <c r="I1383">
        <v>73996</v>
      </c>
      <c r="J1383" s="3">
        <v>40.08</v>
      </c>
      <c r="K1383" s="3">
        <v>2965759.68</v>
      </c>
    </row>
    <row r="1384" spans="1:11" x14ac:dyDescent="0.2">
      <c r="A1384" s="1" t="s">
        <v>2434</v>
      </c>
      <c r="B1384" s="2">
        <v>45765</v>
      </c>
      <c r="C1384" s="1" t="s">
        <v>1132</v>
      </c>
      <c r="D1384" s="1" t="s">
        <v>1133</v>
      </c>
      <c r="E1384" s="1" t="s">
        <v>34</v>
      </c>
      <c r="F1384" s="1" t="s">
        <v>22</v>
      </c>
      <c r="G1384" s="1" t="s">
        <v>23</v>
      </c>
      <c r="H1384" s="1" t="s">
        <v>24</v>
      </c>
      <c r="I1384">
        <v>45448</v>
      </c>
      <c r="J1384" s="3">
        <v>39.54</v>
      </c>
      <c r="K1384" s="3">
        <v>1797013.92</v>
      </c>
    </row>
    <row r="1385" spans="1:11" x14ac:dyDescent="0.2">
      <c r="A1385" s="1" t="s">
        <v>2435</v>
      </c>
      <c r="B1385" s="2">
        <v>45959</v>
      </c>
      <c r="C1385" s="1" t="s">
        <v>1417</v>
      </c>
      <c r="D1385" s="1" t="s">
        <v>1418</v>
      </c>
      <c r="E1385" s="1" t="s">
        <v>34</v>
      </c>
      <c r="F1385" s="1" t="s">
        <v>251</v>
      </c>
      <c r="G1385" s="1" t="s">
        <v>252</v>
      </c>
      <c r="H1385" s="1" t="s">
        <v>72</v>
      </c>
      <c r="I1385">
        <v>95166</v>
      </c>
      <c r="J1385" s="3">
        <v>11.84</v>
      </c>
      <c r="K1385" s="3">
        <v>1126765.44</v>
      </c>
    </row>
    <row r="1386" spans="1:11" x14ac:dyDescent="0.2">
      <c r="A1386" s="1" t="s">
        <v>2436</v>
      </c>
      <c r="B1386" s="2">
        <v>45874</v>
      </c>
      <c r="C1386" s="1" t="s">
        <v>1930</v>
      </c>
      <c r="D1386" s="1" t="s">
        <v>1931</v>
      </c>
      <c r="E1386" s="1" t="s">
        <v>14</v>
      </c>
      <c r="F1386" s="1" t="s">
        <v>350</v>
      </c>
      <c r="G1386" s="1" t="s">
        <v>351</v>
      </c>
      <c r="H1386" s="1" t="s">
        <v>37</v>
      </c>
      <c r="I1386">
        <v>52799</v>
      </c>
      <c r="J1386" s="3">
        <v>32.51</v>
      </c>
      <c r="K1386" s="3">
        <v>1716495.49</v>
      </c>
    </row>
    <row r="1387" spans="1:11" x14ac:dyDescent="0.2">
      <c r="A1387" s="1" t="s">
        <v>2437</v>
      </c>
      <c r="B1387" s="2">
        <v>45860</v>
      </c>
      <c r="C1387" s="1" t="s">
        <v>182</v>
      </c>
      <c r="D1387" s="1" t="s">
        <v>183</v>
      </c>
      <c r="E1387" s="1" t="s">
        <v>14</v>
      </c>
      <c r="F1387" s="1" t="s">
        <v>273</v>
      </c>
      <c r="G1387" s="1" t="s">
        <v>274</v>
      </c>
      <c r="H1387" s="1" t="s">
        <v>24</v>
      </c>
      <c r="I1387">
        <v>80418</v>
      </c>
      <c r="J1387" s="3">
        <v>39.65</v>
      </c>
      <c r="K1387" s="3">
        <v>3188573.7</v>
      </c>
    </row>
    <row r="1388" spans="1:11" x14ac:dyDescent="0.2">
      <c r="A1388" s="1" t="s">
        <v>2438</v>
      </c>
      <c r="B1388" s="2">
        <v>45673</v>
      </c>
      <c r="C1388" s="1" t="s">
        <v>1310</v>
      </c>
      <c r="D1388" s="1" t="s">
        <v>1311</v>
      </c>
      <c r="E1388" s="1" t="s">
        <v>37</v>
      </c>
      <c r="F1388" s="1" t="s">
        <v>41</v>
      </c>
      <c r="G1388" s="1" t="s">
        <v>42</v>
      </c>
      <c r="H1388" s="1" t="s">
        <v>24</v>
      </c>
      <c r="I1388">
        <v>36833</v>
      </c>
      <c r="J1388" s="3">
        <v>36.89</v>
      </c>
      <c r="K1388" s="3">
        <v>1358769.37</v>
      </c>
    </row>
    <row r="1389" spans="1:11" x14ac:dyDescent="0.2">
      <c r="A1389" s="1" t="s">
        <v>2439</v>
      </c>
      <c r="B1389" s="2">
        <v>45746</v>
      </c>
      <c r="C1389" s="1" t="s">
        <v>125</v>
      </c>
      <c r="D1389" s="1" t="s">
        <v>126</v>
      </c>
      <c r="E1389" s="1" t="s">
        <v>21</v>
      </c>
      <c r="F1389" s="1" t="s">
        <v>113</v>
      </c>
      <c r="G1389" s="1" t="s">
        <v>114</v>
      </c>
      <c r="H1389" s="1" t="s">
        <v>37</v>
      </c>
      <c r="I1389">
        <v>79482</v>
      </c>
      <c r="J1389" s="3">
        <v>47.19</v>
      </c>
      <c r="K1389" s="3">
        <v>3750755.58</v>
      </c>
    </row>
    <row r="1390" spans="1:11" x14ac:dyDescent="0.2">
      <c r="A1390" s="1" t="s">
        <v>2440</v>
      </c>
      <c r="B1390" s="2">
        <v>45915</v>
      </c>
      <c r="C1390" s="1" t="s">
        <v>333</v>
      </c>
      <c r="D1390" s="1" t="s">
        <v>334</v>
      </c>
      <c r="E1390" s="1" t="s">
        <v>21</v>
      </c>
      <c r="F1390" s="1" t="s">
        <v>157</v>
      </c>
      <c r="G1390" s="1" t="s">
        <v>158</v>
      </c>
      <c r="H1390" s="1" t="s">
        <v>48</v>
      </c>
      <c r="I1390">
        <v>6904</v>
      </c>
      <c r="J1390" s="3">
        <v>16.34</v>
      </c>
      <c r="K1390" s="3">
        <v>112811.36</v>
      </c>
    </row>
    <row r="1391" spans="1:11" x14ac:dyDescent="0.2">
      <c r="A1391" s="1" t="s">
        <v>2441</v>
      </c>
      <c r="B1391" s="2">
        <v>45679</v>
      </c>
      <c r="C1391" s="1" t="s">
        <v>2442</v>
      </c>
      <c r="D1391" s="1" t="s">
        <v>2443</v>
      </c>
      <c r="E1391" s="1" t="s">
        <v>34</v>
      </c>
      <c r="F1391" s="1" t="s">
        <v>263</v>
      </c>
      <c r="G1391" s="1" t="s">
        <v>264</v>
      </c>
      <c r="H1391" s="1" t="s">
        <v>17</v>
      </c>
      <c r="I1391">
        <v>1482</v>
      </c>
      <c r="J1391" s="3">
        <v>9.26</v>
      </c>
      <c r="K1391" s="3">
        <v>13723.32</v>
      </c>
    </row>
    <row r="1392" spans="1:11" x14ac:dyDescent="0.2">
      <c r="A1392" s="1" t="s">
        <v>2444</v>
      </c>
      <c r="B1392" s="2">
        <v>45536</v>
      </c>
      <c r="C1392" s="1" t="s">
        <v>2445</v>
      </c>
      <c r="D1392" s="1" t="s">
        <v>2446</v>
      </c>
      <c r="E1392" s="1" t="s">
        <v>34</v>
      </c>
      <c r="F1392" s="1" t="s">
        <v>108</v>
      </c>
      <c r="G1392" s="1" t="s">
        <v>109</v>
      </c>
      <c r="H1392" s="1" t="s">
        <v>37</v>
      </c>
      <c r="I1392">
        <v>64531</v>
      </c>
      <c r="J1392" s="3">
        <v>46.14</v>
      </c>
      <c r="K1392" s="3">
        <v>2977460.34</v>
      </c>
    </row>
    <row r="1393" spans="1:11" x14ac:dyDescent="0.2">
      <c r="A1393" s="1" t="s">
        <v>2447</v>
      </c>
      <c r="B1393" s="2">
        <v>45670</v>
      </c>
      <c r="C1393" s="1" t="s">
        <v>566</v>
      </c>
      <c r="D1393" s="1" t="s">
        <v>567</v>
      </c>
      <c r="E1393" s="1" t="s">
        <v>28</v>
      </c>
      <c r="F1393" s="1" t="s">
        <v>195</v>
      </c>
      <c r="G1393" s="1" t="s">
        <v>196</v>
      </c>
      <c r="H1393" s="1" t="s">
        <v>48</v>
      </c>
      <c r="I1393">
        <v>36048</v>
      </c>
      <c r="J1393" s="3">
        <v>44.39</v>
      </c>
      <c r="K1393" s="3">
        <v>1600170.72</v>
      </c>
    </row>
    <row r="1394" spans="1:11" x14ac:dyDescent="0.2">
      <c r="A1394" s="1" t="s">
        <v>2448</v>
      </c>
      <c r="B1394" s="2">
        <v>45666</v>
      </c>
      <c r="C1394" s="1" t="s">
        <v>936</v>
      </c>
      <c r="D1394" s="1" t="s">
        <v>937</v>
      </c>
      <c r="E1394" s="1" t="s">
        <v>28</v>
      </c>
      <c r="F1394" s="1" t="s">
        <v>412</v>
      </c>
      <c r="G1394" s="1" t="s">
        <v>413</v>
      </c>
      <c r="H1394" s="1" t="s">
        <v>72</v>
      </c>
      <c r="I1394">
        <v>92115</v>
      </c>
      <c r="J1394" s="3">
        <v>38.31</v>
      </c>
      <c r="K1394" s="3">
        <v>3528925.65</v>
      </c>
    </row>
    <row r="1395" spans="1:11" x14ac:dyDescent="0.2">
      <c r="A1395" s="1" t="s">
        <v>2449</v>
      </c>
      <c r="B1395" s="2">
        <v>45981</v>
      </c>
      <c r="C1395" s="1" t="s">
        <v>788</v>
      </c>
      <c r="D1395" s="1" t="s">
        <v>789</v>
      </c>
      <c r="E1395" s="1" t="s">
        <v>14</v>
      </c>
      <c r="F1395" s="1" t="s">
        <v>436</v>
      </c>
      <c r="G1395" s="1" t="s">
        <v>437</v>
      </c>
      <c r="H1395" s="1" t="s">
        <v>24</v>
      </c>
      <c r="I1395">
        <v>73872</v>
      </c>
      <c r="J1395" s="3">
        <v>47.54</v>
      </c>
      <c r="K1395" s="3">
        <v>3511874.88</v>
      </c>
    </row>
    <row r="1396" spans="1:11" x14ac:dyDescent="0.2">
      <c r="A1396" s="1" t="s">
        <v>2450</v>
      </c>
      <c r="B1396" s="2">
        <v>45340</v>
      </c>
      <c r="C1396" s="1" t="s">
        <v>1254</v>
      </c>
      <c r="D1396" s="1" t="s">
        <v>1255</v>
      </c>
      <c r="E1396" s="1" t="s">
        <v>14</v>
      </c>
      <c r="F1396" s="1" t="s">
        <v>113</v>
      </c>
      <c r="G1396" s="1" t="s">
        <v>114</v>
      </c>
      <c r="H1396" s="1" t="s">
        <v>37</v>
      </c>
      <c r="I1396">
        <v>11001</v>
      </c>
      <c r="J1396" s="3">
        <v>29.99</v>
      </c>
      <c r="K1396" s="3">
        <v>329919.99</v>
      </c>
    </row>
    <row r="1397" spans="1:11" x14ac:dyDescent="0.2">
      <c r="A1397" s="1" t="s">
        <v>2451</v>
      </c>
      <c r="B1397" s="2">
        <v>45643</v>
      </c>
      <c r="C1397" s="1" t="s">
        <v>1881</v>
      </c>
      <c r="D1397" s="1" t="s">
        <v>1882</v>
      </c>
      <c r="E1397" s="1" t="s">
        <v>34</v>
      </c>
      <c r="F1397" s="1" t="s">
        <v>330</v>
      </c>
      <c r="G1397" s="1" t="s">
        <v>331</v>
      </c>
      <c r="H1397" s="1" t="s">
        <v>72</v>
      </c>
      <c r="I1397">
        <v>95342</v>
      </c>
      <c r="J1397" s="3">
        <v>12.86</v>
      </c>
      <c r="K1397" s="3">
        <v>1226098.1200000001</v>
      </c>
    </row>
    <row r="1398" spans="1:11" x14ac:dyDescent="0.2">
      <c r="A1398" s="1" t="s">
        <v>2452</v>
      </c>
      <c r="B1398" s="2">
        <v>45417</v>
      </c>
      <c r="C1398" s="1" t="s">
        <v>1784</v>
      </c>
      <c r="D1398" s="1" t="s">
        <v>1785</v>
      </c>
      <c r="E1398" s="1" t="s">
        <v>21</v>
      </c>
      <c r="F1398" s="1" t="s">
        <v>237</v>
      </c>
      <c r="G1398" s="1" t="s">
        <v>238</v>
      </c>
      <c r="H1398" s="1" t="s">
        <v>17</v>
      </c>
      <c r="I1398">
        <v>35711</v>
      </c>
      <c r="J1398" s="3">
        <v>20.11</v>
      </c>
      <c r="K1398" s="3">
        <v>718148.21</v>
      </c>
    </row>
    <row r="1399" spans="1:11" x14ac:dyDescent="0.2">
      <c r="A1399" s="1" t="s">
        <v>2453</v>
      </c>
      <c r="B1399" s="2">
        <v>45811</v>
      </c>
      <c r="C1399" s="1" t="s">
        <v>1017</v>
      </c>
      <c r="D1399" s="1" t="s">
        <v>1018</v>
      </c>
      <c r="E1399" s="1" t="s">
        <v>34</v>
      </c>
      <c r="F1399" s="1" t="s">
        <v>70</v>
      </c>
      <c r="G1399" s="1" t="s">
        <v>71</v>
      </c>
      <c r="H1399" s="1" t="s">
        <v>72</v>
      </c>
      <c r="I1399">
        <v>33281</v>
      </c>
      <c r="J1399" s="3">
        <v>19.829999999999998</v>
      </c>
      <c r="K1399" s="3">
        <v>659962.23</v>
      </c>
    </row>
    <row r="1400" spans="1:11" x14ac:dyDescent="0.2">
      <c r="A1400" s="1" t="s">
        <v>2454</v>
      </c>
      <c r="B1400" s="2">
        <v>45592</v>
      </c>
      <c r="C1400" s="1" t="s">
        <v>823</v>
      </c>
      <c r="D1400" s="1" t="s">
        <v>824</v>
      </c>
      <c r="E1400" s="1" t="s">
        <v>21</v>
      </c>
      <c r="F1400" s="1" t="s">
        <v>203</v>
      </c>
      <c r="G1400" s="1" t="s">
        <v>204</v>
      </c>
      <c r="H1400" s="1" t="s">
        <v>72</v>
      </c>
      <c r="I1400">
        <v>60471</v>
      </c>
      <c r="J1400" s="3">
        <v>31.77</v>
      </c>
      <c r="K1400" s="3">
        <v>1921163.67</v>
      </c>
    </row>
    <row r="1401" spans="1:11" x14ac:dyDescent="0.2">
      <c r="A1401" s="1" t="s">
        <v>2455</v>
      </c>
      <c r="B1401" s="2">
        <v>45968</v>
      </c>
      <c r="C1401" s="1" t="s">
        <v>300</v>
      </c>
      <c r="D1401" s="1" t="s">
        <v>301</v>
      </c>
      <c r="E1401" s="1" t="s">
        <v>14</v>
      </c>
      <c r="F1401" s="1" t="s">
        <v>552</v>
      </c>
      <c r="G1401" s="1" t="s">
        <v>553</v>
      </c>
      <c r="H1401" s="1" t="s">
        <v>37</v>
      </c>
      <c r="I1401">
        <v>36488</v>
      </c>
      <c r="J1401" s="3">
        <v>9.31</v>
      </c>
      <c r="K1401" s="3">
        <v>339703.28</v>
      </c>
    </row>
    <row r="1402" spans="1:11" x14ac:dyDescent="0.2">
      <c r="A1402" s="1" t="s">
        <v>2456</v>
      </c>
      <c r="B1402" s="2">
        <v>45682</v>
      </c>
      <c r="C1402" s="1" t="s">
        <v>535</v>
      </c>
      <c r="D1402" s="1" t="s">
        <v>536</v>
      </c>
      <c r="E1402" s="1" t="s">
        <v>28</v>
      </c>
      <c r="F1402" s="1" t="s">
        <v>184</v>
      </c>
      <c r="G1402" s="1" t="s">
        <v>185</v>
      </c>
      <c r="H1402" s="1" t="s">
        <v>17</v>
      </c>
      <c r="I1402">
        <v>56294</v>
      </c>
      <c r="J1402" s="3">
        <v>9.15</v>
      </c>
      <c r="K1402" s="3">
        <v>515090.1</v>
      </c>
    </row>
    <row r="1403" spans="1:11" x14ac:dyDescent="0.2">
      <c r="A1403" s="1" t="s">
        <v>2457</v>
      </c>
      <c r="B1403" s="2">
        <v>45581</v>
      </c>
      <c r="C1403" s="1" t="s">
        <v>310</v>
      </c>
      <c r="D1403" s="1" t="s">
        <v>311</v>
      </c>
      <c r="E1403" s="1" t="s">
        <v>37</v>
      </c>
      <c r="F1403" s="1" t="s">
        <v>458</v>
      </c>
      <c r="G1403" s="1" t="s">
        <v>459</v>
      </c>
      <c r="H1403" s="1" t="s">
        <v>72</v>
      </c>
      <c r="I1403">
        <v>33492</v>
      </c>
      <c r="J1403" s="3">
        <v>44.19</v>
      </c>
      <c r="K1403" s="3">
        <v>1480011.48</v>
      </c>
    </row>
    <row r="1404" spans="1:11" x14ac:dyDescent="0.2">
      <c r="A1404" s="1" t="s">
        <v>2458</v>
      </c>
      <c r="B1404" s="2">
        <v>45692</v>
      </c>
      <c r="C1404" s="1" t="s">
        <v>1547</v>
      </c>
      <c r="D1404" s="1" t="s">
        <v>1548</v>
      </c>
      <c r="E1404" s="1" t="s">
        <v>21</v>
      </c>
      <c r="F1404" s="1" t="s">
        <v>273</v>
      </c>
      <c r="G1404" s="1" t="s">
        <v>274</v>
      </c>
      <c r="H1404" s="1" t="s">
        <v>24</v>
      </c>
      <c r="I1404">
        <v>38487</v>
      </c>
      <c r="J1404" s="3">
        <v>42.47</v>
      </c>
      <c r="K1404" s="3">
        <v>1634542.89</v>
      </c>
    </row>
    <row r="1405" spans="1:11" x14ac:dyDescent="0.2">
      <c r="A1405" s="1" t="s">
        <v>2459</v>
      </c>
      <c r="B1405" s="2">
        <v>45916</v>
      </c>
      <c r="C1405" s="1" t="s">
        <v>442</v>
      </c>
      <c r="D1405" s="1" t="s">
        <v>443</v>
      </c>
      <c r="E1405" s="1" t="s">
        <v>34</v>
      </c>
      <c r="F1405" s="1" t="s">
        <v>228</v>
      </c>
      <c r="G1405" s="1" t="s">
        <v>229</v>
      </c>
      <c r="H1405" s="1" t="s">
        <v>48</v>
      </c>
      <c r="I1405">
        <v>36601</v>
      </c>
      <c r="J1405" s="3">
        <v>37.770000000000003</v>
      </c>
      <c r="K1405" s="3">
        <v>1382419.77</v>
      </c>
    </row>
    <row r="1406" spans="1:11" x14ac:dyDescent="0.2">
      <c r="A1406" s="1" t="s">
        <v>2460</v>
      </c>
      <c r="B1406" s="2">
        <v>45567</v>
      </c>
      <c r="C1406" s="1" t="s">
        <v>599</v>
      </c>
      <c r="D1406" s="1" t="s">
        <v>600</v>
      </c>
      <c r="E1406" s="1" t="s">
        <v>37</v>
      </c>
      <c r="F1406" s="1" t="s">
        <v>46</v>
      </c>
      <c r="G1406" s="1" t="s">
        <v>47</v>
      </c>
      <c r="H1406" s="1" t="s">
        <v>48</v>
      </c>
      <c r="I1406">
        <v>24712</v>
      </c>
      <c r="J1406" s="3">
        <v>41.41</v>
      </c>
      <c r="K1406" s="3">
        <v>1023323.92</v>
      </c>
    </row>
    <row r="1407" spans="1:11" x14ac:dyDescent="0.2">
      <c r="A1407" s="1" t="s">
        <v>2461</v>
      </c>
      <c r="B1407" s="2">
        <v>45481</v>
      </c>
      <c r="C1407" s="1" t="s">
        <v>294</v>
      </c>
      <c r="D1407" s="1" t="s">
        <v>295</v>
      </c>
      <c r="E1407" s="1" t="s">
        <v>37</v>
      </c>
      <c r="F1407" s="1" t="s">
        <v>436</v>
      </c>
      <c r="G1407" s="1" t="s">
        <v>437</v>
      </c>
      <c r="H1407" s="1" t="s">
        <v>24</v>
      </c>
      <c r="I1407">
        <v>5544</v>
      </c>
      <c r="J1407" s="3">
        <v>28.65</v>
      </c>
      <c r="K1407" s="3">
        <v>158835.6</v>
      </c>
    </row>
    <row r="1408" spans="1:11" x14ac:dyDescent="0.2">
      <c r="A1408" s="1" t="s">
        <v>2462</v>
      </c>
      <c r="B1408" s="2">
        <v>45732</v>
      </c>
      <c r="C1408" s="1" t="s">
        <v>1237</v>
      </c>
      <c r="D1408" s="1" t="s">
        <v>1238</v>
      </c>
      <c r="E1408" s="1" t="s">
        <v>34</v>
      </c>
      <c r="F1408" s="1" t="s">
        <v>273</v>
      </c>
      <c r="G1408" s="1" t="s">
        <v>274</v>
      </c>
      <c r="H1408" s="1" t="s">
        <v>24</v>
      </c>
      <c r="I1408">
        <v>97401</v>
      </c>
      <c r="J1408" s="3">
        <v>42.87</v>
      </c>
      <c r="K1408" s="3">
        <v>4175580.87</v>
      </c>
    </row>
    <row r="1409" spans="1:11" x14ac:dyDescent="0.2">
      <c r="A1409" s="1" t="s">
        <v>2463</v>
      </c>
      <c r="B1409" s="2">
        <v>45382</v>
      </c>
      <c r="C1409" s="1" t="s">
        <v>1171</v>
      </c>
      <c r="D1409" s="1" t="s">
        <v>1172</v>
      </c>
      <c r="E1409" s="1" t="s">
        <v>34</v>
      </c>
      <c r="F1409" s="1" t="s">
        <v>324</v>
      </c>
      <c r="G1409" s="1" t="s">
        <v>325</v>
      </c>
      <c r="H1409" s="1" t="s">
        <v>24</v>
      </c>
      <c r="I1409">
        <v>80410</v>
      </c>
      <c r="J1409" s="3">
        <v>29.16</v>
      </c>
      <c r="K1409" s="3">
        <v>2344755.6</v>
      </c>
    </row>
    <row r="1410" spans="1:11" x14ac:dyDescent="0.2">
      <c r="A1410" s="1" t="s">
        <v>2464</v>
      </c>
      <c r="B1410" s="2">
        <v>45449</v>
      </c>
      <c r="C1410" s="1" t="s">
        <v>1426</v>
      </c>
      <c r="D1410" s="1" t="s">
        <v>1427</v>
      </c>
      <c r="E1410" s="1" t="s">
        <v>28</v>
      </c>
      <c r="F1410" s="1" t="s">
        <v>273</v>
      </c>
      <c r="G1410" s="1" t="s">
        <v>274</v>
      </c>
      <c r="H1410" s="1" t="s">
        <v>24</v>
      </c>
      <c r="I1410">
        <v>82991</v>
      </c>
      <c r="J1410" s="3">
        <v>48.63</v>
      </c>
      <c r="K1410" s="3">
        <v>4035852.33</v>
      </c>
    </row>
    <row r="1411" spans="1:11" x14ac:dyDescent="0.2">
      <c r="A1411" s="1" t="s">
        <v>2465</v>
      </c>
      <c r="B1411" s="2">
        <v>45557</v>
      </c>
      <c r="C1411" s="1" t="s">
        <v>913</v>
      </c>
      <c r="D1411" s="1" t="s">
        <v>914</v>
      </c>
      <c r="E1411" s="1" t="s">
        <v>37</v>
      </c>
      <c r="F1411" s="1" t="s">
        <v>324</v>
      </c>
      <c r="G1411" s="1" t="s">
        <v>325</v>
      </c>
      <c r="H1411" s="1" t="s">
        <v>24</v>
      </c>
      <c r="I1411">
        <v>21005</v>
      </c>
      <c r="J1411" s="3">
        <v>25.26</v>
      </c>
      <c r="K1411" s="3">
        <v>530586.30000000005</v>
      </c>
    </row>
    <row r="1412" spans="1:11" x14ac:dyDescent="0.2">
      <c r="A1412" s="1" t="s">
        <v>2466</v>
      </c>
      <c r="B1412" s="2">
        <v>45337</v>
      </c>
      <c r="C1412" s="1" t="s">
        <v>2467</v>
      </c>
      <c r="D1412" s="1" t="s">
        <v>2468</v>
      </c>
      <c r="E1412" s="1" t="s">
        <v>37</v>
      </c>
      <c r="F1412" s="1" t="s">
        <v>52</v>
      </c>
      <c r="G1412" s="1" t="s">
        <v>53</v>
      </c>
      <c r="H1412" s="1" t="s">
        <v>17</v>
      </c>
      <c r="I1412">
        <v>28828</v>
      </c>
      <c r="J1412" s="3">
        <v>11.1</v>
      </c>
      <c r="K1412" s="3">
        <v>319990.8</v>
      </c>
    </row>
    <row r="1413" spans="1:11" x14ac:dyDescent="0.2">
      <c r="A1413" s="1" t="s">
        <v>2469</v>
      </c>
      <c r="B1413" s="2">
        <v>45663</v>
      </c>
      <c r="C1413" s="1" t="s">
        <v>310</v>
      </c>
      <c r="D1413" s="1" t="s">
        <v>311</v>
      </c>
      <c r="E1413" s="1" t="s">
        <v>37</v>
      </c>
      <c r="F1413" s="1" t="s">
        <v>103</v>
      </c>
      <c r="G1413" s="1" t="s">
        <v>104</v>
      </c>
      <c r="H1413" s="1" t="s">
        <v>37</v>
      </c>
      <c r="I1413">
        <v>41414</v>
      </c>
      <c r="J1413" s="3">
        <v>3.98</v>
      </c>
      <c r="K1413" s="3">
        <v>164827.72</v>
      </c>
    </row>
    <row r="1414" spans="1:11" x14ac:dyDescent="0.2">
      <c r="A1414" s="1" t="s">
        <v>2470</v>
      </c>
      <c r="B1414" s="2">
        <v>45868</v>
      </c>
      <c r="C1414" s="1" t="s">
        <v>672</v>
      </c>
      <c r="D1414" s="1" t="s">
        <v>673</v>
      </c>
      <c r="E1414" s="1" t="s">
        <v>21</v>
      </c>
      <c r="F1414" s="1" t="s">
        <v>237</v>
      </c>
      <c r="G1414" s="1" t="s">
        <v>238</v>
      </c>
      <c r="H1414" s="1" t="s">
        <v>17</v>
      </c>
      <c r="I1414">
        <v>62577</v>
      </c>
      <c r="J1414" s="3">
        <v>45.16</v>
      </c>
      <c r="K1414" s="3">
        <v>2825977.32</v>
      </c>
    </row>
    <row r="1415" spans="1:11" x14ac:dyDescent="0.2">
      <c r="A1415" s="1" t="s">
        <v>2471</v>
      </c>
      <c r="B1415" s="2">
        <v>45483</v>
      </c>
      <c r="C1415" s="1" t="s">
        <v>2472</v>
      </c>
      <c r="D1415" s="1" t="s">
        <v>2473</v>
      </c>
      <c r="E1415" s="1" t="s">
        <v>28</v>
      </c>
      <c r="F1415" s="1" t="s">
        <v>339</v>
      </c>
      <c r="G1415" s="1" t="s">
        <v>340</v>
      </c>
      <c r="H1415" s="1" t="s">
        <v>24</v>
      </c>
      <c r="I1415">
        <v>96418</v>
      </c>
      <c r="J1415" s="3">
        <v>46.19</v>
      </c>
      <c r="K1415" s="3">
        <v>4453547.42</v>
      </c>
    </row>
    <row r="1416" spans="1:11" x14ac:dyDescent="0.2">
      <c r="A1416" s="1" t="s">
        <v>2474</v>
      </c>
      <c r="B1416" s="2">
        <v>45455</v>
      </c>
      <c r="C1416" s="1" t="s">
        <v>397</v>
      </c>
      <c r="D1416" s="1" t="s">
        <v>398</v>
      </c>
      <c r="E1416" s="1" t="s">
        <v>34</v>
      </c>
      <c r="F1416" s="1" t="s">
        <v>139</v>
      </c>
      <c r="G1416" s="1" t="s">
        <v>140</v>
      </c>
      <c r="H1416" s="1" t="s">
        <v>24</v>
      </c>
      <c r="I1416">
        <v>7295</v>
      </c>
      <c r="J1416" s="3">
        <v>18.13</v>
      </c>
      <c r="K1416" s="3">
        <v>132258.35</v>
      </c>
    </row>
    <row r="1417" spans="1:11" x14ac:dyDescent="0.2">
      <c r="A1417" s="1" t="s">
        <v>2475</v>
      </c>
      <c r="B1417" s="2">
        <v>45745</v>
      </c>
      <c r="C1417" s="1" t="s">
        <v>1460</v>
      </c>
      <c r="D1417" s="1" t="s">
        <v>1461</v>
      </c>
      <c r="E1417" s="1" t="s">
        <v>37</v>
      </c>
      <c r="F1417" s="1" t="s">
        <v>552</v>
      </c>
      <c r="G1417" s="1" t="s">
        <v>553</v>
      </c>
      <c r="H1417" s="1" t="s">
        <v>37</v>
      </c>
      <c r="I1417">
        <v>71820</v>
      </c>
      <c r="J1417" s="3">
        <v>13.38</v>
      </c>
      <c r="K1417" s="3">
        <v>960951.6</v>
      </c>
    </row>
    <row r="1418" spans="1:11" x14ac:dyDescent="0.2">
      <c r="A1418" s="1" t="s">
        <v>2476</v>
      </c>
      <c r="B1418" s="2">
        <v>45761</v>
      </c>
      <c r="C1418" s="1" t="s">
        <v>168</v>
      </c>
      <c r="D1418" s="1" t="s">
        <v>169</v>
      </c>
      <c r="E1418" s="1" t="s">
        <v>21</v>
      </c>
      <c r="F1418" s="1" t="s">
        <v>15</v>
      </c>
      <c r="G1418" s="1" t="s">
        <v>16</v>
      </c>
      <c r="H1418" s="1" t="s">
        <v>17</v>
      </c>
      <c r="I1418">
        <v>63691</v>
      </c>
      <c r="J1418" s="3">
        <v>20.64</v>
      </c>
      <c r="K1418" s="3">
        <v>1314582.24</v>
      </c>
    </row>
    <row r="1419" spans="1:11" x14ac:dyDescent="0.2">
      <c r="A1419" s="1" t="s">
        <v>2477</v>
      </c>
      <c r="B1419" s="2">
        <v>45542</v>
      </c>
      <c r="C1419" s="1" t="s">
        <v>2478</v>
      </c>
      <c r="D1419" s="1" t="s">
        <v>2479</v>
      </c>
      <c r="E1419" s="1" t="s">
        <v>37</v>
      </c>
      <c r="F1419" s="1" t="s">
        <v>474</v>
      </c>
      <c r="G1419" s="1" t="s">
        <v>475</v>
      </c>
      <c r="H1419" s="1" t="s">
        <v>48</v>
      </c>
      <c r="I1419">
        <v>72899</v>
      </c>
      <c r="J1419" s="3">
        <v>10.37</v>
      </c>
      <c r="K1419" s="3">
        <v>755962.63</v>
      </c>
    </row>
    <row r="1420" spans="1:11" x14ac:dyDescent="0.2">
      <c r="A1420" s="1" t="s">
        <v>2480</v>
      </c>
      <c r="B1420" s="2">
        <v>45705</v>
      </c>
      <c r="C1420" s="1" t="s">
        <v>2481</v>
      </c>
      <c r="D1420" s="1" t="s">
        <v>2482</v>
      </c>
      <c r="E1420" s="1" t="s">
        <v>21</v>
      </c>
      <c r="F1420" s="1" t="s">
        <v>152</v>
      </c>
      <c r="G1420" s="1" t="s">
        <v>153</v>
      </c>
      <c r="H1420" s="1" t="s">
        <v>17</v>
      </c>
      <c r="I1420">
        <v>15440</v>
      </c>
      <c r="J1420" s="3">
        <v>7.69</v>
      </c>
      <c r="K1420" s="3">
        <v>118733.6</v>
      </c>
    </row>
    <row r="1421" spans="1:11" x14ac:dyDescent="0.2">
      <c r="A1421" s="1" t="s">
        <v>2483</v>
      </c>
      <c r="B1421" s="2">
        <v>45814</v>
      </c>
      <c r="C1421" s="1" t="s">
        <v>1867</v>
      </c>
      <c r="D1421" s="1" t="s">
        <v>1868</v>
      </c>
      <c r="E1421" s="1" t="s">
        <v>28</v>
      </c>
      <c r="F1421" s="1" t="s">
        <v>113</v>
      </c>
      <c r="G1421" s="1" t="s">
        <v>114</v>
      </c>
      <c r="H1421" s="1" t="s">
        <v>37</v>
      </c>
      <c r="I1421">
        <v>4492</v>
      </c>
      <c r="J1421" s="3">
        <v>43.07</v>
      </c>
      <c r="K1421" s="3">
        <v>193470.44</v>
      </c>
    </row>
    <row r="1422" spans="1:11" x14ac:dyDescent="0.2">
      <c r="A1422" s="1" t="s">
        <v>2484</v>
      </c>
      <c r="B1422" s="2">
        <v>45527</v>
      </c>
      <c r="C1422" s="1" t="s">
        <v>382</v>
      </c>
      <c r="D1422" s="1" t="s">
        <v>383</v>
      </c>
      <c r="E1422" s="1" t="s">
        <v>34</v>
      </c>
      <c r="F1422" s="1" t="s">
        <v>35</v>
      </c>
      <c r="G1422" s="1" t="s">
        <v>36</v>
      </c>
      <c r="H1422" s="1" t="s">
        <v>37</v>
      </c>
      <c r="I1422">
        <v>30290</v>
      </c>
      <c r="J1422" s="3">
        <v>22.3</v>
      </c>
      <c r="K1422" s="3">
        <v>675467</v>
      </c>
    </row>
    <row r="1423" spans="1:11" x14ac:dyDescent="0.2">
      <c r="A1423" s="1" t="s">
        <v>2485</v>
      </c>
      <c r="B1423" s="2">
        <v>45619</v>
      </c>
      <c r="C1423" s="1" t="s">
        <v>2121</v>
      </c>
      <c r="D1423" s="1" t="s">
        <v>2122</v>
      </c>
      <c r="E1423" s="1" t="s">
        <v>34</v>
      </c>
      <c r="F1423" s="1" t="s">
        <v>195</v>
      </c>
      <c r="G1423" s="1" t="s">
        <v>196</v>
      </c>
      <c r="H1423" s="1" t="s">
        <v>48</v>
      </c>
      <c r="I1423">
        <v>43293</v>
      </c>
      <c r="J1423" s="3">
        <v>49.16</v>
      </c>
      <c r="K1423" s="3">
        <v>2128283.88</v>
      </c>
    </row>
    <row r="1424" spans="1:11" x14ac:dyDescent="0.2">
      <c r="A1424" s="1" t="s">
        <v>2486</v>
      </c>
      <c r="B1424" s="2">
        <v>45616</v>
      </c>
      <c r="C1424" s="1" t="s">
        <v>1797</v>
      </c>
      <c r="D1424" s="1" t="s">
        <v>1798</v>
      </c>
      <c r="E1424" s="1" t="s">
        <v>37</v>
      </c>
      <c r="F1424" s="1" t="s">
        <v>41</v>
      </c>
      <c r="G1424" s="1" t="s">
        <v>42</v>
      </c>
      <c r="H1424" s="1" t="s">
        <v>24</v>
      </c>
      <c r="I1424">
        <v>93951</v>
      </c>
      <c r="J1424" s="3">
        <v>28.92</v>
      </c>
      <c r="K1424" s="3">
        <v>2717062.92</v>
      </c>
    </row>
    <row r="1425" spans="1:11" x14ac:dyDescent="0.2">
      <c r="A1425" s="1" t="s">
        <v>2487</v>
      </c>
      <c r="B1425" s="2">
        <v>45512</v>
      </c>
      <c r="C1425" s="1" t="s">
        <v>883</v>
      </c>
      <c r="D1425" s="1" t="s">
        <v>884</v>
      </c>
      <c r="E1425" s="1" t="s">
        <v>37</v>
      </c>
      <c r="F1425" s="1" t="s">
        <v>324</v>
      </c>
      <c r="G1425" s="1" t="s">
        <v>325</v>
      </c>
      <c r="H1425" s="1" t="s">
        <v>24</v>
      </c>
      <c r="I1425">
        <v>40483</v>
      </c>
      <c r="J1425" s="3">
        <v>29.01</v>
      </c>
      <c r="K1425" s="3">
        <v>1174411.83</v>
      </c>
    </row>
    <row r="1426" spans="1:11" x14ac:dyDescent="0.2">
      <c r="A1426" s="1" t="s">
        <v>2488</v>
      </c>
      <c r="B1426" s="2">
        <v>45969</v>
      </c>
      <c r="C1426" s="1" t="s">
        <v>923</v>
      </c>
      <c r="D1426" s="1" t="s">
        <v>924</v>
      </c>
      <c r="E1426" s="1" t="s">
        <v>37</v>
      </c>
      <c r="F1426" s="1" t="s">
        <v>15</v>
      </c>
      <c r="G1426" s="1" t="s">
        <v>16</v>
      </c>
      <c r="H1426" s="1" t="s">
        <v>17</v>
      </c>
      <c r="I1426">
        <v>22413</v>
      </c>
      <c r="J1426" s="3">
        <v>26.85</v>
      </c>
      <c r="K1426" s="3">
        <v>601789.05000000005</v>
      </c>
    </row>
    <row r="1427" spans="1:11" x14ac:dyDescent="0.2">
      <c r="A1427" s="1" t="s">
        <v>2489</v>
      </c>
      <c r="B1427" s="2">
        <v>45595</v>
      </c>
      <c r="C1427" s="1" t="s">
        <v>838</v>
      </c>
      <c r="D1427" s="1" t="s">
        <v>839</v>
      </c>
      <c r="E1427" s="1" t="s">
        <v>28</v>
      </c>
      <c r="F1427" s="1" t="s">
        <v>436</v>
      </c>
      <c r="G1427" s="1" t="s">
        <v>437</v>
      </c>
      <c r="H1427" s="1" t="s">
        <v>24</v>
      </c>
      <c r="I1427">
        <v>47785</v>
      </c>
      <c r="J1427" s="3">
        <v>49.04</v>
      </c>
      <c r="K1427" s="3">
        <v>2343376.4</v>
      </c>
    </row>
    <row r="1428" spans="1:11" x14ac:dyDescent="0.2">
      <c r="A1428" s="1" t="s">
        <v>2490</v>
      </c>
      <c r="B1428" s="2">
        <v>45459</v>
      </c>
      <c r="C1428" s="1" t="s">
        <v>1789</v>
      </c>
      <c r="D1428" s="1" t="s">
        <v>1790</v>
      </c>
      <c r="E1428" s="1" t="s">
        <v>21</v>
      </c>
      <c r="F1428" s="1" t="s">
        <v>273</v>
      </c>
      <c r="G1428" s="1" t="s">
        <v>274</v>
      </c>
      <c r="H1428" s="1" t="s">
        <v>24</v>
      </c>
      <c r="I1428">
        <v>86970</v>
      </c>
      <c r="J1428" s="3">
        <v>11.59</v>
      </c>
      <c r="K1428" s="3">
        <v>1007982.3</v>
      </c>
    </row>
    <row r="1429" spans="1:11" x14ac:dyDescent="0.2">
      <c r="A1429" s="1" t="s">
        <v>2491</v>
      </c>
      <c r="B1429" s="2">
        <v>45793</v>
      </c>
      <c r="C1429" s="1" t="s">
        <v>1125</v>
      </c>
      <c r="D1429" s="1" t="s">
        <v>1126</v>
      </c>
      <c r="E1429" s="1" t="s">
        <v>21</v>
      </c>
      <c r="F1429" s="1" t="s">
        <v>284</v>
      </c>
      <c r="G1429" s="1" t="s">
        <v>285</v>
      </c>
      <c r="H1429" s="1" t="s">
        <v>37</v>
      </c>
      <c r="I1429">
        <v>59510</v>
      </c>
      <c r="J1429" s="3">
        <v>39.97</v>
      </c>
      <c r="K1429" s="3">
        <v>2378614.7000000002</v>
      </c>
    </row>
    <row r="1430" spans="1:11" x14ac:dyDescent="0.2">
      <c r="A1430" s="1" t="s">
        <v>2492</v>
      </c>
      <c r="B1430" s="2">
        <v>45977</v>
      </c>
      <c r="C1430" s="1" t="s">
        <v>1708</v>
      </c>
      <c r="D1430" s="1" t="s">
        <v>1709</v>
      </c>
      <c r="E1430" s="1" t="s">
        <v>14</v>
      </c>
      <c r="F1430" s="1" t="s">
        <v>324</v>
      </c>
      <c r="G1430" s="1" t="s">
        <v>325</v>
      </c>
      <c r="H1430" s="1" t="s">
        <v>24</v>
      </c>
      <c r="I1430">
        <v>4876</v>
      </c>
      <c r="J1430" s="3">
        <v>31.1</v>
      </c>
      <c r="K1430" s="3">
        <v>151643.6</v>
      </c>
    </row>
    <row r="1431" spans="1:11" x14ac:dyDescent="0.2">
      <c r="A1431" s="1" t="s">
        <v>2493</v>
      </c>
      <c r="B1431" s="2">
        <v>45883</v>
      </c>
      <c r="C1431" s="1" t="s">
        <v>451</v>
      </c>
      <c r="D1431" s="1" t="s">
        <v>452</v>
      </c>
      <c r="E1431" s="1" t="s">
        <v>28</v>
      </c>
      <c r="F1431" s="1" t="s">
        <v>76</v>
      </c>
      <c r="G1431" s="1" t="s">
        <v>77</v>
      </c>
      <c r="H1431" s="1" t="s">
        <v>48</v>
      </c>
      <c r="I1431">
        <v>46070</v>
      </c>
      <c r="J1431" s="3">
        <v>23.25</v>
      </c>
      <c r="K1431" s="3">
        <v>1071127.5</v>
      </c>
    </row>
    <row r="1432" spans="1:11" x14ac:dyDescent="0.2">
      <c r="A1432" s="1" t="s">
        <v>2494</v>
      </c>
      <c r="B1432" s="2">
        <v>45439</v>
      </c>
      <c r="C1432" s="1" t="s">
        <v>1113</v>
      </c>
      <c r="D1432" s="1" t="s">
        <v>1114</v>
      </c>
      <c r="E1432" s="1" t="s">
        <v>14</v>
      </c>
      <c r="F1432" s="1" t="s">
        <v>70</v>
      </c>
      <c r="G1432" s="1" t="s">
        <v>71</v>
      </c>
      <c r="H1432" s="1" t="s">
        <v>72</v>
      </c>
      <c r="I1432">
        <v>70667</v>
      </c>
      <c r="J1432" s="3">
        <v>35.69</v>
      </c>
      <c r="K1432" s="3">
        <v>2522105.23</v>
      </c>
    </row>
    <row r="1433" spans="1:11" x14ac:dyDescent="0.2">
      <c r="A1433" s="1" t="s">
        <v>2495</v>
      </c>
      <c r="B1433" s="2">
        <v>45567</v>
      </c>
      <c r="C1433" s="1" t="s">
        <v>1643</v>
      </c>
      <c r="D1433" s="1" t="s">
        <v>1644</v>
      </c>
      <c r="E1433" s="1" t="s">
        <v>28</v>
      </c>
      <c r="F1433" s="1" t="s">
        <v>81</v>
      </c>
      <c r="G1433" s="1" t="s">
        <v>82</v>
      </c>
      <c r="H1433" s="1" t="s">
        <v>72</v>
      </c>
      <c r="I1433">
        <v>46343</v>
      </c>
      <c r="J1433" s="3">
        <v>34.369999999999997</v>
      </c>
      <c r="K1433" s="3">
        <v>1592808.91</v>
      </c>
    </row>
    <row r="1434" spans="1:11" x14ac:dyDescent="0.2">
      <c r="A1434" s="1" t="s">
        <v>2496</v>
      </c>
      <c r="B1434" s="2">
        <v>45721</v>
      </c>
      <c r="C1434" s="1" t="s">
        <v>639</v>
      </c>
      <c r="D1434" s="1" t="s">
        <v>640</v>
      </c>
      <c r="E1434" s="1" t="s">
        <v>28</v>
      </c>
      <c r="F1434" s="1" t="s">
        <v>57</v>
      </c>
      <c r="G1434" s="1" t="s">
        <v>58</v>
      </c>
      <c r="H1434" s="1" t="s">
        <v>48</v>
      </c>
      <c r="I1434">
        <v>56623</v>
      </c>
      <c r="J1434" s="3">
        <v>33.31</v>
      </c>
      <c r="K1434" s="3">
        <v>1886112.13</v>
      </c>
    </row>
    <row r="1435" spans="1:11" x14ac:dyDescent="0.2">
      <c r="A1435" s="1" t="s">
        <v>2497</v>
      </c>
      <c r="B1435" s="2">
        <v>45872</v>
      </c>
      <c r="C1435" s="1" t="s">
        <v>1223</v>
      </c>
      <c r="D1435" s="1" t="s">
        <v>1224</v>
      </c>
      <c r="E1435" s="1" t="s">
        <v>37</v>
      </c>
      <c r="F1435" s="1" t="s">
        <v>57</v>
      </c>
      <c r="G1435" s="1" t="s">
        <v>58</v>
      </c>
      <c r="H1435" s="1" t="s">
        <v>48</v>
      </c>
      <c r="I1435">
        <v>11289</v>
      </c>
      <c r="J1435" s="3">
        <v>27.31</v>
      </c>
      <c r="K1435" s="3">
        <v>308302.59000000003</v>
      </c>
    </row>
    <row r="1436" spans="1:11" x14ac:dyDescent="0.2">
      <c r="A1436" s="1" t="s">
        <v>2498</v>
      </c>
      <c r="B1436" s="2">
        <v>45925</v>
      </c>
      <c r="C1436" s="1" t="s">
        <v>880</v>
      </c>
      <c r="D1436" s="1" t="s">
        <v>881</v>
      </c>
      <c r="E1436" s="1" t="s">
        <v>21</v>
      </c>
      <c r="F1436" s="1" t="s">
        <v>103</v>
      </c>
      <c r="G1436" s="1" t="s">
        <v>104</v>
      </c>
      <c r="H1436" s="1" t="s">
        <v>37</v>
      </c>
      <c r="I1436">
        <v>50705</v>
      </c>
      <c r="J1436" s="3">
        <v>20.309999999999999</v>
      </c>
      <c r="K1436" s="3">
        <v>1029818.55</v>
      </c>
    </row>
    <row r="1437" spans="1:11" x14ac:dyDescent="0.2">
      <c r="A1437" s="1" t="s">
        <v>2499</v>
      </c>
      <c r="B1437" s="2">
        <v>45376</v>
      </c>
      <c r="C1437" s="1" t="s">
        <v>2233</v>
      </c>
      <c r="D1437" s="1" t="s">
        <v>2234</v>
      </c>
      <c r="E1437" s="1" t="s">
        <v>37</v>
      </c>
      <c r="F1437" s="1" t="s">
        <v>41</v>
      </c>
      <c r="G1437" s="1" t="s">
        <v>42</v>
      </c>
      <c r="H1437" s="1" t="s">
        <v>24</v>
      </c>
      <c r="I1437">
        <v>29297</v>
      </c>
      <c r="J1437" s="3">
        <v>39.270000000000003</v>
      </c>
      <c r="K1437" s="3">
        <v>1150493.19</v>
      </c>
    </row>
    <row r="1438" spans="1:11" x14ac:dyDescent="0.2">
      <c r="A1438" s="1" t="s">
        <v>2500</v>
      </c>
      <c r="B1438" s="2">
        <v>45832</v>
      </c>
      <c r="C1438" s="1" t="s">
        <v>1007</v>
      </c>
      <c r="D1438" s="1" t="s">
        <v>1008</v>
      </c>
      <c r="E1438" s="1" t="s">
        <v>37</v>
      </c>
      <c r="F1438" s="1" t="s">
        <v>144</v>
      </c>
      <c r="G1438" s="1" t="s">
        <v>145</v>
      </c>
      <c r="H1438" s="1" t="s">
        <v>24</v>
      </c>
      <c r="I1438">
        <v>23305</v>
      </c>
      <c r="J1438" s="3">
        <v>39.229999999999997</v>
      </c>
      <c r="K1438" s="3">
        <v>914255.15</v>
      </c>
    </row>
    <row r="1439" spans="1:11" x14ac:dyDescent="0.2">
      <c r="A1439" s="1" t="s">
        <v>2501</v>
      </c>
      <c r="B1439" s="2">
        <v>45575</v>
      </c>
      <c r="C1439" s="1" t="s">
        <v>60</v>
      </c>
      <c r="D1439" s="1" t="s">
        <v>61</v>
      </c>
      <c r="E1439" s="1" t="s">
        <v>28</v>
      </c>
      <c r="F1439" s="1" t="s">
        <v>57</v>
      </c>
      <c r="G1439" s="1" t="s">
        <v>58</v>
      </c>
      <c r="H1439" s="1" t="s">
        <v>48</v>
      </c>
      <c r="I1439">
        <v>99665</v>
      </c>
      <c r="J1439" s="3">
        <v>43.25</v>
      </c>
      <c r="K1439" s="3">
        <v>4310511.25</v>
      </c>
    </row>
    <row r="1440" spans="1:11" x14ac:dyDescent="0.2">
      <c r="A1440" s="1" t="s">
        <v>2502</v>
      </c>
      <c r="B1440" s="2">
        <v>45346</v>
      </c>
      <c r="C1440" s="1" t="s">
        <v>1520</v>
      </c>
      <c r="D1440" s="1" t="s">
        <v>1521</v>
      </c>
      <c r="E1440" s="1" t="s">
        <v>37</v>
      </c>
      <c r="F1440" s="1" t="s">
        <v>406</v>
      </c>
      <c r="G1440" s="1" t="s">
        <v>407</v>
      </c>
      <c r="H1440" s="1" t="s">
        <v>17</v>
      </c>
      <c r="I1440">
        <v>95189</v>
      </c>
      <c r="J1440" s="3">
        <v>18.2</v>
      </c>
      <c r="K1440" s="3">
        <v>1732439.8</v>
      </c>
    </row>
    <row r="1441" spans="1:11" x14ac:dyDescent="0.2">
      <c r="A1441" s="1" t="s">
        <v>2503</v>
      </c>
      <c r="B1441" s="2">
        <v>45300</v>
      </c>
      <c r="C1441" s="1" t="s">
        <v>257</v>
      </c>
      <c r="D1441" s="1" t="s">
        <v>258</v>
      </c>
      <c r="E1441" s="1" t="s">
        <v>28</v>
      </c>
      <c r="F1441" s="1" t="s">
        <v>540</v>
      </c>
      <c r="G1441" s="1" t="s">
        <v>541</v>
      </c>
      <c r="H1441" s="1" t="s">
        <v>37</v>
      </c>
      <c r="I1441">
        <v>62334</v>
      </c>
      <c r="J1441" s="3">
        <v>7.84</v>
      </c>
      <c r="K1441" s="3">
        <v>488698.56</v>
      </c>
    </row>
    <row r="1442" spans="1:11" x14ac:dyDescent="0.2">
      <c r="A1442" s="1" t="s">
        <v>2504</v>
      </c>
      <c r="B1442" s="2">
        <v>45527</v>
      </c>
      <c r="C1442" s="1" t="s">
        <v>514</v>
      </c>
      <c r="D1442" s="1" t="s">
        <v>515</v>
      </c>
      <c r="E1442" s="1" t="s">
        <v>28</v>
      </c>
      <c r="F1442" s="1" t="s">
        <v>139</v>
      </c>
      <c r="G1442" s="1" t="s">
        <v>140</v>
      </c>
      <c r="H1442" s="1" t="s">
        <v>24</v>
      </c>
      <c r="I1442">
        <v>92788</v>
      </c>
      <c r="J1442" s="3">
        <v>39.979999999999997</v>
      </c>
      <c r="K1442" s="3">
        <v>3709664.24</v>
      </c>
    </row>
    <row r="1443" spans="1:11" x14ac:dyDescent="0.2">
      <c r="A1443" s="1" t="s">
        <v>2505</v>
      </c>
      <c r="B1443" s="2">
        <v>45310</v>
      </c>
      <c r="C1443" s="1" t="s">
        <v>1949</v>
      </c>
      <c r="D1443" s="1" t="s">
        <v>1950</v>
      </c>
      <c r="E1443" s="1" t="s">
        <v>14</v>
      </c>
      <c r="F1443" s="1" t="s">
        <v>184</v>
      </c>
      <c r="G1443" s="1" t="s">
        <v>185</v>
      </c>
      <c r="H1443" s="1" t="s">
        <v>17</v>
      </c>
      <c r="I1443">
        <v>44093</v>
      </c>
      <c r="J1443" s="3">
        <v>12.67</v>
      </c>
      <c r="K1443" s="3">
        <v>558658.31000000006</v>
      </c>
    </row>
    <row r="1444" spans="1:11" x14ac:dyDescent="0.2">
      <c r="A1444" s="1" t="s">
        <v>2506</v>
      </c>
      <c r="B1444" s="2">
        <v>45384</v>
      </c>
      <c r="C1444" s="1" t="s">
        <v>826</v>
      </c>
      <c r="D1444" s="1" t="s">
        <v>827</v>
      </c>
      <c r="E1444" s="1" t="s">
        <v>37</v>
      </c>
      <c r="F1444" s="1" t="s">
        <v>29</v>
      </c>
      <c r="G1444" s="1" t="s">
        <v>30</v>
      </c>
      <c r="H1444" s="1" t="s">
        <v>24</v>
      </c>
      <c r="I1444">
        <v>3505</v>
      </c>
      <c r="J1444" s="3">
        <v>35.380000000000003</v>
      </c>
      <c r="K1444" s="3">
        <v>124006.9</v>
      </c>
    </row>
    <row r="1445" spans="1:11" x14ac:dyDescent="0.2">
      <c r="A1445" s="1" t="s">
        <v>2507</v>
      </c>
      <c r="B1445" s="2">
        <v>45778</v>
      </c>
      <c r="C1445" s="1" t="s">
        <v>1867</v>
      </c>
      <c r="D1445" s="1" t="s">
        <v>1868</v>
      </c>
      <c r="E1445" s="1" t="s">
        <v>28</v>
      </c>
      <c r="F1445" s="1" t="s">
        <v>324</v>
      </c>
      <c r="G1445" s="1" t="s">
        <v>325</v>
      </c>
      <c r="H1445" s="1" t="s">
        <v>24</v>
      </c>
      <c r="I1445">
        <v>21231</v>
      </c>
      <c r="J1445" s="3">
        <v>4.28</v>
      </c>
      <c r="K1445" s="3">
        <v>90868.68</v>
      </c>
    </row>
    <row r="1446" spans="1:11" x14ac:dyDescent="0.2">
      <c r="A1446" s="1" t="s">
        <v>2508</v>
      </c>
      <c r="B1446" s="2">
        <v>45348</v>
      </c>
      <c r="C1446" s="1" t="s">
        <v>857</v>
      </c>
      <c r="D1446" s="1" t="s">
        <v>858</v>
      </c>
      <c r="E1446" s="1" t="s">
        <v>34</v>
      </c>
      <c r="F1446" s="1" t="s">
        <v>412</v>
      </c>
      <c r="G1446" s="1" t="s">
        <v>413</v>
      </c>
      <c r="H1446" s="1" t="s">
        <v>72</v>
      </c>
      <c r="I1446">
        <v>12468</v>
      </c>
      <c r="J1446" s="3">
        <v>45.61</v>
      </c>
      <c r="K1446" s="3">
        <v>568665.48</v>
      </c>
    </row>
    <row r="1447" spans="1:11" x14ac:dyDescent="0.2">
      <c r="A1447" s="1" t="s">
        <v>2509</v>
      </c>
      <c r="B1447" s="2">
        <v>45367</v>
      </c>
      <c r="C1447" s="1" t="s">
        <v>1757</v>
      </c>
      <c r="D1447" s="1" t="s">
        <v>1758</v>
      </c>
      <c r="E1447" s="1" t="s">
        <v>37</v>
      </c>
      <c r="F1447" s="1" t="s">
        <v>70</v>
      </c>
      <c r="G1447" s="1" t="s">
        <v>71</v>
      </c>
      <c r="H1447" s="1" t="s">
        <v>72</v>
      </c>
      <c r="I1447">
        <v>50891</v>
      </c>
      <c r="J1447" s="3">
        <v>34.79</v>
      </c>
      <c r="K1447" s="3">
        <v>1770497.89</v>
      </c>
    </row>
    <row r="1448" spans="1:11" x14ac:dyDescent="0.2">
      <c r="A1448" s="1" t="s">
        <v>2510</v>
      </c>
      <c r="B1448" s="2">
        <v>45548</v>
      </c>
      <c r="C1448" s="1" t="s">
        <v>573</v>
      </c>
      <c r="D1448" s="1" t="s">
        <v>574</v>
      </c>
      <c r="E1448" s="1" t="s">
        <v>14</v>
      </c>
      <c r="F1448" s="1" t="s">
        <v>324</v>
      </c>
      <c r="G1448" s="1" t="s">
        <v>325</v>
      </c>
      <c r="H1448" s="1" t="s">
        <v>24</v>
      </c>
      <c r="I1448">
        <v>40665</v>
      </c>
      <c r="J1448" s="3">
        <v>21.66</v>
      </c>
      <c r="K1448" s="3">
        <v>880803.9</v>
      </c>
    </row>
    <row r="1449" spans="1:11" x14ac:dyDescent="0.2">
      <c r="A1449" s="1" t="s">
        <v>2511</v>
      </c>
      <c r="B1449" s="2">
        <v>45342</v>
      </c>
      <c r="C1449" s="1" t="s">
        <v>1247</v>
      </c>
      <c r="D1449" s="1" t="s">
        <v>1248</v>
      </c>
      <c r="E1449" s="1" t="s">
        <v>28</v>
      </c>
      <c r="F1449" s="1" t="s">
        <v>103</v>
      </c>
      <c r="G1449" s="1" t="s">
        <v>104</v>
      </c>
      <c r="H1449" s="1" t="s">
        <v>37</v>
      </c>
      <c r="I1449">
        <v>87070</v>
      </c>
      <c r="J1449" s="3">
        <v>13.67</v>
      </c>
      <c r="K1449" s="3">
        <v>1190246.8999999999</v>
      </c>
    </row>
    <row r="1450" spans="1:11" x14ac:dyDescent="0.2">
      <c r="A1450" s="1" t="s">
        <v>2512</v>
      </c>
      <c r="B1450" s="2">
        <v>45861</v>
      </c>
      <c r="C1450" s="1" t="s">
        <v>826</v>
      </c>
      <c r="D1450" s="1" t="s">
        <v>827</v>
      </c>
      <c r="E1450" s="1" t="s">
        <v>37</v>
      </c>
      <c r="F1450" s="1" t="s">
        <v>324</v>
      </c>
      <c r="G1450" s="1" t="s">
        <v>325</v>
      </c>
      <c r="H1450" s="1" t="s">
        <v>24</v>
      </c>
      <c r="I1450">
        <v>16253</v>
      </c>
      <c r="J1450" s="3">
        <v>25.96</v>
      </c>
      <c r="K1450" s="3">
        <v>421927.88</v>
      </c>
    </row>
    <row r="1451" spans="1:11" x14ac:dyDescent="0.2">
      <c r="A1451" s="1" t="s">
        <v>2513</v>
      </c>
      <c r="B1451" s="2">
        <v>45306</v>
      </c>
      <c r="C1451" s="1" t="s">
        <v>1541</v>
      </c>
      <c r="D1451" s="1" t="s">
        <v>1542</v>
      </c>
      <c r="E1451" s="1" t="s">
        <v>37</v>
      </c>
      <c r="F1451" s="1" t="s">
        <v>263</v>
      </c>
      <c r="G1451" s="1" t="s">
        <v>264</v>
      </c>
      <c r="H1451" s="1" t="s">
        <v>17</v>
      </c>
      <c r="I1451">
        <v>22959</v>
      </c>
      <c r="J1451" s="3">
        <v>10.28</v>
      </c>
      <c r="K1451" s="3">
        <v>236018.52</v>
      </c>
    </row>
    <row r="1452" spans="1:11" x14ac:dyDescent="0.2">
      <c r="A1452" s="1" t="s">
        <v>2514</v>
      </c>
      <c r="B1452" s="2">
        <v>45618</v>
      </c>
      <c r="C1452" s="1" t="s">
        <v>1292</v>
      </c>
      <c r="D1452" s="1" t="s">
        <v>1293</v>
      </c>
      <c r="E1452" s="1" t="s">
        <v>21</v>
      </c>
      <c r="F1452" s="1" t="s">
        <v>273</v>
      </c>
      <c r="G1452" s="1" t="s">
        <v>274</v>
      </c>
      <c r="H1452" s="1" t="s">
        <v>24</v>
      </c>
      <c r="I1452">
        <v>2418</v>
      </c>
      <c r="J1452" s="3">
        <v>45.93</v>
      </c>
      <c r="K1452" s="3">
        <v>111058.74</v>
      </c>
    </row>
    <row r="1453" spans="1:11" x14ac:dyDescent="0.2">
      <c r="A1453" s="1" t="s">
        <v>2515</v>
      </c>
      <c r="B1453" s="2">
        <v>45815</v>
      </c>
      <c r="C1453" s="1" t="s">
        <v>546</v>
      </c>
      <c r="D1453" s="1" t="s">
        <v>547</v>
      </c>
      <c r="E1453" s="1" t="s">
        <v>34</v>
      </c>
      <c r="F1453" s="1" t="s">
        <v>273</v>
      </c>
      <c r="G1453" s="1" t="s">
        <v>274</v>
      </c>
      <c r="H1453" s="1" t="s">
        <v>24</v>
      </c>
      <c r="I1453">
        <v>37646</v>
      </c>
      <c r="J1453" s="3">
        <v>36.299999999999997</v>
      </c>
      <c r="K1453" s="3">
        <v>1366549.8</v>
      </c>
    </row>
    <row r="1454" spans="1:11" x14ac:dyDescent="0.2">
      <c r="A1454" s="1" t="s">
        <v>2516</v>
      </c>
      <c r="B1454" s="2">
        <v>45892</v>
      </c>
      <c r="C1454" s="1" t="s">
        <v>1591</v>
      </c>
      <c r="D1454" s="1" t="s">
        <v>1592</v>
      </c>
      <c r="E1454" s="1" t="s">
        <v>34</v>
      </c>
      <c r="F1454" s="1" t="s">
        <v>406</v>
      </c>
      <c r="G1454" s="1" t="s">
        <v>407</v>
      </c>
      <c r="H1454" s="1" t="s">
        <v>17</v>
      </c>
      <c r="I1454">
        <v>42792</v>
      </c>
      <c r="J1454" s="3">
        <v>33.92</v>
      </c>
      <c r="K1454" s="3">
        <v>1451504.6399999999</v>
      </c>
    </row>
    <row r="1455" spans="1:11" x14ac:dyDescent="0.2">
      <c r="A1455" s="1" t="s">
        <v>2517</v>
      </c>
      <c r="B1455" s="2">
        <v>45515</v>
      </c>
      <c r="C1455" s="1" t="s">
        <v>93</v>
      </c>
      <c r="D1455" s="1" t="s">
        <v>94</v>
      </c>
      <c r="E1455" s="1" t="s">
        <v>34</v>
      </c>
      <c r="F1455" s="1" t="s">
        <v>139</v>
      </c>
      <c r="G1455" s="1" t="s">
        <v>140</v>
      </c>
      <c r="H1455" s="1" t="s">
        <v>24</v>
      </c>
      <c r="I1455">
        <v>42204</v>
      </c>
      <c r="J1455" s="3">
        <v>45.24</v>
      </c>
      <c r="K1455" s="3">
        <v>1909308.96</v>
      </c>
    </row>
    <row r="1456" spans="1:11" x14ac:dyDescent="0.2">
      <c r="A1456" s="1" t="s">
        <v>2518</v>
      </c>
      <c r="B1456" s="2">
        <v>45803</v>
      </c>
      <c r="C1456" s="1" t="s">
        <v>2293</v>
      </c>
      <c r="D1456" s="1" t="s">
        <v>2294</v>
      </c>
      <c r="E1456" s="1" t="s">
        <v>34</v>
      </c>
      <c r="F1456" s="1" t="s">
        <v>70</v>
      </c>
      <c r="G1456" s="1" t="s">
        <v>71</v>
      </c>
      <c r="H1456" s="1" t="s">
        <v>72</v>
      </c>
      <c r="I1456">
        <v>99158</v>
      </c>
      <c r="J1456" s="3">
        <v>33.4</v>
      </c>
      <c r="K1456" s="3">
        <v>3311877.2</v>
      </c>
    </row>
    <row r="1457" spans="1:11" x14ac:dyDescent="0.2">
      <c r="A1457" s="1" t="s">
        <v>2519</v>
      </c>
      <c r="B1457" s="2">
        <v>45313</v>
      </c>
      <c r="C1457" s="1" t="s">
        <v>1211</v>
      </c>
      <c r="D1457" s="1" t="s">
        <v>1212</v>
      </c>
      <c r="E1457" s="1" t="s">
        <v>37</v>
      </c>
      <c r="F1457" s="1" t="s">
        <v>458</v>
      </c>
      <c r="G1457" s="1" t="s">
        <v>459</v>
      </c>
      <c r="H1457" s="1" t="s">
        <v>72</v>
      </c>
      <c r="I1457">
        <v>67111</v>
      </c>
      <c r="J1457" s="3">
        <v>17.86</v>
      </c>
      <c r="K1457" s="3">
        <v>1198602.46</v>
      </c>
    </row>
    <row r="1458" spans="1:11" x14ac:dyDescent="0.2">
      <c r="A1458" s="1" t="s">
        <v>2520</v>
      </c>
      <c r="B1458" s="2">
        <v>45907</v>
      </c>
      <c r="C1458" s="1" t="s">
        <v>643</v>
      </c>
      <c r="D1458" s="1" t="s">
        <v>644</v>
      </c>
      <c r="E1458" s="1" t="s">
        <v>37</v>
      </c>
      <c r="F1458" s="1" t="s">
        <v>203</v>
      </c>
      <c r="G1458" s="1" t="s">
        <v>204</v>
      </c>
      <c r="H1458" s="1" t="s">
        <v>72</v>
      </c>
      <c r="I1458">
        <v>12081</v>
      </c>
      <c r="J1458" s="3">
        <v>33.409999999999997</v>
      </c>
      <c r="K1458" s="3">
        <v>403626.21</v>
      </c>
    </row>
    <row r="1459" spans="1:11" x14ac:dyDescent="0.2">
      <c r="A1459" s="1" t="s">
        <v>2521</v>
      </c>
      <c r="B1459" s="2">
        <v>45785</v>
      </c>
      <c r="C1459" s="1" t="s">
        <v>1652</v>
      </c>
      <c r="D1459" s="1" t="s">
        <v>1653</v>
      </c>
      <c r="E1459" s="1" t="s">
        <v>28</v>
      </c>
      <c r="F1459" s="1" t="s">
        <v>339</v>
      </c>
      <c r="G1459" s="1" t="s">
        <v>340</v>
      </c>
      <c r="H1459" s="1" t="s">
        <v>24</v>
      </c>
      <c r="I1459">
        <v>56981</v>
      </c>
      <c r="J1459" s="3">
        <v>25.89</v>
      </c>
      <c r="K1459" s="3">
        <v>1475238.09</v>
      </c>
    </row>
    <row r="1460" spans="1:11" x14ac:dyDescent="0.2">
      <c r="A1460" s="1" t="s">
        <v>2522</v>
      </c>
      <c r="B1460" s="2">
        <v>45403</v>
      </c>
      <c r="C1460" s="1" t="s">
        <v>1640</v>
      </c>
      <c r="D1460" s="1" t="s">
        <v>1641</v>
      </c>
      <c r="E1460" s="1" t="s">
        <v>28</v>
      </c>
      <c r="F1460" s="1" t="s">
        <v>552</v>
      </c>
      <c r="G1460" s="1" t="s">
        <v>553</v>
      </c>
      <c r="H1460" s="1" t="s">
        <v>37</v>
      </c>
      <c r="I1460">
        <v>50505</v>
      </c>
      <c r="J1460" s="3">
        <v>20.43</v>
      </c>
      <c r="K1460" s="3">
        <v>1031817.15</v>
      </c>
    </row>
    <row r="1461" spans="1:11" x14ac:dyDescent="0.2">
      <c r="A1461" s="1" t="s">
        <v>2523</v>
      </c>
      <c r="B1461" s="2">
        <v>45535</v>
      </c>
      <c r="C1461" s="1" t="s">
        <v>2273</v>
      </c>
      <c r="D1461" s="1" t="s">
        <v>2274</v>
      </c>
      <c r="E1461" s="1" t="s">
        <v>28</v>
      </c>
      <c r="F1461" s="1" t="s">
        <v>98</v>
      </c>
      <c r="G1461" s="1" t="s">
        <v>99</v>
      </c>
      <c r="H1461" s="1" t="s">
        <v>72</v>
      </c>
      <c r="I1461">
        <v>42914</v>
      </c>
      <c r="J1461" s="3">
        <v>9.8800000000000008</v>
      </c>
      <c r="K1461" s="3">
        <v>423990.32</v>
      </c>
    </row>
    <row r="1462" spans="1:11" x14ac:dyDescent="0.2">
      <c r="A1462" s="1" t="s">
        <v>2524</v>
      </c>
      <c r="B1462" s="2">
        <v>46021</v>
      </c>
      <c r="C1462" s="1" t="s">
        <v>559</v>
      </c>
      <c r="D1462" s="1" t="s">
        <v>560</v>
      </c>
      <c r="E1462" s="1" t="s">
        <v>14</v>
      </c>
      <c r="F1462" s="1" t="s">
        <v>144</v>
      </c>
      <c r="G1462" s="1" t="s">
        <v>145</v>
      </c>
      <c r="H1462" s="1" t="s">
        <v>24</v>
      </c>
      <c r="I1462">
        <v>12015</v>
      </c>
      <c r="J1462" s="3">
        <v>19.89</v>
      </c>
      <c r="K1462" s="3">
        <v>238978.35</v>
      </c>
    </row>
    <row r="1463" spans="1:11" x14ac:dyDescent="0.2">
      <c r="A1463" s="1" t="s">
        <v>2525</v>
      </c>
      <c r="B1463" s="2">
        <v>45815</v>
      </c>
      <c r="C1463" s="1" t="s">
        <v>316</v>
      </c>
      <c r="D1463" s="1" t="s">
        <v>317</v>
      </c>
      <c r="E1463" s="1" t="s">
        <v>14</v>
      </c>
      <c r="F1463" s="1" t="s">
        <v>144</v>
      </c>
      <c r="G1463" s="1" t="s">
        <v>145</v>
      </c>
      <c r="H1463" s="1" t="s">
        <v>24</v>
      </c>
      <c r="I1463">
        <v>11736</v>
      </c>
      <c r="J1463" s="3">
        <v>13.56</v>
      </c>
      <c r="K1463" s="3">
        <v>159140.16</v>
      </c>
    </row>
    <row r="1464" spans="1:11" x14ac:dyDescent="0.2">
      <c r="A1464" s="1" t="s">
        <v>2526</v>
      </c>
      <c r="B1464" s="2">
        <v>45628</v>
      </c>
      <c r="C1464" s="1" t="s">
        <v>1001</v>
      </c>
      <c r="D1464" s="1" t="s">
        <v>1002</v>
      </c>
      <c r="E1464" s="1" t="s">
        <v>37</v>
      </c>
      <c r="F1464" s="1" t="s">
        <v>98</v>
      </c>
      <c r="G1464" s="1" t="s">
        <v>99</v>
      </c>
      <c r="H1464" s="1" t="s">
        <v>72</v>
      </c>
      <c r="I1464">
        <v>69408</v>
      </c>
      <c r="J1464" s="3">
        <v>47.37</v>
      </c>
      <c r="K1464" s="3">
        <v>3287856.96</v>
      </c>
    </row>
    <row r="1465" spans="1:11" x14ac:dyDescent="0.2">
      <c r="A1465" s="1" t="s">
        <v>2527</v>
      </c>
      <c r="B1465" s="2">
        <v>45679</v>
      </c>
      <c r="C1465" s="1" t="s">
        <v>359</v>
      </c>
      <c r="D1465" s="1" t="s">
        <v>360</v>
      </c>
      <c r="E1465" s="1" t="s">
        <v>34</v>
      </c>
      <c r="F1465" s="1" t="s">
        <v>157</v>
      </c>
      <c r="G1465" s="1" t="s">
        <v>158</v>
      </c>
      <c r="H1465" s="1" t="s">
        <v>48</v>
      </c>
      <c r="I1465">
        <v>49625</v>
      </c>
      <c r="J1465" s="3">
        <v>49.22</v>
      </c>
      <c r="K1465" s="3">
        <v>2442542.5</v>
      </c>
    </row>
    <row r="1466" spans="1:11" x14ac:dyDescent="0.2">
      <c r="A1466" s="1" t="s">
        <v>2528</v>
      </c>
      <c r="B1466" s="2">
        <v>45518</v>
      </c>
      <c r="C1466" s="1" t="s">
        <v>300</v>
      </c>
      <c r="D1466" s="1" t="s">
        <v>301</v>
      </c>
      <c r="E1466" s="1" t="s">
        <v>14</v>
      </c>
      <c r="F1466" s="1" t="s">
        <v>98</v>
      </c>
      <c r="G1466" s="1" t="s">
        <v>99</v>
      </c>
      <c r="H1466" s="1" t="s">
        <v>72</v>
      </c>
      <c r="I1466">
        <v>19283</v>
      </c>
      <c r="J1466" s="3">
        <v>8.48</v>
      </c>
      <c r="K1466" s="3">
        <v>163519.84</v>
      </c>
    </row>
    <row r="1467" spans="1:11" x14ac:dyDescent="0.2">
      <c r="A1467" s="1" t="s">
        <v>2529</v>
      </c>
      <c r="B1467" s="2">
        <v>45497</v>
      </c>
      <c r="C1467" s="1" t="s">
        <v>336</v>
      </c>
      <c r="D1467" s="1" t="s">
        <v>337</v>
      </c>
      <c r="E1467" s="1" t="s">
        <v>21</v>
      </c>
      <c r="F1467" s="1" t="s">
        <v>228</v>
      </c>
      <c r="G1467" s="1" t="s">
        <v>229</v>
      </c>
      <c r="H1467" s="1" t="s">
        <v>48</v>
      </c>
      <c r="I1467">
        <v>80391</v>
      </c>
      <c r="J1467" s="3">
        <v>25.03</v>
      </c>
      <c r="K1467" s="3">
        <v>2012186.73</v>
      </c>
    </row>
    <row r="1468" spans="1:11" x14ac:dyDescent="0.2">
      <c r="A1468" s="1" t="s">
        <v>2530</v>
      </c>
      <c r="B1468" s="2">
        <v>46001</v>
      </c>
      <c r="C1468" s="1" t="s">
        <v>1626</v>
      </c>
      <c r="D1468" s="1" t="s">
        <v>1627</v>
      </c>
      <c r="E1468" s="1" t="s">
        <v>34</v>
      </c>
      <c r="F1468" s="1" t="s">
        <v>139</v>
      </c>
      <c r="G1468" s="1" t="s">
        <v>140</v>
      </c>
      <c r="H1468" s="1" t="s">
        <v>24</v>
      </c>
      <c r="I1468">
        <v>35934</v>
      </c>
      <c r="J1468" s="3">
        <v>16.14</v>
      </c>
      <c r="K1468" s="3">
        <v>579974.76</v>
      </c>
    </row>
    <row r="1469" spans="1:11" x14ac:dyDescent="0.2">
      <c r="A1469" s="1" t="s">
        <v>2531</v>
      </c>
      <c r="B1469" s="2">
        <v>45885</v>
      </c>
      <c r="C1469" s="1" t="s">
        <v>886</v>
      </c>
      <c r="D1469" s="1" t="s">
        <v>887</v>
      </c>
      <c r="E1469" s="1" t="s">
        <v>21</v>
      </c>
      <c r="F1469" s="1" t="s">
        <v>284</v>
      </c>
      <c r="G1469" s="1" t="s">
        <v>285</v>
      </c>
      <c r="H1469" s="1" t="s">
        <v>37</v>
      </c>
      <c r="I1469">
        <v>56135</v>
      </c>
      <c r="J1469" s="3">
        <v>39.18</v>
      </c>
      <c r="K1469" s="3">
        <v>2199369.2999999998</v>
      </c>
    </row>
    <row r="1470" spans="1:11" x14ac:dyDescent="0.2">
      <c r="A1470" s="1" t="s">
        <v>2532</v>
      </c>
      <c r="B1470" s="2">
        <v>46016</v>
      </c>
      <c r="C1470" s="1" t="s">
        <v>1652</v>
      </c>
      <c r="D1470" s="1" t="s">
        <v>1653</v>
      </c>
      <c r="E1470" s="1" t="s">
        <v>28</v>
      </c>
      <c r="F1470" s="1" t="s">
        <v>406</v>
      </c>
      <c r="G1470" s="1" t="s">
        <v>407</v>
      </c>
      <c r="H1470" s="1" t="s">
        <v>17</v>
      </c>
      <c r="I1470">
        <v>57046</v>
      </c>
      <c r="J1470" s="3">
        <v>48.71</v>
      </c>
      <c r="K1470" s="3">
        <v>2778710.66</v>
      </c>
    </row>
    <row r="1471" spans="1:11" x14ac:dyDescent="0.2">
      <c r="A1471" s="1" t="s">
        <v>2533</v>
      </c>
      <c r="B1471" s="2">
        <v>45745</v>
      </c>
      <c r="C1471" s="1" t="s">
        <v>2534</v>
      </c>
      <c r="D1471" s="1" t="s">
        <v>2535</v>
      </c>
      <c r="E1471" s="1" t="s">
        <v>14</v>
      </c>
      <c r="F1471" s="1" t="s">
        <v>52</v>
      </c>
      <c r="G1471" s="1" t="s">
        <v>53</v>
      </c>
      <c r="H1471" s="1" t="s">
        <v>17</v>
      </c>
      <c r="I1471">
        <v>64524</v>
      </c>
      <c r="J1471" s="3">
        <v>8.6</v>
      </c>
      <c r="K1471" s="3">
        <v>554906.4</v>
      </c>
    </row>
    <row r="1472" spans="1:11" x14ac:dyDescent="0.2">
      <c r="A1472" s="1" t="s">
        <v>2536</v>
      </c>
      <c r="B1472" s="2">
        <v>45432</v>
      </c>
      <c r="C1472" s="1" t="s">
        <v>1793</v>
      </c>
      <c r="D1472" s="1" t="s">
        <v>1794</v>
      </c>
      <c r="E1472" s="1" t="s">
        <v>37</v>
      </c>
      <c r="F1472" s="1" t="s">
        <v>330</v>
      </c>
      <c r="G1472" s="1" t="s">
        <v>331</v>
      </c>
      <c r="H1472" s="1" t="s">
        <v>72</v>
      </c>
      <c r="I1472">
        <v>73457</v>
      </c>
      <c r="J1472" s="3">
        <v>9.2899999999999991</v>
      </c>
      <c r="K1472" s="3">
        <v>682415.53</v>
      </c>
    </row>
    <row r="1473" spans="1:11" x14ac:dyDescent="0.2">
      <c r="A1473" s="1" t="s">
        <v>2537</v>
      </c>
      <c r="B1473" s="2">
        <v>45355</v>
      </c>
      <c r="C1473" s="1" t="s">
        <v>356</v>
      </c>
      <c r="D1473" s="1" t="s">
        <v>357</v>
      </c>
      <c r="E1473" s="1" t="s">
        <v>14</v>
      </c>
      <c r="F1473" s="1" t="s">
        <v>113</v>
      </c>
      <c r="G1473" s="1" t="s">
        <v>114</v>
      </c>
      <c r="H1473" s="1" t="s">
        <v>37</v>
      </c>
      <c r="I1473">
        <v>94544</v>
      </c>
      <c r="J1473" s="3">
        <v>2.2799999999999998</v>
      </c>
      <c r="K1473" s="3">
        <v>215560.32000000001</v>
      </c>
    </row>
    <row r="1474" spans="1:11" x14ac:dyDescent="0.2">
      <c r="A1474" s="1" t="s">
        <v>2538</v>
      </c>
      <c r="B1474" s="2">
        <v>45628</v>
      </c>
      <c r="C1474" s="1" t="s">
        <v>740</v>
      </c>
      <c r="D1474" s="1" t="s">
        <v>741</v>
      </c>
      <c r="E1474" s="1" t="s">
        <v>14</v>
      </c>
      <c r="F1474" s="1" t="s">
        <v>268</v>
      </c>
      <c r="G1474" s="1" t="s">
        <v>269</v>
      </c>
      <c r="H1474" s="1" t="s">
        <v>72</v>
      </c>
      <c r="I1474">
        <v>18341</v>
      </c>
      <c r="J1474" s="3">
        <v>7.8</v>
      </c>
      <c r="K1474" s="3">
        <v>143059.79999999999</v>
      </c>
    </row>
    <row r="1475" spans="1:11" x14ac:dyDescent="0.2">
      <c r="A1475" s="1" t="s">
        <v>2539</v>
      </c>
      <c r="B1475" s="2">
        <v>45597</v>
      </c>
      <c r="C1475" s="1" t="s">
        <v>1344</v>
      </c>
      <c r="D1475" s="1" t="s">
        <v>1345</v>
      </c>
      <c r="E1475" s="1" t="s">
        <v>34</v>
      </c>
      <c r="F1475" s="1" t="s">
        <v>46</v>
      </c>
      <c r="G1475" s="1" t="s">
        <v>47</v>
      </c>
      <c r="H1475" s="1" t="s">
        <v>48</v>
      </c>
      <c r="I1475">
        <v>32685</v>
      </c>
      <c r="J1475" s="3">
        <v>43.83</v>
      </c>
      <c r="K1475" s="3">
        <v>1432583.55</v>
      </c>
    </row>
    <row r="1476" spans="1:11" x14ac:dyDescent="0.2">
      <c r="A1476" s="1" t="s">
        <v>2540</v>
      </c>
      <c r="B1476" s="2">
        <v>45648</v>
      </c>
      <c r="C1476" s="1" t="s">
        <v>2541</v>
      </c>
      <c r="D1476" s="1" t="s">
        <v>2542</v>
      </c>
      <c r="E1476" s="1" t="s">
        <v>14</v>
      </c>
      <c r="F1476" s="1" t="s">
        <v>228</v>
      </c>
      <c r="G1476" s="1" t="s">
        <v>229</v>
      </c>
      <c r="H1476" s="1" t="s">
        <v>48</v>
      </c>
      <c r="I1476">
        <v>9159</v>
      </c>
      <c r="J1476" s="3">
        <v>48.87</v>
      </c>
      <c r="K1476" s="3">
        <v>447600.33</v>
      </c>
    </row>
    <row r="1477" spans="1:11" x14ac:dyDescent="0.2">
      <c r="A1477" s="1" t="s">
        <v>2543</v>
      </c>
      <c r="B1477" s="2">
        <v>45870</v>
      </c>
      <c r="C1477" s="1" t="s">
        <v>1964</v>
      </c>
      <c r="D1477" s="1" t="s">
        <v>1965</v>
      </c>
      <c r="E1477" s="1" t="s">
        <v>21</v>
      </c>
      <c r="F1477" s="1" t="s">
        <v>65</v>
      </c>
      <c r="G1477" s="1" t="s">
        <v>66</v>
      </c>
      <c r="H1477" s="1" t="s">
        <v>48</v>
      </c>
      <c r="I1477">
        <v>94852</v>
      </c>
      <c r="J1477" s="3">
        <v>18.559999999999999</v>
      </c>
      <c r="K1477" s="3">
        <v>1760453.12</v>
      </c>
    </row>
    <row r="1478" spans="1:11" x14ac:dyDescent="0.2">
      <c r="A1478" s="1" t="s">
        <v>2544</v>
      </c>
      <c r="B1478" s="2">
        <v>45687</v>
      </c>
      <c r="C1478" s="1" t="s">
        <v>1382</v>
      </c>
      <c r="D1478" s="1" t="s">
        <v>1383</v>
      </c>
      <c r="E1478" s="1" t="s">
        <v>37</v>
      </c>
      <c r="F1478" s="1" t="s">
        <v>152</v>
      </c>
      <c r="G1478" s="1" t="s">
        <v>153</v>
      </c>
      <c r="H1478" s="1" t="s">
        <v>17</v>
      </c>
      <c r="I1478">
        <v>5059</v>
      </c>
      <c r="J1478" s="3">
        <v>33.119999999999997</v>
      </c>
      <c r="K1478" s="3">
        <v>167554.07999999999</v>
      </c>
    </row>
    <row r="1479" spans="1:11" x14ac:dyDescent="0.2">
      <c r="A1479" s="1" t="s">
        <v>2545</v>
      </c>
      <c r="B1479" s="2">
        <v>45456</v>
      </c>
      <c r="C1479" s="1" t="s">
        <v>920</v>
      </c>
      <c r="D1479" s="1" t="s">
        <v>921</v>
      </c>
      <c r="E1479" s="1" t="s">
        <v>14</v>
      </c>
      <c r="F1479" s="1" t="s">
        <v>176</v>
      </c>
      <c r="G1479" s="1" t="s">
        <v>177</v>
      </c>
      <c r="H1479" s="1" t="s">
        <v>37</v>
      </c>
      <c r="I1479">
        <v>37619</v>
      </c>
      <c r="J1479" s="3">
        <v>42.98</v>
      </c>
      <c r="K1479" s="3">
        <v>1616864.62</v>
      </c>
    </row>
    <row r="1480" spans="1:11" x14ac:dyDescent="0.2">
      <c r="A1480" s="1" t="s">
        <v>2546</v>
      </c>
      <c r="B1480" s="2">
        <v>45394</v>
      </c>
      <c r="C1480" s="1" t="s">
        <v>901</v>
      </c>
      <c r="D1480" s="1" t="s">
        <v>902</v>
      </c>
      <c r="E1480" s="1" t="s">
        <v>21</v>
      </c>
      <c r="F1480" s="1" t="s">
        <v>203</v>
      </c>
      <c r="G1480" s="1" t="s">
        <v>204</v>
      </c>
      <c r="H1480" s="1" t="s">
        <v>72</v>
      </c>
      <c r="I1480">
        <v>35595</v>
      </c>
      <c r="J1480" s="3">
        <v>5.64</v>
      </c>
      <c r="K1480" s="3">
        <v>200755.8</v>
      </c>
    </row>
    <row r="1481" spans="1:11" x14ac:dyDescent="0.2">
      <c r="A1481" s="1" t="s">
        <v>2547</v>
      </c>
      <c r="B1481" s="2">
        <v>45405</v>
      </c>
      <c r="C1481" s="1" t="s">
        <v>1781</v>
      </c>
      <c r="D1481" s="1" t="s">
        <v>1782</v>
      </c>
      <c r="E1481" s="1" t="s">
        <v>37</v>
      </c>
      <c r="F1481" s="1" t="s">
        <v>268</v>
      </c>
      <c r="G1481" s="1" t="s">
        <v>269</v>
      </c>
      <c r="H1481" s="1" t="s">
        <v>72</v>
      </c>
      <c r="I1481">
        <v>7708</v>
      </c>
      <c r="J1481" s="3">
        <v>16.89</v>
      </c>
      <c r="K1481" s="3">
        <v>130188.12</v>
      </c>
    </row>
    <row r="1482" spans="1:11" x14ac:dyDescent="0.2">
      <c r="A1482" s="1" t="s">
        <v>2548</v>
      </c>
      <c r="B1482" s="2">
        <v>45626</v>
      </c>
      <c r="C1482" s="1" t="s">
        <v>128</v>
      </c>
      <c r="D1482" s="1" t="s">
        <v>129</v>
      </c>
      <c r="E1482" s="1" t="s">
        <v>28</v>
      </c>
      <c r="F1482" s="1" t="s">
        <v>29</v>
      </c>
      <c r="G1482" s="1" t="s">
        <v>30</v>
      </c>
      <c r="H1482" s="1" t="s">
        <v>24</v>
      </c>
      <c r="I1482">
        <v>50932</v>
      </c>
      <c r="J1482" s="3">
        <v>34.200000000000003</v>
      </c>
      <c r="K1482" s="3">
        <v>1741874.4</v>
      </c>
    </row>
    <row r="1483" spans="1:11" x14ac:dyDescent="0.2">
      <c r="A1483" s="1" t="s">
        <v>2549</v>
      </c>
      <c r="B1483" s="2">
        <v>45679</v>
      </c>
      <c r="C1483" s="1" t="s">
        <v>722</v>
      </c>
      <c r="D1483" s="1" t="s">
        <v>723</v>
      </c>
      <c r="E1483" s="1" t="s">
        <v>21</v>
      </c>
      <c r="F1483" s="1" t="s">
        <v>273</v>
      </c>
      <c r="G1483" s="1" t="s">
        <v>274</v>
      </c>
      <c r="H1483" s="1" t="s">
        <v>24</v>
      </c>
      <c r="I1483">
        <v>4290</v>
      </c>
      <c r="J1483" s="3">
        <v>15.75</v>
      </c>
      <c r="K1483" s="3">
        <v>67567.5</v>
      </c>
    </row>
    <row r="1484" spans="1:11" x14ac:dyDescent="0.2">
      <c r="A1484" s="1" t="s">
        <v>2550</v>
      </c>
      <c r="B1484" s="2">
        <v>45295</v>
      </c>
      <c r="C1484" s="1" t="s">
        <v>2323</v>
      </c>
      <c r="D1484" s="1" t="s">
        <v>2324</v>
      </c>
      <c r="E1484" s="1" t="s">
        <v>34</v>
      </c>
      <c r="F1484" s="1" t="s">
        <v>339</v>
      </c>
      <c r="G1484" s="1" t="s">
        <v>340</v>
      </c>
      <c r="H1484" s="1" t="s">
        <v>24</v>
      </c>
      <c r="I1484">
        <v>74421</v>
      </c>
      <c r="J1484" s="3">
        <v>25.03</v>
      </c>
      <c r="K1484" s="3">
        <v>1862757.63</v>
      </c>
    </row>
    <row r="1485" spans="1:11" x14ac:dyDescent="0.2">
      <c r="A1485" s="1" t="s">
        <v>2551</v>
      </c>
      <c r="B1485" s="2">
        <v>45764</v>
      </c>
      <c r="C1485" s="1" t="s">
        <v>672</v>
      </c>
      <c r="D1485" s="1" t="s">
        <v>673</v>
      </c>
      <c r="E1485" s="1" t="s">
        <v>21</v>
      </c>
      <c r="F1485" s="1" t="s">
        <v>552</v>
      </c>
      <c r="G1485" s="1" t="s">
        <v>553</v>
      </c>
      <c r="H1485" s="1" t="s">
        <v>37</v>
      </c>
      <c r="I1485">
        <v>99729</v>
      </c>
      <c r="J1485" s="3">
        <v>9.06</v>
      </c>
      <c r="K1485" s="3">
        <v>903544.74</v>
      </c>
    </row>
    <row r="1486" spans="1:11" x14ac:dyDescent="0.2">
      <c r="A1486" s="1" t="s">
        <v>2552</v>
      </c>
      <c r="B1486" s="2">
        <v>45906</v>
      </c>
      <c r="C1486" s="1" t="s">
        <v>128</v>
      </c>
      <c r="D1486" s="1" t="s">
        <v>129</v>
      </c>
      <c r="E1486" s="1" t="s">
        <v>28</v>
      </c>
      <c r="F1486" s="1" t="s">
        <v>458</v>
      </c>
      <c r="G1486" s="1" t="s">
        <v>459</v>
      </c>
      <c r="H1486" s="1" t="s">
        <v>72</v>
      </c>
      <c r="I1486">
        <v>35364</v>
      </c>
      <c r="J1486" s="3">
        <v>27.31</v>
      </c>
      <c r="K1486" s="3">
        <v>965790.84</v>
      </c>
    </row>
    <row r="1487" spans="1:11" x14ac:dyDescent="0.2">
      <c r="A1487" s="1" t="s">
        <v>2553</v>
      </c>
      <c r="B1487" s="2">
        <v>45301</v>
      </c>
      <c r="C1487" s="1" t="s">
        <v>226</v>
      </c>
      <c r="D1487" s="1" t="s">
        <v>227</v>
      </c>
      <c r="E1487" s="1" t="s">
        <v>34</v>
      </c>
      <c r="F1487" s="1" t="s">
        <v>394</v>
      </c>
      <c r="G1487" s="1" t="s">
        <v>395</v>
      </c>
      <c r="H1487" s="1" t="s">
        <v>48</v>
      </c>
      <c r="I1487">
        <v>74727</v>
      </c>
      <c r="J1487" s="3">
        <v>27.25</v>
      </c>
      <c r="K1487" s="3">
        <v>2036310.75</v>
      </c>
    </row>
    <row r="1488" spans="1:11" x14ac:dyDescent="0.2">
      <c r="A1488" s="1" t="s">
        <v>2554</v>
      </c>
      <c r="B1488" s="2">
        <v>45432</v>
      </c>
      <c r="C1488" s="1" t="s">
        <v>1789</v>
      </c>
      <c r="D1488" s="1" t="s">
        <v>1790</v>
      </c>
      <c r="E1488" s="1" t="s">
        <v>21</v>
      </c>
      <c r="F1488" s="1" t="s">
        <v>412</v>
      </c>
      <c r="G1488" s="1" t="s">
        <v>413</v>
      </c>
      <c r="H1488" s="1" t="s">
        <v>72</v>
      </c>
      <c r="I1488">
        <v>14679</v>
      </c>
      <c r="J1488" s="3">
        <v>2.58</v>
      </c>
      <c r="K1488" s="3">
        <v>37871.82</v>
      </c>
    </row>
    <row r="1489" spans="1:11" x14ac:dyDescent="0.2">
      <c r="A1489" s="1" t="s">
        <v>2555</v>
      </c>
      <c r="B1489" s="2">
        <v>45932</v>
      </c>
      <c r="C1489" s="1" t="s">
        <v>1683</v>
      </c>
      <c r="D1489" s="1" t="s">
        <v>1684</v>
      </c>
      <c r="E1489" s="1" t="s">
        <v>14</v>
      </c>
      <c r="F1489" s="1" t="s">
        <v>406</v>
      </c>
      <c r="G1489" s="1" t="s">
        <v>407</v>
      </c>
      <c r="H1489" s="1" t="s">
        <v>17</v>
      </c>
      <c r="I1489">
        <v>69956</v>
      </c>
      <c r="J1489" s="3">
        <v>41.38</v>
      </c>
      <c r="K1489" s="3">
        <v>2894779.28</v>
      </c>
    </row>
    <row r="1490" spans="1:11" x14ac:dyDescent="0.2">
      <c r="A1490" s="1" t="s">
        <v>2556</v>
      </c>
      <c r="B1490" s="2">
        <v>45410</v>
      </c>
      <c r="C1490" s="1" t="s">
        <v>1683</v>
      </c>
      <c r="D1490" s="1" t="s">
        <v>1684</v>
      </c>
      <c r="E1490" s="1" t="s">
        <v>14</v>
      </c>
      <c r="F1490" s="1" t="s">
        <v>463</v>
      </c>
      <c r="G1490" s="1" t="s">
        <v>464</v>
      </c>
      <c r="H1490" s="1" t="s">
        <v>37</v>
      </c>
      <c r="I1490">
        <v>64546</v>
      </c>
      <c r="J1490" s="3">
        <v>2.57</v>
      </c>
      <c r="K1490" s="3">
        <v>165883.22</v>
      </c>
    </row>
    <row r="1491" spans="1:11" x14ac:dyDescent="0.2">
      <c r="A1491" s="1" t="s">
        <v>2557</v>
      </c>
      <c r="B1491" s="2">
        <v>45747</v>
      </c>
      <c r="C1491" s="1" t="s">
        <v>1695</v>
      </c>
      <c r="D1491" s="1" t="s">
        <v>1696</v>
      </c>
      <c r="E1491" s="1" t="s">
        <v>34</v>
      </c>
      <c r="F1491" s="1" t="s">
        <v>324</v>
      </c>
      <c r="G1491" s="1" t="s">
        <v>325</v>
      </c>
      <c r="H1491" s="1" t="s">
        <v>24</v>
      </c>
      <c r="I1491">
        <v>94064</v>
      </c>
      <c r="J1491" s="3">
        <v>12.17</v>
      </c>
      <c r="K1491" s="3">
        <v>1144758.8799999999</v>
      </c>
    </row>
    <row r="1492" spans="1:11" x14ac:dyDescent="0.2">
      <c r="A1492" s="1" t="s">
        <v>2558</v>
      </c>
      <c r="B1492" s="2">
        <v>45516</v>
      </c>
      <c r="C1492" s="1" t="s">
        <v>672</v>
      </c>
      <c r="D1492" s="1" t="s">
        <v>673</v>
      </c>
      <c r="E1492" s="1" t="s">
        <v>21</v>
      </c>
      <c r="F1492" s="1" t="s">
        <v>510</v>
      </c>
      <c r="G1492" s="1" t="s">
        <v>511</v>
      </c>
      <c r="H1492" s="1" t="s">
        <v>17</v>
      </c>
      <c r="I1492">
        <v>29094</v>
      </c>
      <c r="J1492" s="3">
        <v>27.34</v>
      </c>
      <c r="K1492" s="3">
        <v>795429.96</v>
      </c>
    </row>
    <row r="1493" spans="1:11" x14ac:dyDescent="0.2">
      <c r="A1493" s="1" t="s">
        <v>2559</v>
      </c>
      <c r="B1493" s="2">
        <v>45307</v>
      </c>
      <c r="C1493" s="1" t="s">
        <v>979</v>
      </c>
      <c r="D1493" s="1" t="s">
        <v>980</v>
      </c>
      <c r="E1493" s="1" t="s">
        <v>37</v>
      </c>
      <c r="F1493" s="1" t="s">
        <v>412</v>
      </c>
      <c r="G1493" s="1" t="s">
        <v>413</v>
      </c>
      <c r="H1493" s="1" t="s">
        <v>72</v>
      </c>
      <c r="I1493">
        <v>87742</v>
      </c>
      <c r="J1493" s="3">
        <v>28.93</v>
      </c>
      <c r="K1493" s="3">
        <v>2538376.06</v>
      </c>
    </row>
    <row r="1494" spans="1:11" x14ac:dyDescent="0.2">
      <c r="A1494" s="1" t="s">
        <v>2560</v>
      </c>
      <c r="B1494" s="2">
        <v>45505</v>
      </c>
      <c r="C1494" s="1" t="s">
        <v>2109</v>
      </c>
      <c r="D1494" s="1" t="s">
        <v>2110</v>
      </c>
      <c r="E1494" s="1" t="s">
        <v>28</v>
      </c>
      <c r="F1494" s="1" t="s">
        <v>195</v>
      </c>
      <c r="G1494" s="1" t="s">
        <v>196</v>
      </c>
      <c r="H1494" s="1" t="s">
        <v>48</v>
      </c>
      <c r="I1494">
        <v>13175</v>
      </c>
      <c r="J1494" s="3">
        <v>18.71</v>
      </c>
      <c r="K1494" s="3">
        <v>246504.25</v>
      </c>
    </row>
    <row r="1495" spans="1:11" x14ac:dyDescent="0.2">
      <c r="A1495" s="1" t="s">
        <v>2561</v>
      </c>
      <c r="B1495" s="2">
        <v>45617</v>
      </c>
      <c r="C1495" s="1" t="s">
        <v>1108</v>
      </c>
      <c r="D1495" s="1" t="s">
        <v>1109</v>
      </c>
      <c r="E1495" s="1" t="s">
        <v>21</v>
      </c>
      <c r="F1495" s="1" t="s">
        <v>330</v>
      </c>
      <c r="G1495" s="1" t="s">
        <v>331</v>
      </c>
      <c r="H1495" s="1" t="s">
        <v>72</v>
      </c>
      <c r="I1495">
        <v>51093</v>
      </c>
      <c r="J1495" s="3">
        <v>45.16</v>
      </c>
      <c r="K1495" s="3">
        <v>2307359.88</v>
      </c>
    </row>
    <row r="1496" spans="1:11" x14ac:dyDescent="0.2">
      <c r="A1496" s="1" t="s">
        <v>2562</v>
      </c>
      <c r="B1496" s="2">
        <v>45528</v>
      </c>
      <c r="C1496" s="1" t="s">
        <v>994</v>
      </c>
      <c r="D1496" s="1" t="s">
        <v>995</v>
      </c>
      <c r="E1496" s="1" t="s">
        <v>21</v>
      </c>
      <c r="F1496" s="1" t="s">
        <v>761</v>
      </c>
      <c r="G1496" s="1" t="s">
        <v>762</v>
      </c>
      <c r="H1496" s="1" t="s">
        <v>48</v>
      </c>
      <c r="I1496">
        <v>54913</v>
      </c>
      <c r="J1496" s="3">
        <v>40.04</v>
      </c>
      <c r="K1496" s="3">
        <v>2198716.52</v>
      </c>
    </row>
    <row r="1497" spans="1:11" x14ac:dyDescent="0.2">
      <c r="A1497" s="1" t="s">
        <v>2563</v>
      </c>
      <c r="B1497" s="2">
        <v>45342</v>
      </c>
      <c r="C1497" s="1" t="s">
        <v>767</v>
      </c>
      <c r="D1497" s="1" t="s">
        <v>768</v>
      </c>
      <c r="E1497" s="1" t="s">
        <v>28</v>
      </c>
      <c r="F1497" s="1" t="s">
        <v>189</v>
      </c>
      <c r="G1497" s="1" t="s">
        <v>190</v>
      </c>
      <c r="H1497" s="1" t="s">
        <v>17</v>
      </c>
      <c r="I1497">
        <v>32101</v>
      </c>
      <c r="J1497" s="3">
        <v>23.12</v>
      </c>
      <c r="K1497" s="3">
        <v>742175.12</v>
      </c>
    </row>
    <row r="1498" spans="1:11" x14ac:dyDescent="0.2">
      <c r="A1498" s="1" t="s">
        <v>2564</v>
      </c>
      <c r="B1498" s="2">
        <v>45535</v>
      </c>
      <c r="C1498" s="1" t="s">
        <v>532</v>
      </c>
      <c r="D1498" s="1" t="s">
        <v>533</v>
      </c>
      <c r="E1498" s="1" t="s">
        <v>28</v>
      </c>
      <c r="F1498" s="1" t="s">
        <v>458</v>
      </c>
      <c r="G1498" s="1" t="s">
        <v>459</v>
      </c>
      <c r="H1498" s="1" t="s">
        <v>72</v>
      </c>
      <c r="I1498">
        <v>41001</v>
      </c>
      <c r="J1498" s="3">
        <v>10.58</v>
      </c>
      <c r="K1498" s="3">
        <v>433790.58</v>
      </c>
    </row>
    <row r="1499" spans="1:11" x14ac:dyDescent="0.2">
      <c r="A1499" s="1" t="s">
        <v>2565</v>
      </c>
      <c r="B1499" s="2">
        <v>45794</v>
      </c>
      <c r="C1499" s="1" t="s">
        <v>669</v>
      </c>
      <c r="D1499" s="1" t="s">
        <v>670</v>
      </c>
      <c r="E1499" s="1" t="s">
        <v>34</v>
      </c>
      <c r="F1499" s="1" t="s">
        <v>761</v>
      </c>
      <c r="G1499" s="1" t="s">
        <v>762</v>
      </c>
      <c r="H1499" s="1" t="s">
        <v>48</v>
      </c>
      <c r="I1499">
        <v>97737</v>
      </c>
      <c r="J1499" s="3">
        <v>33.15</v>
      </c>
      <c r="K1499" s="3">
        <v>3239981.55</v>
      </c>
    </row>
    <row r="1500" spans="1:11" x14ac:dyDescent="0.2">
      <c r="A1500" s="1" t="s">
        <v>2566</v>
      </c>
      <c r="B1500" s="2">
        <v>45889</v>
      </c>
      <c r="C1500" s="1" t="s">
        <v>316</v>
      </c>
      <c r="D1500" s="1" t="s">
        <v>317</v>
      </c>
      <c r="E1500" s="1" t="s">
        <v>14</v>
      </c>
      <c r="F1500" s="1" t="s">
        <v>165</v>
      </c>
      <c r="G1500" s="1" t="s">
        <v>166</v>
      </c>
      <c r="H1500" s="1" t="s">
        <v>24</v>
      </c>
      <c r="I1500">
        <v>12970</v>
      </c>
      <c r="J1500" s="3">
        <v>44.44</v>
      </c>
      <c r="K1500" s="3">
        <v>576386.80000000005</v>
      </c>
    </row>
    <row r="1501" spans="1:11" x14ac:dyDescent="0.2">
      <c r="A1501" s="1" t="s">
        <v>2567</v>
      </c>
      <c r="B1501" s="2">
        <v>45648</v>
      </c>
      <c r="C1501" s="1" t="s">
        <v>863</v>
      </c>
      <c r="D1501" s="1" t="s">
        <v>864</v>
      </c>
      <c r="E1501" s="1" t="s">
        <v>37</v>
      </c>
      <c r="F1501" s="1" t="s">
        <v>46</v>
      </c>
      <c r="G1501" s="1" t="s">
        <v>47</v>
      </c>
      <c r="H1501" s="1" t="s">
        <v>48</v>
      </c>
      <c r="I1501">
        <v>28766</v>
      </c>
      <c r="J1501" s="3">
        <v>32.020000000000003</v>
      </c>
      <c r="K1501" s="3">
        <v>921087.32</v>
      </c>
    </row>
    <row r="1502" spans="1:11" x14ac:dyDescent="0.2">
      <c r="A1502" s="1" t="s">
        <v>2568</v>
      </c>
      <c r="B1502" s="2">
        <v>45926</v>
      </c>
      <c r="C1502" s="1" t="s">
        <v>1474</v>
      </c>
      <c r="D1502" s="1" t="s">
        <v>1475</v>
      </c>
      <c r="E1502" s="1" t="s">
        <v>28</v>
      </c>
      <c r="F1502" s="1" t="s">
        <v>273</v>
      </c>
      <c r="G1502" s="1" t="s">
        <v>274</v>
      </c>
      <c r="H1502" s="1" t="s">
        <v>24</v>
      </c>
      <c r="I1502">
        <v>92048</v>
      </c>
      <c r="J1502" s="3">
        <v>21.61</v>
      </c>
      <c r="K1502" s="3">
        <v>1989157.28</v>
      </c>
    </row>
    <row r="1503" spans="1:11" x14ac:dyDescent="0.2">
      <c r="A1503" s="1" t="s">
        <v>2569</v>
      </c>
      <c r="B1503" s="2">
        <v>46022</v>
      </c>
      <c r="C1503" s="1" t="s">
        <v>1388</v>
      </c>
      <c r="D1503" s="1" t="s">
        <v>1389</v>
      </c>
      <c r="E1503" s="1" t="s">
        <v>28</v>
      </c>
      <c r="F1503" s="1" t="s">
        <v>510</v>
      </c>
      <c r="G1503" s="1" t="s">
        <v>511</v>
      </c>
      <c r="H1503" s="1" t="s">
        <v>17</v>
      </c>
      <c r="I1503">
        <v>62337</v>
      </c>
      <c r="J1503" s="3">
        <v>49.21</v>
      </c>
      <c r="K1503" s="3">
        <v>3067603.77</v>
      </c>
    </row>
    <row r="1504" spans="1:11" x14ac:dyDescent="0.2">
      <c r="A1504" s="1" t="s">
        <v>2570</v>
      </c>
      <c r="B1504" s="2">
        <v>45473</v>
      </c>
      <c r="C1504" s="1" t="s">
        <v>2571</v>
      </c>
      <c r="D1504" s="1" t="s">
        <v>2572</v>
      </c>
      <c r="E1504" s="1" t="s">
        <v>34</v>
      </c>
      <c r="F1504" s="1" t="s">
        <v>165</v>
      </c>
      <c r="G1504" s="1" t="s">
        <v>166</v>
      </c>
      <c r="H1504" s="1" t="s">
        <v>24</v>
      </c>
      <c r="I1504">
        <v>72454</v>
      </c>
      <c r="J1504" s="3">
        <v>47.83</v>
      </c>
      <c r="K1504" s="3">
        <v>3465474.82</v>
      </c>
    </row>
    <row r="1505" spans="1:11" x14ac:dyDescent="0.2">
      <c r="A1505" s="1" t="s">
        <v>2573</v>
      </c>
      <c r="B1505" s="2">
        <v>45418</v>
      </c>
      <c r="C1505" s="1" t="s">
        <v>672</v>
      </c>
      <c r="D1505" s="1" t="s">
        <v>673</v>
      </c>
      <c r="E1505" s="1" t="s">
        <v>21</v>
      </c>
      <c r="F1505" s="1" t="s">
        <v>113</v>
      </c>
      <c r="G1505" s="1" t="s">
        <v>114</v>
      </c>
      <c r="H1505" s="1" t="s">
        <v>37</v>
      </c>
      <c r="I1505">
        <v>55334</v>
      </c>
      <c r="J1505" s="3">
        <v>20.260000000000002</v>
      </c>
      <c r="K1505" s="3">
        <v>1121066.8400000001</v>
      </c>
    </row>
    <row r="1506" spans="1:11" x14ac:dyDescent="0.2">
      <c r="A1506" s="1" t="s">
        <v>2574</v>
      </c>
      <c r="B1506" s="2">
        <v>45783</v>
      </c>
      <c r="C1506" s="1" t="s">
        <v>243</v>
      </c>
      <c r="D1506" s="1" t="s">
        <v>244</v>
      </c>
      <c r="E1506" s="1" t="s">
        <v>21</v>
      </c>
      <c r="F1506" s="1" t="s">
        <v>70</v>
      </c>
      <c r="G1506" s="1" t="s">
        <v>71</v>
      </c>
      <c r="H1506" s="1" t="s">
        <v>72</v>
      </c>
      <c r="I1506">
        <v>90108</v>
      </c>
      <c r="J1506" s="3">
        <v>34.200000000000003</v>
      </c>
      <c r="K1506" s="3">
        <v>3081693.6</v>
      </c>
    </row>
    <row r="1507" spans="1:11" x14ac:dyDescent="0.2">
      <c r="A1507" s="1" t="s">
        <v>2575</v>
      </c>
      <c r="B1507" s="2">
        <v>45413</v>
      </c>
      <c r="C1507" s="1" t="s">
        <v>1117</v>
      </c>
      <c r="D1507" s="1" t="s">
        <v>1118</v>
      </c>
      <c r="E1507" s="1" t="s">
        <v>37</v>
      </c>
      <c r="F1507" s="1" t="s">
        <v>184</v>
      </c>
      <c r="G1507" s="1" t="s">
        <v>185</v>
      </c>
      <c r="H1507" s="1" t="s">
        <v>17</v>
      </c>
      <c r="I1507">
        <v>34837</v>
      </c>
      <c r="J1507" s="3">
        <v>43.74</v>
      </c>
      <c r="K1507" s="3">
        <v>1523770.38</v>
      </c>
    </row>
    <row r="1508" spans="1:11" x14ac:dyDescent="0.2">
      <c r="A1508" s="1" t="s">
        <v>2576</v>
      </c>
      <c r="B1508" s="2">
        <v>45975</v>
      </c>
      <c r="C1508" s="1" t="s">
        <v>1750</v>
      </c>
      <c r="D1508" s="1" t="s">
        <v>1751</v>
      </c>
      <c r="E1508" s="1" t="s">
        <v>14</v>
      </c>
      <c r="F1508" s="1" t="s">
        <v>139</v>
      </c>
      <c r="G1508" s="1" t="s">
        <v>140</v>
      </c>
      <c r="H1508" s="1" t="s">
        <v>24</v>
      </c>
      <c r="I1508">
        <v>22956</v>
      </c>
      <c r="J1508" s="3">
        <v>42.22</v>
      </c>
      <c r="K1508" s="3">
        <v>969202.32</v>
      </c>
    </row>
    <row r="1509" spans="1:11" x14ac:dyDescent="0.2">
      <c r="A1509" s="1" t="s">
        <v>2577</v>
      </c>
      <c r="B1509" s="2">
        <v>45999</v>
      </c>
      <c r="C1509" s="1" t="s">
        <v>633</v>
      </c>
      <c r="D1509" s="1" t="s">
        <v>634</v>
      </c>
      <c r="E1509" s="1" t="s">
        <v>34</v>
      </c>
      <c r="F1509" s="1" t="s">
        <v>324</v>
      </c>
      <c r="G1509" s="1" t="s">
        <v>325</v>
      </c>
      <c r="H1509" s="1" t="s">
        <v>24</v>
      </c>
      <c r="I1509">
        <v>60663</v>
      </c>
      <c r="J1509" s="3">
        <v>10.5</v>
      </c>
      <c r="K1509" s="3">
        <v>636961.5</v>
      </c>
    </row>
    <row r="1510" spans="1:11" x14ac:dyDescent="0.2">
      <c r="A1510" s="1" t="s">
        <v>2578</v>
      </c>
      <c r="B1510" s="2">
        <v>45456</v>
      </c>
      <c r="C1510" s="1" t="s">
        <v>279</v>
      </c>
      <c r="D1510" s="1" t="s">
        <v>280</v>
      </c>
      <c r="E1510" s="1" t="s">
        <v>37</v>
      </c>
      <c r="F1510" s="1" t="s">
        <v>152</v>
      </c>
      <c r="G1510" s="1" t="s">
        <v>153</v>
      </c>
      <c r="H1510" s="1" t="s">
        <v>17</v>
      </c>
      <c r="I1510">
        <v>59716</v>
      </c>
      <c r="J1510" s="3">
        <v>42.81</v>
      </c>
      <c r="K1510" s="3">
        <v>2556441.96</v>
      </c>
    </row>
    <row r="1511" spans="1:11" x14ac:dyDescent="0.2">
      <c r="A1511" s="1" t="s">
        <v>2579</v>
      </c>
      <c r="B1511" s="2">
        <v>45821</v>
      </c>
      <c r="C1511" s="1" t="s">
        <v>576</v>
      </c>
      <c r="D1511" s="1" t="s">
        <v>577</v>
      </c>
      <c r="E1511" s="1" t="s">
        <v>14</v>
      </c>
      <c r="F1511" s="1" t="s">
        <v>139</v>
      </c>
      <c r="G1511" s="1" t="s">
        <v>140</v>
      </c>
      <c r="H1511" s="1" t="s">
        <v>24</v>
      </c>
      <c r="I1511">
        <v>58135</v>
      </c>
      <c r="J1511" s="3">
        <v>27.94</v>
      </c>
      <c r="K1511" s="3">
        <v>1624291.9</v>
      </c>
    </row>
    <row r="1512" spans="1:11" x14ac:dyDescent="0.2">
      <c r="A1512" s="1" t="s">
        <v>2580</v>
      </c>
      <c r="B1512" s="2">
        <v>45884</v>
      </c>
      <c r="C1512" s="1" t="s">
        <v>929</v>
      </c>
      <c r="D1512" s="1" t="s">
        <v>930</v>
      </c>
      <c r="E1512" s="1" t="s">
        <v>28</v>
      </c>
      <c r="F1512" s="1" t="s">
        <v>98</v>
      </c>
      <c r="G1512" s="1" t="s">
        <v>99</v>
      </c>
      <c r="H1512" s="1" t="s">
        <v>72</v>
      </c>
      <c r="I1512">
        <v>17547</v>
      </c>
      <c r="J1512" s="3">
        <v>43.76</v>
      </c>
      <c r="K1512" s="3">
        <v>767856.72</v>
      </c>
    </row>
    <row r="1513" spans="1:11" x14ac:dyDescent="0.2">
      <c r="A1513" s="1" t="s">
        <v>2581</v>
      </c>
      <c r="B1513" s="2">
        <v>45794</v>
      </c>
      <c r="C1513" s="1" t="s">
        <v>722</v>
      </c>
      <c r="D1513" s="1" t="s">
        <v>723</v>
      </c>
      <c r="E1513" s="1" t="s">
        <v>21</v>
      </c>
      <c r="F1513" s="1" t="s">
        <v>208</v>
      </c>
      <c r="G1513" s="1" t="s">
        <v>209</v>
      </c>
      <c r="H1513" s="1" t="s">
        <v>17</v>
      </c>
      <c r="I1513">
        <v>85195</v>
      </c>
      <c r="J1513" s="3">
        <v>10.26</v>
      </c>
      <c r="K1513" s="3">
        <v>874100.7</v>
      </c>
    </row>
    <row r="1514" spans="1:11" x14ac:dyDescent="0.2">
      <c r="A1514" s="1" t="s">
        <v>2582</v>
      </c>
      <c r="B1514" s="2">
        <v>45729</v>
      </c>
      <c r="C1514" s="1" t="s">
        <v>1102</v>
      </c>
      <c r="D1514" s="1" t="s">
        <v>1103</v>
      </c>
      <c r="E1514" s="1" t="s">
        <v>21</v>
      </c>
      <c r="F1514" s="1" t="s">
        <v>144</v>
      </c>
      <c r="G1514" s="1" t="s">
        <v>145</v>
      </c>
      <c r="H1514" s="1" t="s">
        <v>24</v>
      </c>
      <c r="I1514">
        <v>78178</v>
      </c>
      <c r="J1514" s="3">
        <v>42.8</v>
      </c>
      <c r="K1514" s="3">
        <v>3346018.4</v>
      </c>
    </row>
    <row r="1515" spans="1:11" x14ac:dyDescent="0.2">
      <c r="A1515" s="1" t="s">
        <v>2583</v>
      </c>
      <c r="B1515" s="2">
        <v>45338</v>
      </c>
      <c r="C1515" s="1" t="s">
        <v>823</v>
      </c>
      <c r="D1515" s="1" t="s">
        <v>824</v>
      </c>
      <c r="E1515" s="1" t="s">
        <v>21</v>
      </c>
      <c r="F1515" s="1" t="s">
        <v>195</v>
      </c>
      <c r="G1515" s="1" t="s">
        <v>196</v>
      </c>
      <c r="H1515" s="1" t="s">
        <v>48</v>
      </c>
      <c r="I1515">
        <v>85374</v>
      </c>
      <c r="J1515" s="3">
        <v>48.28</v>
      </c>
      <c r="K1515" s="3">
        <v>4121856.72</v>
      </c>
    </row>
    <row r="1516" spans="1:11" x14ac:dyDescent="0.2">
      <c r="A1516" s="1" t="s">
        <v>2584</v>
      </c>
      <c r="B1516" s="2">
        <v>45496</v>
      </c>
      <c r="C1516" s="1" t="s">
        <v>1894</v>
      </c>
      <c r="D1516" s="1" t="s">
        <v>1895</v>
      </c>
      <c r="E1516" s="1" t="s">
        <v>28</v>
      </c>
      <c r="F1516" s="1" t="s">
        <v>203</v>
      </c>
      <c r="G1516" s="1" t="s">
        <v>204</v>
      </c>
      <c r="H1516" s="1" t="s">
        <v>72</v>
      </c>
      <c r="I1516">
        <v>6367</v>
      </c>
      <c r="J1516" s="3">
        <v>34.770000000000003</v>
      </c>
      <c r="K1516" s="3">
        <v>221380.59</v>
      </c>
    </row>
    <row r="1517" spans="1:11" x14ac:dyDescent="0.2">
      <c r="A1517" s="1" t="s">
        <v>2585</v>
      </c>
      <c r="B1517" s="2">
        <v>45747</v>
      </c>
      <c r="C1517" s="1" t="s">
        <v>2273</v>
      </c>
      <c r="D1517" s="1" t="s">
        <v>2274</v>
      </c>
      <c r="E1517" s="1" t="s">
        <v>28</v>
      </c>
      <c r="F1517" s="1" t="s">
        <v>76</v>
      </c>
      <c r="G1517" s="1" t="s">
        <v>77</v>
      </c>
      <c r="H1517" s="1" t="s">
        <v>48</v>
      </c>
      <c r="I1517">
        <v>44827</v>
      </c>
      <c r="J1517" s="3">
        <v>48.1</v>
      </c>
      <c r="K1517" s="3">
        <v>2156178.7000000002</v>
      </c>
    </row>
    <row r="1518" spans="1:11" x14ac:dyDescent="0.2">
      <c r="A1518" s="1" t="s">
        <v>2586</v>
      </c>
      <c r="B1518" s="2">
        <v>45311</v>
      </c>
      <c r="C1518" s="1" t="s">
        <v>2031</v>
      </c>
      <c r="D1518" s="1" t="s">
        <v>2032</v>
      </c>
      <c r="E1518" s="1" t="s">
        <v>14</v>
      </c>
      <c r="F1518" s="1" t="s">
        <v>15</v>
      </c>
      <c r="G1518" s="1" t="s">
        <v>16</v>
      </c>
      <c r="H1518" s="1" t="s">
        <v>17</v>
      </c>
      <c r="I1518">
        <v>16857</v>
      </c>
      <c r="J1518" s="3">
        <v>12.23</v>
      </c>
      <c r="K1518" s="3">
        <v>206161.11</v>
      </c>
    </row>
    <row r="1519" spans="1:11" x14ac:dyDescent="0.2">
      <c r="A1519" s="1" t="s">
        <v>2587</v>
      </c>
      <c r="B1519" s="2">
        <v>45958</v>
      </c>
      <c r="C1519" s="1" t="s">
        <v>391</v>
      </c>
      <c r="D1519" s="1" t="s">
        <v>392</v>
      </c>
      <c r="E1519" s="1" t="s">
        <v>37</v>
      </c>
      <c r="F1519" s="1" t="s">
        <v>552</v>
      </c>
      <c r="G1519" s="1" t="s">
        <v>553</v>
      </c>
      <c r="H1519" s="1" t="s">
        <v>37</v>
      </c>
      <c r="I1519">
        <v>37952</v>
      </c>
      <c r="J1519" s="3">
        <v>20.04</v>
      </c>
      <c r="K1519" s="3">
        <v>760558.07999999996</v>
      </c>
    </row>
    <row r="1520" spans="1:11" x14ac:dyDescent="0.2">
      <c r="A1520" s="1" t="s">
        <v>2588</v>
      </c>
      <c r="B1520" s="2">
        <v>45763</v>
      </c>
      <c r="C1520" s="1" t="s">
        <v>746</v>
      </c>
      <c r="D1520" s="1" t="s">
        <v>747</v>
      </c>
      <c r="E1520" s="1" t="s">
        <v>37</v>
      </c>
      <c r="F1520" s="1" t="s">
        <v>324</v>
      </c>
      <c r="G1520" s="1" t="s">
        <v>325</v>
      </c>
      <c r="H1520" s="1" t="s">
        <v>24</v>
      </c>
      <c r="I1520">
        <v>40676</v>
      </c>
      <c r="J1520" s="3">
        <v>11.67</v>
      </c>
      <c r="K1520" s="3">
        <v>474688.92</v>
      </c>
    </row>
    <row r="1521" spans="1:11" x14ac:dyDescent="0.2">
      <c r="A1521" s="1" t="s">
        <v>2589</v>
      </c>
      <c r="B1521" s="2">
        <v>45367</v>
      </c>
      <c r="C1521" s="1" t="s">
        <v>137</v>
      </c>
      <c r="D1521" s="1" t="s">
        <v>138</v>
      </c>
      <c r="E1521" s="1" t="s">
        <v>37</v>
      </c>
      <c r="F1521" s="1" t="s">
        <v>251</v>
      </c>
      <c r="G1521" s="1" t="s">
        <v>252</v>
      </c>
      <c r="H1521" s="1" t="s">
        <v>72</v>
      </c>
      <c r="I1521">
        <v>39900</v>
      </c>
      <c r="J1521" s="3">
        <v>48.4</v>
      </c>
      <c r="K1521" s="3">
        <v>1931160</v>
      </c>
    </row>
    <row r="1522" spans="1:11" x14ac:dyDescent="0.2">
      <c r="A1522" s="1" t="s">
        <v>2590</v>
      </c>
      <c r="B1522" s="2">
        <v>45319</v>
      </c>
      <c r="C1522" s="1" t="s">
        <v>1211</v>
      </c>
      <c r="D1522" s="1" t="s">
        <v>1212</v>
      </c>
      <c r="E1522" s="1" t="s">
        <v>37</v>
      </c>
      <c r="F1522" s="1" t="s">
        <v>29</v>
      </c>
      <c r="G1522" s="1" t="s">
        <v>30</v>
      </c>
      <c r="H1522" s="1" t="s">
        <v>24</v>
      </c>
      <c r="I1522">
        <v>94298</v>
      </c>
      <c r="J1522" s="3">
        <v>28</v>
      </c>
      <c r="K1522" s="3">
        <v>2640344</v>
      </c>
    </row>
    <row r="1523" spans="1:11" x14ac:dyDescent="0.2">
      <c r="A1523" s="1" t="s">
        <v>2591</v>
      </c>
      <c r="B1523" s="2">
        <v>45993</v>
      </c>
      <c r="C1523" s="1" t="s">
        <v>2064</v>
      </c>
      <c r="D1523" s="1" t="s">
        <v>2065</v>
      </c>
      <c r="E1523" s="1" t="s">
        <v>14</v>
      </c>
      <c r="F1523" s="1" t="s">
        <v>57</v>
      </c>
      <c r="G1523" s="1" t="s">
        <v>58</v>
      </c>
      <c r="H1523" s="1" t="s">
        <v>48</v>
      </c>
      <c r="I1523">
        <v>51119</v>
      </c>
      <c r="J1523" s="3">
        <v>17.22</v>
      </c>
      <c r="K1523" s="3">
        <v>880269.18</v>
      </c>
    </row>
    <row r="1524" spans="1:11" x14ac:dyDescent="0.2">
      <c r="A1524" s="1" t="s">
        <v>2592</v>
      </c>
      <c r="B1524" s="2">
        <v>45500</v>
      </c>
      <c r="C1524" s="1" t="s">
        <v>1867</v>
      </c>
      <c r="D1524" s="1" t="s">
        <v>1868</v>
      </c>
      <c r="E1524" s="1" t="s">
        <v>28</v>
      </c>
      <c r="F1524" s="1" t="s">
        <v>41</v>
      </c>
      <c r="G1524" s="1" t="s">
        <v>42</v>
      </c>
      <c r="H1524" s="1" t="s">
        <v>24</v>
      </c>
      <c r="I1524">
        <v>56457</v>
      </c>
      <c r="J1524" s="3">
        <v>49.88</v>
      </c>
      <c r="K1524" s="3">
        <v>2816075.16</v>
      </c>
    </row>
    <row r="1525" spans="1:11" x14ac:dyDescent="0.2">
      <c r="A1525" s="1" t="s">
        <v>2593</v>
      </c>
      <c r="B1525" s="2">
        <v>45799</v>
      </c>
      <c r="C1525" s="1" t="s">
        <v>12</v>
      </c>
      <c r="D1525" s="1" t="s">
        <v>13</v>
      </c>
      <c r="E1525" s="1" t="s">
        <v>14</v>
      </c>
      <c r="F1525" s="1" t="s">
        <v>203</v>
      </c>
      <c r="G1525" s="1" t="s">
        <v>204</v>
      </c>
      <c r="H1525" s="1" t="s">
        <v>72</v>
      </c>
      <c r="I1525">
        <v>66973</v>
      </c>
      <c r="J1525" s="3">
        <v>18.09</v>
      </c>
      <c r="K1525" s="3">
        <v>1211541.57</v>
      </c>
    </row>
    <row r="1526" spans="1:11" x14ac:dyDescent="0.2">
      <c r="A1526" s="1" t="s">
        <v>2594</v>
      </c>
      <c r="B1526" s="2">
        <v>45601</v>
      </c>
      <c r="C1526" s="1" t="s">
        <v>1885</v>
      </c>
      <c r="D1526" s="1" t="s">
        <v>1886</v>
      </c>
      <c r="E1526" s="1" t="s">
        <v>28</v>
      </c>
      <c r="F1526" s="1" t="s">
        <v>394</v>
      </c>
      <c r="G1526" s="1" t="s">
        <v>395</v>
      </c>
      <c r="H1526" s="1" t="s">
        <v>48</v>
      </c>
      <c r="I1526">
        <v>90207</v>
      </c>
      <c r="J1526" s="3">
        <v>11.67</v>
      </c>
      <c r="K1526" s="3">
        <v>1052715.69</v>
      </c>
    </row>
    <row r="1527" spans="1:11" x14ac:dyDescent="0.2">
      <c r="A1527" s="1" t="s">
        <v>2595</v>
      </c>
      <c r="B1527" s="2">
        <v>45584</v>
      </c>
      <c r="C1527" s="1" t="s">
        <v>313</v>
      </c>
      <c r="D1527" s="1" t="s">
        <v>314</v>
      </c>
      <c r="E1527" s="1" t="s">
        <v>37</v>
      </c>
      <c r="F1527" s="1" t="s">
        <v>208</v>
      </c>
      <c r="G1527" s="1" t="s">
        <v>209</v>
      </c>
      <c r="H1527" s="1" t="s">
        <v>17</v>
      </c>
      <c r="I1527">
        <v>2869</v>
      </c>
      <c r="J1527" s="3">
        <v>5</v>
      </c>
      <c r="K1527" s="3">
        <v>14345</v>
      </c>
    </row>
    <row r="1528" spans="1:11" x14ac:dyDescent="0.2">
      <c r="A1528" s="1" t="s">
        <v>2596</v>
      </c>
      <c r="B1528" s="2">
        <v>45383</v>
      </c>
      <c r="C1528" s="1" t="s">
        <v>2597</v>
      </c>
      <c r="D1528" s="1" t="s">
        <v>2598</v>
      </c>
      <c r="E1528" s="1" t="s">
        <v>21</v>
      </c>
      <c r="F1528" s="1" t="s">
        <v>41</v>
      </c>
      <c r="G1528" s="1" t="s">
        <v>42</v>
      </c>
      <c r="H1528" s="1" t="s">
        <v>24</v>
      </c>
      <c r="I1528">
        <v>20459</v>
      </c>
      <c r="J1528" s="3">
        <v>6.26</v>
      </c>
      <c r="K1528" s="3">
        <v>128073.34</v>
      </c>
    </row>
    <row r="1529" spans="1:11" x14ac:dyDescent="0.2">
      <c r="A1529" s="1" t="s">
        <v>2599</v>
      </c>
      <c r="B1529" s="2">
        <v>45803</v>
      </c>
      <c r="C1529" s="1" t="s">
        <v>2442</v>
      </c>
      <c r="D1529" s="1" t="s">
        <v>2443</v>
      </c>
      <c r="E1529" s="1" t="s">
        <v>34</v>
      </c>
      <c r="F1529" s="1" t="s">
        <v>113</v>
      </c>
      <c r="G1529" s="1" t="s">
        <v>114</v>
      </c>
      <c r="H1529" s="1" t="s">
        <v>37</v>
      </c>
      <c r="I1529">
        <v>1709</v>
      </c>
      <c r="J1529" s="3">
        <v>39.89</v>
      </c>
      <c r="K1529" s="3">
        <v>68172.009999999995</v>
      </c>
    </row>
    <row r="1530" spans="1:11" x14ac:dyDescent="0.2">
      <c r="A1530" s="1" t="s">
        <v>2600</v>
      </c>
      <c r="B1530" s="2">
        <v>45607</v>
      </c>
      <c r="C1530" s="1" t="s">
        <v>2601</v>
      </c>
      <c r="D1530" s="1" t="s">
        <v>2602</v>
      </c>
      <c r="E1530" s="1" t="s">
        <v>21</v>
      </c>
      <c r="F1530" s="1" t="s">
        <v>52</v>
      </c>
      <c r="G1530" s="1" t="s">
        <v>53</v>
      </c>
      <c r="H1530" s="1" t="s">
        <v>17</v>
      </c>
      <c r="I1530">
        <v>85736</v>
      </c>
      <c r="J1530" s="3">
        <v>29.15</v>
      </c>
      <c r="K1530" s="3">
        <v>2499204.4</v>
      </c>
    </row>
    <row r="1531" spans="1:11" x14ac:dyDescent="0.2">
      <c r="A1531" s="1" t="s">
        <v>2603</v>
      </c>
      <c r="B1531" s="2">
        <v>45489</v>
      </c>
      <c r="C1531" s="1" t="s">
        <v>254</v>
      </c>
      <c r="D1531" s="1" t="s">
        <v>255</v>
      </c>
      <c r="E1531" s="1" t="s">
        <v>14</v>
      </c>
      <c r="F1531" s="1" t="s">
        <v>273</v>
      </c>
      <c r="G1531" s="1" t="s">
        <v>274</v>
      </c>
      <c r="H1531" s="1" t="s">
        <v>24</v>
      </c>
      <c r="I1531">
        <v>26859</v>
      </c>
      <c r="J1531" s="3">
        <v>46.99</v>
      </c>
      <c r="K1531" s="3">
        <v>1262104.4099999999</v>
      </c>
    </row>
    <row r="1532" spans="1:11" x14ac:dyDescent="0.2">
      <c r="A1532" s="1" t="s">
        <v>2604</v>
      </c>
      <c r="B1532" s="2">
        <v>45692</v>
      </c>
      <c r="C1532" s="1" t="s">
        <v>688</v>
      </c>
      <c r="D1532" s="1" t="s">
        <v>689</v>
      </c>
      <c r="E1532" s="1" t="s">
        <v>37</v>
      </c>
      <c r="F1532" s="1" t="s">
        <v>52</v>
      </c>
      <c r="G1532" s="1" t="s">
        <v>53</v>
      </c>
      <c r="H1532" s="1" t="s">
        <v>17</v>
      </c>
      <c r="I1532">
        <v>29201</v>
      </c>
      <c r="J1532" s="3">
        <v>28.51</v>
      </c>
      <c r="K1532" s="3">
        <v>832520.51</v>
      </c>
    </row>
    <row r="1533" spans="1:11" x14ac:dyDescent="0.2">
      <c r="A1533" s="1" t="s">
        <v>2605</v>
      </c>
      <c r="B1533" s="2">
        <v>45394</v>
      </c>
      <c r="C1533" s="1" t="s">
        <v>814</v>
      </c>
      <c r="D1533" s="1" t="s">
        <v>815</v>
      </c>
      <c r="E1533" s="1" t="s">
        <v>14</v>
      </c>
      <c r="F1533" s="1" t="s">
        <v>510</v>
      </c>
      <c r="G1533" s="1" t="s">
        <v>511</v>
      </c>
      <c r="H1533" s="1" t="s">
        <v>17</v>
      </c>
      <c r="I1533">
        <v>81982</v>
      </c>
      <c r="J1533" s="3">
        <v>47.11</v>
      </c>
      <c r="K1533" s="3">
        <v>3862172.02</v>
      </c>
    </row>
    <row r="1534" spans="1:11" x14ac:dyDescent="0.2">
      <c r="A1534" s="1" t="s">
        <v>2606</v>
      </c>
      <c r="B1534" s="2">
        <v>45695</v>
      </c>
      <c r="C1534" s="1" t="s">
        <v>206</v>
      </c>
      <c r="D1534" s="1" t="s">
        <v>207</v>
      </c>
      <c r="E1534" s="1" t="s">
        <v>14</v>
      </c>
      <c r="F1534" s="1" t="s">
        <v>144</v>
      </c>
      <c r="G1534" s="1" t="s">
        <v>145</v>
      </c>
      <c r="H1534" s="1" t="s">
        <v>24</v>
      </c>
      <c r="I1534">
        <v>36375</v>
      </c>
      <c r="J1534" s="3">
        <v>10.23</v>
      </c>
      <c r="K1534" s="3">
        <v>372116.25</v>
      </c>
    </row>
    <row r="1535" spans="1:11" x14ac:dyDescent="0.2">
      <c r="A1535" s="1" t="s">
        <v>2607</v>
      </c>
      <c r="B1535" s="2">
        <v>45927</v>
      </c>
      <c r="C1535" s="1" t="s">
        <v>101</v>
      </c>
      <c r="D1535" s="1" t="s">
        <v>102</v>
      </c>
      <c r="E1535" s="1" t="s">
        <v>37</v>
      </c>
      <c r="F1535" s="1" t="s">
        <v>273</v>
      </c>
      <c r="G1535" s="1" t="s">
        <v>274</v>
      </c>
      <c r="H1535" s="1" t="s">
        <v>24</v>
      </c>
      <c r="I1535">
        <v>21166</v>
      </c>
      <c r="J1535" s="3">
        <v>31.25</v>
      </c>
      <c r="K1535" s="3">
        <v>661437.5</v>
      </c>
    </row>
    <row r="1536" spans="1:11" x14ac:dyDescent="0.2">
      <c r="A1536" s="1" t="s">
        <v>2608</v>
      </c>
      <c r="B1536" s="2">
        <v>45607</v>
      </c>
      <c r="C1536" s="1" t="s">
        <v>767</v>
      </c>
      <c r="D1536" s="1" t="s">
        <v>768</v>
      </c>
      <c r="E1536" s="1" t="s">
        <v>28</v>
      </c>
      <c r="F1536" s="1" t="s">
        <v>458</v>
      </c>
      <c r="G1536" s="1" t="s">
        <v>459</v>
      </c>
      <c r="H1536" s="1" t="s">
        <v>72</v>
      </c>
      <c r="I1536">
        <v>72800</v>
      </c>
      <c r="J1536" s="3">
        <v>8.23</v>
      </c>
      <c r="K1536" s="3">
        <v>599144</v>
      </c>
    </row>
    <row r="1537" spans="1:11" x14ac:dyDescent="0.2">
      <c r="A1537" s="1" t="s">
        <v>2609</v>
      </c>
      <c r="B1537" s="2">
        <v>45721</v>
      </c>
      <c r="C1537" s="1" t="s">
        <v>1028</v>
      </c>
      <c r="D1537" s="1" t="s">
        <v>1029</v>
      </c>
      <c r="E1537" s="1" t="s">
        <v>14</v>
      </c>
      <c r="F1537" s="1" t="s">
        <v>474</v>
      </c>
      <c r="G1537" s="1" t="s">
        <v>475</v>
      </c>
      <c r="H1537" s="1" t="s">
        <v>48</v>
      </c>
      <c r="I1537">
        <v>60506</v>
      </c>
      <c r="J1537" s="3">
        <v>47.34</v>
      </c>
      <c r="K1537" s="3">
        <v>2864354.04</v>
      </c>
    </row>
    <row r="1538" spans="1:11" x14ac:dyDescent="0.2">
      <c r="A1538" s="1" t="s">
        <v>2610</v>
      </c>
      <c r="B1538" s="2">
        <v>45718</v>
      </c>
      <c r="C1538" s="1" t="s">
        <v>2314</v>
      </c>
      <c r="D1538" s="1" t="s">
        <v>2315</v>
      </c>
      <c r="E1538" s="1" t="s">
        <v>21</v>
      </c>
      <c r="F1538" s="1" t="s">
        <v>22</v>
      </c>
      <c r="G1538" s="1" t="s">
        <v>23</v>
      </c>
      <c r="H1538" s="1" t="s">
        <v>24</v>
      </c>
      <c r="I1538">
        <v>21503</v>
      </c>
      <c r="J1538" s="3">
        <v>35.21</v>
      </c>
      <c r="K1538" s="3">
        <v>757120.63</v>
      </c>
    </row>
    <row r="1539" spans="1:11" x14ac:dyDescent="0.2">
      <c r="A1539" s="1" t="s">
        <v>2611</v>
      </c>
      <c r="B1539" s="2">
        <v>45607</v>
      </c>
      <c r="C1539" s="1" t="s">
        <v>695</v>
      </c>
      <c r="D1539" s="1" t="s">
        <v>696</v>
      </c>
      <c r="E1539" s="1" t="s">
        <v>14</v>
      </c>
      <c r="F1539" s="1" t="s">
        <v>46</v>
      </c>
      <c r="G1539" s="1" t="s">
        <v>47</v>
      </c>
      <c r="H1539" s="1" t="s">
        <v>48</v>
      </c>
      <c r="I1539">
        <v>26141</v>
      </c>
      <c r="J1539" s="3">
        <v>30.71</v>
      </c>
      <c r="K1539" s="3">
        <v>802790.11</v>
      </c>
    </row>
    <row r="1540" spans="1:11" x14ac:dyDescent="0.2">
      <c r="A1540" s="1" t="s">
        <v>2612</v>
      </c>
      <c r="B1540" s="2">
        <v>45639</v>
      </c>
      <c r="C1540" s="1" t="s">
        <v>2613</v>
      </c>
      <c r="D1540" s="1" t="s">
        <v>2614</v>
      </c>
      <c r="E1540" s="1" t="s">
        <v>28</v>
      </c>
      <c r="F1540" s="1" t="s">
        <v>103</v>
      </c>
      <c r="G1540" s="1" t="s">
        <v>104</v>
      </c>
      <c r="H1540" s="1" t="s">
        <v>37</v>
      </c>
      <c r="I1540">
        <v>54037</v>
      </c>
      <c r="J1540" s="3">
        <v>26.94</v>
      </c>
      <c r="K1540" s="3">
        <v>1455756.78</v>
      </c>
    </row>
    <row r="1541" spans="1:11" x14ac:dyDescent="0.2">
      <c r="A1541" s="1" t="s">
        <v>2615</v>
      </c>
      <c r="B1541" s="2">
        <v>45765</v>
      </c>
      <c r="C1541" s="1" t="s">
        <v>1999</v>
      </c>
      <c r="D1541" s="1" t="s">
        <v>2000</v>
      </c>
      <c r="E1541" s="1" t="s">
        <v>21</v>
      </c>
      <c r="F1541" s="1" t="s">
        <v>65</v>
      </c>
      <c r="G1541" s="1" t="s">
        <v>66</v>
      </c>
      <c r="H1541" s="1" t="s">
        <v>48</v>
      </c>
      <c r="I1541">
        <v>2332</v>
      </c>
      <c r="J1541" s="3">
        <v>5.87</v>
      </c>
      <c r="K1541" s="3">
        <v>13688.84</v>
      </c>
    </row>
    <row r="1542" spans="1:11" x14ac:dyDescent="0.2">
      <c r="A1542" s="1" t="s">
        <v>2616</v>
      </c>
      <c r="B1542" s="2">
        <v>45603</v>
      </c>
      <c r="C1542" s="1" t="s">
        <v>122</v>
      </c>
      <c r="D1542" s="1" t="s">
        <v>123</v>
      </c>
      <c r="E1542" s="1" t="s">
        <v>28</v>
      </c>
      <c r="F1542" s="1" t="s">
        <v>268</v>
      </c>
      <c r="G1542" s="1" t="s">
        <v>269</v>
      </c>
      <c r="H1542" s="1" t="s">
        <v>72</v>
      </c>
      <c r="I1542">
        <v>29794</v>
      </c>
      <c r="J1542" s="3">
        <v>21</v>
      </c>
      <c r="K1542" s="3">
        <v>625674</v>
      </c>
    </row>
    <row r="1543" spans="1:11" x14ac:dyDescent="0.2">
      <c r="A1543" s="1" t="s">
        <v>2617</v>
      </c>
      <c r="B1543" s="2">
        <v>45912</v>
      </c>
      <c r="C1543" s="1" t="s">
        <v>1454</v>
      </c>
      <c r="D1543" s="1" t="s">
        <v>1455</v>
      </c>
      <c r="E1543" s="1" t="s">
        <v>37</v>
      </c>
      <c r="F1543" s="1" t="s">
        <v>268</v>
      </c>
      <c r="G1543" s="1" t="s">
        <v>269</v>
      </c>
      <c r="H1543" s="1" t="s">
        <v>72</v>
      </c>
      <c r="I1543">
        <v>34411</v>
      </c>
      <c r="J1543" s="3">
        <v>48.28</v>
      </c>
      <c r="K1543" s="3">
        <v>1661363.08</v>
      </c>
    </row>
    <row r="1544" spans="1:11" x14ac:dyDescent="0.2">
      <c r="A1544" s="1" t="s">
        <v>2618</v>
      </c>
      <c r="B1544" s="2">
        <v>45820</v>
      </c>
      <c r="C1544" s="1" t="s">
        <v>1039</v>
      </c>
      <c r="D1544" s="1" t="s">
        <v>1040</v>
      </c>
      <c r="E1544" s="1" t="s">
        <v>14</v>
      </c>
      <c r="F1544" s="1" t="s">
        <v>412</v>
      </c>
      <c r="G1544" s="1" t="s">
        <v>413</v>
      </c>
      <c r="H1544" s="1" t="s">
        <v>72</v>
      </c>
      <c r="I1544">
        <v>92715</v>
      </c>
      <c r="J1544" s="3">
        <v>20.12</v>
      </c>
      <c r="K1544" s="3">
        <v>1865425.8</v>
      </c>
    </row>
    <row r="1545" spans="1:11" x14ac:dyDescent="0.2">
      <c r="A1545" s="1" t="s">
        <v>2619</v>
      </c>
      <c r="B1545" s="2">
        <v>45962</v>
      </c>
      <c r="C1545" s="1" t="s">
        <v>32</v>
      </c>
      <c r="D1545" s="1" t="s">
        <v>33</v>
      </c>
      <c r="E1545" s="1" t="s">
        <v>34</v>
      </c>
      <c r="F1545" s="1" t="s">
        <v>41</v>
      </c>
      <c r="G1545" s="1" t="s">
        <v>42</v>
      </c>
      <c r="H1545" s="1" t="s">
        <v>24</v>
      </c>
      <c r="I1545">
        <v>61419</v>
      </c>
      <c r="J1545" s="3">
        <v>23.87</v>
      </c>
      <c r="K1545" s="3">
        <v>1466071.53</v>
      </c>
    </row>
    <row r="1546" spans="1:11" x14ac:dyDescent="0.2">
      <c r="A1546" s="1" t="s">
        <v>2620</v>
      </c>
      <c r="B1546" s="2">
        <v>45965</v>
      </c>
      <c r="C1546" s="1" t="s">
        <v>538</v>
      </c>
      <c r="D1546" s="1" t="s">
        <v>539</v>
      </c>
      <c r="E1546" s="1" t="s">
        <v>21</v>
      </c>
      <c r="F1546" s="1" t="s">
        <v>339</v>
      </c>
      <c r="G1546" s="1" t="s">
        <v>340</v>
      </c>
      <c r="H1546" s="1" t="s">
        <v>24</v>
      </c>
      <c r="I1546">
        <v>19220</v>
      </c>
      <c r="J1546" s="3">
        <v>28.22</v>
      </c>
      <c r="K1546" s="3">
        <v>542388.4</v>
      </c>
    </row>
    <row r="1547" spans="1:11" x14ac:dyDescent="0.2">
      <c r="A1547" s="1" t="s">
        <v>2621</v>
      </c>
      <c r="B1547" s="2">
        <v>45864</v>
      </c>
      <c r="C1547" s="1" t="s">
        <v>1408</v>
      </c>
      <c r="D1547" s="1" t="s">
        <v>1409</v>
      </c>
      <c r="E1547" s="1" t="s">
        <v>21</v>
      </c>
      <c r="F1547" s="1" t="s">
        <v>46</v>
      </c>
      <c r="G1547" s="1" t="s">
        <v>47</v>
      </c>
      <c r="H1547" s="1" t="s">
        <v>48</v>
      </c>
      <c r="I1547">
        <v>44444</v>
      </c>
      <c r="J1547" s="3">
        <v>12.49</v>
      </c>
      <c r="K1547" s="3">
        <v>555105.56000000006</v>
      </c>
    </row>
    <row r="1548" spans="1:11" x14ac:dyDescent="0.2">
      <c r="A1548" s="1" t="s">
        <v>2622</v>
      </c>
      <c r="B1548" s="2">
        <v>45995</v>
      </c>
      <c r="C1548" s="1" t="s">
        <v>171</v>
      </c>
      <c r="D1548" s="1" t="s">
        <v>172</v>
      </c>
      <c r="E1548" s="1" t="s">
        <v>28</v>
      </c>
      <c r="F1548" s="1" t="s">
        <v>324</v>
      </c>
      <c r="G1548" s="1" t="s">
        <v>325</v>
      </c>
      <c r="H1548" s="1" t="s">
        <v>24</v>
      </c>
      <c r="I1548">
        <v>83664</v>
      </c>
      <c r="J1548" s="3">
        <v>25.53</v>
      </c>
      <c r="K1548" s="3">
        <v>2135941.92</v>
      </c>
    </row>
    <row r="1549" spans="1:11" x14ac:dyDescent="0.2">
      <c r="A1549" s="1" t="s">
        <v>2623</v>
      </c>
      <c r="B1549" s="2">
        <v>45374</v>
      </c>
      <c r="C1549" s="1" t="s">
        <v>1489</v>
      </c>
      <c r="D1549" s="1" t="s">
        <v>1490</v>
      </c>
      <c r="E1549" s="1" t="s">
        <v>37</v>
      </c>
      <c r="F1549" s="1" t="s">
        <v>761</v>
      </c>
      <c r="G1549" s="1" t="s">
        <v>762</v>
      </c>
      <c r="H1549" s="1" t="s">
        <v>48</v>
      </c>
      <c r="I1549">
        <v>75262</v>
      </c>
      <c r="J1549" s="3">
        <v>30.46</v>
      </c>
      <c r="K1549" s="3">
        <v>2292480.52</v>
      </c>
    </row>
    <row r="1550" spans="1:11" x14ac:dyDescent="0.2">
      <c r="A1550" s="1" t="s">
        <v>2624</v>
      </c>
      <c r="B1550" s="2">
        <v>45541</v>
      </c>
      <c r="C1550" s="1" t="s">
        <v>1095</v>
      </c>
      <c r="D1550" s="1" t="s">
        <v>1096</v>
      </c>
      <c r="E1550" s="1" t="s">
        <v>14</v>
      </c>
      <c r="F1550" s="1" t="s">
        <v>474</v>
      </c>
      <c r="G1550" s="1" t="s">
        <v>475</v>
      </c>
      <c r="H1550" s="1" t="s">
        <v>48</v>
      </c>
      <c r="I1550">
        <v>96276</v>
      </c>
      <c r="J1550" s="3">
        <v>44.9</v>
      </c>
      <c r="K1550" s="3">
        <v>4322792.4000000004</v>
      </c>
    </row>
    <row r="1551" spans="1:11" x14ac:dyDescent="0.2">
      <c r="A1551" s="1" t="s">
        <v>2625</v>
      </c>
      <c r="B1551" s="2">
        <v>45348</v>
      </c>
      <c r="C1551" s="1" t="s">
        <v>1658</v>
      </c>
      <c r="D1551" s="1" t="s">
        <v>1659</v>
      </c>
      <c r="E1551" s="1" t="s">
        <v>28</v>
      </c>
      <c r="F1551" s="1" t="s">
        <v>350</v>
      </c>
      <c r="G1551" s="1" t="s">
        <v>351</v>
      </c>
      <c r="H1551" s="1" t="s">
        <v>37</v>
      </c>
      <c r="I1551">
        <v>97060</v>
      </c>
      <c r="J1551" s="3">
        <v>13.83</v>
      </c>
      <c r="K1551" s="3">
        <v>1342339.8</v>
      </c>
    </row>
    <row r="1552" spans="1:11" x14ac:dyDescent="0.2">
      <c r="A1552" s="1" t="s">
        <v>2626</v>
      </c>
      <c r="B1552" s="2">
        <v>45818</v>
      </c>
      <c r="C1552" s="1" t="s">
        <v>63</v>
      </c>
      <c r="D1552" s="1" t="s">
        <v>64</v>
      </c>
      <c r="E1552" s="1" t="s">
        <v>37</v>
      </c>
      <c r="F1552" s="1" t="s">
        <v>189</v>
      </c>
      <c r="G1552" s="1" t="s">
        <v>190</v>
      </c>
      <c r="H1552" s="1" t="s">
        <v>17</v>
      </c>
      <c r="I1552">
        <v>69904</v>
      </c>
      <c r="J1552" s="3">
        <v>45.37</v>
      </c>
      <c r="K1552" s="3">
        <v>3171544.48</v>
      </c>
    </row>
    <row r="1553" spans="1:11" x14ac:dyDescent="0.2">
      <c r="A1553" s="1" t="s">
        <v>2627</v>
      </c>
      <c r="B1553" s="2">
        <v>45572</v>
      </c>
      <c r="C1553" s="1" t="s">
        <v>2628</v>
      </c>
      <c r="D1553" s="1" t="s">
        <v>2629</v>
      </c>
      <c r="E1553" s="1" t="s">
        <v>14</v>
      </c>
      <c r="F1553" s="1" t="s">
        <v>70</v>
      </c>
      <c r="G1553" s="1" t="s">
        <v>71</v>
      </c>
      <c r="H1553" s="1" t="s">
        <v>72</v>
      </c>
      <c r="I1553">
        <v>81236</v>
      </c>
      <c r="J1553" s="3">
        <v>37.229999999999997</v>
      </c>
      <c r="K1553" s="3">
        <v>3024416.28</v>
      </c>
    </row>
    <row r="1554" spans="1:11" x14ac:dyDescent="0.2">
      <c r="A1554" s="1" t="s">
        <v>2630</v>
      </c>
      <c r="B1554" s="2">
        <v>45381</v>
      </c>
      <c r="C1554" s="1" t="s">
        <v>2059</v>
      </c>
      <c r="D1554" s="1" t="s">
        <v>2060</v>
      </c>
      <c r="E1554" s="1" t="s">
        <v>21</v>
      </c>
      <c r="F1554" s="1" t="s">
        <v>339</v>
      </c>
      <c r="G1554" s="1" t="s">
        <v>340</v>
      </c>
      <c r="H1554" s="1" t="s">
        <v>24</v>
      </c>
      <c r="I1554">
        <v>87421</v>
      </c>
      <c r="J1554" s="3">
        <v>22.99</v>
      </c>
      <c r="K1554" s="3">
        <v>2009808.79</v>
      </c>
    </row>
    <row r="1555" spans="1:11" x14ac:dyDescent="0.2">
      <c r="A1555" s="1" t="s">
        <v>2631</v>
      </c>
      <c r="B1555" s="2">
        <v>45876</v>
      </c>
      <c r="C1555" s="1" t="s">
        <v>1567</v>
      </c>
      <c r="D1555" s="1" t="s">
        <v>1568</v>
      </c>
      <c r="E1555" s="1" t="s">
        <v>34</v>
      </c>
      <c r="F1555" s="1" t="s">
        <v>458</v>
      </c>
      <c r="G1555" s="1" t="s">
        <v>459</v>
      </c>
      <c r="H1555" s="1" t="s">
        <v>72</v>
      </c>
      <c r="I1555">
        <v>32037</v>
      </c>
      <c r="J1555" s="3">
        <v>24.58</v>
      </c>
      <c r="K1555" s="3">
        <v>787469.46</v>
      </c>
    </row>
    <row r="1556" spans="1:11" x14ac:dyDescent="0.2">
      <c r="A1556" s="1" t="s">
        <v>2632</v>
      </c>
      <c r="B1556" s="2">
        <v>45631</v>
      </c>
      <c r="C1556" s="1" t="s">
        <v>409</v>
      </c>
      <c r="D1556" s="1" t="s">
        <v>410</v>
      </c>
      <c r="E1556" s="1" t="s">
        <v>14</v>
      </c>
      <c r="F1556" s="1" t="s">
        <v>284</v>
      </c>
      <c r="G1556" s="1" t="s">
        <v>285</v>
      </c>
      <c r="H1556" s="1" t="s">
        <v>37</v>
      </c>
      <c r="I1556">
        <v>4412</v>
      </c>
      <c r="J1556" s="3">
        <v>26.94</v>
      </c>
      <c r="K1556" s="3">
        <v>118859.28</v>
      </c>
    </row>
    <row r="1557" spans="1:11" x14ac:dyDescent="0.2">
      <c r="A1557" s="1" t="s">
        <v>2633</v>
      </c>
      <c r="B1557" s="2">
        <v>45829</v>
      </c>
      <c r="C1557" s="1" t="s">
        <v>1344</v>
      </c>
      <c r="D1557" s="1" t="s">
        <v>1345</v>
      </c>
      <c r="E1557" s="1" t="s">
        <v>34</v>
      </c>
      <c r="F1557" s="1" t="s">
        <v>165</v>
      </c>
      <c r="G1557" s="1" t="s">
        <v>166</v>
      </c>
      <c r="H1557" s="1" t="s">
        <v>24</v>
      </c>
      <c r="I1557">
        <v>93741</v>
      </c>
      <c r="J1557" s="3">
        <v>37.03</v>
      </c>
      <c r="K1557" s="3">
        <v>3471229.23</v>
      </c>
    </row>
    <row r="1558" spans="1:11" x14ac:dyDescent="0.2">
      <c r="A1558" s="1" t="s">
        <v>2634</v>
      </c>
      <c r="B1558" s="2">
        <v>45477</v>
      </c>
      <c r="C1558" s="1" t="s">
        <v>297</v>
      </c>
      <c r="D1558" s="1" t="s">
        <v>298</v>
      </c>
      <c r="E1558" s="1" t="s">
        <v>21</v>
      </c>
      <c r="F1558" s="1" t="s">
        <v>350</v>
      </c>
      <c r="G1558" s="1" t="s">
        <v>351</v>
      </c>
      <c r="H1558" s="1" t="s">
        <v>37</v>
      </c>
      <c r="I1558">
        <v>81221</v>
      </c>
      <c r="J1558" s="3">
        <v>12.96</v>
      </c>
      <c r="K1558" s="3">
        <v>1052624.1599999999</v>
      </c>
    </row>
    <row r="1559" spans="1:11" x14ac:dyDescent="0.2">
      <c r="A1559" s="1" t="s">
        <v>2635</v>
      </c>
      <c r="B1559" s="2">
        <v>45878</v>
      </c>
      <c r="C1559" s="1" t="s">
        <v>1149</v>
      </c>
      <c r="D1559" s="1" t="s">
        <v>1150</v>
      </c>
      <c r="E1559" s="1" t="s">
        <v>14</v>
      </c>
      <c r="F1559" s="1" t="s">
        <v>330</v>
      </c>
      <c r="G1559" s="1" t="s">
        <v>331</v>
      </c>
      <c r="H1559" s="1" t="s">
        <v>72</v>
      </c>
      <c r="I1559">
        <v>88378</v>
      </c>
      <c r="J1559" s="3">
        <v>13.71</v>
      </c>
      <c r="K1559" s="3">
        <v>1211662.3799999999</v>
      </c>
    </row>
    <row r="1560" spans="1:11" x14ac:dyDescent="0.2">
      <c r="A1560" s="1" t="s">
        <v>2636</v>
      </c>
      <c r="B1560" s="2">
        <v>45531</v>
      </c>
      <c r="C1560" s="1" t="s">
        <v>1211</v>
      </c>
      <c r="D1560" s="1" t="s">
        <v>1212</v>
      </c>
      <c r="E1560" s="1" t="s">
        <v>37</v>
      </c>
      <c r="F1560" s="1" t="s">
        <v>510</v>
      </c>
      <c r="G1560" s="1" t="s">
        <v>511</v>
      </c>
      <c r="H1560" s="1" t="s">
        <v>17</v>
      </c>
      <c r="I1560">
        <v>89124</v>
      </c>
      <c r="J1560" s="3">
        <v>31.4</v>
      </c>
      <c r="K1560" s="3">
        <v>2798493.6</v>
      </c>
    </row>
    <row r="1561" spans="1:11" x14ac:dyDescent="0.2">
      <c r="A1561" s="1" t="s">
        <v>2637</v>
      </c>
      <c r="B1561" s="2">
        <v>45993</v>
      </c>
      <c r="C1561" s="1" t="s">
        <v>2064</v>
      </c>
      <c r="D1561" s="1" t="s">
        <v>2065</v>
      </c>
      <c r="E1561" s="1" t="s">
        <v>14</v>
      </c>
      <c r="F1561" s="1" t="s">
        <v>195</v>
      </c>
      <c r="G1561" s="1" t="s">
        <v>196</v>
      </c>
      <c r="H1561" s="1" t="s">
        <v>48</v>
      </c>
      <c r="I1561">
        <v>60414</v>
      </c>
      <c r="J1561" s="3">
        <v>45.32</v>
      </c>
      <c r="K1561" s="3">
        <v>2737962.48</v>
      </c>
    </row>
    <row r="1562" spans="1:11" x14ac:dyDescent="0.2">
      <c r="A1562" s="1" t="s">
        <v>2638</v>
      </c>
      <c r="B1562" s="2">
        <v>45553</v>
      </c>
      <c r="C1562" s="1" t="s">
        <v>929</v>
      </c>
      <c r="D1562" s="1" t="s">
        <v>930</v>
      </c>
      <c r="E1562" s="1" t="s">
        <v>28</v>
      </c>
      <c r="F1562" s="1" t="s">
        <v>458</v>
      </c>
      <c r="G1562" s="1" t="s">
        <v>459</v>
      </c>
      <c r="H1562" s="1" t="s">
        <v>72</v>
      </c>
      <c r="I1562">
        <v>44184</v>
      </c>
      <c r="J1562" s="3">
        <v>13.3</v>
      </c>
      <c r="K1562" s="3">
        <v>587647.19999999995</v>
      </c>
    </row>
    <row r="1563" spans="1:11" x14ac:dyDescent="0.2">
      <c r="A1563" s="1" t="s">
        <v>2639</v>
      </c>
      <c r="B1563" s="2">
        <v>45551</v>
      </c>
      <c r="C1563" s="1" t="s">
        <v>60</v>
      </c>
      <c r="D1563" s="1" t="s">
        <v>61</v>
      </c>
      <c r="E1563" s="1" t="s">
        <v>28</v>
      </c>
      <c r="F1563" s="1" t="s">
        <v>208</v>
      </c>
      <c r="G1563" s="1" t="s">
        <v>209</v>
      </c>
      <c r="H1563" s="1" t="s">
        <v>17</v>
      </c>
      <c r="I1563">
        <v>64264</v>
      </c>
      <c r="J1563" s="3">
        <v>36.07</v>
      </c>
      <c r="K1563" s="3">
        <v>2318002.48</v>
      </c>
    </row>
    <row r="1564" spans="1:11" x14ac:dyDescent="0.2">
      <c r="A1564" s="1" t="s">
        <v>2640</v>
      </c>
      <c r="B1564" s="2">
        <v>45806</v>
      </c>
      <c r="C1564" s="1" t="s">
        <v>2121</v>
      </c>
      <c r="D1564" s="1" t="s">
        <v>2122</v>
      </c>
      <c r="E1564" s="1" t="s">
        <v>34</v>
      </c>
      <c r="F1564" s="1" t="s">
        <v>157</v>
      </c>
      <c r="G1564" s="1" t="s">
        <v>158</v>
      </c>
      <c r="H1564" s="1" t="s">
        <v>48</v>
      </c>
      <c r="I1564">
        <v>90067</v>
      </c>
      <c r="J1564" s="3">
        <v>38.770000000000003</v>
      </c>
      <c r="K1564" s="3">
        <v>3491897.59</v>
      </c>
    </row>
    <row r="1565" spans="1:11" x14ac:dyDescent="0.2">
      <c r="A1565" s="1" t="s">
        <v>2641</v>
      </c>
      <c r="B1565" s="2">
        <v>45418</v>
      </c>
      <c r="C1565" s="1" t="s">
        <v>84</v>
      </c>
      <c r="D1565" s="1" t="s">
        <v>85</v>
      </c>
      <c r="E1565" s="1" t="s">
        <v>28</v>
      </c>
      <c r="F1565" s="1" t="s">
        <v>330</v>
      </c>
      <c r="G1565" s="1" t="s">
        <v>331</v>
      </c>
      <c r="H1565" s="1" t="s">
        <v>72</v>
      </c>
      <c r="I1565">
        <v>97140</v>
      </c>
      <c r="J1565" s="3">
        <v>19.12</v>
      </c>
      <c r="K1565" s="3">
        <v>1857316.8</v>
      </c>
    </row>
    <row r="1566" spans="1:11" x14ac:dyDescent="0.2">
      <c r="A1566" s="1" t="s">
        <v>2642</v>
      </c>
      <c r="B1566" s="2">
        <v>45504</v>
      </c>
      <c r="C1566" s="1" t="s">
        <v>770</v>
      </c>
      <c r="D1566" s="1" t="s">
        <v>771</v>
      </c>
      <c r="E1566" s="1" t="s">
        <v>34</v>
      </c>
      <c r="F1566" s="1" t="s">
        <v>165</v>
      </c>
      <c r="G1566" s="1" t="s">
        <v>166</v>
      </c>
      <c r="H1566" s="1" t="s">
        <v>24</v>
      </c>
      <c r="I1566">
        <v>97479</v>
      </c>
      <c r="J1566" s="3">
        <v>32.270000000000003</v>
      </c>
      <c r="K1566" s="3">
        <v>3145647.33</v>
      </c>
    </row>
    <row r="1567" spans="1:11" x14ac:dyDescent="0.2">
      <c r="A1567" s="1" t="s">
        <v>2643</v>
      </c>
      <c r="B1567" s="2">
        <v>46012</v>
      </c>
      <c r="C1567" s="1" t="s">
        <v>791</v>
      </c>
      <c r="D1567" s="1" t="s">
        <v>792</v>
      </c>
      <c r="E1567" s="1" t="s">
        <v>34</v>
      </c>
      <c r="F1567" s="1" t="s">
        <v>463</v>
      </c>
      <c r="G1567" s="1" t="s">
        <v>464</v>
      </c>
      <c r="H1567" s="1" t="s">
        <v>37</v>
      </c>
      <c r="I1567">
        <v>75763</v>
      </c>
      <c r="J1567" s="3">
        <v>18.52</v>
      </c>
      <c r="K1567" s="3">
        <v>1403130.76</v>
      </c>
    </row>
    <row r="1568" spans="1:11" x14ac:dyDescent="0.2">
      <c r="A1568" s="1" t="s">
        <v>2644</v>
      </c>
      <c r="B1568" s="2">
        <v>45768</v>
      </c>
      <c r="C1568" s="1" t="s">
        <v>487</v>
      </c>
      <c r="D1568" s="1" t="s">
        <v>488</v>
      </c>
      <c r="E1568" s="1" t="s">
        <v>28</v>
      </c>
      <c r="F1568" s="1" t="s">
        <v>176</v>
      </c>
      <c r="G1568" s="1" t="s">
        <v>177</v>
      </c>
      <c r="H1568" s="1" t="s">
        <v>37</v>
      </c>
      <c r="I1568">
        <v>15326</v>
      </c>
      <c r="J1568" s="3">
        <v>48.13</v>
      </c>
      <c r="K1568" s="3">
        <v>737640.38</v>
      </c>
    </row>
    <row r="1569" spans="1:11" x14ac:dyDescent="0.2">
      <c r="A1569" s="1" t="s">
        <v>2645</v>
      </c>
      <c r="B1569" s="2">
        <v>45790</v>
      </c>
      <c r="C1569" s="1" t="s">
        <v>1061</v>
      </c>
      <c r="D1569" s="1" t="s">
        <v>1062</v>
      </c>
      <c r="E1569" s="1" t="s">
        <v>14</v>
      </c>
      <c r="F1569" s="1" t="s">
        <v>552</v>
      </c>
      <c r="G1569" s="1" t="s">
        <v>553</v>
      </c>
      <c r="H1569" s="1" t="s">
        <v>37</v>
      </c>
      <c r="I1569">
        <v>72681</v>
      </c>
      <c r="J1569" s="3">
        <v>49.88</v>
      </c>
      <c r="K1569" s="3">
        <v>3625328.28</v>
      </c>
    </row>
    <row r="1570" spans="1:11" x14ac:dyDescent="0.2">
      <c r="A1570" s="1" t="s">
        <v>2646</v>
      </c>
      <c r="B1570" s="2">
        <v>45506</v>
      </c>
      <c r="C1570" s="1" t="s">
        <v>32</v>
      </c>
      <c r="D1570" s="1" t="s">
        <v>33</v>
      </c>
      <c r="E1570" s="1" t="s">
        <v>34</v>
      </c>
      <c r="F1570" s="1" t="s">
        <v>761</v>
      </c>
      <c r="G1570" s="1" t="s">
        <v>762</v>
      </c>
      <c r="H1570" s="1" t="s">
        <v>48</v>
      </c>
      <c r="I1570">
        <v>12749</v>
      </c>
      <c r="J1570" s="3">
        <v>6.16</v>
      </c>
      <c r="K1570" s="3">
        <v>78533.84</v>
      </c>
    </row>
    <row r="1571" spans="1:11" x14ac:dyDescent="0.2">
      <c r="A1571" s="1" t="s">
        <v>2647</v>
      </c>
      <c r="B1571" s="2">
        <v>45935</v>
      </c>
      <c r="C1571" s="1" t="s">
        <v>2128</v>
      </c>
      <c r="D1571" s="1" t="s">
        <v>2129</v>
      </c>
      <c r="E1571" s="1" t="s">
        <v>37</v>
      </c>
      <c r="F1571" s="1" t="s">
        <v>57</v>
      </c>
      <c r="G1571" s="1" t="s">
        <v>58</v>
      </c>
      <c r="H1571" s="1" t="s">
        <v>48</v>
      </c>
      <c r="I1571">
        <v>78690</v>
      </c>
      <c r="J1571" s="3">
        <v>38.380000000000003</v>
      </c>
      <c r="K1571" s="3">
        <v>3020122.2</v>
      </c>
    </row>
    <row r="1572" spans="1:11" x14ac:dyDescent="0.2">
      <c r="A1572" s="1" t="s">
        <v>2648</v>
      </c>
      <c r="B1572" s="2">
        <v>45579</v>
      </c>
      <c r="C1572" s="1" t="s">
        <v>1953</v>
      </c>
      <c r="D1572" s="1" t="s">
        <v>1954</v>
      </c>
      <c r="E1572" s="1" t="s">
        <v>34</v>
      </c>
      <c r="F1572" s="1" t="s">
        <v>436</v>
      </c>
      <c r="G1572" s="1" t="s">
        <v>437</v>
      </c>
      <c r="H1572" s="1" t="s">
        <v>24</v>
      </c>
      <c r="I1572">
        <v>14156</v>
      </c>
      <c r="J1572" s="3">
        <v>27.89</v>
      </c>
      <c r="K1572" s="3">
        <v>394810.84</v>
      </c>
    </row>
    <row r="1573" spans="1:11" x14ac:dyDescent="0.2">
      <c r="A1573" s="1" t="s">
        <v>2649</v>
      </c>
      <c r="B1573" s="2">
        <v>45992</v>
      </c>
      <c r="C1573" s="1" t="s">
        <v>1871</v>
      </c>
      <c r="D1573" s="1" t="s">
        <v>1872</v>
      </c>
      <c r="E1573" s="1" t="s">
        <v>34</v>
      </c>
      <c r="F1573" s="1" t="s">
        <v>195</v>
      </c>
      <c r="G1573" s="1" t="s">
        <v>196</v>
      </c>
      <c r="H1573" s="1" t="s">
        <v>48</v>
      </c>
      <c r="I1573">
        <v>96861</v>
      </c>
      <c r="J1573" s="3">
        <v>21.93</v>
      </c>
      <c r="K1573" s="3">
        <v>2124161.73</v>
      </c>
    </row>
    <row r="1574" spans="1:11" x14ac:dyDescent="0.2">
      <c r="A1574" s="1" t="s">
        <v>2650</v>
      </c>
      <c r="B1574" s="2">
        <v>45643</v>
      </c>
      <c r="C1574" s="1" t="s">
        <v>1032</v>
      </c>
      <c r="D1574" s="1" t="s">
        <v>1033</v>
      </c>
      <c r="E1574" s="1" t="s">
        <v>34</v>
      </c>
      <c r="F1574" s="1" t="s">
        <v>157</v>
      </c>
      <c r="G1574" s="1" t="s">
        <v>158</v>
      </c>
      <c r="H1574" s="1" t="s">
        <v>48</v>
      </c>
      <c r="I1574">
        <v>96005</v>
      </c>
      <c r="J1574" s="3">
        <v>21.82</v>
      </c>
      <c r="K1574" s="3">
        <v>2094829.1</v>
      </c>
    </row>
    <row r="1575" spans="1:11" x14ac:dyDescent="0.2">
      <c r="A1575" s="1" t="s">
        <v>2651</v>
      </c>
      <c r="B1575" s="2">
        <v>45358</v>
      </c>
      <c r="C1575" s="1" t="s">
        <v>451</v>
      </c>
      <c r="D1575" s="1" t="s">
        <v>452</v>
      </c>
      <c r="E1575" s="1" t="s">
        <v>28</v>
      </c>
      <c r="F1575" s="1" t="s">
        <v>108</v>
      </c>
      <c r="G1575" s="1" t="s">
        <v>109</v>
      </c>
      <c r="H1575" s="1" t="s">
        <v>37</v>
      </c>
      <c r="I1575">
        <v>94049</v>
      </c>
      <c r="J1575" s="3">
        <v>13.32</v>
      </c>
      <c r="K1575" s="3">
        <v>1252732.68</v>
      </c>
    </row>
    <row r="1576" spans="1:11" x14ac:dyDescent="0.2">
      <c r="A1576" s="1" t="s">
        <v>2652</v>
      </c>
      <c r="B1576" s="2">
        <v>45621</v>
      </c>
      <c r="C1576" s="1" t="s">
        <v>746</v>
      </c>
      <c r="D1576" s="1" t="s">
        <v>747</v>
      </c>
      <c r="E1576" s="1" t="s">
        <v>37</v>
      </c>
      <c r="F1576" s="1" t="s">
        <v>350</v>
      </c>
      <c r="G1576" s="1" t="s">
        <v>351</v>
      </c>
      <c r="H1576" s="1" t="s">
        <v>37</v>
      </c>
      <c r="I1576">
        <v>61364</v>
      </c>
      <c r="J1576" s="3">
        <v>24.39</v>
      </c>
      <c r="K1576" s="3">
        <v>1496667.96</v>
      </c>
    </row>
    <row r="1577" spans="1:11" x14ac:dyDescent="0.2">
      <c r="A1577" s="1" t="s">
        <v>2653</v>
      </c>
      <c r="B1577" s="2">
        <v>45549</v>
      </c>
      <c r="C1577" s="1" t="s">
        <v>2654</v>
      </c>
      <c r="D1577" s="1" t="s">
        <v>2655</v>
      </c>
      <c r="E1577" s="1" t="s">
        <v>28</v>
      </c>
      <c r="F1577" s="1" t="s">
        <v>436</v>
      </c>
      <c r="G1577" s="1" t="s">
        <v>437</v>
      </c>
      <c r="H1577" s="1" t="s">
        <v>24</v>
      </c>
      <c r="I1577">
        <v>52518</v>
      </c>
      <c r="J1577" s="3">
        <v>37.520000000000003</v>
      </c>
      <c r="K1577" s="3">
        <v>1970475.36</v>
      </c>
    </row>
    <row r="1578" spans="1:11" x14ac:dyDescent="0.2">
      <c r="A1578" s="1" t="s">
        <v>2656</v>
      </c>
      <c r="B1578" s="2">
        <v>45458</v>
      </c>
      <c r="C1578" s="1" t="s">
        <v>2128</v>
      </c>
      <c r="D1578" s="1" t="s">
        <v>2129</v>
      </c>
      <c r="E1578" s="1" t="s">
        <v>37</v>
      </c>
      <c r="F1578" s="1" t="s">
        <v>350</v>
      </c>
      <c r="G1578" s="1" t="s">
        <v>351</v>
      </c>
      <c r="H1578" s="1" t="s">
        <v>37</v>
      </c>
      <c r="I1578">
        <v>81986</v>
      </c>
      <c r="J1578" s="3">
        <v>32.53</v>
      </c>
      <c r="K1578" s="3">
        <v>2667004.58</v>
      </c>
    </row>
    <row r="1579" spans="1:11" x14ac:dyDescent="0.2">
      <c r="A1579" s="1" t="s">
        <v>2657</v>
      </c>
      <c r="B1579" s="2">
        <v>45719</v>
      </c>
      <c r="C1579" s="1" t="s">
        <v>791</v>
      </c>
      <c r="D1579" s="1" t="s">
        <v>792</v>
      </c>
      <c r="E1579" s="1" t="s">
        <v>34</v>
      </c>
      <c r="F1579" s="1" t="s">
        <v>70</v>
      </c>
      <c r="G1579" s="1" t="s">
        <v>71</v>
      </c>
      <c r="H1579" s="1" t="s">
        <v>72</v>
      </c>
      <c r="I1579">
        <v>58350</v>
      </c>
      <c r="J1579" s="3">
        <v>5.93</v>
      </c>
      <c r="K1579" s="3">
        <v>346015.5</v>
      </c>
    </row>
    <row r="1580" spans="1:11" x14ac:dyDescent="0.2">
      <c r="A1580" s="1" t="s">
        <v>2658</v>
      </c>
      <c r="B1580" s="2">
        <v>45857</v>
      </c>
      <c r="C1580" s="1" t="s">
        <v>633</v>
      </c>
      <c r="D1580" s="1" t="s">
        <v>634</v>
      </c>
      <c r="E1580" s="1" t="s">
        <v>34</v>
      </c>
      <c r="F1580" s="1" t="s">
        <v>152</v>
      </c>
      <c r="G1580" s="1" t="s">
        <v>153</v>
      </c>
      <c r="H1580" s="1" t="s">
        <v>17</v>
      </c>
      <c r="I1580">
        <v>4738</v>
      </c>
      <c r="J1580" s="3">
        <v>35.380000000000003</v>
      </c>
      <c r="K1580" s="3">
        <v>167630.44</v>
      </c>
    </row>
    <row r="1581" spans="1:11" x14ac:dyDescent="0.2">
      <c r="A1581" s="1" t="s">
        <v>2659</v>
      </c>
      <c r="B1581" s="2">
        <v>45533</v>
      </c>
      <c r="C1581" s="1" t="s">
        <v>439</v>
      </c>
      <c r="D1581" s="1" t="s">
        <v>440</v>
      </c>
      <c r="E1581" s="1" t="s">
        <v>28</v>
      </c>
      <c r="F1581" s="1" t="s">
        <v>474</v>
      </c>
      <c r="G1581" s="1" t="s">
        <v>475</v>
      </c>
      <c r="H1581" s="1" t="s">
        <v>48</v>
      </c>
      <c r="I1581">
        <v>40191</v>
      </c>
      <c r="J1581" s="3">
        <v>22.97</v>
      </c>
      <c r="K1581" s="3">
        <v>923187.27</v>
      </c>
    </row>
    <row r="1582" spans="1:11" x14ac:dyDescent="0.2">
      <c r="A1582" s="1" t="s">
        <v>2660</v>
      </c>
      <c r="B1582" s="2">
        <v>45898</v>
      </c>
      <c r="C1582" s="1" t="s">
        <v>128</v>
      </c>
      <c r="D1582" s="1" t="s">
        <v>129</v>
      </c>
      <c r="E1582" s="1" t="s">
        <v>28</v>
      </c>
      <c r="F1582" s="1" t="s">
        <v>157</v>
      </c>
      <c r="G1582" s="1" t="s">
        <v>158</v>
      </c>
      <c r="H1582" s="1" t="s">
        <v>48</v>
      </c>
      <c r="I1582">
        <v>73285</v>
      </c>
      <c r="J1582" s="3">
        <v>31.73</v>
      </c>
      <c r="K1582" s="3">
        <v>2325333.0499999998</v>
      </c>
    </row>
    <row r="1583" spans="1:11" x14ac:dyDescent="0.2">
      <c r="A1583" s="1" t="s">
        <v>2661</v>
      </c>
      <c r="B1583" s="2">
        <v>45561</v>
      </c>
      <c r="C1583" s="1" t="s">
        <v>2662</v>
      </c>
      <c r="D1583" s="1" t="s">
        <v>2663</v>
      </c>
      <c r="E1583" s="1" t="s">
        <v>21</v>
      </c>
      <c r="F1583" s="1" t="s">
        <v>339</v>
      </c>
      <c r="G1583" s="1" t="s">
        <v>340</v>
      </c>
      <c r="H1583" s="1" t="s">
        <v>24</v>
      </c>
      <c r="I1583">
        <v>1530</v>
      </c>
      <c r="J1583" s="3">
        <v>40.11</v>
      </c>
      <c r="K1583" s="3">
        <v>61368.3</v>
      </c>
    </row>
    <row r="1584" spans="1:11" x14ac:dyDescent="0.2">
      <c r="A1584" s="1" t="s">
        <v>2664</v>
      </c>
      <c r="B1584" s="2">
        <v>45732</v>
      </c>
      <c r="C1584" s="1" t="s">
        <v>1184</v>
      </c>
      <c r="D1584" s="1" t="s">
        <v>1185</v>
      </c>
      <c r="E1584" s="1" t="s">
        <v>28</v>
      </c>
      <c r="F1584" s="1" t="s">
        <v>189</v>
      </c>
      <c r="G1584" s="1" t="s">
        <v>190</v>
      </c>
      <c r="H1584" s="1" t="s">
        <v>17</v>
      </c>
      <c r="I1584">
        <v>91753</v>
      </c>
      <c r="J1584" s="3">
        <v>27.74</v>
      </c>
      <c r="K1584" s="3">
        <v>2545228.2200000002</v>
      </c>
    </row>
    <row r="1585" spans="1:11" x14ac:dyDescent="0.2">
      <c r="A1585" s="1" t="s">
        <v>2665</v>
      </c>
      <c r="B1585" s="2">
        <v>45644</v>
      </c>
      <c r="C1585" s="1" t="s">
        <v>1272</v>
      </c>
      <c r="D1585" s="1" t="s">
        <v>1273</v>
      </c>
      <c r="E1585" s="1" t="s">
        <v>34</v>
      </c>
      <c r="F1585" s="1" t="s">
        <v>76</v>
      </c>
      <c r="G1585" s="1" t="s">
        <v>77</v>
      </c>
      <c r="H1585" s="1" t="s">
        <v>48</v>
      </c>
      <c r="I1585">
        <v>82004</v>
      </c>
      <c r="J1585" s="3">
        <v>30.79</v>
      </c>
      <c r="K1585" s="3">
        <v>2524903.16</v>
      </c>
    </row>
    <row r="1586" spans="1:11" x14ac:dyDescent="0.2">
      <c r="A1586" s="1" t="s">
        <v>2666</v>
      </c>
      <c r="B1586" s="2">
        <v>45438</v>
      </c>
      <c r="C1586" s="1" t="s">
        <v>648</v>
      </c>
      <c r="D1586" s="1" t="s">
        <v>649</v>
      </c>
      <c r="E1586" s="1" t="s">
        <v>28</v>
      </c>
      <c r="F1586" s="1" t="s">
        <v>458</v>
      </c>
      <c r="G1586" s="1" t="s">
        <v>459</v>
      </c>
      <c r="H1586" s="1" t="s">
        <v>72</v>
      </c>
      <c r="I1586">
        <v>60478</v>
      </c>
      <c r="J1586" s="3">
        <v>43.5</v>
      </c>
      <c r="K1586" s="3">
        <v>2630793</v>
      </c>
    </row>
    <row r="1587" spans="1:11" x14ac:dyDescent="0.2">
      <c r="A1587" s="1" t="s">
        <v>2667</v>
      </c>
      <c r="B1587" s="2">
        <v>45994</v>
      </c>
      <c r="C1587" s="1" t="s">
        <v>746</v>
      </c>
      <c r="D1587" s="1" t="s">
        <v>747</v>
      </c>
      <c r="E1587" s="1" t="s">
        <v>37</v>
      </c>
      <c r="F1587" s="1" t="s">
        <v>552</v>
      </c>
      <c r="G1587" s="1" t="s">
        <v>553</v>
      </c>
      <c r="H1587" s="1" t="s">
        <v>37</v>
      </c>
      <c r="I1587">
        <v>84294</v>
      </c>
      <c r="J1587" s="3">
        <v>35.83</v>
      </c>
      <c r="K1587" s="3">
        <v>3020254.02</v>
      </c>
    </row>
    <row r="1588" spans="1:11" x14ac:dyDescent="0.2">
      <c r="A1588" s="1" t="s">
        <v>2668</v>
      </c>
      <c r="B1588" s="2">
        <v>45664</v>
      </c>
      <c r="C1588" s="1" t="s">
        <v>243</v>
      </c>
      <c r="D1588" s="1" t="s">
        <v>244</v>
      </c>
      <c r="E1588" s="1" t="s">
        <v>21</v>
      </c>
      <c r="F1588" s="1" t="s">
        <v>339</v>
      </c>
      <c r="G1588" s="1" t="s">
        <v>340</v>
      </c>
      <c r="H1588" s="1" t="s">
        <v>24</v>
      </c>
      <c r="I1588">
        <v>44030</v>
      </c>
      <c r="J1588" s="3">
        <v>4.97</v>
      </c>
      <c r="K1588" s="3">
        <v>218829.1</v>
      </c>
    </row>
    <row r="1589" spans="1:11" x14ac:dyDescent="0.2">
      <c r="A1589" s="1" t="s">
        <v>2669</v>
      </c>
      <c r="B1589" s="2">
        <v>45722</v>
      </c>
      <c r="C1589" s="1" t="s">
        <v>847</v>
      </c>
      <c r="D1589" s="1" t="s">
        <v>848</v>
      </c>
      <c r="E1589" s="1" t="s">
        <v>34</v>
      </c>
      <c r="F1589" s="1" t="s">
        <v>203</v>
      </c>
      <c r="G1589" s="1" t="s">
        <v>204</v>
      </c>
      <c r="H1589" s="1" t="s">
        <v>72</v>
      </c>
      <c r="I1589">
        <v>86360</v>
      </c>
      <c r="J1589" s="3">
        <v>16.86</v>
      </c>
      <c r="K1589" s="3">
        <v>1456029.6</v>
      </c>
    </row>
    <row r="1590" spans="1:11" x14ac:dyDescent="0.2">
      <c r="A1590" s="1" t="s">
        <v>2670</v>
      </c>
      <c r="B1590" s="2">
        <v>45979</v>
      </c>
      <c r="C1590" s="1" t="s">
        <v>1368</v>
      </c>
      <c r="D1590" s="1" t="s">
        <v>1369</v>
      </c>
      <c r="E1590" s="1" t="s">
        <v>28</v>
      </c>
      <c r="F1590" s="1" t="s">
        <v>189</v>
      </c>
      <c r="G1590" s="1" t="s">
        <v>190</v>
      </c>
      <c r="H1590" s="1" t="s">
        <v>17</v>
      </c>
      <c r="I1590">
        <v>78017</v>
      </c>
      <c r="J1590" s="3">
        <v>30.5</v>
      </c>
      <c r="K1590" s="3">
        <v>2379518.5</v>
      </c>
    </row>
    <row r="1591" spans="1:11" x14ac:dyDescent="0.2">
      <c r="A1591" s="1" t="s">
        <v>2671</v>
      </c>
      <c r="B1591" s="2">
        <v>45457</v>
      </c>
      <c r="C1591" s="1" t="s">
        <v>19</v>
      </c>
      <c r="D1591" s="1" t="s">
        <v>20</v>
      </c>
      <c r="E1591" s="1" t="s">
        <v>21</v>
      </c>
      <c r="F1591" s="1" t="s">
        <v>463</v>
      </c>
      <c r="G1591" s="1" t="s">
        <v>464</v>
      </c>
      <c r="H1591" s="1" t="s">
        <v>37</v>
      </c>
      <c r="I1591">
        <v>76232</v>
      </c>
      <c r="J1591" s="3">
        <v>25.04</v>
      </c>
      <c r="K1591" s="3">
        <v>1908849.28</v>
      </c>
    </row>
    <row r="1592" spans="1:11" x14ac:dyDescent="0.2">
      <c r="A1592" s="1" t="s">
        <v>2672</v>
      </c>
      <c r="B1592" s="2">
        <v>45429</v>
      </c>
      <c r="C1592" s="1" t="s">
        <v>743</v>
      </c>
      <c r="D1592" s="1" t="s">
        <v>744</v>
      </c>
      <c r="E1592" s="1" t="s">
        <v>14</v>
      </c>
      <c r="F1592" s="1" t="s">
        <v>46</v>
      </c>
      <c r="G1592" s="1" t="s">
        <v>47</v>
      </c>
      <c r="H1592" s="1" t="s">
        <v>48</v>
      </c>
      <c r="I1592">
        <v>87961</v>
      </c>
      <c r="J1592" s="3">
        <v>3.71</v>
      </c>
      <c r="K1592" s="3">
        <v>326335.31</v>
      </c>
    </row>
    <row r="1593" spans="1:11" x14ac:dyDescent="0.2">
      <c r="A1593" s="1" t="s">
        <v>2673</v>
      </c>
      <c r="B1593" s="2">
        <v>45408</v>
      </c>
      <c r="C1593" s="1" t="s">
        <v>942</v>
      </c>
      <c r="D1593" s="1" t="s">
        <v>943</v>
      </c>
      <c r="E1593" s="1" t="s">
        <v>28</v>
      </c>
      <c r="F1593" s="1" t="s">
        <v>268</v>
      </c>
      <c r="G1593" s="1" t="s">
        <v>269</v>
      </c>
      <c r="H1593" s="1" t="s">
        <v>72</v>
      </c>
      <c r="I1593">
        <v>52126</v>
      </c>
      <c r="J1593" s="3">
        <v>37.72</v>
      </c>
      <c r="K1593" s="3">
        <v>1966192.72</v>
      </c>
    </row>
    <row r="1594" spans="1:11" x14ac:dyDescent="0.2">
      <c r="A1594" s="1" t="s">
        <v>2674</v>
      </c>
      <c r="B1594" s="2">
        <v>45452</v>
      </c>
      <c r="C1594" s="1" t="s">
        <v>838</v>
      </c>
      <c r="D1594" s="1" t="s">
        <v>839</v>
      </c>
      <c r="E1594" s="1" t="s">
        <v>28</v>
      </c>
      <c r="F1594" s="1" t="s">
        <v>251</v>
      </c>
      <c r="G1594" s="1" t="s">
        <v>252</v>
      </c>
      <c r="H1594" s="1" t="s">
        <v>72</v>
      </c>
      <c r="I1594">
        <v>37555</v>
      </c>
      <c r="J1594" s="3">
        <v>32.31</v>
      </c>
      <c r="K1594" s="3">
        <v>1213402.05</v>
      </c>
    </row>
    <row r="1595" spans="1:11" x14ac:dyDescent="0.2">
      <c r="A1595" s="1" t="s">
        <v>2675</v>
      </c>
      <c r="B1595" s="2">
        <v>45916</v>
      </c>
      <c r="C1595" s="1" t="s">
        <v>2100</v>
      </c>
      <c r="D1595" s="1" t="s">
        <v>2101</v>
      </c>
      <c r="E1595" s="1" t="s">
        <v>37</v>
      </c>
      <c r="F1595" s="1" t="s">
        <v>436</v>
      </c>
      <c r="G1595" s="1" t="s">
        <v>437</v>
      </c>
      <c r="H1595" s="1" t="s">
        <v>24</v>
      </c>
      <c r="I1595">
        <v>51226</v>
      </c>
      <c r="J1595" s="3">
        <v>32.19</v>
      </c>
      <c r="K1595" s="3">
        <v>1648964.94</v>
      </c>
    </row>
    <row r="1596" spans="1:11" x14ac:dyDescent="0.2">
      <c r="A1596" s="1" t="s">
        <v>2676</v>
      </c>
      <c r="B1596" s="2">
        <v>45403</v>
      </c>
      <c r="C1596" s="1" t="s">
        <v>759</v>
      </c>
      <c r="D1596" s="1" t="s">
        <v>760</v>
      </c>
      <c r="E1596" s="1" t="s">
        <v>37</v>
      </c>
      <c r="F1596" s="1" t="s">
        <v>113</v>
      </c>
      <c r="G1596" s="1" t="s">
        <v>114</v>
      </c>
      <c r="H1596" s="1" t="s">
        <v>37</v>
      </c>
      <c r="I1596">
        <v>2249</v>
      </c>
      <c r="J1596" s="3">
        <v>7.07</v>
      </c>
      <c r="K1596" s="3">
        <v>15900.43</v>
      </c>
    </row>
    <row r="1597" spans="1:11" x14ac:dyDescent="0.2">
      <c r="A1597" s="1" t="s">
        <v>2677</v>
      </c>
      <c r="B1597" s="2">
        <v>45974</v>
      </c>
      <c r="C1597" s="1" t="s">
        <v>1871</v>
      </c>
      <c r="D1597" s="1" t="s">
        <v>1872</v>
      </c>
      <c r="E1597" s="1" t="s">
        <v>34</v>
      </c>
      <c r="F1597" s="1" t="s">
        <v>139</v>
      </c>
      <c r="G1597" s="1" t="s">
        <v>140</v>
      </c>
      <c r="H1597" s="1" t="s">
        <v>24</v>
      </c>
      <c r="I1597">
        <v>17319</v>
      </c>
      <c r="J1597" s="3">
        <v>7.39</v>
      </c>
      <c r="K1597" s="3">
        <v>127987.41</v>
      </c>
    </row>
    <row r="1598" spans="1:11" x14ac:dyDescent="0.2">
      <c r="A1598" s="1" t="s">
        <v>2678</v>
      </c>
      <c r="B1598" s="2">
        <v>45322</v>
      </c>
      <c r="C1598" s="1" t="s">
        <v>1797</v>
      </c>
      <c r="D1598" s="1" t="s">
        <v>1798</v>
      </c>
      <c r="E1598" s="1" t="s">
        <v>37</v>
      </c>
      <c r="F1598" s="1" t="s">
        <v>510</v>
      </c>
      <c r="G1598" s="1" t="s">
        <v>511</v>
      </c>
      <c r="H1598" s="1" t="s">
        <v>17</v>
      </c>
      <c r="I1598">
        <v>49863</v>
      </c>
      <c r="J1598" s="3">
        <v>8.4499999999999993</v>
      </c>
      <c r="K1598" s="3">
        <v>421342.35</v>
      </c>
    </row>
    <row r="1599" spans="1:11" x14ac:dyDescent="0.2">
      <c r="A1599" s="1" t="s">
        <v>2679</v>
      </c>
      <c r="B1599" s="2">
        <v>45732</v>
      </c>
      <c r="C1599" s="1" t="s">
        <v>1216</v>
      </c>
      <c r="D1599" s="1" t="s">
        <v>1217</v>
      </c>
      <c r="E1599" s="1" t="s">
        <v>37</v>
      </c>
      <c r="F1599" s="1" t="s">
        <v>208</v>
      </c>
      <c r="G1599" s="1" t="s">
        <v>209</v>
      </c>
      <c r="H1599" s="1" t="s">
        <v>17</v>
      </c>
      <c r="I1599">
        <v>97399</v>
      </c>
      <c r="J1599" s="3">
        <v>39.06</v>
      </c>
      <c r="K1599" s="3">
        <v>3804404.94</v>
      </c>
    </row>
    <row r="1600" spans="1:11" x14ac:dyDescent="0.2">
      <c r="A1600" s="1" t="s">
        <v>2680</v>
      </c>
      <c r="B1600" s="2">
        <v>45685</v>
      </c>
      <c r="C1600" s="1" t="s">
        <v>767</v>
      </c>
      <c r="D1600" s="1" t="s">
        <v>768</v>
      </c>
      <c r="E1600" s="1" t="s">
        <v>28</v>
      </c>
      <c r="F1600" s="1" t="s">
        <v>113</v>
      </c>
      <c r="G1600" s="1" t="s">
        <v>114</v>
      </c>
      <c r="H1600" s="1" t="s">
        <v>37</v>
      </c>
      <c r="I1600">
        <v>2157</v>
      </c>
      <c r="J1600" s="3">
        <v>9.66</v>
      </c>
      <c r="K1600" s="3">
        <v>20836.62</v>
      </c>
    </row>
    <row r="1601" spans="1:11" x14ac:dyDescent="0.2">
      <c r="A1601" s="1" t="s">
        <v>2681</v>
      </c>
      <c r="B1601" s="2">
        <v>45938</v>
      </c>
      <c r="C1601" s="1" t="s">
        <v>587</v>
      </c>
      <c r="D1601" s="1" t="s">
        <v>588</v>
      </c>
      <c r="E1601" s="1" t="s">
        <v>21</v>
      </c>
      <c r="F1601" s="1" t="s">
        <v>208</v>
      </c>
      <c r="G1601" s="1" t="s">
        <v>209</v>
      </c>
      <c r="H1601" s="1" t="s">
        <v>17</v>
      </c>
      <c r="I1601">
        <v>97562</v>
      </c>
      <c r="J1601" s="3">
        <v>16.940000000000001</v>
      </c>
      <c r="K1601" s="3">
        <v>1652700.28</v>
      </c>
    </row>
    <row r="1602" spans="1:11" x14ac:dyDescent="0.2">
      <c r="A1602" s="1" t="s">
        <v>2682</v>
      </c>
      <c r="B1602" s="2">
        <v>45778</v>
      </c>
      <c r="C1602" s="1" t="s">
        <v>1994</v>
      </c>
      <c r="D1602" s="1" t="s">
        <v>1995</v>
      </c>
      <c r="E1602" s="1" t="s">
        <v>28</v>
      </c>
      <c r="F1602" s="1" t="s">
        <v>339</v>
      </c>
      <c r="G1602" s="1" t="s">
        <v>340</v>
      </c>
      <c r="H1602" s="1" t="s">
        <v>24</v>
      </c>
      <c r="I1602">
        <v>72822</v>
      </c>
      <c r="J1602" s="3">
        <v>31.48</v>
      </c>
      <c r="K1602" s="3">
        <v>2292436.56</v>
      </c>
    </row>
    <row r="1603" spans="1:11" x14ac:dyDescent="0.2">
      <c r="A1603" s="1" t="s">
        <v>2683</v>
      </c>
      <c r="B1603" s="2">
        <v>46001</v>
      </c>
      <c r="C1603" s="1" t="s">
        <v>1076</v>
      </c>
      <c r="D1603" s="1" t="s">
        <v>1077</v>
      </c>
      <c r="E1603" s="1" t="s">
        <v>34</v>
      </c>
      <c r="F1603" s="1" t="s">
        <v>474</v>
      </c>
      <c r="G1603" s="1" t="s">
        <v>475</v>
      </c>
      <c r="H1603" s="1" t="s">
        <v>48</v>
      </c>
      <c r="I1603">
        <v>34632</v>
      </c>
      <c r="J1603" s="3">
        <v>26.29</v>
      </c>
      <c r="K1603" s="3">
        <v>910475.28</v>
      </c>
    </row>
    <row r="1604" spans="1:11" x14ac:dyDescent="0.2">
      <c r="A1604" s="1" t="s">
        <v>2684</v>
      </c>
      <c r="B1604" s="2">
        <v>45928</v>
      </c>
      <c r="C1604" s="1" t="s">
        <v>826</v>
      </c>
      <c r="D1604" s="1" t="s">
        <v>827</v>
      </c>
      <c r="E1604" s="1" t="s">
        <v>37</v>
      </c>
      <c r="F1604" s="1" t="s">
        <v>463</v>
      </c>
      <c r="G1604" s="1" t="s">
        <v>464</v>
      </c>
      <c r="H1604" s="1" t="s">
        <v>37</v>
      </c>
      <c r="I1604">
        <v>15324</v>
      </c>
      <c r="J1604" s="3">
        <v>10.34</v>
      </c>
      <c r="K1604" s="3">
        <v>158450.16</v>
      </c>
    </row>
    <row r="1605" spans="1:11" x14ac:dyDescent="0.2">
      <c r="A1605" s="1" t="s">
        <v>2685</v>
      </c>
      <c r="B1605" s="2">
        <v>45313</v>
      </c>
      <c r="C1605" s="1" t="s">
        <v>2686</v>
      </c>
      <c r="D1605" s="1" t="s">
        <v>2687</v>
      </c>
      <c r="E1605" s="1" t="s">
        <v>21</v>
      </c>
      <c r="F1605" s="1" t="s">
        <v>273</v>
      </c>
      <c r="G1605" s="1" t="s">
        <v>274</v>
      </c>
      <c r="H1605" s="1" t="s">
        <v>24</v>
      </c>
      <c r="I1605">
        <v>12995</v>
      </c>
      <c r="J1605" s="3">
        <v>49.61</v>
      </c>
      <c r="K1605" s="3">
        <v>644681.94999999995</v>
      </c>
    </row>
    <row r="1606" spans="1:11" x14ac:dyDescent="0.2">
      <c r="A1606" s="1" t="s">
        <v>2688</v>
      </c>
      <c r="B1606" s="2">
        <v>45730</v>
      </c>
      <c r="C1606" s="1" t="s">
        <v>266</v>
      </c>
      <c r="D1606" s="1" t="s">
        <v>267</v>
      </c>
      <c r="E1606" s="1" t="s">
        <v>14</v>
      </c>
      <c r="F1606" s="1" t="s">
        <v>189</v>
      </c>
      <c r="G1606" s="1" t="s">
        <v>190</v>
      </c>
      <c r="H1606" s="1" t="s">
        <v>17</v>
      </c>
      <c r="I1606">
        <v>3828</v>
      </c>
      <c r="J1606" s="3">
        <v>5.01</v>
      </c>
      <c r="K1606" s="3">
        <v>19178.28</v>
      </c>
    </row>
    <row r="1607" spans="1:11" x14ac:dyDescent="0.2">
      <c r="A1607" s="1" t="s">
        <v>2689</v>
      </c>
      <c r="B1607" s="2">
        <v>45378</v>
      </c>
      <c r="C1607" s="1" t="s">
        <v>327</v>
      </c>
      <c r="D1607" s="1" t="s">
        <v>328</v>
      </c>
      <c r="E1607" s="1" t="s">
        <v>21</v>
      </c>
      <c r="F1607" s="1" t="s">
        <v>268</v>
      </c>
      <c r="G1607" s="1" t="s">
        <v>269</v>
      </c>
      <c r="H1607" s="1" t="s">
        <v>72</v>
      </c>
      <c r="I1607">
        <v>47140</v>
      </c>
      <c r="J1607" s="3">
        <v>43.59</v>
      </c>
      <c r="K1607" s="3">
        <v>2054832.6</v>
      </c>
    </row>
    <row r="1608" spans="1:11" x14ac:dyDescent="0.2">
      <c r="A1608" s="1" t="s">
        <v>2690</v>
      </c>
      <c r="B1608" s="2">
        <v>45358</v>
      </c>
      <c r="C1608" s="1" t="s">
        <v>734</v>
      </c>
      <c r="D1608" s="1" t="s">
        <v>735</v>
      </c>
      <c r="E1608" s="1" t="s">
        <v>28</v>
      </c>
      <c r="F1608" s="1" t="s">
        <v>268</v>
      </c>
      <c r="G1608" s="1" t="s">
        <v>269</v>
      </c>
      <c r="H1608" s="1" t="s">
        <v>72</v>
      </c>
      <c r="I1608">
        <v>18321</v>
      </c>
      <c r="J1608" s="3">
        <v>27.63</v>
      </c>
      <c r="K1608" s="3">
        <v>506209.23</v>
      </c>
    </row>
    <row r="1609" spans="1:11" x14ac:dyDescent="0.2">
      <c r="A1609" s="1" t="s">
        <v>2691</v>
      </c>
      <c r="B1609" s="2">
        <v>45984</v>
      </c>
      <c r="C1609" s="1" t="s">
        <v>1161</v>
      </c>
      <c r="D1609" s="1" t="s">
        <v>1162</v>
      </c>
      <c r="E1609" s="1" t="s">
        <v>21</v>
      </c>
      <c r="F1609" s="1" t="s">
        <v>46</v>
      </c>
      <c r="G1609" s="1" t="s">
        <v>47</v>
      </c>
      <c r="H1609" s="1" t="s">
        <v>48</v>
      </c>
      <c r="I1609">
        <v>44497</v>
      </c>
      <c r="J1609" s="3">
        <v>39.82</v>
      </c>
      <c r="K1609" s="3">
        <v>1771870.54</v>
      </c>
    </row>
    <row r="1610" spans="1:11" x14ac:dyDescent="0.2">
      <c r="A1610" s="1" t="s">
        <v>2692</v>
      </c>
      <c r="B1610" s="2">
        <v>45943</v>
      </c>
      <c r="C1610" s="1" t="s">
        <v>168</v>
      </c>
      <c r="D1610" s="1" t="s">
        <v>169</v>
      </c>
      <c r="E1610" s="1" t="s">
        <v>21</v>
      </c>
      <c r="F1610" s="1" t="s">
        <v>176</v>
      </c>
      <c r="G1610" s="1" t="s">
        <v>177</v>
      </c>
      <c r="H1610" s="1" t="s">
        <v>37</v>
      </c>
      <c r="I1610">
        <v>43771</v>
      </c>
      <c r="J1610" s="3">
        <v>16.72</v>
      </c>
      <c r="K1610" s="3">
        <v>731851.12</v>
      </c>
    </row>
    <row r="1611" spans="1:11" x14ac:dyDescent="0.2">
      <c r="A1611" s="1" t="s">
        <v>2693</v>
      </c>
      <c r="B1611" s="2">
        <v>45580</v>
      </c>
      <c r="C1611" s="1" t="s">
        <v>719</v>
      </c>
      <c r="D1611" s="1" t="s">
        <v>720</v>
      </c>
      <c r="E1611" s="1" t="s">
        <v>37</v>
      </c>
      <c r="F1611" s="1" t="s">
        <v>15</v>
      </c>
      <c r="G1611" s="1" t="s">
        <v>16</v>
      </c>
      <c r="H1611" s="1" t="s">
        <v>17</v>
      </c>
      <c r="I1611">
        <v>44338</v>
      </c>
      <c r="J1611" s="3">
        <v>30.27</v>
      </c>
      <c r="K1611" s="3">
        <v>1342111.26</v>
      </c>
    </row>
    <row r="1612" spans="1:11" x14ac:dyDescent="0.2">
      <c r="A1612" s="1" t="s">
        <v>2694</v>
      </c>
      <c r="B1612" s="2">
        <v>45901</v>
      </c>
      <c r="C1612" s="1" t="s">
        <v>291</v>
      </c>
      <c r="D1612" s="1" t="s">
        <v>292</v>
      </c>
      <c r="E1612" s="1" t="s">
        <v>14</v>
      </c>
      <c r="F1612" s="1" t="s">
        <v>41</v>
      </c>
      <c r="G1612" s="1" t="s">
        <v>42</v>
      </c>
      <c r="H1612" s="1" t="s">
        <v>24</v>
      </c>
      <c r="I1612">
        <v>9768</v>
      </c>
      <c r="J1612" s="3">
        <v>5.21</v>
      </c>
      <c r="K1612" s="3">
        <v>50891.28</v>
      </c>
    </row>
    <row r="1613" spans="1:11" x14ac:dyDescent="0.2">
      <c r="A1613" s="1" t="s">
        <v>2695</v>
      </c>
      <c r="B1613" s="2">
        <v>45810</v>
      </c>
      <c r="C1613" s="1" t="s">
        <v>1344</v>
      </c>
      <c r="D1613" s="1" t="s">
        <v>1345</v>
      </c>
      <c r="E1613" s="1" t="s">
        <v>34</v>
      </c>
      <c r="F1613" s="1" t="s">
        <v>103</v>
      </c>
      <c r="G1613" s="1" t="s">
        <v>104</v>
      </c>
      <c r="H1613" s="1" t="s">
        <v>37</v>
      </c>
      <c r="I1613">
        <v>7269</v>
      </c>
      <c r="J1613" s="3">
        <v>37.409999999999997</v>
      </c>
      <c r="K1613" s="3">
        <v>271933.28999999998</v>
      </c>
    </row>
    <row r="1614" spans="1:11" x14ac:dyDescent="0.2">
      <c r="A1614" s="1" t="s">
        <v>2696</v>
      </c>
      <c r="B1614" s="2">
        <v>45709</v>
      </c>
      <c r="C1614" s="1" t="s">
        <v>770</v>
      </c>
      <c r="D1614" s="1" t="s">
        <v>771</v>
      </c>
      <c r="E1614" s="1" t="s">
        <v>34</v>
      </c>
      <c r="F1614" s="1" t="s">
        <v>273</v>
      </c>
      <c r="G1614" s="1" t="s">
        <v>274</v>
      </c>
      <c r="H1614" s="1" t="s">
        <v>24</v>
      </c>
      <c r="I1614">
        <v>78337</v>
      </c>
      <c r="J1614" s="3">
        <v>6.73</v>
      </c>
      <c r="K1614" s="3">
        <v>527208.01</v>
      </c>
    </row>
    <row r="1615" spans="1:11" x14ac:dyDescent="0.2">
      <c r="A1615" s="1" t="s">
        <v>2697</v>
      </c>
      <c r="B1615" s="2">
        <v>45657</v>
      </c>
      <c r="C1615" s="1" t="s">
        <v>808</v>
      </c>
      <c r="D1615" s="1" t="s">
        <v>809</v>
      </c>
      <c r="E1615" s="1" t="s">
        <v>28</v>
      </c>
      <c r="F1615" s="1" t="s">
        <v>394</v>
      </c>
      <c r="G1615" s="1" t="s">
        <v>395</v>
      </c>
      <c r="H1615" s="1" t="s">
        <v>48</v>
      </c>
      <c r="I1615">
        <v>42591</v>
      </c>
      <c r="J1615" s="3">
        <v>41.77</v>
      </c>
      <c r="K1615" s="3">
        <v>1779026.07</v>
      </c>
    </row>
    <row r="1616" spans="1:11" x14ac:dyDescent="0.2">
      <c r="A1616" s="1" t="s">
        <v>2698</v>
      </c>
      <c r="B1616" s="2">
        <v>45621</v>
      </c>
      <c r="C1616" s="1" t="s">
        <v>322</v>
      </c>
      <c r="D1616" s="1" t="s">
        <v>323</v>
      </c>
      <c r="E1616" s="1" t="s">
        <v>14</v>
      </c>
      <c r="F1616" s="1" t="s">
        <v>139</v>
      </c>
      <c r="G1616" s="1" t="s">
        <v>140</v>
      </c>
      <c r="H1616" s="1" t="s">
        <v>24</v>
      </c>
      <c r="I1616">
        <v>48251</v>
      </c>
      <c r="J1616" s="3">
        <v>10.210000000000001</v>
      </c>
      <c r="K1616" s="3">
        <v>492642.71</v>
      </c>
    </row>
    <row r="1617" spans="1:11" x14ac:dyDescent="0.2">
      <c r="A1617" s="1" t="s">
        <v>2699</v>
      </c>
      <c r="B1617" s="2">
        <v>45515</v>
      </c>
      <c r="C1617" s="1" t="s">
        <v>442</v>
      </c>
      <c r="D1617" s="1" t="s">
        <v>443</v>
      </c>
      <c r="E1617" s="1" t="s">
        <v>34</v>
      </c>
      <c r="F1617" s="1" t="s">
        <v>540</v>
      </c>
      <c r="G1617" s="1" t="s">
        <v>541</v>
      </c>
      <c r="H1617" s="1" t="s">
        <v>37</v>
      </c>
      <c r="I1617">
        <v>98889</v>
      </c>
      <c r="J1617" s="3">
        <v>44.76</v>
      </c>
      <c r="K1617" s="3">
        <v>4426271.6399999997</v>
      </c>
    </row>
    <row r="1618" spans="1:11" x14ac:dyDescent="0.2">
      <c r="A1618" s="1" t="s">
        <v>2700</v>
      </c>
      <c r="B1618" s="2">
        <v>46002</v>
      </c>
      <c r="C1618" s="1" t="s">
        <v>2109</v>
      </c>
      <c r="D1618" s="1" t="s">
        <v>2110</v>
      </c>
      <c r="E1618" s="1" t="s">
        <v>28</v>
      </c>
      <c r="F1618" s="1" t="s">
        <v>510</v>
      </c>
      <c r="G1618" s="1" t="s">
        <v>511</v>
      </c>
      <c r="H1618" s="1" t="s">
        <v>17</v>
      </c>
      <c r="I1618">
        <v>12461</v>
      </c>
      <c r="J1618" s="3">
        <v>17.329999999999998</v>
      </c>
      <c r="K1618" s="3">
        <v>215949.13</v>
      </c>
    </row>
    <row r="1619" spans="1:11" x14ac:dyDescent="0.2">
      <c r="A1619" s="1" t="s">
        <v>2701</v>
      </c>
      <c r="B1619" s="2">
        <v>45504</v>
      </c>
      <c r="C1619" s="1" t="s">
        <v>1317</v>
      </c>
      <c r="D1619" s="1" t="s">
        <v>1318</v>
      </c>
      <c r="E1619" s="1" t="s">
        <v>28</v>
      </c>
      <c r="F1619" s="1" t="s">
        <v>165</v>
      </c>
      <c r="G1619" s="1" t="s">
        <v>166</v>
      </c>
      <c r="H1619" s="1" t="s">
        <v>24</v>
      </c>
      <c r="I1619">
        <v>46022</v>
      </c>
      <c r="J1619" s="3">
        <v>8.33</v>
      </c>
      <c r="K1619" s="3">
        <v>383363.26</v>
      </c>
    </row>
    <row r="1620" spans="1:11" x14ac:dyDescent="0.2">
      <c r="A1620" s="1" t="s">
        <v>2702</v>
      </c>
      <c r="B1620" s="2">
        <v>45528</v>
      </c>
      <c r="C1620" s="1" t="s">
        <v>1105</v>
      </c>
      <c r="D1620" s="1" t="s">
        <v>1106</v>
      </c>
      <c r="E1620" s="1" t="s">
        <v>34</v>
      </c>
      <c r="F1620" s="1" t="s">
        <v>273</v>
      </c>
      <c r="G1620" s="1" t="s">
        <v>274</v>
      </c>
      <c r="H1620" s="1" t="s">
        <v>24</v>
      </c>
      <c r="I1620">
        <v>37680</v>
      </c>
      <c r="J1620" s="3">
        <v>9.86</v>
      </c>
      <c r="K1620" s="3">
        <v>371524.8</v>
      </c>
    </row>
    <row r="1621" spans="1:11" x14ac:dyDescent="0.2">
      <c r="A1621" s="1" t="s">
        <v>2703</v>
      </c>
      <c r="B1621" s="2">
        <v>45489</v>
      </c>
      <c r="C1621" s="1" t="s">
        <v>1474</v>
      </c>
      <c r="D1621" s="1" t="s">
        <v>1475</v>
      </c>
      <c r="E1621" s="1" t="s">
        <v>28</v>
      </c>
      <c r="F1621" s="1" t="s">
        <v>339</v>
      </c>
      <c r="G1621" s="1" t="s">
        <v>340</v>
      </c>
      <c r="H1621" s="1" t="s">
        <v>24</v>
      </c>
      <c r="I1621">
        <v>95124</v>
      </c>
      <c r="J1621" s="3">
        <v>8.23</v>
      </c>
      <c r="K1621" s="3">
        <v>782870.52</v>
      </c>
    </row>
    <row r="1622" spans="1:11" x14ac:dyDescent="0.2">
      <c r="A1622" s="1" t="s">
        <v>2704</v>
      </c>
      <c r="B1622" s="2">
        <v>45620</v>
      </c>
      <c r="C1622" s="1" t="s">
        <v>1698</v>
      </c>
      <c r="D1622" s="1" t="s">
        <v>1699</v>
      </c>
      <c r="E1622" s="1" t="s">
        <v>14</v>
      </c>
      <c r="F1622" s="1" t="s">
        <v>474</v>
      </c>
      <c r="G1622" s="1" t="s">
        <v>475</v>
      </c>
      <c r="H1622" s="1" t="s">
        <v>48</v>
      </c>
      <c r="I1622">
        <v>17070</v>
      </c>
      <c r="J1622" s="3">
        <v>8.2100000000000009</v>
      </c>
      <c r="K1622" s="3">
        <v>140144.70000000001</v>
      </c>
    </row>
    <row r="1623" spans="1:11" x14ac:dyDescent="0.2">
      <c r="A1623" s="1" t="s">
        <v>2705</v>
      </c>
      <c r="B1623" s="2">
        <v>45924</v>
      </c>
      <c r="C1623" s="1" t="s">
        <v>1891</v>
      </c>
      <c r="D1623" s="1" t="s">
        <v>1892</v>
      </c>
      <c r="E1623" s="1" t="s">
        <v>14</v>
      </c>
      <c r="F1623" s="1" t="s">
        <v>412</v>
      </c>
      <c r="G1623" s="1" t="s">
        <v>413</v>
      </c>
      <c r="H1623" s="1" t="s">
        <v>72</v>
      </c>
      <c r="I1623">
        <v>59906</v>
      </c>
      <c r="J1623" s="3">
        <v>6</v>
      </c>
      <c r="K1623" s="3">
        <v>359436</v>
      </c>
    </row>
    <row r="1624" spans="1:11" x14ac:dyDescent="0.2">
      <c r="A1624" s="1" t="s">
        <v>2706</v>
      </c>
      <c r="B1624" s="2">
        <v>45726</v>
      </c>
      <c r="C1624" s="1" t="s">
        <v>2418</v>
      </c>
      <c r="D1624" s="1" t="s">
        <v>2419</v>
      </c>
      <c r="E1624" s="1" t="s">
        <v>37</v>
      </c>
      <c r="F1624" s="1" t="s">
        <v>510</v>
      </c>
      <c r="G1624" s="1" t="s">
        <v>511</v>
      </c>
      <c r="H1624" s="1" t="s">
        <v>17</v>
      </c>
      <c r="I1624">
        <v>71566</v>
      </c>
      <c r="J1624" s="3">
        <v>25.9</v>
      </c>
      <c r="K1624" s="3">
        <v>1853559.4</v>
      </c>
    </row>
    <row r="1625" spans="1:11" x14ac:dyDescent="0.2">
      <c r="A1625" s="1" t="s">
        <v>2707</v>
      </c>
      <c r="B1625" s="2">
        <v>46016</v>
      </c>
      <c r="C1625" s="1" t="s">
        <v>2662</v>
      </c>
      <c r="D1625" s="1" t="s">
        <v>2663</v>
      </c>
      <c r="E1625" s="1" t="s">
        <v>21</v>
      </c>
      <c r="F1625" s="1" t="s">
        <v>184</v>
      </c>
      <c r="G1625" s="1" t="s">
        <v>185</v>
      </c>
      <c r="H1625" s="1" t="s">
        <v>17</v>
      </c>
      <c r="I1625">
        <v>19724</v>
      </c>
      <c r="J1625" s="3">
        <v>41.84</v>
      </c>
      <c r="K1625" s="3">
        <v>825252.16</v>
      </c>
    </row>
    <row r="1626" spans="1:11" x14ac:dyDescent="0.2">
      <c r="A1626" s="1" t="s">
        <v>2708</v>
      </c>
      <c r="B1626" s="2">
        <v>45376</v>
      </c>
      <c r="C1626" s="1" t="s">
        <v>1050</v>
      </c>
      <c r="D1626" s="1" t="s">
        <v>1051</v>
      </c>
      <c r="E1626" s="1" t="s">
        <v>14</v>
      </c>
      <c r="F1626" s="1" t="s">
        <v>237</v>
      </c>
      <c r="G1626" s="1" t="s">
        <v>238</v>
      </c>
      <c r="H1626" s="1" t="s">
        <v>17</v>
      </c>
      <c r="I1626">
        <v>48503</v>
      </c>
      <c r="J1626" s="3">
        <v>35.19</v>
      </c>
      <c r="K1626" s="3">
        <v>1706820.57</v>
      </c>
    </row>
    <row r="1627" spans="1:11" x14ac:dyDescent="0.2">
      <c r="A1627" s="1" t="s">
        <v>2709</v>
      </c>
      <c r="B1627" s="2">
        <v>45718</v>
      </c>
      <c r="C1627" s="1" t="s">
        <v>282</v>
      </c>
      <c r="D1627" s="1" t="s">
        <v>283</v>
      </c>
      <c r="E1627" s="1" t="s">
        <v>21</v>
      </c>
      <c r="F1627" s="1" t="s">
        <v>52</v>
      </c>
      <c r="G1627" s="1" t="s">
        <v>53</v>
      </c>
      <c r="H1627" s="1" t="s">
        <v>17</v>
      </c>
      <c r="I1627">
        <v>46687</v>
      </c>
      <c r="J1627" s="3">
        <v>46.59</v>
      </c>
      <c r="K1627" s="3">
        <v>2175147.33</v>
      </c>
    </row>
    <row r="1628" spans="1:11" x14ac:dyDescent="0.2">
      <c r="A1628" s="1" t="s">
        <v>2710</v>
      </c>
      <c r="B1628" s="2">
        <v>45374</v>
      </c>
      <c r="C1628" s="1" t="s">
        <v>2711</v>
      </c>
      <c r="D1628" s="1" t="s">
        <v>2712</v>
      </c>
      <c r="E1628" s="1" t="s">
        <v>14</v>
      </c>
      <c r="F1628" s="1" t="s">
        <v>81</v>
      </c>
      <c r="G1628" s="1" t="s">
        <v>82</v>
      </c>
      <c r="H1628" s="1" t="s">
        <v>72</v>
      </c>
      <c r="I1628">
        <v>2935</v>
      </c>
      <c r="J1628" s="3">
        <v>5.55</v>
      </c>
      <c r="K1628" s="3">
        <v>16289.25</v>
      </c>
    </row>
    <row r="1629" spans="1:11" x14ac:dyDescent="0.2">
      <c r="A1629" s="1" t="s">
        <v>2713</v>
      </c>
      <c r="B1629" s="2">
        <v>45413</v>
      </c>
      <c r="C1629" s="1" t="s">
        <v>481</v>
      </c>
      <c r="D1629" s="1" t="s">
        <v>482</v>
      </c>
      <c r="E1629" s="1" t="s">
        <v>34</v>
      </c>
      <c r="F1629" s="1" t="s">
        <v>474</v>
      </c>
      <c r="G1629" s="1" t="s">
        <v>475</v>
      </c>
      <c r="H1629" s="1" t="s">
        <v>48</v>
      </c>
      <c r="I1629">
        <v>63282</v>
      </c>
      <c r="J1629" s="3">
        <v>39.74</v>
      </c>
      <c r="K1629" s="3">
        <v>2514826.6800000002</v>
      </c>
    </row>
    <row r="1630" spans="1:11" x14ac:dyDescent="0.2">
      <c r="A1630" s="1" t="s">
        <v>2714</v>
      </c>
      <c r="B1630" s="2">
        <v>46016</v>
      </c>
      <c r="C1630" s="1" t="s">
        <v>257</v>
      </c>
      <c r="D1630" s="1" t="s">
        <v>258</v>
      </c>
      <c r="E1630" s="1" t="s">
        <v>28</v>
      </c>
      <c r="F1630" s="1" t="s">
        <v>57</v>
      </c>
      <c r="G1630" s="1" t="s">
        <v>58</v>
      </c>
      <c r="H1630" s="1" t="s">
        <v>48</v>
      </c>
      <c r="I1630">
        <v>50879</v>
      </c>
      <c r="J1630" s="3">
        <v>7.13</v>
      </c>
      <c r="K1630" s="3">
        <v>362767.27</v>
      </c>
    </row>
    <row r="1631" spans="1:11" x14ac:dyDescent="0.2">
      <c r="A1631" s="1" t="s">
        <v>2715</v>
      </c>
      <c r="B1631" s="2">
        <v>45884</v>
      </c>
      <c r="C1631" s="1" t="s">
        <v>955</v>
      </c>
      <c r="D1631" s="1" t="s">
        <v>956</v>
      </c>
      <c r="E1631" s="1" t="s">
        <v>28</v>
      </c>
      <c r="F1631" s="1" t="s">
        <v>144</v>
      </c>
      <c r="G1631" s="1" t="s">
        <v>145</v>
      </c>
      <c r="H1631" s="1" t="s">
        <v>24</v>
      </c>
      <c r="I1631">
        <v>2465</v>
      </c>
      <c r="J1631" s="3">
        <v>23.53</v>
      </c>
      <c r="K1631" s="3">
        <v>58001.45</v>
      </c>
    </row>
    <row r="1632" spans="1:11" x14ac:dyDescent="0.2">
      <c r="A1632" s="1" t="s">
        <v>2716</v>
      </c>
      <c r="B1632" s="2">
        <v>45474</v>
      </c>
      <c r="C1632" s="1" t="s">
        <v>2445</v>
      </c>
      <c r="D1632" s="1" t="s">
        <v>2446</v>
      </c>
      <c r="E1632" s="1" t="s">
        <v>34</v>
      </c>
      <c r="F1632" s="1" t="s">
        <v>152</v>
      </c>
      <c r="G1632" s="1" t="s">
        <v>153</v>
      </c>
      <c r="H1632" s="1" t="s">
        <v>17</v>
      </c>
      <c r="I1632">
        <v>64282</v>
      </c>
      <c r="J1632" s="3">
        <v>19.940000000000001</v>
      </c>
      <c r="K1632" s="3">
        <v>1281783.08</v>
      </c>
    </row>
    <row r="1633" spans="1:11" x14ac:dyDescent="0.2">
      <c r="A1633" s="1" t="s">
        <v>2717</v>
      </c>
      <c r="B1633" s="2">
        <v>45292</v>
      </c>
      <c r="C1633" s="1" t="s">
        <v>1020</v>
      </c>
      <c r="D1633" s="1" t="s">
        <v>1021</v>
      </c>
      <c r="E1633" s="1" t="s">
        <v>14</v>
      </c>
      <c r="F1633" s="1" t="s">
        <v>157</v>
      </c>
      <c r="G1633" s="1" t="s">
        <v>158</v>
      </c>
      <c r="H1633" s="1" t="s">
        <v>48</v>
      </c>
      <c r="I1633">
        <v>68427</v>
      </c>
      <c r="J1633" s="3">
        <v>39.380000000000003</v>
      </c>
      <c r="K1633" s="3">
        <v>2694655.26</v>
      </c>
    </row>
    <row r="1634" spans="1:11" x14ac:dyDescent="0.2">
      <c r="A1634" s="1" t="s">
        <v>2718</v>
      </c>
      <c r="B1634" s="2">
        <v>45902</v>
      </c>
      <c r="C1634" s="1" t="s">
        <v>1708</v>
      </c>
      <c r="D1634" s="1" t="s">
        <v>1709</v>
      </c>
      <c r="E1634" s="1" t="s">
        <v>14</v>
      </c>
      <c r="F1634" s="1" t="s">
        <v>29</v>
      </c>
      <c r="G1634" s="1" t="s">
        <v>30</v>
      </c>
      <c r="H1634" s="1" t="s">
        <v>24</v>
      </c>
      <c r="I1634">
        <v>80174</v>
      </c>
      <c r="J1634" s="3">
        <v>23.4</v>
      </c>
      <c r="K1634" s="3">
        <v>1876071.6</v>
      </c>
    </row>
    <row r="1635" spans="1:11" x14ac:dyDescent="0.2">
      <c r="A1635" s="1" t="s">
        <v>2719</v>
      </c>
      <c r="B1635" s="2">
        <v>45889</v>
      </c>
      <c r="C1635" s="1" t="s">
        <v>106</v>
      </c>
      <c r="D1635" s="1" t="s">
        <v>107</v>
      </c>
      <c r="E1635" s="1" t="s">
        <v>14</v>
      </c>
      <c r="F1635" s="1" t="s">
        <v>324</v>
      </c>
      <c r="G1635" s="1" t="s">
        <v>325</v>
      </c>
      <c r="H1635" s="1" t="s">
        <v>24</v>
      </c>
      <c r="I1635">
        <v>25593</v>
      </c>
      <c r="J1635" s="3">
        <v>35.85</v>
      </c>
      <c r="K1635" s="3">
        <v>917509.05</v>
      </c>
    </row>
    <row r="1636" spans="1:11" x14ac:dyDescent="0.2">
      <c r="A1636" s="1" t="s">
        <v>2720</v>
      </c>
      <c r="B1636" s="2">
        <v>45396</v>
      </c>
      <c r="C1636" s="1" t="s">
        <v>276</v>
      </c>
      <c r="D1636" s="1" t="s">
        <v>277</v>
      </c>
      <c r="E1636" s="1" t="s">
        <v>34</v>
      </c>
      <c r="F1636" s="1" t="s">
        <v>144</v>
      </c>
      <c r="G1636" s="1" t="s">
        <v>145</v>
      </c>
      <c r="H1636" s="1" t="s">
        <v>24</v>
      </c>
      <c r="I1636">
        <v>2282</v>
      </c>
      <c r="J1636" s="3">
        <v>17.36</v>
      </c>
      <c r="K1636" s="3">
        <v>39615.519999999997</v>
      </c>
    </row>
    <row r="1637" spans="1:11" x14ac:dyDescent="0.2">
      <c r="A1637" s="1" t="s">
        <v>2721</v>
      </c>
      <c r="B1637" s="2">
        <v>45766</v>
      </c>
      <c r="C1637" s="1" t="s">
        <v>814</v>
      </c>
      <c r="D1637" s="1" t="s">
        <v>815</v>
      </c>
      <c r="E1637" s="1" t="s">
        <v>14</v>
      </c>
      <c r="F1637" s="1" t="s">
        <v>144</v>
      </c>
      <c r="G1637" s="1" t="s">
        <v>145</v>
      </c>
      <c r="H1637" s="1" t="s">
        <v>24</v>
      </c>
      <c r="I1637">
        <v>35190</v>
      </c>
      <c r="J1637" s="3">
        <v>18.89</v>
      </c>
      <c r="K1637" s="3">
        <v>664739.1</v>
      </c>
    </row>
    <row r="1638" spans="1:11" x14ac:dyDescent="0.2">
      <c r="A1638" s="1" t="s">
        <v>2722</v>
      </c>
      <c r="B1638" s="2">
        <v>45487</v>
      </c>
      <c r="C1638" s="1" t="s">
        <v>2418</v>
      </c>
      <c r="D1638" s="1" t="s">
        <v>2419</v>
      </c>
      <c r="E1638" s="1" t="s">
        <v>37</v>
      </c>
      <c r="F1638" s="1" t="s">
        <v>458</v>
      </c>
      <c r="G1638" s="1" t="s">
        <v>459</v>
      </c>
      <c r="H1638" s="1" t="s">
        <v>72</v>
      </c>
      <c r="I1638">
        <v>26772</v>
      </c>
      <c r="J1638" s="3">
        <v>36.19</v>
      </c>
      <c r="K1638" s="3">
        <v>968878.68</v>
      </c>
    </row>
    <row r="1639" spans="1:11" x14ac:dyDescent="0.2">
      <c r="A1639" s="1" t="s">
        <v>2723</v>
      </c>
      <c r="B1639" s="2">
        <v>45372</v>
      </c>
      <c r="C1639" s="1" t="s">
        <v>492</v>
      </c>
      <c r="D1639" s="1" t="s">
        <v>493</v>
      </c>
      <c r="E1639" s="1" t="s">
        <v>37</v>
      </c>
      <c r="F1639" s="1" t="s">
        <v>189</v>
      </c>
      <c r="G1639" s="1" t="s">
        <v>190</v>
      </c>
      <c r="H1639" s="1" t="s">
        <v>17</v>
      </c>
      <c r="I1639">
        <v>91068</v>
      </c>
      <c r="J1639" s="3">
        <v>33.74</v>
      </c>
      <c r="K1639" s="3">
        <v>3072634.32</v>
      </c>
    </row>
    <row r="1640" spans="1:11" x14ac:dyDescent="0.2">
      <c r="A1640" s="1" t="s">
        <v>2724</v>
      </c>
      <c r="B1640" s="2">
        <v>45949</v>
      </c>
      <c r="C1640" s="1" t="s">
        <v>1272</v>
      </c>
      <c r="D1640" s="1" t="s">
        <v>1273</v>
      </c>
      <c r="E1640" s="1" t="s">
        <v>34</v>
      </c>
      <c r="F1640" s="1" t="s">
        <v>176</v>
      </c>
      <c r="G1640" s="1" t="s">
        <v>177</v>
      </c>
      <c r="H1640" s="1" t="s">
        <v>37</v>
      </c>
      <c r="I1640">
        <v>28026</v>
      </c>
      <c r="J1640" s="3">
        <v>4.2699999999999996</v>
      </c>
      <c r="K1640" s="3">
        <v>119671.02</v>
      </c>
    </row>
    <row r="1641" spans="1:11" x14ac:dyDescent="0.2">
      <c r="A1641" s="1" t="s">
        <v>2725</v>
      </c>
      <c r="B1641" s="2">
        <v>45664</v>
      </c>
      <c r="C1641" s="1" t="s">
        <v>362</v>
      </c>
      <c r="D1641" s="1" t="s">
        <v>363</v>
      </c>
      <c r="E1641" s="1" t="s">
        <v>37</v>
      </c>
      <c r="F1641" s="1" t="s">
        <v>436</v>
      </c>
      <c r="G1641" s="1" t="s">
        <v>437</v>
      </c>
      <c r="H1641" s="1" t="s">
        <v>24</v>
      </c>
      <c r="I1641">
        <v>89145</v>
      </c>
      <c r="J1641" s="3">
        <v>46.79</v>
      </c>
      <c r="K1641" s="3">
        <v>4171094.55</v>
      </c>
    </row>
    <row r="1642" spans="1:11" x14ac:dyDescent="0.2">
      <c r="A1642" s="1" t="s">
        <v>2726</v>
      </c>
      <c r="B1642" s="2">
        <v>45324</v>
      </c>
      <c r="C1642" s="1" t="s">
        <v>1288</v>
      </c>
      <c r="D1642" s="1" t="s">
        <v>1289</v>
      </c>
      <c r="E1642" s="1" t="s">
        <v>34</v>
      </c>
      <c r="F1642" s="1" t="s">
        <v>98</v>
      </c>
      <c r="G1642" s="1" t="s">
        <v>99</v>
      </c>
      <c r="H1642" s="1" t="s">
        <v>72</v>
      </c>
      <c r="I1642">
        <v>94323</v>
      </c>
      <c r="J1642" s="3">
        <v>45.08</v>
      </c>
      <c r="K1642" s="3">
        <v>4252080.84</v>
      </c>
    </row>
    <row r="1643" spans="1:11" x14ac:dyDescent="0.2">
      <c r="A1643" s="1" t="s">
        <v>2727</v>
      </c>
      <c r="B1643" s="2">
        <v>45786</v>
      </c>
      <c r="C1643" s="1" t="s">
        <v>593</v>
      </c>
      <c r="D1643" s="1" t="s">
        <v>594</v>
      </c>
      <c r="E1643" s="1" t="s">
        <v>37</v>
      </c>
      <c r="F1643" s="1" t="s">
        <v>203</v>
      </c>
      <c r="G1643" s="1" t="s">
        <v>204</v>
      </c>
      <c r="H1643" s="1" t="s">
        <v>72</v>
      </c>
      <c r="I1643">
        <v>13049</v>
      </c>
      <c r="J1643" s="3">
        <v>33.54</v>
      </c>
      <c r="K1643" s="3">
        <v>437663.46</v>
      </c>
    </row>
    <row r="1644" spans="1:11" x14ac:dyDescent="0.2">
      <c r="A1644" s="1" t="s">
        <v>2728</v>
      </c>
      <c r="B1644" s="2">
        <v>45534</v>
      </c>
      <c r="C1644" s="1" t="s">
        <v>788</v>
      </c>
      <c r="D1644" s="1" t="s">
        <v>789</v>
      </c>
      <c r="E1644" s="1" t="s">
        <v>14</v>
      </c>
      <c r="F1644" s="1" t="s">
        <v>284</v>
      </c>
      <c r="G1644" s="1" t="s">
        <v>285</v>
      </c>
      <c r="H1644" s="1" t="s">
        <v>37</v>
      </c>
      <c r="I1644">
        <v>50269</v>
      </c>
      <c r="J1644" s="3">
        <v>18.059999999999999</v>
      </c>
      <c r="K1644" s="3">
        <v>907858.14</v>
      </c>
    </row>
    <row r="1645" spans="1:11" x14ac:dyDescent="0.2">
      <c r="A1645" s="1" t="s">
        <v>2729</v>
      </c>
      <c r="B1645" s="2">
        <v>45981</v>
      </c>
      <c r="C1645" s="1" t="s">
        <v>1793</v>
      </c>
      <c r="D1645" s="1" t="s">
        <v>1794</v>
      </c>
      <c r="E1645" s="1" t="s">
        <v>37</v>
      </c>
      <c r="F1645" s="1" t="s">
        <v>108</v>
      </c>
      <c r="G1645" s="1" t="s">
        <v>109</v>
      </c>
      <c r="H1645" s="1" t="s">
        <v>37</v>
      </c>
      <c r="I1645">
        <v>84337</v>
      </c>
      <c r="J1645" s="3">
        <v>35.799999999999997</v>
      </c>
      <c r="K1645" s="3">
        <v>3019264.6</v>
      </c>
    </row>
    <row r="1646" spans="1:11" x14ac:dyDescent="0.2">
      <c r="A1646" s="1" t="s">
        <v>2730</v>
      </c>
      <c r="B1646" s="2">
        <v>45614</v>
      </c>
      <c r="C1646" s="1" t="s">
        <v>2467</v>
      </c>
      <c r="D1646" s="1" t="s">
        <v>2468</v>
      </c>
      <c r="E1646" s="1" t="s">
        <v>37</v>
      </c>
      <c r="F1646" s="1" t="s">
        <v>195</v>
      </c>
      <c r="G1646" s="1" t="s">
        <v>196</v>
      </c>
      <c r="H1646" s="1" t="s">
        <v>48</v>
      </c>
      <c r="I1646">
        <v>34742</v>
      </c>
      <c r="J1646" s="3">
        <v>2.86</v>
      </c>
      <c r="K1646" s="3">
        <v>99362.12</v>
      </c>
    </row>
    <row r="1647" spans="1:11" x14ac:dyDescent="0.2">
      <c r="A1647" s="1" t="s">
        <v>2731</v>
      </c>
      <c r="B1647" s="2">
        <v>45351</v>
      </c>
      <c r="C1647" s="1" t="s">
        <v>2196</v>
      </c>
      <c r="D1647" s="1" t="s">
        <v>2197</v>
      </c>
      <c r="E1647" s="1" t="s">
        <v>34</v>
      </c>
      <c r="F1647" s="1" t="s">
        <v>251</v>
      </c>
      <c r="G1647" s="1" t="s">
        <v>252</v>
      </c>
      <c r="H1647" s="1" t="s">
        <v>72</v>
      </c>
      <c r="I1647">
        <v>50339</v>
      </c>
      <c r="J1647" s="3">
        <v>41.46</v>
      </c>
      <c r="K1647" s="3">
        <v>2087054.94</v>
      </c>
    </row>
    <row r="1648" spans="1:11" x14ac:dyDescent="0.2">
      <c r="A1648" s="1" t="s">
        <v>2732</v>
      </c>
      <c r="B1648" s="2">
        <v>45735</v>
      </c>
      <c r="C1648" s="1" t="s">
        <v>695</v>
      </c>
      <c r="D1648" s="1" t="s">
        <v>696</v>
      </c>
      <c r="E1648" s="1" t="s">
        <v>14</v>
      </c>
      <c r="F1648" s="1" t="s">
        <v>208</v>
      </c>
      <c r="G1648" s="1" t="s">
        <v>209</v>
      </c>
      <c r="H1648" s="1" t="s">
        <v>17</v>
      </c>
      <c r="I1648">
        <v>37018</v>
      </c>
      <c r="J1648" s="3">
        <v>5.96</v>
      </c>
      <c r="K1648" s="3">
        <v>220627.28</v>
      </c>
    </row>
    <row r="1649" spans="1:11" x14ac:dyDescent="0.2">
      <c r="A1649" s="1" t="s">
        <v>2733</v>
      </c>
      <c r="B1649" s="2">
        <v>45365</v>
      </c>
      <c r="C1649" s="1" t="s">
        <v>310</v>
      </c>
      <c r="D1649" s="1" t="s">
        <v>311</v>
      </c>
      <c r="E1649" s="1" t="s">
        <v>37</v>
      </c>
      <c r="F1649" s="1" t="s">
        <v>29</v>
      </c>
      <c r="G1649" s="1" t="s">
        <v>30</v>
      </c>
      <c r="H1649" s="1" t="s">
        <v>24</v>
      </c>
      <c r="I1649">
        <v>51668</v>
      </c>
      <c r="J1649" s="3">
        <v>36.619999999999997</v>
      </c>
      <c r="K1649" s="3">
        <v>1892082.16</v>
      </c>
    </row>
    <row r="1650" spans="1:11" x14ac:dyDescent="0.2">
      <c r="A1650" s="1" t="s">
        <v>2734</v>
      </c>
      <c r="B1650" s="2">
        <v>45724</v>
      </c>
      <c r="C1650" s="1" t="s">
        <v>767</v>
      </c>
      <c r="D1650" s="1" t="s">
        <v>768</v>
      </c>
      <c r="E1650" s="1" t="s">
        <v>28</v>
      </c>
      <c r="F1650" s="1" t="s">
        <v>165</v>
      </c>
      <c r="G1650" s="1" t="s">
        <v>166</v>
      </c>
      <c r="H1650" s="1" t="s">
        <v>24</v>
      </c>
      <c r="I1650">
        <v>33282</v>
      </c>
      <c r="J1650" s="3">
        <v>22.46</v>
      </c>
      <c r="K1650" s="3">
        <v>747513.72</v>
      </c>
    </row>
    <row r="1651" spans="1:11" x14ac:dyDescent="0.2">
      <c r="A1651" s="1" t="s">
        <v>2735</v>
      </c>
      <c r="B1651" s="2">
        <v>45384</v>
      </c>
      <c r="C1651" s="1" t="s">
        <v>979</v>
      </c>
      <c r="D1651" s="1" t="s">
        <v>980</v>
      </c>
      <c r="E1651" s="1" t="s">
        <v>37</v>
      </c>
      <c r="F1651" s="1" t="s">
        <v>273</v>
      </c>
      <c r="G1651" s="1" t="s">
        <v>274</v>
      </c>
      <c r="H1651" s="1" t="s">
        <v>24</v>
      </c>
      <c r="I1651">
        <v>95654</v>
      </c>
      <c r="J1651" s="3">
        <v>22.49</v>
      </c>
      <c r="K1651" s="3">
        <v>2151258.46</v>
      </c>
    </row>
    <row r="1652" spans="1:11" x14ac:dyDescent="0.2">
      <c r="A1652" s="1" t="s">
        <v>2736</v>
      </c>
      <c r="B1652" s="2">
        <v>45945</v>
      </c>
      <c r="C1652" s="1" t="s">
        <v>1871</v>
      </c>
      <c r="D1652" s="1" t="s">
        <v>1872</v>
      </c>
      <c r="E1652" s="1" t="s">
        <v>34</v>
      </c>
      <c r="F1652" s="1" t="s">
        <v>29</v>
      </c>
      <c r="G1652" s="1" t="s">
        <v>30</v>
      </c>
      <c r="H1652" s="1" t="s">
        <v>24</v>
      </c>
      <c r="I1652">
        <v>81232</v>
      </c>
      <c r="J1652" s="3">
        <v>6.04</v>
      </c>
      <c r="K1652" s="3">
        <v>490641.28</v>
      </c>
    </row>
    <row r="1653" spans="1:11" x14ac:dyDescent="0.2">
      <c r="A1653" s="1" t="s">
        <v>2737</v>
      </c>
      <c r="B1653" s="2">
        <v>45899</v>
      </c>
      <c r="C1653" s="1" t="s">
        <v>1220</v>
      </c>
      <c r="D1653" s="1" t="s">
        <v>1221</v>
      </c>
      <c r="E1653" s="1" t="s">
        <v>34</v>
      </c>
      <c r="F1653" s="1" t="s">
        <v>339</v>
      </c>
      <c r="G1653" s="1" t="s">
        <v>340</v>
      </c>
      <c r="H1653" s="1" t="s">
        <v>24</v>
      </c>
      <c r="I1653">
        <v>12830</v>
      </c>
      <c r="J1653" s="3">
        <v>15.69</v>
      </c>
      <c r="K1653" s="3">
        <v>201302.7</v>
      </c>
    </row>
    <row r="1654" spans="1:11" x14ac:dyDescent="0.2">
      <c r="A1654" s="1" t="s">
        <v>2738</v>
      </c>
      <c r="B1654" s="2">
        <v>45630</v>
      </c>
      <c r="C1654" s="1" t="s">
        <v>481</v>
      </c>
      <c r="D1654" s="1" t="s">
        <v>482</v>
      </c>
      <c r="E1654" s="1" t="s">
        <v>34</v>
      </c>
      <c r="F1654" s="1" t="s">
        <v>463</v>
      </c>
      <c r="G1654" s="1" t="s">
        <v>464</v>
      </c>
      <c r="H1654" s="1" t="s">
        <v>37</v>
      </c>
      <c r="I1654">
        <v>60318</v>
      </c>
      <c r="J1654" s="3">
        <v>12.42</v>
      </c>
      <c r="K1654" s="3">
        <v>749149.56</v>
      </c>
    </row>
    <row r="1655" spans="1:11" x14ac:dyDescent="0.2">
      <c r="A1655" s="1" t="s">
        <v>2739</v>
      </c>
      <c r="B1655" s="2">
        <v>45618</v>
      </c>
      <c r="C1655" s="1" t="s">
        <v>2207</v>
      </c>
      <c r="D1655" s="1" t="s">
        <v>2208</v>
      </c>
      <c r="E1655" s="1" t="s">
        <v>37</v>
      </c>
      <c r="F1655" s="1" t="s">
        <v>157</v>
      </c>
      <c r="G1655" s="1" t="s">
        <v>158</v>
      </c>
      <c r="H1655" s="1" t="s">
        <v>48</v>
      </c>
      <c r="I1655">
        <v>82348</v>
      </c>
      <c r="J1655" s="3">
        <v>8.69</v>
      </c>
      <c r="K1655" s="3">
        <v>715604.12</v>
      </c>
    </row>
    <row r="1656" spans="1:11" x14ac:dyDescent="0.2">
      <c r="A1656" s="1" t="s">
        <v>2740</v>
      </c>
      <c r="B1656" s="2">
        <v>45696</v>
      </c>
      <c r="C1656" s="1" t="s">
        <v>705</v>
      </c>
      <c r="D1656" s="1" t="s">
        <v>706</v>
      </c>
      <c r="E1656" s="1" t="s">
        <v>28</v>
      </c>
      <c r="F1656" s="1" t="s">
        <v>65</v>
      </c>
      <c r="G1656" s="1" t="s">
        <v>66</v>
      </c>
      <c r="H1656" s="1" t="s">
        <v>48</v>
      </c>
      <c r="I1656">
        <v>46950</v>
      </c>
      <c r="J1656" s="3">
        <v>45.84</v>
      </c>
      <c r="K1656" s="3">
        <v>2152188</v>
      </c>
    </row>
    <row r="1657" spans="1:11" x14ac:dyDescent="0.2">
      <c r="A1657" s="1" t="s">
        <v>2741</v>
      </c>
      <c r="B1657" s="2">
        <v>45543</v>
      </c>
      <c r="C1657" s="1" t="s">
        <v>368</v>
      </c>
      <c r="D1657" s="1" t="s">
        <v>369</v>
      </c>
      <c r="E1657" s="1" t="s">
        <v>37</v>
      </c>
      <c r="F1657" s="1" t="s">
        <v>103</v>
      </c>
      <c r="G1657" s="1" t="s">
        <v>104</v>
      </c>
      <c r="H1657" s="1" t="s">
        <v>37</v>
      </c>
      <c r="I1657">
        <v>96902</v>
      </c>
      <c r="J1657" s="3">
        <v>42.83</v>
      </c>
      <c r="K1657" s="3">
        <v>4150312.66</v>
      </c>
    </row>
    <row r="1658" spans="1:11" x14ac:dyDescent="0.2">
      <c r="A1658" s="1" t="s">
        <v>2742</v>
      </c>
      <c r="B1658" s="2">
        <v>45712</v>
      </c>
      <c r="C1658" s="1" t="s">
        <v>596</v>
      </c>
      <c r="D1658" s="1" t="s">
        <v>597</v>
      </c>
      <c r="E1658" s="1" t="s">
        <v>37</v>
      </c>
      <c r="F1658" s="1" t="s">
        <v>35</v>
      </c>
      <c r="G1658" s="1" t="s">
        <v>36</v>
      </c>
      <c r="H1658" s="1" t="s">
        <v>37</v>
      </c>
      <c r="I1658">
        <v>67521</v>
      </c>
      <c r="J1658" s="3">
        <v>33.93</v>
      </c>
      <c r="K1658" s="3">
        <v>2290987.5299999998</v>
      </c>
    </row>
    <row r="1659" spans="1:11" x14ac:dyDescent="0.2">
      <c r="A1659" s="1" t="s">
        <v>2743</v>
      </c>
      <c r="B1659" s="2">
        <v>45999</v>
      </c>
      <c r="C1659" s="1" t="s">
        <v>651</v>
      </c>
      <c r="D1659" s="1" t="s">
        <v>652</v>
      </c>
      <c r="E1659" s="1" t="s">
        <v>28</v>
      </c>
      <c r="F1659" s="1" t="s">
        <v>251</v>
      </c>
      <c r="G1659" s="1" t="s">
        <v>252</v>
      </c>
      <c r="H1659" s="1" t="s">
        <v>72</v>
      </c>
      <c r="I1659">
        <v>41441</v>
      </c>
      <c r="J1659" s="3">
        <v>43.77</v>
      </c>
      <c r="K1659" s="3">
        <v>1813872.57</v>
      </c>
    </row>
    <row r="1660" spans="1:11" x14ac:dyDescent="0.2">
      <c r="A1660" s="1" t="s">
        <v>2744</v>
      </c>
      <c r="B1660" s="2">
        <v>45384</v>
      </c>
      <c r="C1660" s="1" t="s">
        <v>282</v>
      </c>
      <c r="D1660" s="1" t="s">
        <v>283</v>
      </c>
      <c r="E1660" s="1" t="s">
        <v>21</v>
      </c>
      <c r="F1660" s="1" t="s">
        <v>98</v>
      </c>
      <c r="G1660" s="1" t="s">
        <v>99</v>
      </c>
      <c r="H1660" s="1" t="s">
        <v>72</v>
      </c>
      <c r="I1660">
        <v>3730</v>
      </c>
      <c r="J1660" s="3">
        <v>4.13</v>
      </c>
      <c r="K1660" s="3">
        <v>15404.9</v>
      </c>
    </row>
    <row r="1661" spans="1:11" x14ac:dyDescent="0.2">
      <c r="A1661" s="1" t="s">
        <v>2745</v>
      </c>
      <c r="B1661" s="2">
        <v>45998</v>
      </c>
      <c r="C1661" s="1" t="s">
        <v>74</v>
      </c>
      <c r="D1661" s="1" t="s">
        <v>75</v>
      </c>
      <c r="E1661" s="1" t="s">
        <v>37</v>
      </c>
      <c r="F1661" s="1" t="s">
        <v>436</v>
      </c>
      <c r="G1661" s="1" t="s">
        <v>437</v>
      </c>
      <c r="H1661" s="1" t="s">
        <v>24</v>
      </c>
      <c r="I1661">
        <v>21017</v>
      </c>
      <c r="J1661" s="3">
        <v>21.85</v>
      </c>
      <c r="K1661" s="3">
        <v>459221.45</v>
      </c>
    </row>
    <row r="1662" spans="1:11" x14ac:dyDescent="0.2">
      <c r="A1662" s="1" t="s">
        <v>2746</v>
      </c>
      <c r="B1662" s="2">
        <v>45343</v>
      </c>
      <c r="C1662" s="1" t="s">
        <v>1254</v>
      </c>
      <c r="D1662" s="1" t="s">
        <v>1255</v>
      </c>
      <c r="E1662" s="1" t="s">
        <v>14</v>
      </c>
      <c r="F1662" s="1" t="s">
        <v>436</v>
      </c>
      <c r="G1662" s="1" t="s">
        <v>437</v>
      </c>
      <c r="H1662" s="1" t="s">
        <v>24</v>
      </c>
      <c r="I1662">
        <v>83885</v>
      </c>
      <c r="J1662" s="3">
        <v>9.66</v>
      </c>
      <c r="K1662" s="3">
        <v>810329.1</v>
      </c>
    </row>
    <row r="1663" spans="1:11" x14ac:dyDescent="0.2">
      <c r="A1663" s="1" t="s">
        <v>2747</v>
      </c>
      <c r="B1663" s="2">
        <v>45713</v>
      </c>
      <c r="C1663" s="1" t="s">
        <v>2748</v>
      </c>
      <c r="D1663" s="1" t="s">
        <v>2749</v>
      </c>
      <c r="E1663" s="1" t="s">
        <v>14</v>
      </c>
      <c r="F1663" s="1" t="s">
        <v>474</v>
      </c>
      <c r="G1663" s="1" t="s">
        <v>475</v>
      </c>
      <c r="H1663" s="1" t="s">
        <v>48</v>
      </c>
      <c r="I1663">
        <v>20516</v>
      </c>
      <c r="J1663" s="3">
        <v>2.59</v>
      </c>
      <c r="K1663" s="3">
        <v>53136.44</v>
      </c>
    </row>
    <row r="1664" spans="1:11" x14ac:dyDescent="0.2">
      <c r="A1664" s="1" t="s">
        <v>2750</v>
      </c>
      <c r="B1664" s="2">
        <v>45702</v>
      </c>
      <c r="C1664" s="1" t="s">
        <v>122</v>
      </c>
      <c r="D1664" s="1" t="s">
        <v>123</v>
      </c>
      <c r="E1664" s="1" t="s">
        <v>28</v>
      </c>
      <c r="F1664" s="1" t="s">
        <v>165</v>
      </c>
      <c r="G1664" s="1" t="s">
        <v>166</v>
      </c>
      <c r="H1664" s="1" t="s">
        <v>24</v>
      </c>
      <c r="I1664">
        <v>6871</v>
      </c>
      <c r="J1664" s="3">
        <v>9.9</v>
      </c>
      <c r="K1664" s="3">
        <v>68022.899999999994</v>
      </c>
    </row>
    <row r="1665" spans="1:11" x14ac:dyDescent="0.2">
      <c r="A1665" s="1" t="s">
        <v>2751</v>
      </c>
      <c r="B1665" s="2">
        <v>45536</v>
      </c>
      <c r="C1665" s="1" t="s">
        <v>602</v>
      </c>
      <c r="D1665" s="1" t="s">
        <v>603</v>
      </c>
      <c r="E1665" s="1" t="s">
        <v>28</v>
      </c>
      <c r="F1665" s="1" t="s">
        <v>108</v>
      </c>
      <c r="G1665" s="1" t="s">
        <v>109</v>
      </c>
      <c r="H1665" s="1" t="s">
        <v>37</v>
      </c>
      <c r="I1665">
        <v>64797</v>
      </c>
      <c r="J1665" s="3">
        <v>37.49</v>
      </c>
      <c r="K1665" s="3">
        <v>2429239.5299999998</v>
      </c>
    </row>
    <row r="1666" spans="1:11" x14ac:dyDescent="0.2">
      <c r="A1666" s="1" t="s">
        <v>2752</v>
      </c>
      <c r="B1666" s="2">
        <v>45420</v>
      </c>
      <c r="C1666" s="1" t="s">
        <v>880</v>
      </c>
      <c r="D1666" s="1" t="s">
        <v>881</v>
      </c>
      <c r="E1666" s="1" t="s">
        <v>21</v>
      </c>
      <c r="F1666" s="1" t="s">
        <v>152</v>
      </c>
      <c r="G1666" s="1" t="s">
        <v>153</v>
      </c>
      <c r="H1666" s="1" t="s">
        <v>17</v>
      </c>
      <c r="I1666">
        <v>73308</v>
      </c>
      <c r="J1666" s="3">
        <v>34.21</v>
      </c>
      <c r="K1666" s="3">
        <v>2507866.6800000002</v>
      </c>
    </row>
    <row r="1667" spans="1:11" x14ac:dyDescent="0.2">
      <c r="A1667" s="1" t="s">
        <v>2753</v>
      </c>
      <c r="B1667" s="2">
        <v>45513</v>
      </c>
      <c r="C1667" s="1" t="s">
        <v>2242</v>
      </c>
      <c r="D1667" s="1" t="s">
        <v>2243</v>
      </c>
      <c r="E1667" s="1" t="s">
        <v>34</v>
      </c>
      <c r="F1667" s="1" t="s">
        <v>217</v>
      </c>
      <c r="G1667" s="1" t="s">
        <v>218</v>
      </c>
      <c r="H1667" s="1" t="s">
        <v>72</v>
      </c>
      <c r="I1667">
        <v>14675</v>
      </c>
      <c r="J1667" s="3">
        <v>34.119999999999997</v>
      </c>
      <c r="K1667" s="3">
        <v>500711</v>
      </c>
    </row>
    <row r="1668" spans="1:11" x14ac:dyDescent="0.2">
      <c r="A1668" s="1" t="s">
        <v>2754</v>
      </c>
      <c r="B1668" s="2">
        <v>45962</v>
      </c>
      <c r="C1668" s="1" t="s">
        <v>472</v>
      </c>
      <c r="D1668" s="1" t="s">
        <v>473</v>
      </c>
      <c r="E1668" s="1" t="s">
        <v>14</v>
      </c>
      <c r="F1668" s="1" t="s">
        <v>70</v>
      </c>
      <c r="G1668" s="1" t="s">
        <v>71</v>
      </c>
      <c r="H1668" s="1" t="s">
        <v>72</v>
      </c>
      <c r="I1668">
        <v>50086</v>
      </c>
      <c r="J1668" s="3">
        <v>7.84</v>
      </c>
      <c r="K1668" s="3">
        <v>392674.24</v>
      </c>
    </row>
    <row r="1669" spans="1:11" x14ac:dyDescent="0.2">
      <c r="A1669" s="1" t="s">
        <v>2755</v>
      </c>
      <c r="B1669" s="2">
        <v>45444</v>
      </c>
      <c r="C1669" s="1" t="s">
        <v>517</v>
      </c>
      <c r="D1669" s="1" t="s">
        <v>518</v>
      </c>
      <c r="E1669" s="1" t="s">
        <v>21</v>
      </c>
      <c r="F1669" s="1" t="s">
        <v>22</v>
      </c>
      <c r="G1669" s="1" t="s">
        <v>23</v>
      </c>
      <c r="H1669" s="1" t="s">
        <v>24</v>
      </c>
      <c r="I1669">
        <v>64503</v>
      </c>
      <c r="J1669" s="3">
        <v>44.11</v>
      </c>
      <c r="K1669" s="3">
        <v>2845227.33</v>
      </c>
    </row>
    <row r="1670" spans="1:11" x14ac:dyDescent="0.2">
      <c r="A1670" s="1" t="s">
        <v>2756</v>
      </c>
      <c r="B1670" s="2">
        <v>45435</v>
      </c>
      <c r="C1670" s="1" t="s">
        <v>1489</v>
      </c>
      <c r="D1670" s="1" t="s">
        <v>1490</v>
      </c>
      <c r="E1670" s="1" t="s">
        <v>37</v>
      </c>
      <c r="F1670" s="1" t="s">
        <v>15</v>
      </c>
      <c r="G1670" s="1" t="s">
        <v>16</v>
      </c>
      <c r="H1670" s="1" t="s">
        <v>17</v>
      </c>
      <c r="I1670">
        <v>39802</v>
      </c>
      <c r="J1670" s="3">
        <v>32.770000000000003</v>
      </c>
      <c r="K1670" s="3">
        <v>1304311.54</v>
      </c>
    </row>
    <row r="1671" spans="1:11" x14ac:dyDescent="0.2">
      <c r="A1671" s="1" t="s">
        <v>2757</v>
      </c>
      <c r="B1671" s="2">
        <v>45468</v>
      </c>
      <c r="C1671" s="1" t="s">
        <v>2601</v>
      </c>
      <c r="D1671" s="1" t="s">
        <v>2602</v>
      </c>
      <c r="E1671" s="1" t="s">
        <v>21</v>
      </c>
      <c r="F1671" s="1" t="s">
        <v>22</v>
      </c>
      <c r="G1671" s="1" t="s">
        <v>23</v>
      </c>
      <c r="H1671" s="1" t="s">
        <v>24</v>
      </c>
      <c r="I1671">
        <v>10848</v>
      </c>
      <c r="J1671" s="3">
        <v>5.14</v>
      </c>
      <c r="K1671" s="3">
        <v>55758.720000000001</v>
      </c>
    </row>
    <row r="1672" spans="1:11" x14ac:dyDescent="0.2">
      <c r="A1672" s="1" t="s">
        <v>2758</v>
      </c>
      <c r="B1672" s="2">
        <v>45632</v>
      </c>
      <c r="C1672" s="1" t="s">
        <v>1408</v>
      </c>
      <c r="D1672" s="1" t="s">
        <v>1409</v>
      </c>
      <c r="E1672" s="1" t="s">
        <v>21</v>
      </c>
      <c r="F1672" s="1" t="s">
        <v>273</v>
      </c>
      <c r="G1672" s="1" t="s">
        <v>274</v>
      </c>
      <c r="H1672" s="1" t="s">
        <v>24</v>
      </c>
      <c r="I1672">
        <v>70932</v>
      </c>
      <c r="J1672" s="3">
        <v>9.57</v>
      </c>
      <c r="K1672" s="3">
        <v>678819.24</v>
      </c>
    </row>
    <row r="1673" spans="1:11" x14ac:dyDescent="0.2">
      <c r="A1673" s="1" t="s">
        <v>2759</v>
      </c>
      <c r="B1673" s="2">
        <v>45495</v>
      </c>
      <c r="C1673" s="1" t="s">
        <v>648</v>
      </c>
      <c r="D1673" s="1" t="s">
        <v>649</v>
      </c>
      <c r="E1673" s="1" t="s">
        <v>28</v>
      </c>
      <c r="F1673" s="1" t="s">
        <v>98</v>
      </c>
      <c r="G1673" s="1" t="s">
        <v>99</v>
      </c>
      <c r="H1673" s="1" t="s">
        <v>72</v>
      </c>
      <c r="I1673">
        <v>55475</v>
      </c>
      <c r="J1673" s="3">
        <v>41.09</v>
      </c>
      <c r="K1673" s="3">
        <v>2279467.75</v>
      </c>
    </row>
    <row r="1674" spans="1:11" x14ac:dyDescent="0.2">
      <c r="A1674" s="1" t="s">
        <v>2760</v>
      </c>
      <c r="B1674" s="2">
        <v>45603</v>
      </c>
      <c r="C1674" s="1" t="s">
        <v>150</v>
      </c>
      <c r="D1674" s="1" t="s">
        <v>151</v>
      </c>
      <c r="E1674" s="1" t="s">
        <v>14</v>
      </c>
      <c r="F1674" s="1" t="s">
        <v>458</v>
      </c>
      <c r="G1674" s="1" t="s">
        <v>459</v>
      </c>
      <c r="H1674" s="1" t="s">
        <v>72</v>
      </c>
      <c r="I1674">
        <v>63472</v>
      </c>
      <c r="J1674" s="3">
        <v>43.33</v>
      </c>
      <c r="K1674" s="3">
        <v>2750241.76</v>
      </c>
    </row>
    <row r="1675" spans="1:11" x14ac:dyDescent="0.2">
      <c r="A1675" s="1" t="s">
        <v>2761</v>
      </c>
      <c r="B1675" s="2">
        <v>45545</v>
      </c>
      <c r="C1675" s="1" t="s">
        <v>1438</v>
      </c>
      <c r="D1675" s="1" t="s">
        <v>1439</v>
      </c>
      <c r="E1675" s="1" t="s">
        <v>34</v>
      </c>
      <c r="F1675" s="1" t="s">
        <v>29</v>
      </c>
      <c r="G1675" s="1" t="s">
        <v>30</v>
      </c>
      <c r="H1675" s="1" t="s">
        <v>24</v>
      </c>
      <c r="I1675">
        <v>22850</v>
      </c>
      <c r="J1675" s="3">
        <v>45.83</v>
      </c>
      <c r="K1675" s="3">
        <v>1047215.5</v>
      </c>
    </row>
    <row r="1676" spans="1:11" x14ac:dyDescent="0.2">
      <c r="A1676" s="1" t="s">
        <v>2762</v>
      </c>
      <c r="B1676" s="2">
        <v>45875</v>
      </c>
      <c r="C1676" s="1" t="s">
        <v>2662</v>
      </c>
      <c r="D1676" s="1" t="s">
        <v>2663</v>
      </c>
      <c r="E1676" s="1" t="s">
        <v>21</v>
      </c>
      <c r="F1676" s="1" t="s">
        <v>284</v>
      </c>
      <c r="G1676" s="1" t="s">
        <v>285</v>
      </c>
      <c r="H1676" s="1" t="s">
        <v>37</v>
      </c>
      <c r="I1676">
        <v>3736</v>
      </c>
      <c r="J1676" s="3">
        <v>7.73</v>
      </c>
      <c r="K1676" s="3">
        <v>28879.279999999999</v>
      </c>
    </row>
    <row r="1677" spans="1:11" x14ac:dyDescent="0.2">
      <c r="A1677" s="1" t="s">
        <v>2763</v>
      </c>
      <c r="B1677" s="2">
        <v>45565</v>
      </c>
      <c r="C1677" s="1" t="s">
        <v>201</v>
      </c>
      <c r="D1677" s="1" t="s">
        <v>202</v>
      </c>
      <c r="E1677" s="1" t="s">
        <v>14</v>
      </c>
      <c r="F1677" s="1" t="s">
        <v>273</v>
      </c>
      <c r="G1677" s="1" t="s">
        <v>274</v>
      </c>
      <c r="H1677" s="1" t="s">
        <v>24</v>
      </c>
      <c r="I1677">
        <v>62787</v>
      </c>
      <c r="J1677" s="3">
        <v>21.89</v>
      </c>
      <c r="K1677" s="3">
        <v>1374407.43</v>
      </c>
    </row>
    <row r="1678" spans="1:11" x14ac:dyDescent="0.2">
      <c r="A1678" s="1" t="s">
        <v>2764</v>
      </c>
      <c r="B1678" s="2">
        <v>45649</v>
      </c>
      <c r="C1678" s="1" t="s">
        <v>1393</v>
      </c>
      <c r="D1678" s="1" t="s">
        <v>1394</v>
      </c>
      <c r="E1678" s="1" t="s">
        <v>28</v>
      </c>
      <c r="F1678" s="1" t="s">
        <v>330</v>
      </c>
      <c r="G1678" s="1" t="s">
        <v>331</v>
      </c>
      <c r="H1678" s="1" t="s">
        <v>72</v>
      </c>
      <c r="I1678">
        <v>55239</v>
      </c>
      <c r="J1678" s="3">
        <v>43.12</v>
      </c>
      <c r="K1678" s="3">
        <v>2381905.6800000002</v>
      </c>
    </row>
    <row r="1679" spans="1:11" x14ac:dyDescent="0.2">
      <c r="A1679" s="1" t="s">
        <v>2765</v>
      </c>
      <c r="B1679" s="2">
        <v>45851</v>
      </c>
      <c r="C1679" s="1" t="s">
        <v>2766</v>
      </c>
      <c r="D1679" s="1" t="s">
        <v>2767</v>
      </c>
      <c r="E1679" s="1" t="s">
        <v>37</v>
      </c>
      <c r="F1679" s="1" t="s">
        <v>217</v>
      </c>
      <c r="G1679" s="1" t="s">
        <v>218</v>
      </c>
      <c r="H1679" s="1" t="s">
        <v>72</v>
      </c>
      <c r="I1679">
        <v>35838</v>
      </c>
      <c r="J1679" s="3">
        <v>16.12</v>
      </c>
      <c r="K1679" s="3">
        <v>577708.56000000006</v>
      </c>
    </row>
    <row r="1680" spans="1:11" x14ac:dyDescent="0.2">
      <c r="A1680" s="1" t="s">
        <v>2768</v>
      </c>
      <c r="B1680" s="2">
        <v>45648</v>
      </c>
      <c r="C1680" s="1" t="s">
        <v>526</v>
      </c>
      <c r="D1680" s="1" t="s">
        <v>527</v>
      </c>
      <c r="E1680" s="1" t="s">
        <v>34</v>
      </c>
      <c r="F1680" s="1" t="s">
        <v>184</v>
      </c>
      <c r="G1680" s="1" t="s">
        <v>185</v>
      </c>
      <c r="H1680" s="1" t="s">
        <v>17</v>
      </c>
      <c r="I1680">
        <v>32039</v>
      </c>
      <c r="J1680" s="3">
        <v>23.78</v>
      </c>
      <c r="K1680" s="3">
        <v>761887.42</v>
      </c>
    </row>
    <row r="1681" spans="1:11" x14ac:dyDescent="0.2">
      <c r="A1681" s="1" t="s">
        <v>2769</v>
      </c>
      <c r="B1681" s="2">
        <v>45437</v>
      </c>
      <c r="C1681" s="1" t="s">
        <v>215</v>
      </c>
      <c r="D1681" s="1" t="s">
        <v>216</v>
      </c>
      <c r="E1681" s="1" t="s">
        <v>21</v>
      </c>
      <c r="F1681" s="1" t="s">
        <v>474</v>
      </c>
      <c r="G1681" s="1" t="s">
        <v>475</v>
      </c>
      <c r="H1681" s="1" t="s">
        <v>48</v>
      </c>
      <c r="I1681">
        <v>54815</v>
      </c>
      <c r="J1681" s="3">
        <v>29.61</v>
      </c>
      <c r="K1681" s="3">
        <v>1623072.15</v>
      </c>
    </row>
    <row r="1682" spans="1:11" x14ac:dyDescent="0.2">
      <c r="A1682" s="1" t="s">
        <v>2770</v>
      </c>
      <c r="B1682" s="2">
        <v>45996</v>
      </c>
      <c r="C1682" s="1" t="s">
        <v>2771</v>
      </c>
      <c r="D1682" s="1" t="s">
        <v>2772</v>
      </c>
      <c r="E1682" s="1" t="s">
        <v>37</v>
      </c>
      <c r="F1682" s="1" t="s">
        <v>65</v>
      </c>
      <c r="G1682" s="1" t="s">
        <v>66</v>
      </c>
      <c r="H1682" s="1" t="s">
        <v>48</v>
      </c>
      <c r="I1682">
        <v>8099</v>
      </c>
      <c r="J1682" s="3">
        <v>13.35</v>
      </c>
      <c r="K1682" s="3">
        <v>108121.65</v>
      </c>
    </row>
    <row r="1683" spans="1:11" x14ac:dyDescent="0.2">
      <c r="A1683" s="1" t="s">
        <v>2773</v>
      </c>
      <c r="B1683" s="2">
        <v>45708</v>
      </c>
      <c r="C1683" s="1" t="s">
        <v>220</v>
      </c>
      <c r="D1683" s="1" t="s">
        <v>221</v>
      </c>
      <c r="E1683" s="1" t="s">
        <v>21</v>
      </c>
      <c r="F1683" s="1" t="s">
        <v>350</v>
      </c>
      <c r="G1683" s="1" t="s">
        <v>351</v>
      </c>
      <c r="H1683" s="1" t="s">
        <v>37</v>
      </c>
      <c r="I1683">
        <v>29968</v>
      </c>
      <c r="J1683" s="3">
        <v>38.6</v>
      </c>
      <c r="K1683" s="3">
        <v>1156764.8</v>
      </c>
    </row>
    <row r="1684" spans="1:11" x14ac:dyDescent="0.2">
      <c r="A1684" s="1" t="s">
        <v>2774</v>
      </c>
      <c r="B1684" s="2">
        <v>45706</v>
      </c>
      <c r="C1684" s="1" t="s">
        <v>1571</v>
      </c>
      <c r="D1684" s="1" t="s">
        <v>1572</v>
      </c>
      <c r="E1684" s="1" t="s">
        <v>14</v>
      </c>
      <c r="F1684" s="1" t="s">
        <v>176</v>
      </c>
      <c r="G1684" s="1" t="s">
        <v>177</v>
      </c>
      <c r="H1684" s="1" t="s">
        <v>37</v>
      </c>
      <c r="I1684">
        <v>52197</v>
      </c>
      <c r="J1684" s="3">
        <v>28.91</v>
      </c>
      <c r="K1684" s="3">
        <v>1509015.27</v>
      </c>
    </row>
    <row r="1685" spans="1:11" x14ac:dyDescent="0.2">
      <c r="A1685" s="1" t="s">
        <v>2775</v>
      </c>
      <c r="B1685" s="2">
        <v>45569</v>
      </c>
      <c r="C1685" s="1" t="s">
        <v>79</v>
      </c>
      <c r="D1685" s="1" t="s">
        <v>80</v>
      </c>
      <c r="E1685" s="1" t="s">
        <v>34</v>
      </c>
      <c r="F1685" s="1" t="s">
        <v>228</v>
      </c>
      <c r="G1685" s="1" t="s">
        <v>229</v>
      </c>
      <c r="H1685" s="1" t="s">
        <v>48</v>
      </c>
      <c r="I1685">
        <v>30995</v>
      </c>
      <c r="J1685" s="3">
        <v>46.9</v>
      </c>
      <c r="K1685" s="3">
        <v>1453665.5</v>
      </c>
    </row>
    <row r="1686" spans="1:11" x14ac:dyDescent="0.2">
      <c r="A1686" s="1" t="s">
        <v>2776</v>
      </c>
      <c r="B1686" s="2">
        <v>45305</v>
      </c>
      <c r="C1686" s="1" t="s">
        <v>901</v>
      </c>
      <c r="D1686" s="1" t="s">
        <v>902</v>
      </c>
      <c r="E1686" s="1" t="s">
        <v>21</v>
      </c>
      <c r="F1686" s="1" t="s">
        <v>35</v>
      </c>
      <c r="G1686" s="1" t="s">
        <v>36</v>
      </c>
      <c r="H1686" s="1" t="s">
        <v>37</v>
      </c>
      <c r="I1686">
        <v>60135</v>
      </c>
      <c r="J1686" s="3">
        <v>32.590000000000003</v>
      </c>
      <c r="K1686" s="3">
        <v>1959799.65</v>
      </c>
    </row>
    <row r="1687" spans="1:11" x14ac:dyDescent="0.2">
      <c r="A1687" s="1" t="s">
        <v>2777</v>
      </c>
      <c r="B1687" s="2">
        <v>45929</v>
      </c>
      <c r="C1687" s="1" t="s">
        <v>1007</v>
      </c>
      <c r="D1687" s="1" t="s">
        <v>1008</v>
      </c>
      <c r="E1687" s="1" t="s">
        <v>37</v>
      </c>
      <c r="F1687" s="1" t="s">
        <v>436</v>
      </c>
      <c r="G1687" s="1" t="s">
        <v>437</v>
      </c>
      <c r="H1687" s="1" t="s">
        <v>24</v>
      </c>
      <c r="I1687">
        <v>10206</v>
      </c>
      <c r="J1687" s="3">
        <v>44.32</v>
      </c>
      <c r="K1687" s="3">
        <v>452329.92</v>
      </c>
    </row>
    <row r="1688" spans="1:11" x14ac:dyDescent="0.2">
      <c r="A1688" s="1" t="s">
        <v>2778</v>
      </c>
      <c r="B1688" s="2">
        <v>45294</v>
      </c>
      <c r="C1688" s="1" t="s">
        <v>587</v>
      </c>
      <c r="D1688" s="1" t="s">
        <v>588</v>
      </c>
      <c r="E1688" s="1" t="s">
        <v>21</v>
      </c>
      <c r="F1688" s="1" t="s">
        <v>184</v>
      </c>
      <c r="G1688" s="1" t="s">
        <v>185</v>
      </c>
      <c r="H1688" s="1" t="s">
        <v>17</v>
      </c>
      <c r="I1688">
        <v>66164</v>
      </c>
      <c r="J1688" s="3">
        <v>28.3</v>
      </c>
      <c r="K1688" s="3">
        <v>1872441.2</v>
      </c>
    </row>
    <row r="1689" spans="1:11" x14ac:dyDescent="0.2">
      <c r="A1689" s="1" t="s">
        <v>2779</v>
      </c>
      <c r="B1689" s="2">
        <v>45973</v>
      </c>
      <c r="C1689" s="1" t="s">
        <v>1446</v>
      </c>
      <c r="D1689" s="1" t="s">
        <v>1447</v>
      </c>
      <c r="E1689" s="1" t="s">
        <v>37</v>
      </c>
      <c r="F1689" s="1" t="s">
        <v>406</v>
      </c>
      <c r="G1689" s="1" t="s">
        <v>407</v>
      </c>
      <c r="H1689" s="1" t="s">
        <v>17</v>
      </c>
      <c r="I1689">
        <v>14920</v>
      </c>
      <c r="J1689" s="3">
        <v>8.68</v>
      </c>
      <c r="K1689" s="3">
        <v>129505.60000000001</v>
      </c>
    </row>
    <row r="1690" spans="1:11" x14ac:dyDescent="0.2">
      <c r="A1690" s="1" t="s">
        <v>2780</v>
      </c>
      <c r="B1690" s="2">
        <v>45563</v>
      </c>
      <c r="C1690" s="1" t="s">
        <v>2781</v>
      </c>
      <c r="D1690" s="1" t="s">
        <v>2782</v>
      </c>
      <c r="E1690" s="1" t="s">
        <v>34</v>
      </c>
      <c r="F1690" s="1" t="s">
        <v>208</v>
      </c>
      <c r="G1690" s="1" t="s">
        <v>209</v>
      </c>
      <c r="H1690" s="1" t="s">
        <v>17</v>
      </c>
      <c r="I1690">
        <v>5689</v>
      </c>
      <c r="J1690" s="3">
        <v>45.48</v>
      </c>
      <c r="K1690" s="3">
        <v>258735.72</v>
      </c>
    </row>
    <row r="1691" spans="1:11" x14ac:dyDescent="0.2">
      <c r="A1691" s="1" t="s">
        <v>2783</v>
      </c>
      <c r="B1691" s="2">
        <v>45880</v>
      </c>
      <c r="C1691" s="1" t="s">
        <v>746</v>
      </c>
      <c r="D1691" s="1" t="s">
        <v>747</v>
      </c>
      <c r="E1691" s="1" t="s">
        <v>37</v>
      </c>
      <c r="F1691" s="1" t="s">
        <v>70</v>
      </c>
      <c r="G1691" s="1" t="s">
        <v>71</v>
      </c>
      <c r="H1691" s="1" t="s">
        <v>72</v>
      </c>
      <c r="I1691">
        <v>88089</v>
      </c>
      <c r="J1691" s="3">
        <v>12.92</v>
      </c>
      <c r="K1691" s="3">
        <v>1138109.8799999999</v>
      </c>
    </row>
    <row r="1692" spans="1:11" x14ac:dyDescent="0.2">
      <c r="A1692" s="1" t="s">
        <v>2784</v>
      </c>
      <c r="B1692" s="2">
        <v>45574</v>
      </c>
      <c r="C1692" s="1" t="s">
        <v>2785</v>
      </c>
      <c r="D1692" s="1" t="s">
        <v>2786</v>
      </c>
      <c r="E1692" s="1" t="s">
        <v>14</v>
      </c>
      <c r="F1692" s="1" t="s">
        <v>15</v>
      </c>
      <c r="G1692" s="1" t="s">
        <v>16</v>
      </c>
      <c r="H1692" s="1" t="s">
        <v>17</v>
      </c>
      <c r="I1692">
        <v>16308</v>
      </c>
      <c r="J1692" s="3">
        <v>4.1399999999999997</v>
      </c>
      <c r="K1692" s="3">
        <v>67515.12</v>
      </c>
    </row>
    <row r="1693" spans="1:11" x14ac:dyDescent="0.2">
      <c r="A1693" s="1" t="s">
        <v>2787</v>
      </c>
      <c r="B1693" s="2">
        <v>45366</v>
      </c>
      <c r="C1693" s="1" t="s">
        <v>68</v>
      </c>
      <c r="D1693" s="1" t="s">
        <v>69</v>
      </c>
      <c r="E1693" s="1" t="s">
        <v>14</v>
      </c>
      <c r="F1693" s="1" t="s">
        <v>330</v>
      </c>
      <c r="G1693" s="1" t="s">
        <v>331</v>
      </c>
      <c r="H1693" s="1" t="s">
        <v>72</v>
      </c>
      <c r="I1693">
        <v>42451</v>
      </c>
      <c r="J1693" s="3">
        <v>41.73</v>
      </c>
      <c r="K1693" s="3">
        <v>1771480.23</v>
      </c>
    </row>
    <row r="1694" spans="1:11" x14ac:dyDescent="0.2">
      <c r="A1694" s="1" t="s">
        <v>2788</v>
      </c>
      <c r="B1694" s="2">
        <v>45405</v>
      </c>
      <c r="C1694" s="1" t="s">
        <v>752</v>
      </c>
      <c r="D1694" s="1" t="s">
        <v>753</v>
      </c>
      <c r="E1694" s="1" t="s">
        <v>34</v>
      </c>
      <c r="F1694" s="1" t="s">
        <v>228</v>
      </c>
      <c r="G1694" s="1" t="s">
        <v>229</v>
      </c>
      <c r="H1694" s="1" t="s">
        <v>48</v>
      </c>
      <c r="I1694">
        <v>16467</v>
      </c>
      <c r="J1694" s="3">
        <v>23.44</v>
      </c>
      <c r="K1694" s="3">
        <v>385986.48</v>
      </c>
    </row>
    <row r="1695" spans="1:11" x14ac:dyDescent="0.2">
      <c r="A1695" s="1" t="s">
        <v>2789</v>
      </c>
      <c r="B1695" s="2">
        <v>45534</v>
      </c>
      <c r="C1695" s="1" t="s">
        <v>633</v>
      </c>
      <c r="D1695" s="1" t="s">
        <v>634</v>
      </c>
      <c r="E1695" s="1" t="s">
        <v>34</v>
      </c>
      <c r="F1695" s="1" t="s">
        <v>394</v>
      </c>
      <c r="G1695" s="1" t="s">
        <v>395</v>
      </c>
      <c r="H1695" s="1" t="s">
        <v>48</v>
      </c>
      <c r="I1695">
        <v>35435</v>
      </c>
      <c r="J1695" s="3">
        <v>12.18</v>
      </c>
      <c r="K1695" s="3">
        <v>431598.3</v>
      </c>
    </row>
    <row r="1696" spans="1:11" x14ac:dyDescent="0.2">
      <c r="A1696" s="1" t="s">
        <v>2790</v>
      </c>
      <c r="B1696" s="2">
        <v>45676</v>
      </c>
      <c r="C1696" s="1" t="s">
        <v>628</v>
      </c>
      <c r="D1696" s="1" t="s">
        <v>629</v>
      </c>
      <c r="E1696" s="1" t="s">
        <v>14</v>
      </c>
      <c r="F1696" s="1" t="s">
        <v>394</v>
      </c>
      <c r="G1696" s="1" t="s">
        <v>395</v>
      </c>
      <c r="H1696" s="1" t="s">
        <v>48</v>
      </c>
      <c r="I1696">
        <v>83250</v>
      </c>
      <c r="J1696" s="3">
        <v>26.16</v>
      </c>
      <c r="K1696" s="3">
        <v>2177820</v>
      </c>
    </row>
    <row r="1697" spans="1:11" x14ac:dyDescent="0.2">
      <c r="A1697" s="1" t="s">
        <v>2791</v>
      </c>
      <c r="B1697" s="2">
        <v>45358</v>
      </c>
      <c r="C1697" s="1" t="s">
        <v>1949</v>
      </c>
      <c r="D1697" s="1" t="s">
        <v>1950</v>
      </c>
      <c r="E1697" s="1" t="s">
        <v>14</v>
      </c>
      <c r="F1697" s="1" t="s">
        <v>263</v>
      </c>
      <c r="G1697" s="1" t="s">
        <v>264</v>
      </c>
      <c r="H1697" s="1" t="s">
        <v>17</v>
      </c>
      <c r="I1697">
        <v>41462</v>
      </c>
      <c r="J1697" s="3">
        <v>9.1999999999999993</v>
      </c>
      <c r="K1697" s="3">
        <v>381450.4</v>
      </c>
    </row>
    <row r="1698" spans="1:11" x14ac:dyDescent="0.2">
      <c r="A1698" s="1" t="s">
        <v>2792</v>
      </c>
      <c r="B1698" s="2">
        <v>45700</v>
      </c>
      <c r="C1698" s="1" t="s">
        <v>90</v>
      </c>
      <c r="D1698" s="1" t="s">
        <v>91</v>
      </c>
      <c r="E1698" s="1" t="s">
        <v>28</v>
      </c>
      <c r="F1698" s="1" t="s">
        <v>184</v>
      </c>
      <c r="G1698" s="1" t="s">
        <v>185</v>
      </c>
      <c r="H1698" s="1" t="s">
        <v>17</v>
      </c>
      <c r="I1698">
        <v>84836</v>
      </c>
      <c r="J1698" s="3">
        <v>11.69</v>
      </c>
      <c r="K1698" s="3">
        <v>991732.84</v>
      </c>
    </row>
    <row r="1699" spans="1:11" x14ac:dyDescent="0.2">
      <c r="A1699" s="1" t="s">
        <v>2793</v>
      </c>
      <c r="B1699" s="2">
        <v>45292</v>
      </c>
      <c r="C1699" s="1" t="s">
        <v>1615</v>
      </c>
      <c r="D1699" s="1" t="s">
        <v>1616</v>
      </c>
      <c r="E1699" s="1" t="s">
        <v>37</v>
      </c>
      <c r="F1699" s="1" t="s">
        <v>22</v>
      </c>
      <c r="G1699" s="1" t="s">
        <v>23</v>
      </c>
      <c r="H1699" s="1" t="s">
        <v>24</v>
      </c>
      <c r="I1699">
        <v>2965</v>
      </c>
      <c r="J1699" s="3">
        <v>10.8</v>
      </c>
      <c r="K1699" s="3">
        <v>32022</v>
      </c>
    </row>
    <row r="1700" spans="1:11" x14ac:dyDescent="0.2">
      <c r="A1700" s="1" t="s">
        <v>2794</v>
      </c>
      <c r="B1700" s="2">
        <v>45795</v>
      </c>
      <c r="C1700" s="1" t="s">
        <v>783</v>
      </c>
      <c r="D1700" s="1" t="s">
        <v>784</v>
      </c>
      <c r="E1700" s="1" t="s">
        <v>14</v>
      </c>
      <c r="F1700" s="1" t="s">
        <v>15</v>
      </c>
      <c r="G1700" s="1" t="s">
        <v>16</v>
      </c>
      <c r="H1700" s="1" t="s">
        <v>17</v>
      </c>
      <c r="I1700">
        <v>36327</v>
      </c>
      <c r="J1700" s="3">
        <v>13.6</v>
      </c>
      <c r="K1700" s="3">
        <v>494047.2</v>
      </c>
    </row>
    <row r="1701" spans="1:11" x14ac:dyDescent="0.2">
      <c r="A1701" s="1" t="s">
        <v>2795</v>
      </c>
      <c r="B1701" s="2">
        <v>45785</v>
      </c>
      <c r="C1701" s="1" t="s">
        <v>439</v>
      </c>
      <c r="D1701" s="1" t="s">
        <v>440</v>
      </c>
      <c r="E1701" s="1" t="s">
        <v>28</v>
      </c>
      <c r="F1701" s="1" t="s">
        <v>284</v>
      </c>
      <c r="G1701" s="1" t="s">
        <v>285</v>
      </c>
      <c r="H1701" s="1" t="s">
        <v>37</v>
      </c>
      <c r="I1701">
        <v>51425</v>
      </c>
      <c r="J1701" s="3">
        <v>29.86</v>
      </c>
      <c r="K1701" s="3">
        <v>1535550.5</v>
      </c>
    </row>
    <row r="1702" spans="1:11" x14ac:dyDescent="0.2">
      <c r="A1702" s="1" t="s">
        <v>2796</v>
      </c>
      <c r="B1702" s="2">
        <v>45796</v>
      </c>
      <c r="C1702" s="1" t="s">
        <v>730</v>
      </c>
      <c r="D1702" s="1" t="s">
        <v>731</v>
      </c>
      <c r="E1702" s="1" t="s">
        <v>14</v>
      </c>
      <c r="F1702" s="1" t="s">
        <v>412</v>
      </c>
      <c r="G1702" s="1" t="s">
        <v>413</v>
      </c>
      <c r="H1702" s="1" t="s">
        <v>72</v>
      </c>
      <c r="I1702">
        <v>40712</v>
      </c>
      <c r="J1702" s="3">
        <v>17.86</v>
      </c>
      <c r="K1702" s="3">
        <v>727116.32</v>
      </c>
    </row>
    <row r="1703" spans="1:11" x14ac:dyDescent="0.2">
      <c r="A1703" s="1" t="s">
        <v>2797</v>
      </c>
      <c r="B1703" s="2">
        <v>45602</v>
      </c>
      <c r="C1703" s="1" t="s">
        <v>128</v>
      </c>
      <c r="D1703" s="1" t="s">
        <v>129</v>
      </c>
      <c r="E1703" s="1" t="s">
        <v>28</v>
      </c>
      <c r="F1703" s="1" t="s">
        <v>29</v>
      </c>
      <c r="G1703" s="1" t="s">
        <v>30</v>
      </c>
      <c r="H1703" s="1" t="s">
        <v>24</v>
      </c>
      <c r="I1703">
        <v>99261</v>
      </c>
      <c r="J1703" s="3">
        <v>17.66</v>
      </c>
      <c r="K1703" s="3">
        <v>1752949.26</v>
      </c>
    </row>
    <row r="1704" spans="1:11" x14ac:dyDescent="0.2">
      <c r="A1704" s="1" t="s">
        <v>2798</v>
      </c>
      <c r="B1704" s="2">
        <v>45502</v>
      </c>
      <c r="C1704" s="1" t="s">
        <v>134</v>
      </c>
      <c r="D1704" s="1" t="s">
        <v>135</v>
      </c>
      <c r="E1704" s="1" t="s">
        <v>14</v>
      </c>
      <c r="F1704" s="1" t="s">
        <v>65</v>
      </c>
      <c r="G1704" s="1" t="s">
        <v>66</v>
      </c>
      <c r="H1704" s="1" t="s">
        <v>48</v>
      </c>
      <c r="I1704">
        <v>87408</v>
      </c>
      <c r="J1704" s="3">
        <v>22.72</v>
      </c>
      <c r="K1704" s="3">
        <v>1985909.76</v>
      </c>
    </row>
    <row r="1705" spans="1:11" x14ac:dyDescent="0.2">
      <c r="A1705" s="1" t="s">
        <v>2799</v>
      </c>
      <c r="B1705" s="2">
        <v>45365</v>
      </c>
      <c r="C1705" s="1" t="s">
        <v>291</v>
      </c>
      <c r="D1705" s="1" t="s">
        <v>292</v>
      </c>
      <c r="E1705" s="1" t="s">
        <v>14</v>
      </c>
      <c r="F1705" s="1" t="s">
        <v>98</v>
      </c>
      <c r="G1705" s="1" t="s">
        <v>99</v>
      </c>
      <c r="H1705" s="1" t="s">
        <v>72</v>
      </c>
      <c r="I1705">
        <v>11678</v>
      </c>
      <c r="J1705" s="3">
        <v>46.25</v>
      </c>
      <c r="K1705" s="3">
        <v>540107.5</v>
      </c>
    </row>
    <row r="1706" spans="1:11" x14ac:dyDescent="0.2">
      <c r="A1706" s="1" t="s">
        <v>2800</v>
      </c>
      <c r="B1706" s="2">
        <v>45648</v>
      </c>
      <c r="C1706" s="1" t="s">
        <v>2121</v>
      </c>
      <c r="D1706" s="1" t="s">
        <v>2122</v>
      </c>
      <c r="E1706" s="1" t="s">
        <v>34</v>
      </c>
      <c r="F1706" s="1" t="s">
        <v>57</v>
      </c>
      <c r="G1706" s="1" t="s">
        <v>58</v>
      </c>
      <c r="H1706" s="1" t="s">
        <v>48</v>
      </c>
      <c r="I1706">
        <v>51798</v>
      </c>
      <c r="J1706" s="3">
        <v>20.82</v>
      </c>
      <c r="K1706" s="3">
        <v>1078434.3600000001</v>
      </c>
    </row>
    <row r="1707" spans="1:11" x14ac:dyDescent="0.2">
      <c r="A1707" s="1" t="s">
        <v>2801</v>
      </c>
      <c r="B1707" s="2">
        <v>45767</v>
      </c>
      <c r="C1707" s="1" t="s">
        <v>502</v>
      </c>
      <c r="D1707" s="1" t="s">
        <v>503</v>
      </c>
      <c r="E1707" s="1" t="s">
        <v>14</v>
      </c>
      <c r="F1707" s="1" t="s">
        <v>22</v>
      </c>
      <c r="G1707" s="1" t="s">
        <v>23</v>
      </c>
      <c r="H1707" s="1" t="s">
        <v>24</v>
      </c>
      <c r="I1707">
        <v>19027</v>
      </c>
      <c r="J1707" s="3">
        <v>45.15</v>
      </c>
      <c r="K1707" s="3">
        <v>859069.05</v>
      </c>
    </row>
    <row r="1708" spans="1:11" x14ac:dyDescent="0.2">
      <c r="A1708" s="1" t="s">
        <v>2802</v>
      </c>
      <c r="B1708" s="2">
        <v>45298</v>
      </c>
      <c r="C1708" s="1" t="s">
        <v>342</v>
      </c>
      <c r="D1708" s="1" t="s">
        <v>343</v>
      </c>
      <c r="E1708" s="1" t="s">
        <v>37</v>
      </c>
      <c r="F1708" s="1" t="s">
        <v>176</v>
      </c>
      <c r="G1708" s="1" t="s">
        <v>177</v>
      </c>
      <c r="H1708" s="1" t="s">
        <v>37</v>
      </c>
      <c r="I1708">
        <v>98639</v>
      </c>
      <c r="J1708" s="3">
        <v>28.74</v>
      </c>
      <c r="K1708" s="3">
        <v>2834884.86</v>
      </c>
    </row>
    <row r="1709" spans="1:11" x14ac:dyDescent="0.2">
      <c r="A1709" s="1" t="s">
        <v>2803</v>
      </c>
      <c r="B1709" s="2">
        <v>45381</v>
      </c>
      <c r="C1709" s="1" t="s">
        <v>1930</v>
      </c>
      <c r="D1709" s="1" t="s">
        <v>1931</v>
      </c>
      <c r="E1709" s="1" t="s">
        <v>14</v>
      </c>
      <c r="F1709" s="1" t="s">
        <v>350</v>
      </c>
      <c r="G1709" s="1" t="s">
        <v>351</v>
      </c>
      <c r="H1709" s="1" t="s">
        <v>37</v>
      </c>
      <c r="I1709">
        <v>51973</v>
      </c>
      <c r="J1709" s="3">
        <v>17.989999999999998</v>
      </c>
      <c r="K1709" s="3">
        <v>934994.27</v>
      </c>
    </row>
    <row r="1710" spans="1:11" x14ac:dyDescent="0.2">
      <c r="A1710" s="1" t="s">
        <v>2804</v>
      </c>
      <c r="B1710" s="2">
        <v>45806</v>
      </c>
      <c r="C1710" s="1" t="s">
        <v>1373</v>
      </c>
      <c r="D1710" s="1" t="s">
        <v>1374</v>
      </c>
      <c r="E1710" s="1" t="s">
        <v>21</v>
      </c>
      <c r="F1710" s="1" t="s">
        <v>228</v>
      </c>
      <c r="G1710" s="1" t="s">
        <v>229</v>
      </c>
      <c r="H1710" s="1" t="s">
        <v>48</v>
      </c>
      <c r="I1710">
        <v>45870</v>
      </c>
      <c r="J1710" s="3">
        <v>38.630000000000003</v>
      </c>
      <c r="K1710" s="3">
        <v>1771958.1</v>
      </c>
    </row>
    <row r="1711" spans="1:11" x14ac:dyDescent="0.2">
      <c r="A1711" s="1" t="s">
        <v>2805</v>
      </c>
      <c r="B1711" s="2">
        <v>45938</v>
      </c>
      <c r="C1711" s="1" t="s">
        <v>1903</v>
      </c>
      <c r="D1711" s="1" t="s">
        <v>1904</v>
      </c>
      <c r="E1711" s="1" t="s">
        <v>14</v>
      </c>
      <c r="F1711" s="1" t="s">
        <v>268</v>
      </c>
      <c r="G1711" s="1" t="s">
        <v>269</v>
      </c>
      <c r="H1711" s="1" t="s">
        <v>72</v>
      </c>
      <c r="I1711">
        <v>46611</v>
      </c>
      <c r="J1711" s="3">
        <v>29.7</v>
      </c>
      <c r="K1711" s="3">
        <v>1384346.7</v>
      </c>
    </row>
    <row r="1712" spans="1:11" x14ac:dyDescent="0.2">
      <c r="A1712" s="1" t="s">
        <v>2806</v>
      </c>
      <c r="B1712" s="2">
        <v>45315</v>
      </c>
      <c r="C1712" s="1" t="s">
        <v>2807</v>
      </c>
      <c r="D1712" s="1" t="s">
        <v>2808</v>
      </c>
      <c r="E1712" s="1" t="s">
        <v>37</v>
      </c>
      <c r="F1712" s="1" t="s">
        <v>98</v>
      </c>
      <c r="G1712" s="1" t="s">
        <v>99</v>
      </c>
      <c r="H1712" s="1" t="s">
        <v>72</v>
      </c>
      <c r="I1712">
        <v>5750</v>
      </c>
      <c r="J1712" s="3">
        <v>3.81</v>
      </c>
      <c r="K1712" s="3">
        <v>21907.5</v>
      </c>
    </row>
    <row r="1713" spans="1:11" x14ac:dyDescent="0.2">
      <c r="A1713" s="1" t="s">
        <v>2809</v>
      </c>
      <c r="B1713" s="2">
        <v>45448</v>
      </c>
      <c r="C1713" s="1" t="s">
        <v>1001</v>
      </c>
      <c r="D1713" s="1" t="s">
        <v>1002</v>
      </c>
      <c r="E1713" s="1" t="s">
        <v>37</v>
      </c>
      <c r="F1713" s="1" t="s">
        <v>108</v>
      </c>
      <c r="G1713" s="1" t="s">
        <v>109</v>
      </c>
      <c r="H1713" s="1" t="s">
        <v>37</v>
      </c>
      <c r="I1713">
        <v>28215</v>
      </c>
      <c r="J1713" s="3">
        <v>38.92</v>
      </c>
      <c r="K1713" s="3">
        <v>1098127.8</v>
      </c>
    </row>
    <row r="1714" spans="1:11" x14ac:dyDescent="0.2">
      <c r="A1714" s="1" t="s">
        <v>2810</v>
      </c>
      <c r="B1714" s="2">
        <v>46014</v>
      </c>
      <c r="C1714" s="1" t="s">
        <v>2597</v>
      </c>
      <c r="D1714" s="1" t="s">
        <v>2598</v>
      </c>
      <c r="E1714" s="1" t="s">
        <v>21</v>
      </c>
      <c r="F1714" s="1" t="s">
        <v>35</v>
      </c>
      <c r="G1714" s="1" t="s">
        <v>36</v>
      </c>
      <c r="H1714" s="1" t="s">
        <v>37</v>
      </c>
      <c r="I1714">
        <v>51571</v>
      </c>
      <c r="J1714" s="3">
        <v>21.08</v>
      </c>
      <c r="K1714" s="3">
        <v>1087116.68</v>
      </c>
    </row>
    <row r="1715" spans="1:11" x14ac:dyDescent="0.2">
      <c r="A1715" s="1" t="s">
        <v>2811</v>
      </c>
      <c r="B1715" s="2">
        <v>45714</v>
      </c>
      <c r="C1715" s="1" t="s">
        <v>678</v>
      </c>
      <c r="D1715" s="1" t="s">
        <v>679</v>
      </c>
      <c r="E1715" s="1" t="s">
        <v>28</v>
      </c>
      <c r="F1715" s="1" t="s">
        <v>284</v>
      </c>
      <c r="G1715" s="1" t="s">
        <v>285</v>
      </c>
      <c r="H1715" s="1" t="s">
        <v>37</v>
      </c>
      <c r="I1715">
        <v>48130</v>
      </c>
      <c r="J1715" s="3">
        <v>43.33</v>
      </c>
      <c r="K1715" s="3">
        <v>2085472.9</v>
      </c>
    </row>
    <row r="1716" spans="1:11" x14ac:dyDescent="0.2">
      <c r="A1716" s="1" t="s">
        <v>2812</v>
      </c>
      <c r="B1716" s="2">
        <v>45926</v>
      </c>
      <c r="C1716" s="1" t="s">
        <v>1541</v>
      </c>
      <c r="D1716" s="1" t="s">
        <v>1542</v>
      </c>
      <c r="E1716" s="1" t="s">
        <v>37</v>
      </c>
      <c r="F1716" s="1" t="s">
        <v>41</v>
      </c>
      <c r="G1716" s="1" t="s">
        <v>42</v>
      </c>
      <c r="H1716" s="1" t="s">
        <v>24</v>
      </c>
      <c r="I1716">
        <v>29773</v>
      </c>
      <c r="J1716" s="3">
        <v>37.42</v>
      </c>
      <c r="K1716" s="3">
        <v>1114105.6599999999</v>
      </c>
    </row>
    <row r="1717" spans="1:11" x14ac:dyDescent="0.2">
      <c r="A1717" s="1" t="s">
        <v>2813</v>
      </c>
      <c r="B1717" s="2">
        <v>45656</v>
      </c>
      <c r="C1717" s="1" t="s">
        <v>342</v>
      </c>
      <c r="D1717" s="1" t="s">
        <v>343</v>
      </c>
      <c r="E1717" s="1" t="s">
        <v>37</v>
      </c>
      <c r="F1717" s="1" t="s">
        <v>103</v>
      </c>
      <c r="G1717" s="1" t="s">
        <v>104</v>
      </c>
      <c r="H1717" s="1" t="s">
        <v>37</v>
      </c>
      <c r="I1717">
        <v>94836</v>
      </c>
      <c r="J1717" s="3">
        <v>26.27</v>
      </c>
      <c r="K1717" s="3">
        <v>2491341.7200000002</v>
      </c>
    </row>
    <row r="1718" spans="1:11" x14ac:dyDescent="0.2">
      <c r="A1718" s="1" t="s">
        <v>2814</v>
      </c>
      <c r="B1718" s="2">
        <v>45878</v>
      </c>
      <c r="C1718" s="1" t="s">
        <v>705</v>
      </c>
      <c r="D1718" s="1" t="s">
        <v>706</v>
      </c>
      <c r="E1718" s="1" t="s">
        <v>28</v>
      </c>
      <c r="F1718" s="1" t="s">
        <v>52</v>
      </c>
      <c r="G1718" s="1" t="s">
        <v>53</v>
      </c>
      <c r="H1718" s="1" t="s">
        <v>17</v>
      </c>
      <c r="I1718">
        <v>15303</v>
      </c>
      <c r="J1718" s="3">
        <v>25.94</v>
      </c>
      <c r="K1718" s="3">
        <v>396959.82</v>
      </c>
    </row>
    <row r="1719" spans="1:11" x14ac:dyDescent="0.2">
      <c r="A1719" s="1" t="s">
        <v>2815</v>
      </c>
      <c r="B1719" s="2">
        <v>45852</v>
      </c>
      <c r="C1719" s="1" t="s">
        <v>171</v>
      </c>
      <c r="D1719" s="1" t="s">
        <v>172</v>
      </c>
      <c r="E1719" s="1" t="s">
        <v>28</v>
      </c>
      <c r="F1719" s="1" t="s">
        <v>208</v>
      </c>
      <c r="G1719" s="1" t="s">
        <v>209</v>
      </c>
      <c r="H1719" s="1" t="s">
        <v>17</v>
      </c>
      <c r="I1719">
        <v>11388</v>
      </c>
      <c r="J1719" s="3">
        <v>2.19</v>
      </c>
      <c r="K1719" s="3">
        <v>24939.72</v>
      </c>
    </row>
    <row r="1720" spans="1:11" x14ac:dyDescent="0.2">
      <c r="A1720" s="1" t="s">
        <v>2816</v>
      </c>
      <c r="B1720" s="2">
        <v>45364</v>
      </c>
      <c r="C1720" s="1" t="s">
        <v>1164</v>
      </c>
      <c r="D1720" s="1" t="s">
        <v>1165</v>
      </c>
      <c r="E1720" s="1" t="s">
        <v>37</v>
      </c>
      <c r="F1720" s="1" t="s">
        <v>35</v>
      </c>
      <c r="G1720" s="1" t="s">
        <v>36</v>
      </c>
      <c r="H1720" s="1" t="s">
        <v>37</v>
      </c>
      <c r="I1720">
        <v>18145</v>
      </c>
      <c r="J1720" s="3">
        <v>32.090000000000003</v>
      </c>
      <c r="K1720" s="3">
        <v>582273.05000000005</v>
      </c>
    </row>
    <row r="1721" spans="1:11" x14ac:dyDescent="0.2">
      <c r="A1721" s="1" t="s">
        <v>2817</v>
      </c>
      <c r="B1721" s="2">
        <v>45735</v>
      </c>
      <c r="C1721" s="1" t="s">
        <v>87</v>
      </c>
      <c r="D1721" s="1" t="s">
        <v>88</v>
      </c>
      <c r="E1721" s="1" t="s">
        <v>14</v>
      </c>
      <c r="F1721" s="1" t="s">
        <v>65</v>
      </c>
      <c r="G1721" s="1" t="s">
        <v>66</v>
      </c>
      <c r="H1721" s="1" t="s">
        <v>48</v>
      </c>
      <c r="I1721">
        <v>25379</v>
      </c>
      <c r="J1721" s="3">
        <v>33.450000000000003</v>
      </c>
      <c r="K1721" s="3">
        <v>848927.55</v>
      </c>
    </row>
    <row r="1722" spans="1:11" x14ac:dyDescent="0.2">
      <c r="A1722" s="1" t="s">
        <v>2818</v>
      </c>
      <c r="B1722" s="2">
        <v>46021</v>
      </c>
      <c r="C1722" s="1" t="s">
        <v>1647</v>
      </c>
      <c r="D1722" s="1" t="s">
        <v>1648</v>
      </c>
      <c r="E1722" s="1" t="s">
        <v>14</v>
      </c>
      <c r="F1722" s="1" t="s">
        <v>52</v>
      </c>
      <c r="G1722" s="1" t="s">
        <v>53</v>
      </c>
      <c r="H1722" s="1" t="s">
        <v>17</v>
      </c>
      <c r="I1722">
        <v>35274</v>
      </c>
      <c r="J1722" s="3">
        <v>2.4</v>
      </c>
      <c r="K1722" s="3">
        <v>84657.600000000006</v>
      </c>
    </row>
    <row r="1723" spans="1:11" x14ac:dyDescent="0.2">
      <c r="A1723" s="1" t="s">
        <v>2819</v>
      </c>
      <c r="B1723" s="2">
        <v>45693</v>
      </c>
      <c r="C1723" s="1" t="s">
        <v>942</v>
      </c>
      <c r="D1723" s="1" t="s">
        <v>943</v>
      </c>
      <c r="E1723" s="1" t="s">
        <v>28</v>
      </c>
      <c r="F1723" s="1" t="s">
        <v>29</v>
      </c>
      <c r="G1723" s="1" t="s">
        <v>30</v>
      </c>
      <c r="H1723" s="1" t="s">
        <v>24</v>
      </c>
      <c r="I1723">
        <v>68257</v>
      </c>
      <c r="J1723" s="3">
        <v>41.33</v>
      </c>
      <c r="K1723" s="3">
        <v>2821061.81</v>
      </c>
    </row>
    <row r="1724" spans="1:11" x14ac:dyDescent="0.2">
      <c r="A1724" s="1" t="s">
        <v>2820</v>
      </c>
      <c r="B1724" s="2">
        <v>45900</v>
      </c>
      <c r="C1724" s="1" t="s">
        <v>2597</v>
      </c>
      <c r="D1724" s="1" t="s">
        <v>2598</v>
      </c>
      <c r="E1724" s="1" t="s">
        <v>21</v>
      </c>
      <c r="F1724" s="1" t="s">
        <v>324</v>
      </c>
      <c r="G1724" s="1" t="s">
        <v>325</v>
      </c>
      <c r="H1724" s="1" t="s">
        <v>24</v>
      </c>
      <c r="I1724">
        <v>52723</v>
      </c>
      <c r="J1724" s="3">
        <v>13.65</v>
      </c>
      <c r="K1724" s="3">
        <v>719668.95</v>
      </c>
    </row>
    <row r="1725" spans="1:11" x14ac:dyDescent="0.2">
      <c r="A1725" s="1" t="s">
        <v>2821</v>
      </c>
      <c r="B1725" s="2">
        <v>45416</v>
      </c>
      <c r="C1725" s="1" t="s">
        <v>2031</v>
      </c>
      <c r="D1725" s="1" t="s">
        <v>2032</v>
      </c>
      <c r="E1725" s="1" t="s">
        <v>14</v>
      </c>
      <c r="F1725" s="1" t="s">
        <v>540</v>
      </c>
      <c r="G1725" s="1" t="s">
        <v>541</v>
      </c>
      <c r="H1725" s="1" t="s">
        <v>37</v>
      </c>
      <c r="I1725">
        <v>68927</v>
      </c>
      <c r="J1725" s="3">
        <v>16.95</v>
      </c>
      <c r="K1725" s="3">
        <v>1168312.6499999999</v>
      </c>
    </row>
    <row r="1726" spans="1:11" x14ac:dyDescent="0.2">
      <c r="A1726" s="1" t="s">
        <v>2822</v>
      </c>
      <c r="B1726" s="2">
        <v>45690</v>
      </c>
      <c r="C1726" s="1" t="s">
        <v>1666</v>
      </c>
      <c r="D1726" s="1" t="s">
        <v>1667</v>
      </c>
      <c r="E1726" s="1" t="s">
        <v>28</v>
      </c>
      <c r="F1726" s="1" t="s">
        <v>103</v>
      </c>
      <c r="G1726" s="1" t="s">
        <v>104</v>
      </c>
      <c r="H1726" s="1" t="s">
        <v>37</v>
      </c>
      <c r="I1726">
        <v>39802</v>
      </c>
      <c r="J1726" s="3">
        <v>28.48</v>
      </c>
      <c r="K1726" s="3">
        <v>1133560.96</v>
      </c>
    </row>
    <row r="1727" spans="1:11" x14ac:dyDescent="0.2">
      <c r="A1727" s="1" t="s">
        <v>2823</v>
      </c>
      <c r="B1727" s="2">
        <v>45895</v>
      </c>
      <c r="C1727" s="1" t="s">
        <v>271</v>
      </c>
      <c r="D1727" s="1" t="s">
        <v>272</v>
      </c>
      <c r="E1727" s="1" t="s">
        <v>37</v>
      </c>
      <c r="F1727" s="1" t="s">
        <v>406</v>
      </c>
      <c r="G1727" s="1" t="s">
        <v>407</v>
      </c>
      <c r="H1727" s="1" t="s">
        <v>17</v>
      </c>
      <c r="I1727">
        <v>93879</v>
      </c>
      <c r="J1727" s="3">
        <v>14.9</v>
      </c>
      <c r="K1727" s="3">
        <v>1398797.1</v>
      </c>
    </row>
    <row r="1728" spans="1:11" x14ac:dyDescent="0.2">
      <c r="A1728" s="1" t="s">
        <v>2824</v>
      </c>
      <c r="B1728" s="2">
        <v>45393</v>
      </c>
      <c r="C1728" s="1" t="s">
        <v>1658</v>
      </c>
      <c r="D1728" s="1" t="s">
        <v>1659</v>
      </c>
      <c r="E1728" s="1" t="s">
        <v>28</v>
      </c>
      <c r="F1728" s="1" t="s">
        <v>217</v>
      </c>
      <c r="G1728" s="1" t="s">
        <v>218</v>
      </c>
      <c r="H1728" s="1" t="s">
        <v>72</v>
      </c>
      <c r="I1728">
        <v>10997</v>
      </c>
      <c r="J1728" s="3">
        <v>17.98</v>
      </c>
      <c r="K1728" s="3">
        <v>197726.06</v>
      </c>
    </row>
    <row r="1729" spans="1:11" x14ac:dyDescent="0.2">
      <c r="A1729" s="1" t="s">
        <v>2825</v>
      </c>
      <c r="B1729" s="2">
        <v>45488</v>
      </c>
      <c r="C1729" s="1" t="s">
        <v>722</v>
      </c>
      <c r="D1729" s="1" t="s">
        <v>723</v>
      </c>
      <c r="E1729" s="1" t="s">
        <v>21</v>
      </c>
      <c r="F1729" s="1" t="s">
        <v>98</v>
      </c>
      <c r="G1729" s="1" t="s">
        <v>99</v>
      </c>
      <c r="H1729" s="1" t="s">
        <v>72</v>
      </c>
      <c r="I1729">
        <v>73011</v>
      </c>
      <c r="J1729" s="3">
        <v>29.15</v>
      </c>
      <c r="K1729" s="3">
        <v>2128270.65</v>
      </c>
    </row>
    <row r="1730" spans="1:11" x14ac:dyDescent="0.2">
      <c r="A1730" s="1" t="s">
        <v>2826</v>
      </c>
      <c r="B1730" s="2">
        <v>45848</v>
      </c>
      <c r="C1730" s="1" t="s">
        <v>492</v>
      </c>
      <c r="D1730" s="1" t="s">
        <v>493</v>
      </c>
      <c r="E1730" s="1" t="s">
        <v>37</v>
      </c>
      <c r="F1730" s="1" t="s">
        <v>152</v>
      </c>
      <c r="G1730" s="1" t="s">
        <v>153</v>
      </c>
      <c r="H1730" s="1" t="s">
        <v>17</v>
      </c>
      <c r="I1730">
        <v>38475</v>
      </c>
      <c r="J1730" s="3">
        <v>21.37</v>
      </c>
      <c r="K1730" s="3">
        <v>822210.75</v>
      </c>
    </row>
    <row r="1731" spans="1:11" x14ac:dyDescent="0.2">
      <c r="A1731" s="1" t="s">
        <v>2827</v>
      </c>
      <c r="B1731" s="2">
        <v>45861</v>
      </c>
      <c r="C1731" s="1" t="s">
        <v>835</v>
      </c>
      <c r="D1731" s="1" t="s">
        <v>836</v>
      </c>
      <c r="E1731" s="1" t="s">
        <v>21</v>
      </c>
      <c r="F1731" s="1" t="s">
        <v>208</v>
      </c>
      <c r="G1731" s="1" t="s">
        <v>209</v>
      </c>
      <c r="H1731" s="1" t="s">
        <v>17</v>
      </c>
      <c r="I1731">
        <v>90963</v>
      </c>
      <c r="J1731" s="3">
        <v>6.83</v>
      </c>
      <c r="K1731" s="3">
        <v>621277.29</v>
      </c>
    </row>
    <row r="1732" spans="1:11" x14ac:dyDescent="0.2">
      <c r="A1732" s="1" t="s">
        <v>2828</v>
      </c>
      <c r="B1732" s="2">
        <v>45732</v>
      </c>
      <c r="C1732" s="1" t="s">
        <v>1722</v>
      </c>
      <c r="D1732" s="1" t="s">
        <v>1723</v>
      </c>
      <c r="E1732" s="1" t="s">
        <v>34</v>
      </c>
      <c r="F1732" s="1" t="s">
        <v>217</v>
      </c>
      <c r="G1732" s="1" t="s">
        <v>218</v>
      </c>
      <c r="H1732" s="1" t="s">
        <v>72</v>
      </c>
      <c r="I1732">
        <v>69374</v>
      </c>
      <c r="J1732" s="3">
        <v>32.1</v>
      </c>
      <c r="K1732" s="3">
        <v>2226905.4</v>
      </c>
    </row>
    <row r="1733" spans="1:11" x14ac:dyDescent="0.2">
      <c r="A1733" s="1" t="s">
        <v>2829</v>
      </c>
      <c r="B1733" s="2">
        <v>45751</v>
      </c>
      <c r="C1733" s="1" t="s">
        <v>368</v>
      </c>
      <c r="D1733" s="1" t="s">
        <v>369</v>
      </c>
      <c r="E1733" s="1" t="s">
        <v>37</v>
      </c>
      <c r="F1733" s="1" t="s">
        <v>263</v>
      </c>
      <c r="G1733" s="1" t="s">
        <v>264</v>
      </c>
      <c r="H1733" s="1" t="s">
        <v>17</v>
      </c>
      <c r="I1733">
        <v>87056</v>
      </c>
      <c r="J1733" s="3">
        <v>36.97</v>
      </c>
      <c r="K1733" s="3">
        <v>3218460.32</v>
      </c>
    </row>
    <row r="1734" spans="1:11" x14ac:dyDescent="0.2">
      <c r="A1734" s="1" t="s">
        <v>2830</v>
      </c>
      <c r="B1734" s="2">
        <v>45440</v>
      </c>
      <c r="C1734" s="1" t="s">
        <v>2686</v>
      </c>
      <c r="D1734" s="1" t="s">
        <v>2687</v>
      </c>
      <c r="E1734" s="1" t="s">
        <v>21</v>
      </c>
      <c r="F1734" s="1" t="s">
        <v>65</v>
      </c>
      <c r="G1734" s="1" t="s">
        <v>66</v>
      </c>
      <c r="H1734" s="1" t="s">
        <v>48</v>
      </c>
      <c r="I1734">
        <v>66231</v>
      </c>
      <c r="J1734" s="3">
        <v>30.26</v>
      </c>
      <c r="K1734" s="3">
        <v>2004150.06</v>
      </c>
    </row>
    <row r="1735" spans="1:11" x14ac:dyDescent="0.2">
      <c r="A1735" s="1" t="s">
        <v>2831</v>
      </c>
      <c r="B1735" s="2">
        <v>45662</v>
      </c>
      <c r="C1735" s="1" t="s">
        <v>257</v>
      </c>
      <c r="D1735" s="1" t="s">
        <v>258</v>
      </c>
      <c r="E1735" s="1" t="s">
        <v>28</v>
      </c>
      <c r="F1735" s="1" t="s">
        <v>176</v>
      </c>
      <c r="G1735" s="1" t="s">
        <v>177</v>
      </c>
      <c r="H1735" s="1" t="s">
        <v>37</v>
      </c>
      <c r="I1735">
        <v>98347</v>
      </c>
      <c r="J1735" s="3">
        <v>30.13</v>
      </c>
      <c r="K1735" s="3">
        <v>2963195.11</v>
      </c>
    </row>
    <row r="1736" spans="1:11" x14ac:dyDescent="0.2">
      <c r="A1736" s="1" t="s">
        <v>2832</v>
      </c>
      <c r="B1736" s="2">
        <v>45369</v>
      </c>
      <c r="C1736" s="1" t="s">
        <v>353</v>
      </c>
      <c r="D1736" s="1" t="s">
        <v>354</v>
      </c>
      <c r="E1736" s="1" t="s">
        <v>14</v>
      </c>
      <c r="F1736" s="1" t="s">
        <v>394</v>
      </c>
      <c r="G1736" s="1" t="s">
        <v>395</v>
      </c>
      <c r="H1736" s="1" t="s">
        <v>48</v>
      </c>
      <c r="I1736">
        <v>40205</v>
      </c>
      <c r="J1736" s="3">
        <v>14.95</v>
      </c>
      <c r="K1736" s="3">
        <v>601064.75</v>
      </c>
    </row>
    <row r="1737" spans="1:11" x14ac:dyDescent="0.2">
      <c r="A1737" s="1" t="s">
        <v>2833</v>
      </c>
      <c r="B1737" s="2">
        <v>45963</v>
      </c>
      <c r="C1737" s="1" t="s">
        <v>767</v>
      </c>
      <c r="D1737" s="1" t="s">
        <v>768</v>
      </c>
      <c r="E1737" s="1" t="s">
        <v>28</v>
      </c>
      <c r="F1737" s="1" t="s">
        <v>330</v>
      </c>
      <c r="G1737" s="1" t="s">
        <v>331</v>
      </c>
      <c r="H1737" s="1" t="s">
        <v>72</v>
      </c>
      <c r="I1737">
        <v>76458</v>
      </c>
      <c r="J1737" s="3">
        <v>39.869999999999997</v>
      </c>
      <c r="K1737" s="3">
        <v>3048380.46</v>
      </c>
    </row>
    <row r="1738" spans="1:11" x14ac:dyDescent="0.2">
      <c r="A1738" s="1" t="s">
        <v>2834</v>
      </c>
      <c r="B1738" s="2">
        <v>45875</v>
      </c>
      <c r="C1738" s="1" t="s">
        <v>543</v>
      </c>
      <c r="D1738" s="1" t="s">
        <v>544</v>
      </c>
      <c r="E1738" s="1" t="s">
        <v>28</v>
      </c>
      <c r="F1738" s="1" t="s">
        <v>35</v>
      </c>
      <c r="G1738" s="1" t="s">
        <v>36</v>
      </c>
      <c r="H1738" s="1" t="s">
        <v>37</v>
      </c>
      <c r="I1738">
        <v>43757</v>
      </c>
      <c r="J1738" s="3">
        <v>25.74</v>
      </c>
      <c r="K1738" s="3">
        <v>1126305.18</v>
      </c>
    </row>
    <row r="1739" spans="1:11" x14ac:dyDescent="0.2">
      <c r="A1739" s="1" t="s">
        <v>2835</v>
      </c>
      <c r="B1739" s="2">
        <v>45924</v>
      </c>
      <c r="C1739" s="1" t="s">
        <v>2002</v>
      </c>
      <c r="D1739" s="1" t="s">
        <v>2003</v>
      </c>
      <c r="E1739" s="1" t="s">
        <v>34</v>
      </c>
      <c r="F1739" s="1" t="s">
        <v>458</v>
      </c>
      <c r="G1739" s="1" t="s">
        <v>459</v>
      </c>
      <c r="H1739" s="1" t="s">
        <v>72</v>
      </c>
      <c r="I1739">
        <v>79642</v>
      </c>
      <c r="J1739" s="3">
        <v>14.22</v>
      </c>
      <c r="K1739" s="3">
        <v>1132509.24</v>
      </c>
    </row>
    <row r="1740" spans="1:11" x14ac:dyDescent="0.2">
      <c r="A1740" s="1" t="s">
        <v>2836</v>
      </c>
      <c r="B1740" s="2">
        <v>45581</v>
      </c>
      <c r="C1740" s="1" t="s">
        <v>1292</v>
      </c>
      <c r="D1740" s="1" t="s">
        <v>1293</v>
      </c>
      <c r="E1740" s="1" t="s">
        <v>21</v>
      </c>
      <c r="F1740" s="1" t="s">
        <v>189</v>
      </c>
      <c r="G1740" s="1" t="s">
        <v>190</v>
      </c>
      <c r="H1740" s="1" t="s">
        <v>17</v>
      </c>
      <c r="I1740">
        <v>36468</v>
      </c>
      <c r="J1740" s="3">
        <v>6.21</v>
      </c>
      <c r="K1740" s="3">
        <v>226466.28</v>
      </c>
    </row>
    <row r="1741" spans="1:11" x14ac:dyDescent="0.2">
      <c r="A1741" s="1" t="s">
        <v>2837</v>
      </c>
      <c r="B1741" s="2">
        <v>45370</v>
      </c>
      <c r="C1741" s="1" t="s">
        <v>2211</v>
      </c>
      <c r="D1741" s="1" t="s">
        <v>2212</v>
      </c>
      <c r="E1741" s="1" t="s">
        <v>21</v>
      </c>
      <c r="F1741" s="1" t="s">
        <v>510</v>
      </c>
      <c r="G1741" s="1" t="s">
        <v>511</v>
      </c>
      <c r="H1741" s="1" t="s">
        <v>17</v>
      </c>
      <c r="I1741">
        <v>68765</v>
      </c>
      <c r="J1741" s="3">
        <v>30.75</v>
      </c>
      <c r="K1741" s="3">
        <v>2114523.75</v>
      </c>
    </row>
    <row r="1742" spans="1:11" x14ac:dyDescent="0.2">
      <c r="A1742" s="1" t="s">
        <v>2838</v>
      </c>
      <c r="B1742" s="2">
        <v>45515</v>
      </c>
      <c r="C1742" s="1" t="s">
        <v>945</v>
      </c>
      <c r="D1742" s="1" t="s">
        <v>946</v>
      </c>
      <c r="E1742" s="1" t="s">
        <v>14</v>
      </c>
      <c r="F1742" s="1" t="s">
        <v>29</v>
      </c>
      <c r="G1742" s="1" t="s">
        <v>30</v>
      </c>
      <c r="H1742" s="1" t="s">
        <v>24</v>
      </c>
      <c r="I1742">
        <v>1153</v>
      </c>
      <c r="J1742" s="3">
        <v>39</v>
      </c>
      <c r="K1742" s="3">
        <v>44967</v>
      </c>
    </row>
    <row r="1743" spans="1:11" x14ac:dyDescent="0.2">
      <c r="A1743" s="1" t="s">
        <v>2839</v>
      </c>
      <c r="B1743" s="2">
        <v>45720</v>
      </c>
      <c r="C1743" s="1" t="s">
        <v>672</v>
      </c>
      <c r="D1743" s="1" t="s">
        <v>673</v>
      </c>
      <c r="E1743" s="1" t="s">
        <v>21</v>
      </c>
      <c r="F1743" s="1" t="s">
        <v>65</v>
      </c>
      <c r="G1743" s="1" t="s">
        <v>66</v>
      </c>
      <c r="H1743" s="1" t="s">
        <v>48</v>
      </c>
      <c r="I1743">
        <v>70529</v>
      </c>
      <c r="J1743" s="3">
        <v>36.24</v>
      </c>
      <c r="K1743" s="3">
        <v>2555970.96</v>
      </c>
    </row>
    <row r="1744" spans="1:11" x14ac:dyDescent="0.2">
      <c r="A1744" s="1" t="s">
        <v>2840</v>
      </c>
      <c r="B1744" s="2">
        <v>45743</v>
      </c>
      <c r="C1744" s="1" t="s">
        <v>1903</v>
      </c>
      <c r="D1744" s="1" t="s">
        <v>1904</v>
      </c>
      <c r="E1744" s="1" t="s">
        <v>14</v>
      </c>
      <c r="F1744" s="1" t="s">
        <v>203</v>
      </c>
      <c r="G1744" s="1" t="s">
        <v>204</v>
      </c>
      <c r="H1744" s="1" t="s">
        <v>72</v>
      </c>
      <c r="I1744">
        <v>1668</v>
      </c>
      <c r="J1744" s="3">
        <v>13.88</v>
      </c>
      <c r="K1744" s="3">
        <v>23151.84</v>
      </c>
    </row>
    <row r="1745" spans="1:11" x14ac:dyDescent="0.2">
      <c r="A1745" s="1" t="s">
        <v>2841</v>
      </c>
      <c r="B1745" s="2">
        <v>45508</v>
      </c>
      <c r="C1745" s="1" t="s">
        <v>128</v>
      </c>
      <c r="D1745" s="1" t="s">
        <v>129</v>
      </c>
      <c r="E1745" s="1" t="s">
        <v>28</v>
      </c>
      <c r="F1745" s="1" t="s">
        <v>510</v>
      </c>
      <c r="G1745" s="1" t="s">
        <v>511</v>
      </c>
      <c r="H1745" s="1" t="s">
        <v>17</v>
      </c>
      <c r="I1745">
        <v>9147</v>
      </c>
      <c r="J1745" s="3">
        <v>24.96</v>
      </c>
      <c r="K1745" s="3">
        <v>228309.12</v>
      </c>
    </row>
    <row r="1746" spans="1:11" x14ac:dyDescent="0.2">
      <c r="A1746" s="1" t="s">
        <v>2842</v>
      </c>
      <c r="B1746" s="2">
        <v>45870</v>
      </c>
      <c r="C1746" s="1" t="s">
        <v>1102</v>
      </c>
      <c r="D1746" s="1" t="s">
        <v>1103</v>
      </c>
      <c r="E1746" s="1" t="s">
        <v>21</v>
      </c>
      <c r="F1746" s="1" t="s">
        <v>436</v>
      </c>
      <c r="G1746" s="1" t="s">
        <v>437</v>
      </c>
      <c r="H1746" s="1" t="s">
        <v>24</v>
      </c>
      <c r="I1746">
        <v>99389</v>
      </c>
      <c r="J1746" s="3">
        <v>35.380000000000003</v>
      </c>
      <c r="K1746" s="3">
        <v>3516382.82</v>
      </c>
    </row>
    <row r="1747" spans="1:11" x14ac:dyDescent="0.2">
      <c r="A1747" s="1" t="s">
        <v>2843</v>
      </c>
      <c r="B1747" s="2">
        <v>45844</v>
      </c>
      <c r="C1747" s="1" t="s">
        <v>1149</v>
      </c>
      <c r="D1747" s="1" t="s">
        <v>1150</v>
      </c>
      <c r="E1747" s="1" t="s">
        <v>14</v>
      </c>
      <c r="F1747" s="1" t="s">
        <v>152</v>
      </c>
      <c r="G1747" s="1" t="s">
        <v>153</v>
      </c>
      <c r="H1747" s="1" t="s">
        <v>17</v>
      </c>
      <c r="I1747">
        <v>32102</v>
      </c>
      <c r="J1747" s="3">
        <v>33.01</v>
      </c>
      <c r="K1747" s="3">
        <v>1059687.02</v>
      </c>
    </row>
    <row r="1748" spans="1:11" x14ac:dyDescent="0.2">
      <c r="A1748" s="1" t="s">
        <v>2844</v>
      </c>
      <c r="B1748" s="2">
        <v>45983</v>
      </c>
      <c r="C1748" s="1" t="s">
        <v>1095</v>
      </c>
      <c r="D1748" s="1" t="s">
        <v>1096</v>
      </c>
      <c r="E1748" s="1" t="s">
        <v>14</v>
      </c>
      <c r="F1748" s="1" t="s">
        <v>15</v>
      </c>
      <c r="G1748" s="1" t="s">
        <v>16</v>
      </c>
      <c r="H1748" s="1" t="s">
        <v>17</v>
      </c>
      <c r="I1748">
        <v>81618</v>
      </c>
      <c r="J1748" s="3">
        <v>14.11</v>
      </c>
      <c r="K1748" s="3">
        <v>1151629.98</v>
      </c>
    </row>
    <row r="1749" spans="1:11" x14ac:dyDescent="0.2">
      <c r="A1749" s="1" t="s">
        <v>2845</v>
      </c>
      <c r="B1749" s="2">
        <v>45437</v>
      </c>
      <c r="C1749" s="1" t="s">
        <v>1161</v>
      </c>
      <c r="D1749" s="1" t="s">
        <v>1162</v>
      </c>
      <c r="E1749" s="1" t="s">
        <v>21</v>
      </c>
      <c r="F1749" s="1" t="s">
        <v>108</v>
      </c>
      <c r="G1749" s="1" t="s">
        <v>109</v>
      </c>
      <c r="H1749" s="1" t="s">
        <v>37</v>
      </c>
      <c r="I1749">
        <v>76879</v>
      </c>
      <c r="J1749" s="3">
        <v>18.39</v>
      </c>
      <c r="K1749" s="3">
        <v>1413804.81</v>
      </c>
    </row>
    <row r="1750" spans="1:11" x14ac:dyDescent="0.2">
      <c r="A1750" s="1" t="s">
        <v>2846</v>
      </c>
      <c r="B1750" s="2">
        <v>45765</v>
      </c>
      <c r="C1750" s="1" t="s">
        <v>1571</v>
      </c>
      <c r="D1750" s="1" t="s">
        <v>1572</v>
      </c>
      <c r="E1750" s="1" t="s">
        <v>14</v>
      </c>
      <c r="F1750" s="1" t="s">
        <v>540</v>
      </c>
      <c r="G1750" s="1" t="s">
        <v>541</v>
      </c>
      <c r="H1750" s="1" t="s">
        <v>37</v>
      </c>
      <c r="I1750">
        <v>27147</v>
      </c>
      <c r="J1750" s="3">
        <v>23.75</v>
      </c>
      <c r="K1750" s="3">
        <v>644741.25</v>
      </c>
    </row>
    <row r="1751" spans="1:11" x14ac:dyDescent="0.2">
      <c r="A1751" s="1" t="s">
        <v>2847</v>
      </c>
      <c r="B1751" s="2">
        <v>45824</v>
      </c>
      <c r="C1751" s="1" t="s">
        <v>948</v>
      </c>
      <c r="D1751" s="1" t="s">
        <v>949</v>
      </c>
      <c r="E1751" s="1" t="s">
        <v>21</v>
      </c>
      <c r="F1751" s="1" t="s">
        <v>324</v>
      </c>
      <c r="G1751" s="1" t="s">
        <v>325</v>
      </c>
      <c r="H1751" s="1" t="s">
        <v>24</v>
      </c>
      <c r="I1751">
        <v>34730</v>
      </c>
      <c r="J1751" s="3">
        <v>21.03</v>
      </c>
      <c r="K1751" s="3">
        <v>730371.9</v>
      </c>
    </row>
    <row r="1752" spans="1:11" x14ac:dyDescent="0.2">
      <c r="A1752" s="1" t="s">
        <v>2848</v>
      </c>
      <c r="B1752" s="2">
        <v>45527</v>
      </c>
      <c r="C1752" s="1" t="s">
        <v>555</v>
      </c>
      <c r="D1752" s="1" t="s">
        <v>556</v>
      </c>
      <c r="E1752" s="1" t="s">
        <v>21</v>
      </c>
      <c r="F1752" s="1" t="s">
        <v>208</v>
      </c>
      <c r="G1752" s="1" t="s">
        <v>209</v>
      </c>
      <c r="H1752" s="1" t="s">
        <v>17</v>
      </c>
      <c r="I1752">
        <v>1952</v>
      </c>
      <c r="J1752" s="3">
        <v>18.48</v>
      </c>
      <c r="K1752" s="3">
        <v>36072.959999999999</v>
      </c>
    </row>
    <row r="1753" spans="1:11" x14ac:dyDescent="0.2">
      <c r="A1753" s="1" t="s">
        <v>2849</v>
      </c>
      <c r="B1753" s="2">
        <v>45705</v>
      </c>
      <c r="C1753" s="1" t="s">
        <v>1708</v>
      </c>
      <c r="D1753" s="1" t="s">
        <v>1709</v>
      </c>
      <c r="E1753" s="1" t="s">
        <v>14</v>
      </c>
      <c r="F1753" s="1" t="s">
        <v>41</v>
      </c>
      <c r="G1753" s="1" t="s">
        <v>42</v>
      </c>
      <c r="H1753" s="1" t="s">
        <v>24</v>
      </c>
      <c r="I1753">
        <v>27973</v>
      </c>
      <c r="J1753" s="3">
        <v>16.100000000000001</v>
      </c>
      <c r="K1753" s="3">
        <v>450365.3</v>
      </c>
    </row>
    <row r="1754" spans="1:11" x14ac:dyDescent="0.2">
      <c r="A1754" s="1" t="s">
        <v>2850</v>
      </c>
      <c r="B1754" s="2">
        <v>45854</v>
      </c>
      <c r="C1754" s="1" t="s">
        <v>613</v>
      </c>
      <c r="D1754" s="1" t="s">
        <v>614</v>
      </c>
      <c r="E1754" s="1" t="s">
        <v>34</v>
      </c>
      <c r="F1754" s="1" t="s">
        <v>268</v>
      </c>
      <c r="G1754" s="1" t="s">
        <v>269</v>
      </c>
      <c r="H1754" s="1" t="s">
        <v>72</v>
      </c>
      <c r="I1754">
        <v>69106</v>
      </c>
      <c r="J1754" s="3">
        <v>29.79</v>
      </c>
      <c r="K1754" s="3">
        <v>2058667.74</v>
      </c>
    </row>
    <row r="1755" spans="1:11" x14ac:dyDescent="0.2">
      <c r="A1755" s="1" t="s">
        <v>2851</v>
      </c>
      <c r="B1755" s="2">
        <v>45301</v>
      </c>
      <c r="C1755" s="1" t="s">
        <v>1020</v>
      </c>
      <c r="D1755" s="1" t="s">
        <v>1021</v>
      </c>
      <c r="E1755" s="1" t="s">
        <v>14</v>
      </c>
      <c r="F1755" s="1" t="s">
        <v>208</v>
      </c>
      <c r="G1755" s="1" t="s">
        <v>209</v>
      </c>
      <c r="H1755" s="1" t="s">
        <v>17</v>
      </c>
      <c r="I1755">
        <v>29858</v>
      </c>
      <c r="J1755" s="3">
        <v>16.71</v>
      </c>
      <c r="K1755" s="3">
        <v>498927.18</v>
      </c>
    </row>
    <row r="1756" spans="1:11" x14ac:dyDescent="0.2">
      <c r="A1756" s="1" t="s">
        <v>2852</v>
      </c>
      <c r="B1756" s="2">
        <v>45847</v>
      </c>
      <c r="C1756" s="1" t="s">
        <v>759</v>
      </c>
      <c r="D1756" s="1" t="s">
        <v>760</v>
      </c>
      <c r="E1756" s="1" t="s">
        <v>37</v>
      </c>
      <c r="F1756" s="1" t="s">
        <v>394</v>
      </c>
      <c r="G1756" s="1" t="s">
        <v>395</v>
      </c>
      <c r="H1756" s="1" t="s">
        <v>48</v>
      </c>
      <c r="I1756">
        <v>58212</v>
      </c>
      <c r="J1756" s="3">
        <v>26.26</v>
      </c>
      <c r="K1756" s="3">
        <v>1528647.12</v>
      </c>
    </row>
    <row r="1757" spans="1:11" x14ac:dyDescent="0.2">
      <c r="A1757" s="1" t="s">
        <v>2853</v>
      </c>
      <c r="B1757" s="2">
        <v>45721</v>
      </c>
      <c r="C1757" s="1" t="s">
        <v>371</v>
      </c>
      <c r="D1757" s="1" t="s">
        <v>372</v>
      </c>
      <c r="E1757" s="1" t="s">
        <v>14</v>
      </c>
      <c r="F1757" s="1" t="s">
        <v>406</v>
      </c>
      <c r="G1757" s="1" t="s">
        <v>407</v>
      </c>
      <c r="H1757" s="1" t="s">
        <v>17</v>
      </c>
      <c r="I1757">
        <v>92768</v>
      </c>
      <c r="J1757" s="3">
        <v>2.12</v>
      </c>
      <c r="K1757" s="3">
        <v>196668.16</v>
      </c>
    </row>
    <row r="1758" spans="1:11" x14ac:dyDescent="0.2">
      <c r="A1758" s="1" t="s">
        <v>2854</v>
      </c>
      <c r="B1758" s="2">
        <v>45346</v>
      </c>
      <c r="C1758" s="1" t="s">
        <v>860</v>
      </c>
      <c r="D1758" s="1" t="s">
        <v>861</v>
      </c>
      <c r="E1758" s="1" t="s">
        <v>21</v>
      </c>
      <c r="F1758" s="1" t="s">
        <v>203</v>
      </c>
      <c r="G1758" s="1" t="s">
        <v>204</v>
      </c>
      <c r="H1758" s="1" t="s">
        <v>72</v>
      </c>
      <c r="I1758">
        <v>38304</v>
      </c>
      <c r="J1758" s="3">
        <v>24.19</v>
      </c>
      <c r="K1758" s="3">
        <v>926573.76</v>
      </c>
    </row>
    <row r="1759" spans="1:11" x14ac:dyDescent="0.2">
      <c r="A1759" s="1" t="s">
        <v>2855</v>
      </c>
      <c r="B1759" s="2">
        <v>46012</v>
      </c>
      <c r="C1759" s="1" t="s">
        <v>936</v>
      </c>
      <c r="D1759" s="1" t="s">
        <v>937</v>
      </c>
      <c r="E1759" s="1" t="s">
        <v>28</v>
      </c>
      <c r="F1759" s="1" t="s">
        <v>152</v>
      </c>
      <c r="G1759" s="1" t="s">
        <v>153</v>
      </c>
      <c r="H1759" s="1" t="s">
        <v>17</v>
      </c>
      <c r="I1759">
        <v>46786</v>
      </c>
      <c r="J1759" s="3">
        <v>38.92</v>
      </c>
      <c r="K1759" s="3">
        <v>1820911.12</v>
      </c>
    </row>
    <row r="1760" spans="1:11" x14ac:dyDescent="0.2">
      <c r="A1760" s="1" t="s">
        <v>2856</v>
      </c>
      <c r="B1760" s="2">
        <v>45681</v>
      </c>
      <c r="C1760" s="1" t="s">
        <v>300</v>
      </c>
      <c r="D1760" s="1" t="s">
        <v>301</v>
      </c>
      <c r="E1760" s="1" t="s">
        <v>14</v>
      </c>
      <c r="F1760" s="1" t="s">
        <v>251</v>
      </c>
      <c r="G1760" s="1" t="s">
        <v>252</v>
      </c>
      <c r="H1760" s="1" t="s">
        <v>72</v>
      </c>
      <c r="I1760">
        <v>91372</v>
      </c>
      <c r="J1760" s="3">
        <v>18.329999999999998</v>
      </c>
      <c r="K1760" s="3">
        <v>1674848.76</v>
      </c>
    </row>
    <row r="1761" spans="1:11" x14ac:dyDescent="0.2">
      <c r="A1761" s="1" t="s">
        <v>2857</v>
      </c>
      <c r="B1761" s="2">
        <v>45443</v>
      </c>
      <c r="C1761" s="1" t="s">
        <v>155</v>
      </c>
      <c r="D1761" s="1" t="s">
        <v>156</v>
      </c>
      <c r="E1761" s="1" t="s">
        <v>14</v>
      </c>
      <c r="F1761" s="1" t="s">
        <v>103</v>
      </c>
      <c r="G1761" s="1" t="s">
        <v>104</v>
      </c>
      <c r="H1761" s="1" t="s">
        <v>37</v>
      </c>
      <c r="I1761">
        <v>42473</v>
      </c>
      <c r="J1761" s="3">
        <v>4.78</v>
      </c>
      <c r="K1761" s="3">
        <v>203020.94</v>
      </c>
    </row>
    <row r="1762" spans="1:11" x14ac:dyDescent="0.2">
      <c r="A1762" s="1" t="s">
        <v>2858</v>
      </c>
      <c r="B1762" s="2">
        <v>45584</v>
      </c>
      <c r="C1762" s="1" t="s">
        <v>79</v>
      </c>
      <c r="D1762" s="1" t="s">
        <v>80</v>
      </c>
      <c r="E1762" s="1" t="s">
        <v>34</v>
      </c>
      <c r="F1762" s="1" t="s">
        <v>176</v>
      </c>
      <c r="G1762" s="1" t="s">
        <v>177</v>
      </c>
      <c r="H1762" s="1" t="s">
        <v>37</v>
      </c>
      <c r="I1762">
        <v>70093</v>
      </c>
      <c r="J1762" s="3">
        <v>18.7</v>
      </c>
      <c r="K1762" s="3">
        <v>1310739.1000000001</v>
      </c>
    </row>
    <row r="1763" spans="1:11" x14ac:dyDescent="0.2">
      <c r="A1763" s="1" t="s">
        <v>2859</v>
      </c>
      <c r="B1763" s="2">
        <v>45934</v>
      </c>
      <c r="C1763" s="1" t="s">
        <v>1737</v>
      </c>
      <c r="D1763" s="1" t="s">
        <v>1738</v>
      </c>
      <c r="E1763" s="1" t="s">
        <v>21</v>
      </c>
      <c r="F1763" s="1" t="s">
        <v>157</v>
      </c>
      <c r="G1763" s="1" t="s">
        <v>158</v>
      </c>
      <c r="H1763" s="1" t="s">
        <v>48</v>
      </c>
      <c r="I1763">
        <v>63288</v>
      </c>
      <c r="J1763" s="3">
        <v>21.8</v>
      </c>
      <c r="K1763" s="3">
        <v>1379678.4</v>
      </c>
    </row>
    <row r="1764" spans="1:11" x14ac:dyDescent="0.2">
      <c r="A1764" s="1" t="s">
        <v>2860</v>
      </c>
      <c r="B1764" s="2">
        <v>45845</v>
      </c>
      <c r="C1764" s="1" t="s">
        <v>1220</v>
      </c>
      <c r="D1764" s="1" t="s">
        <v>1221</v>
      </c>
      <c r="E1764" s="1" t="s">
        <v>34</v>
      </c>
      <c r="F1764" s="1" t="s">
        <v>70</v>
      </c>
      <c r="G1764" s="1" t="s">
        <v>71</v>
      </c>
      <c r="H1764" s="1" t="s">
        <v>72</v>
      </c>
      <c r="I1764">
        <v>8910</v>
      </c>
      <c r="J1764" s="3">
        <v>48.09</v>
      </c>
      <c r="K1764" s="3">
        <v>428481.9</v>
      </c>
    </row>
    <row r="1765" spans="1:11" x14ac:dyDescent="0.2">
      <c r="A1765" s="1" t="s">
        <v>2861</v>
      </c>
      <c r="B1765" s="2">
        <v>45534</v>
      </c>
      <c r="C1765" s="1" t="s">
        <v>409</v>
      </c>
      <c r="D1765" s="1" t="s">
        <v>410</v>
      </c>
      <c r="E1765" s="1" t="s">
        <v>14</v>
      </c>
      <c r="F1765" s="1" t="s">
        <v>157</v>
      </c>
      <c r="G1765" s="1" t="s">
        <v>158</v>
      </c>
      <c r="H1765" s="1" t="s">
        <v>48</v>
      </c>
      <c r="I1765">
        <v>71615</v>
      </c>
      <c r="J1765" s="3">
        <v>23.3</v>
      </c>
      <c r="K1765" s="3">
        <v>1668629.5</v>
      </c>
    </row>
    <row r="1766" spans="1:11" x14ac:dyDescent="0.2">
      <c r="A1766" s="1" t="s">
        <v>2862</v>
      </c>
      <c r="B1766" s="2">
        <v>45320</v>
      </c>
      <c r="C1766" s="1" t="s">
        <v>2300</v>
      </c>
      <c r="D1766" s="1" t="s">
        <v>2301</v>
      </c>
      <c r="E1766" s="1" t="s">
        <v>21</v>
      </c>
      <c r="F1766" s="1" t="s">
        <v>284</v>
      </c>
      <c r="G1766" s="1" t="s">
        <v>285</v>
      </c>
      <c r="H1766" s="1" t="s">
        <v>37</v>
      </c>
      <c r="I1766">
        <v>71741</v>
      </c>
      <c r="J1766" s="3">
        <v>17.82</v>
      </c>
      <c r="K1766" s="3">
        <v>1278424.6200000001</v>
      </c>
    </row>
    <row r="1767" spans="1:11" x14ac:dyDescent="0.2">
      <c r="A1767" s="1" t="s">
        <v>2863</v>
      </c>
      <c r="B1767" s="2">
        <v>45658</v>
      </c>
      <c r="C1767" s="1" t="s">
        <v>1204</v>
      </c>
      <c r="D1767" s="1" t="s">
        <v>1205</v>
      </c>
      <c r="E1767" s="1" t="s">
        <v>14</v>
      </c>
      <c r="F1767" s="1" t="s">
        <v>263</v>
      </c>
      <c r="G1767" s="1" t="s">
        <v>264</v>
      </c>
      <c r="H1767" s="1" t="s">
        <v>17</v>
      </c>
      <c r="I1767">
        <v>20344</v>
      </c>
      <c r="J1767" s="3">
        <v>17.670000000000002</v>
      </c>
      <c r="K1767" s="3">
        <v>359478.48</v>
      </c>
    </row>
    <row r="1768" spans="1:11" x14ac:dyDescent="0.2">
      <c r="A1768" s="1" t="s">
        <v>2864</v>
      </c>
      <c r="B1768" s="2">
        <v>45313</v>
      </c>
      <c r="C1768" s="1" t="s">
        <v>391</v>
      </c>
      <c r="D1768" s="1" t="s">
        <v>392</v>
      </c>
      <c r="E1768" s="1" t="s">
        <v>37</v>
      </c>
      <c r="F1768" s="1" t="s">
        <v>22</v>
      </c>
      <c r="G1768" s="1" t="s">
        <v>23</v>
      </c>
      <c r="H1768" s="1" t="s">
        <v>24</v>
      </c>
      <c r="I1768">
        <v>10673</v>
      </c>
      <c r="J1768" s="3">
        <v>18.11</v>
      </c>
      <c r="K1768" s="3">
        <v>193288.03</v>
      </c>
    </row>
    <row r="1769" spans="1:11" x14ac:dyDescent="0.2">
      <c r="A1769" s="1" t="s">
        <v>2865</v>
      </c>
      <c r="B1769" s="2">
        <v>45759</v>
      </c>
      <c r="C1769" s="1" t="s">
        <v>602</v>
      </c>
      <c r="D1769" s="1" t="s">
        <v>603</v>
      </c>
      <c r="E1769" s="1" t="s">
        <v>28</v>
      </c>
      <c r="F1769" s="1" t="s">
        <v>284</v>
      </c>
      <c r="G1769" s="1" t="s">
        <v>285</v>
      </c>
      <c r="H1769" s="1" t="s">
        <v>37</v>
      </c>
      <c r="I1769">
        <v>89601</v>
      </c>
      <c r="J1769" s="3">
        <v>6.07</v>
      </c>
      <c r="K1769" s="3">
        <v>543878.06999999995</v>
      </c>
    </row>
    <row r="1770" spans="1:11" x14ac:dyDescent="0.2">
      <c r="A1770" s="1" t="s">
        <v>2866</v>
      </c>
      <c r="B1770" s="2">
        <v>45861</v>
      </c>
      <c r="C1770" s="1" t="s">
        <v>651</v>
      </c>
      <c r="D1770" s="1" t="s">
        <v>652</v>
      </c>
      <c r="E1770" s="1" t="s">
        <v>28</v>
      </c>
      <c r="F1770" s="1" t="s">
        <v>412</v>
      </c>
      <c r="G1770" s="1" t="s">
        <v>413</v>
      </c>
      <c r="H1770" s="1" t="s">
        <v>72</v>
      </c>
      <c r="I1770">
        <v>46608</v>
      </c>
      <c r="J1770" s="3">
        <v>7.87</v>
      </c>
      <c r="K1770" s="3">
        <v>366804.96</v>
      </c>
    </row>
    <row r="1771" spans="1:11" x14ac:dyDescent="0.2">
      <c r="A1771" s="1" t="s">
        <v>2867</v>
      </c>
      <c r="B1771" s="2">
        <v>45337</v>
      </c>
      <c r="C1771" s="1" t="s">
        <v>874</v>
      </c>
      <c r="D1771" s="1" t="s">
        <v>875</v>
      </c>
      <c r="E1771" s="1" t="s">
        <v>21</v>
      </c>
      <c r="F1771" s="1" t="s">
        <v>761</v>
      </c>
      <c r="G1771" s="1" t="s">
        <v>762</v>
      </c>
      <c r="H1771" s="1" t="s">
        <v>48</v>
      </c>
      <c r="I1771">
        <v>54886</v>
      </c>
      <c r="J1771" s="3">
        <v>37.29</v>
      </c>
      <c r="K1771" s="3">
        <v>2046698.94</v>
      </c>
    </row>
    <row r="1772" spans="1:11" x14ac:dyDescent="0.2">
      <c r="A1772" s="1" t="s">
        <v>2868</v>
      </c>
      <c r="B1772" s="2">
        <v>45718</v>
      </c>
      <c r="C1772" s="1" t="s">
        <v>260</v>
      </c>
      <c r="D1772" s="1" t="s">
        <v>261</v>
      </c>
      <c r="E1772" s="1" t="s">
        <v>34</v>
      </c>
      <c r="F1772" s="1" t="s">
        <v>70</v>
      </c>
      <c r="G1772" s="1" t="s">
        <v>71</v>
      </c>
      <c r="H1772" s="1" t="s">
        <v>72</v>
      </c>
      <c r="I1772">
        <v>84585</v>
      </c>
      <c r="J1772" s="3">
        <v>40.729999999999997</v>
      </c>
      <c r="K1772" s="3">
        <v>3445147.05</v>
      </c>
    </row>
    <row r="1773" spans="1:11" x14ac:dyDescent="0.2">
      <c r="A1773" s="1" t="s">
        <v>2869</v>
      </c>
      <c r="B1773" s="2">
        <v>45930</v>
      </c>
      <c r="C1773" s="1" t="s">
        <v>972</v>
      </c>
      <c r="D1773" s="1" t="s">
        <v>973</v>
      </c>
      <c r="E1773" s="1" t="s">
        <v>34</v>
      </c>
      <c r="F1773" s="1" t="s">
        <v>52</v>
      </c>
      <c r="G1773" s="1" t="s">
        <v>53</v>
      </c>
      <c r="H1773" s="1" t="s">
        <v>17</v>
      </c>
      <c r="I1773">
        <v>32059</v>
      </c>
      <c r="J1773" s="3">
        <v>22.16</v>
      </c>
      <c r="K1773" s="3">
        <v>710427.44</v>
      </c>
    </row>
    <row r="1774" spans="1:11" x14ac:dyDescent="0.2">
      <c r="A1774" s="1" t="s">
        <v>2870</v>
      </c>
      <c r="B1774" s="2">
        <v>45982</v>
      </c>
      <c r="C1774" s="1" t="s">
        <v>231</v>
      </c>
      <c r="D1774" s="1" t="s">
        <v>232</v>
      </c>
      <c r="E1774" s="1" t="s">
        <v>34</v>
      </c>
      <c r="F1774" s="1" t="s">
        <v>98</v>
      </c>
      <c r="G1774" s="1" t="s">
        <v>99</v>
      </c>
      <c r="H1774" s="1" t="s">
        <v>72</v>
      </c>
      <c r="I1774">
        <v>52795</v>
      </c>
      <c r="J1774" s="3">
        <v>27.5</v>
      </c>
      <c r="K1774" s="3">
        <v>1451862.5</v>
      </c>
    </row>
    <row r="1775" spans="1:11" x14ac:dyDescent="0.2">
      <c r="A1775" s="1" t="s">
        <v>2871</v>
      </c>
      <c r="B1775" s="2">
        <v>45483</v>
      </c>
      <c r="C1775" s="1" t="s">
        <v>808</v>
      </c>
      <c r="D1775" s="1" t="s">
        <v>809</v>
      </c>
      <c r="E1775" s="1" t="s">
        <v>28</v>
      </c>
      <c r="F1775" s="1" t="s">
        <v>139</v>
      </c>
      <c r="G1775" s="1" t="s">
        <v>140</v>
      </c>
      <c r="H1775" s="1" t="s">
        <v>24</v>
      </c>
      <c r="I1775">
        <v>90584</v>
      </c>
      <c r="J1775" s="3">
        <v>9.3800000000000008</v>
      </c>
      <c r="K1775" s="3">
        <v>849677.92</v>
      </c>
    </row>
    <row r="1776" spans="1:11" x14ac:dyDescent="0.2">
      <c r="A1776" s="1" t="s">
        <v>2872</v>
      </c>
      <c r="B1776" s="2">
        <v>45520</v>
      </c>
      <c r="C1776" s="1" t="s">
        <v>808</v>
      </c>
      <c r="D1776" s="1" t="s">
        <v>809</v>
      </c>
      <c r="E1776" s="1" t="s">
        <v>28</v>
      </c>
      <c r="F1776" s="1" t="s">
        <v>184</v>
      </c>
      <c r="G1776" s="1" t="s">
        <v>185</v>
      </c>
      <c r="H1776" s="1" t="s">
        <v>17</v>
      </c>
      <c r="I1776">
        <v>17031</v>
      </c>
      <c r="J1776" s="3">
        <v>29.18</v>
      </c>
      <c r="K1776" s="3">
        <v>496964.58</v>
      </c>
    </row>
    <row r="1777" spans="1:11" x14ac:dyDescent="0.2">
      <c r="A1777" s="1" t="s">
        <v>2873</v>
      </c>
      <c r="B1777" s="2">
        <v>45782</v>
      </c>
      <c r="C1777" s="1" t="s">
        <v>478</v>
      </c>
      <c r="D1777" s="1" t="s">
        <v>479</v>
      </c>
      <c r="E1777" s="1" t="s">
        <v>34</v>
      </c>
      <c r="F1777" s="1" t="s">
        <v>184</v>
      </c>
      <c r="G1777" s="1" t="s">
        <v>185</v>
      </c>
      <c r="H1777" s="1" t="s">
        <v>17</v>
      </c>
      <c r="I1777">
        <v>15101</v>
      </c>
      <c r="J1777" s="3">
        <v>45.96</v>
      </c>
      <c r="K1777" s="3">
        <v>694041.96</v>
      </c>
    </row>
    <row r="1778" spans="1:11" x14ac:dyDescent="0.2">
      <c r="A1778" s="1" t="s">
        <v>2874</v>
      </c>
      <c r="B1778" s="2">
        <v>45492</v>
      </c>
      <c r="C1778" s="1" t="s">
        <v>705</v>
      </c>
      <c r="D1778" s="1" t="s">
        <v>706</v>
      </c>
      <c r="E1778" s="1" t="s">
        <v>28</v>
      </c>
      <c r="F1778" s="1" t="s">
        <v>52</v>
      </c>
      <c r="G1778" s="1" t="s">
        <v>53</v>
      </c>
      <c r="H1778" s="1" t="s">
        <v>17</v>
      </c>
      <c r="I1778">
        <v>49026</v>
      </c>
      <c r="J1778" s="3">
        <v>30.99</v>
      </c>
      <c r="K1778" s="3">
        <v>1519315.74</v>
      </c>
    </row>
    <row r="1779" spans="1:11" x14ac:dyDescent="0.2">
      <c r="A1779" s="1" t="s">
        <v>2875</v>
      </c>
      <c r="B1779" s="2">
        <v>45991</v>
      </c>
      <c r="C1779" s="1" t="s">
        <v>910</v>
      </c>
      <c r="D1779" s="1" t="s">
        <v>911</v>
      </c>
      <c r="E1779" s="1" t="s">
        <v>28</v>
      </c>
      <c r="F1779" s="1" t="s">
        <v>113</v>
      </c>
      <c r="G1779" s="1" t="s">
        <v>114</v>
      </c>
      <c r="H1779" s="1" t="s">
        <v>37</v>
      </c>
      <c r="I1779">
        <v>41799</v>
      </c>
      <c r="J1779" s="3">
        <v>40.44</v>
      </c>
      <c r="K1779" s="3">
        <v>1690351.56</v>
      </c>
    </row>
    <row r="1780" spans="1:11" x14ac:dyDescent="0.2">
      <c r="A1780" s="1" t="s">
        <v>2876</v>
      </c>
      <c r="B1780" s="2">
        <v>45912</v>
      </c>
      <c r="C1780" s="1" t="s">
        <v>752</v>
      </c>
      <c r="D1780" s="1" t="s">
        <v>753</v>
      </c>
      <c r="E1780" s="1" t="s">
        <v>34</v>
      </c>
      <c r="F1780" s="1" t="s">
        <v>76</v>
      </c>
      <c r="G1780" s="1" t="s">
        <v>77</v>
      </c>
      <c r="H1780" s="1" t="s">
        <v>48</v>
      </c>
      <c r="I1780">
        <v>26703</v>
      </c>
      <c r="J1780" s="3">
        <v>6.77</v>
      </c>
      <c r="K1780" s="3">
        <v>180779.31</v>
      </c>
    </row>
    <row r="1781" spans="1:11" x14ac:dyDescent="0.2">
      <c r="A1781" s="1" t="s">
        <v>2877</v>
      </c>
      <c r="B1781" s="2">
        <v>45556</v>
      </c>
      <c r="C1781" s="1" t="s">
        <v>1468</v>
      </c>
      <c r="D1781" s="1" t="s">
        <v>1469</v>
      </c>
      <c r="E1781" s="1" t="s">
        <v>21</v>
      </c>
      <c r="F1781" s="1" t="s">
        <v>176</v>
      </c>
      <c r="G1781" s="1" t="s">
        <v>177</v>
      </c>
      <c r="H1781" s="1" t="s">
        <v>37</v>
      </c>
      <c r="I1781">
        <v>6144</v>
      </c>
      <c r="J1781" s="3">
        <v>46.32</v>
      </c>
      <c r="K1781" s="3">
        <v>284590.08000000002</v>
      </c>
    </row>
    <row r="1782" spans="1:11" x14ac:dyDescent="0.2">
      <c r="A1782" s="1" t="s">
        <v>2878</v>
      </c>
      <c r="B1782" s="2">
        <v>45407</v>
      </c>
      <c r="C1782" s="1" t="s">
        <v>1647</v>
      </c>
      <c r="D1782" s="1" t="s">
        <v>1648</v>
      </c>
      <c r="E1782" s="1" t="s">
        <v>14</v>
      </c>
      <c r="F1782" s="1" t="s">
        <v>22</v>
      </c>
      <c r="G1782" s="1" t="s">
        <v>23</v>
      </c>
      <c r="H1782" s="1" t="s">
        <v>24</v>
      </c>
      <c r="I1782">
        <v>39851</v>
      </c>
      <c r="J1782" s="3">
        <v>47.52</v>
      </c>
      <c r="K1782" s="3">
        <v>1893719.52</v>
      </c>
    </row>
    <row r="1783" spans="1:11" x14ac:dyDescent="0.2">
      <c r="A1783" s="1" t="s">
        <v>2879</v>
      </c>
      <c r="B1783" s="2">
        <v>45776</v>
      </c>
      <c r="C1783" s="1" t="s">
        <v>2260</v>
      </c>
      <c r="D1783" s="1" t="s">
        <v>2261</v>
      </c>
      <c r="E1783" s="1" t="s">
        <v>14</v>
      </c>
      <c r="F1783" s="1" t="s">
        <v>29</v>
      </c>
      <c r="G1783" s="1" t="s">
        <v>30</v>
      </c>
      <c r="H1783" s="1" t="s">
        <v>24</v>
      </c>
      <c r="I1783">
        <v>90032</v>
      </c>
      <c r="J1783" s="3">
        <v>38.659999999999997</v>
      </c>
      <c r="K1783" s="3">
        <v>3480637.12</v>
      </c>
    </row>
    <row r="1784" spans="1:11" x14ac:dyDescent="0.2">
      <c r="A1784" s="1" t="s">
        <v>2880</v>
      </c>
      <c r="B1784" s="2">
        <v>45701</v>
      </c>
      <c r="C1784" s="1" t="s">
        <v>838</v>
      </c>
      <c r="D1784" s="1" t="s">
        <v>839</v>
      </c>
      <c r="E1784" s="1" t="s">
        <v>28</v>
      </c>
      <c r="F1784" s="1" t="s">
        <v>157</v>
      </c>
      <c r="G1784" s="1" t="s">
        <v>158</v>
      </c>
      <c r="H1784" s="1" t="s">
        <v>48</v>
      </c>
      <c r="I1784">
        <v>22832</v>
      </c>
      <c r="J1784" s="3">
        <v>41.81</v>
      </c>
      <c r="K1784" s="3">
        <v>954605.92</v>
      </c>
    </row>
    <row r="1785" spans="1:11" x14ac:dyDescent="0.2">
      <c r="A1785" s="1" t="s">
        <v>2881</v>
      </c>
      <c r="B1785" s="2">
        <v>45651</v>
      </c>
      <c r="C1785" s="1" t="s">
        <v>1382</v>
      </c>
      <c r="D1785" s="1" t="s">
        <v>1383</v>
      </c>
      <c r="E1785" s="1" t="s">
        <v>37</v>
      </c>
      <c r="F1785" s="1" t="s">
        <v>15</v>
      </c>
      <c r="G1785" s="1" t="s">
        <v>16</v>
      </c>
      <c r="H1785" s="1" t="s">
        <v>17</v>
      </c>
      <c r="I1785">
        <v>83949</v>
      </c>
      <c r="J1785" s="3">
        <v>26.97</v>
      </c>
      <c r="K1785" s="3">
        <v>2264104.5299999998</v>
      </c>
    </row>
    <row r="1786" spans="1:11" x14ac:dyDescent="0.2">
      <c r="A1786" s="1" t="s">
        <v>2882</v>
      </c>
      <c r="B1786" s="2">
        <v>45668</v>
      </c>
      <c r="C1786" s="1" t="s">
        <v>576</v>
      </c>
      <c r="D1786" s="1" t="s">
        <v>577</v>
      </c>
      <c r="E1786" s="1" t="s">
        <v>14</v>
      </c>
      <c r="F1786" s="1" t="s">
        <v>251</v>
      </c>
      <c r="G1786" s="1" t="s">
        <v>252</v>
      </c>
      <c r="H1786" s="1" t="s">
        <v>72</v>
      </c>
      <c r="I1786">
        <v>86477</v>
      </c>
      <c r="J1786" s="3">
        <v>48.02</v>
      </c>
      <c r="K1786" s="3">
        <v>4152625.54</v>
      </c>
    </row>
    <row r="1787" spans="1:11" x14ac:dyDescent="0.2">
      <c r="A1787" s="1" t="s">
        <v>2883</v>
      </c>
      <c r="B1787" s="2">
        <v>45561</v>
      </c>
      <c r="C1787" s="1" t="s">
        <v>374</v>
      </c>
      <c r="D1787" s="1" t="s">
        <v>375</v>
      </c>
      <c r="E1787" s="1" t="s">
        <v>14</v>
      </c>
      <c r="F1787" s="1" t="s">
        <v>108</v>
      </c>
      <c r="G1787" s="1" t="s">
        <v>109</v>
      </c>
      <c r="H1787" s="1" t="s">
        <v>37</v>
      </c>
      <c r="I1787">
        <v>66289</v>
      </c>
      <c r="J1787" s="3">
        <v>41.87</v>
      </c>
      <c r="K1787" s="3">
        <v>2775520.43</v>
      </c>
    </row>
    <row r="1788" spans="1:11" x14ac:dyDescent="0.2">
      <c r="A1788" s="1" t="s">
        <v>2884</v>
      </c>
      <c r="B1788" s="2">
        <v>45401</v>
      </c>
      <c r="C1788" s="1" t="s">
        <v>2654</v>
      </c>
      <c r="D1788" s="1" t="s">
        <v>2655</v>
      </c>
      <c r="E1788" s="1" t="s">
        <v>28</v>
      </c>
      <c r="F1788" s="1" t="s">
        <v>144</v>
      </c>
      <c r="G1788" s="1" t="s">
        <v>145</v>
      </c>
      <c r="H1788" s="1" t="s">
        <v>24</v>
      </c>
      <c r="I1788">
        <v>88515</v>
      </c>
      <c r="J1788" s="3">
        <v>44.78</v>
      </c>
      <c r="K1788" s="3">
        <v>3963701.7</v>
      </c>
    </row>
    <row r="1789" spans="1:11" x14ac:dyDescent="0.2">
      <c r="A1789" s="1" t="s">
        <v>2885</v>
      </c>
      <c r="B1789" s="2">
        <v>45695</v>
      </c>
      <c r="C1789" s="1" t="s">
        <v>1468</v>
      </c>
      <c r="D1789" s="1" t="s">
        <v>1469</v>
      </c>
      <c r="E1789" s="1" t="s">
        <v>21</v>
      </c>
      <c r="F1789" s="1" t="s">
        <v>189</v>
      </c>
      <c r="G1789" s="1" t="s">
        <v>190</v>
      </c>
      <c r="H1789" s="1" t="s">
        <v>17</v>
      </c>
      <c r="I1789">
        <v>74598</v>
      </c>
      <c r="J1789" s="3">
        <v>16.46</v>
      </c>
      <c r="K1789" s="3">
        <v>1227883.08</v>
      </c>
    </row>
    <row r="1790" spans="1:11" x14ac:dyDescent="0.2">
      <c r="A1790" s="1" t="s">
        <v>2886</v>
      </c>
      <c r="B1790" s="2">
        <v>45310</v>
      </c>
      <c r="C1790" s="1" t="s">
        <v>2300</v>
      </c>
      <c r="D1790" s="1" t="s">
        <v>2301</v>
      </c>
      <c r="E1790" s="1" t="s">
        <v>21</v>
      </c>
      <c r="F1790" s="1" t="s">
        <v>510</v>
      </c>
      <c r="G1790" s="1" t="s">
        <v>511</v>
      </c>
      <c r="H1790" s="1" t="s">
        <v>17</v>
      </c>
      <c r="I1790">
        <v>86110</v>
      </c>
      <c r="J1790" s="3">
        <v>38.67</v>
      </c>
      <c r="K1790" s="3">
        <v>3329873.7</v>
      </c>
    </row>
    <row r="1791" spans="1:11" x14ac:dyDescent="0.2">
      <c r="A1791" s="1" t="s">
        <v>2887</v>
      </c>
      <c r="B1791" s="2">
        <v>45812</v>
      </c>
      <c r="C1791" s="1" t="s">
        <v>2628</v>
      </c>
      <c r="D1791" s="1" t="s">
        <v>2629</v>
      </c>
      <c r="E1791" s="1" t="s">
        <v>14</v>
      </c>
      <c r="F1791" s="1" t="s">
        <v>184</v>
      </c>
      <c r="G1791" s="1" t="s">
        <v>185</v>
      </c>
      <c r="H1791" s="1" t="s">
        <v>17</v>
      </c>
      <c r="I1791">
        <v>41119</v>
      </c>
      <c r="J1791" s="3">
        <v>22.61</v>
      </c>
      <c r="K1791" s="3">
        <v>929700.59</v>
      </c>
    </row>
    <row r="1792" spans="1:11" x14ac:dyDescent="0.2">
      <c r="A1792" s="1" t="s">
        <v>2888</v>
      </c>
      <c r="B1792" s="2">
        <v>45634</v>
      </c>
      <c r="C1792" s="1" t="s">
        <v>2242</v>
      </c>
      <c r="D1792" s="1" t="s">
        <v>2243</v>
      </c>
      <c r="E1792" s="1" t="s">
        <v>34</v>
      </c>
      <c r="F1792" s="1" t="s">
        <v>510</v>
      </c>
      <c r="G1792" s="1" t="s">
        <v>511</v>
      </c>
      <c r="H1792" s="1" t="s">
        <v>17</v>
      </c>
      <c r="I1792">
        <v>72882</v>
      </c>
      <c r="J1792" s="3">
        <v>7.22</v>
      </c>
      <c r="K1792" s="3">
        <v>526208.04</v>
      </c>
    </row>
    <row r="1793" spans="1:11" x14ac:dyDescent="0.2">
      <c r="A1793" s="1" t="s">
        <v>2889</v>
      </c>
      <c r="B1793" s="2">
        <v>45301</v>
      </c>
      <c r="C1793" s="1" t="s">
        <v>1011</v>
      </c>
      <c r="D1793" s="1" t="s">
        <v>1012</v>
      </c>
      <c r="E1793" s="1" t="s">
        <v>21</v>
      </c>
      <c r="F1793" s="1" t="s">
        <v>57</v>
      </c>
      <c r="G1793" s="1" t="s">
        <v>58</v>
      </c>
      <c r="H1793" s="1" t="s">
        <v>48</v>
      </c>
      <c r="I1793">
        <v>32293</v>
      </c>
      <c r="J1793" s="3">
        <v>45</v>
      </c>
      <c r="K1793" s="3">
        <v>1453185</v>
      </c>
    </row>
    <row r="1794" spans="1:11" x14ac:dyDescent="0.2">
      <c r="A1794" s="1" t="s">
        <v>2890</v>
      </c>
      <c r="B1794" s="2">
        <v>45920</v>
      </c>
      <c r="C1794" s="1" t="s">
        <v>801</v>
      </c>
      <c r="D1794" s="1" t="s">
        <v>802</v>
      </c>
      <c r="E1794" s="1" t="s">
        <v>14</v>
      </c>
      <c r="F1794" s="1" t="s">
        <v>406</v>
      </c>
      <c r="G1794" s="1" t="s">
        <v>407</v>
      </c>
      <c r="H1794" s="1" t="s">
        <v>17</v>
      </c>
      <c r="I1794">
        <v>24753</v>
      </c>
      <c r="J1794" s="3">
        <v>2.19</v>
      </c>
      <c r="K1794" s="3">
        <v>54209.07</v>
      </c>
    </row>
    <row r="1795" spans="1:11" x14ac:dyDescent="0.2">
      <c r="A1795" s="1" t="s">
        <v>2891</v>
      </c>
      <c r="B1795" s="2">
        <v>45780</v>
      </c>
      <c r="C1795" s="1" t="s">
        <v>932</v>
      </c>
      <c r="D1795" s="1" t="s">
        <v>933</v>
      </c>
      <c r="E1795" s="1" t="s">
        <v>14</v>
      </c>
      <c r="F1795" s="1" t="s">
        <v>203</v>
      </c>
      <c r="G1795" s="1" t="s">
        <v>204</v>
      </c>
      <c r="H1795" s="1" t="s">
        <v>72</v>
      </c>
      <c r="I1795">
        <v>22048</v>
      </c>
      <c r="J1795" s="3">
        <v>25.16</v>
      </c>
      <c r="K1795" s="3">
        <v>554727.68000000005</v>
      </c>
    </row>
    <row r="1796" spans="1:11" x14ac:dyDescent="0.2">
      <c r="A1796" s="1" t="s">
        <v>2892</v>
      </c>
      <c r="B1796" s="2">
        <v>45740</v>
      </c>
      <c r="C1796" s="1" t="s">
        <v>1237</v>
      </c>
      <c r="D1796" s="1" t="s">
        <v>1238</v>
      </c>
      <c r="E1796" s="1" t="s">
        <v>34</v>
      </c>
      <c r="F1796" s="1" t="s">
        <v>152</v>
      </c>
      <c r="G1796" s="1" t="s">
        <v>153</v>
      </c>
      <c r="H1796" s="1" t="s">
        <v>17</v>
      </c>
      <c r="I1796">
        <v>5721</v>
      </c>
      <c r="J1796" s="3">
        <v>9.58</v>
      </c>
      <c r="K1796" s="3">
        <v>54807.18</v>
      </c>
    </row>
    <row r="1797" spans="1:11" x14ac:dyDescent="0.2">
      <c r="A1797" s="1" t="s">
        <v>2893</v>
      </c>
      <c r="B1797" s="2">
        <v>45475</v>
      </c>
      <c r="C1797" s="1" t="s">
        <v>1125</v>
      </c>
      <c r="D1797" s="1" t="s">
        <v>1126</v>
      </c>
      <c r="E1797" s="1" t="s">
        <v>21</v>
      </c>
      <c r="F1797" s="1" t="s">
        <v>22</v>
      </c>
      <c r="G1797" s="1" t="s">
        <v>23</v>
      </c>
      <c r="H1797" s="1" t="s">
        <v>24</v>
      </c>
      <c r="I1797">
        <v>10253</v>
      </c>
      <c r="J1797" s="3">
        <v>22.47</v>
      </c>
      <c r="K1797" s="3">
        <v>230384.91</v>
      </c>
    </row>
    <row r="1798" spans="1:11" x14ac:dyDescent="0.2">
      <c r="A1798" s="1" t="s">
        <v>2894</v>
      </c>
      <c r="B1798" s="2">
        <v>45937</v>
      </c>
      <c r="C1798" s="1" t="s">
        <v>1797</v>
      </c>
      <c r="D1798" s="1" t="s">
        <v>1798</v>
      </c>
      <c r="E1798" s="1" t="s">
        <v>37</v>
      </c>
      <c r="F1798" s="1" t="s">
        <v>195</v>
      </c>
      <c r="G1798" s="1" t="s">
        <v>196</v>
      </c>
      <c r="H1798" s="1" t="s">
        <v>48</v>
      </c>
      <c r="I1798">
        <v>35383</v>
      </c>
      <c r="J1798" s="3">
        <v>11.34</v>
      </c>
      <c r="K1798" s="3">
        <v>401243.22</v>
      </c>
    </row>
    <row r="1799" spans="1:11" x14ac:dyDescent="0.2">
      <c r="A1799" s="1" t="s">
        <v>2895</v>
      </c>
      <c r="B1799" s="2">
        <v>45932</v>
      </c>
      <c r="C1799" s="1" t="s">
        <v>874</v>
      </c>
      <c r="D1799" s="1" t="s">
        <v>875</v>
      </c>
      <c r="E1799" s="1" t="s">
        <v>21</v>
      </c>
      <c r="F1799" s="1" t="s">
        <v>203</v>
      </c>
      <c r="G1799" s="1" t="s">
        <v>204</v>
      </c>
      <c r="H1799" s="1" t="s">
        <v>72</v>
      </c>
      <c r="I1799">
        <v>46871</v>
      </c>
      <c r="J1799" s="3">
        <v>46.96</v>
      </c>
      <c r="K1799" s="3">
        <v>2201062.16</v>
      </c>
    </row>
    <row r="1800" spans="1:11" x14ac:dyDescent="0.2">
      <c r="A1800" s="1" t="s">
        <v>2896</v>
      </c>
      <c r="B1800" s="2">
        <v>45703</v>
      </c>
      <c r="C1800" s="1" t="s">
        <v>648</v>
      </c>
      <c r="D1800" s="1" t="s">
        <v>649</v>
      </c>
      <c r="E1800" s="1" t="s">
        <v>28</v>
      </c>
      <c r="F1800" s="1" t="s">
        <v>761</v>
      </c>
      <c r="G1800" s="1" t="s">
        <v>762</v>
      </c>
      <c r="H1800" s="1" t="s">
        <v>48</v>
      </c>
      <c r="I1800">
        <v>75233</v>
      </c>
      <c r="J1800" s="3">
        <v>5.82</v>
      </c>
      <c r="K1800" s="3">
        <v>437856.06</v>
      </c>
    </row>
    <row r="1801" spans="1:11" x14ac:dyDescent="0.2">
      <c r="A1801" s="1" t="s">
        <v>2897</v>
      </c>
      <c r="B1801" s="2">
        <v>45427</v>
      </c>
      <c r="C1801" s="1" t="s">
        <v>294</v>
      </c>
      <c r="D1801" s="1" t="s">
        <v>295</v>
      </c>
      <c r="E1801" s="1" t="s">
        <v>37</v>
      </c>
      <c r="F1801" s="1" t="s">
        <v>189</v>
      </c>
      <c r="G1801" s="1" t="s">
        <v>190</v>
      </c>
      <c r="H1801" s="1" t="s">
        <v>17</v>
      </c>
      <c r="I1801">
        <v>77706</v>
      </c>
      <c r="J1801" s="3">
        <v>44.57</v>
      </c>
      <c r="K1801" s="3">
        <v>3463356.42</v>
      </c>
    </row>
    <row r="1802" spans="1:11" x14ac:dyDescent="0.2">
      <c r="A1802" s="1" t="s">
        <v>2898</v>
      </c>
      <c r="B1802" s="2">
        <v>45702</v>
      </c>
      <c r="C1802" s="1" t="s">
        <v>2467</v>
      </c>
      <c r="D1802" s="1" t="s">
        <v>2468</v>
      </c>
      <c r="E1802" s="1" t="s">
        <v>37</v>
      </c>
      <c r="F1802" s="1" t="s">
        <v>98</v>
      </c>
      <c r="G1802" s="1" t="s">
        <v>99</v>
      </c>
      <c r="H1802" s="1" t="s">
        <v>72</v>
      </c>
      <c r="I1802">
        <v>75239</v>
      </c>
      <c r="J1802" s="3">
        <v>48.2</v>
      </c>
      <c r="K1802" s="3">
        <v>3626519.8</v>
      </c>
    </row>
    <row r="1803" spans="1:11" x14ac:dyDescent="0.2">
      <c r="A1803" s="1" t="s">
        <v>2899</v>
      </c>
      <c r="B1803" s="2">
        <v>45524</v>
      </c>
      <c r="C1803" s="1" t="s">
        <v>1728</v>
      </c>
      <c r="D1803" s="1" t="s">
        <v>1729</v>
      </c>
      <c r="E1803" s="1" t="s">
        <v>21</v>
      </c>
      <c r="F1803" s="1" t="s">
        <v>237</v>
      </c>
      <c r="G1803" s="1" t="s">
        <v>238</v>
      </c>
      <c r="H1803" s="1" t="s">
        <v>17</v>
      </c>
      <c r="I1803">
        <v>14665</v>
      </c>
      <c r="J1803" s="3">
        <v>19.66</v>
      </c>
      <c r="K1803" s="3">
        <v>288313.90000000002</v>
      </c>
    </row>
    <row r="1804" spans="1:11" x14ac:dyDescent="0.2">
      <c r="A1804" s="1" t="s">
        <v>2900</v>
      </c>
      <c r="B1804" s="2">
        <v>45953</v>
      </c>
      <c r="C1804" s="1" t="s">
        <v>838</v>
      </c>
      <c r="D1804" s="1" t="s">
        <v>839</v>
      </c>
      <c r="E1804" s="1" t="s">
        <v>28</v>
      </c>
      <c r="F1804" s="1" t="s">
        <v>350</v>
      </c>
      <c r="G1804" s="1" t="s">
        <v>351</v>
      </c>
      <c r="H1804" s="1" t="s">
        <v>37</v>
      </c>
      <c r="I1804">
        <v>33101</v>
      </c>
      <c r="J1804" s="3">
        <v>6.89</v>
      </c>
      <c r="K1804" s="3">
        <v>228065.89</v>
      </c>
    </row>
    <row r="1805" spans="1:11" x14ac:dyDescent="0.2">
      <c r="A1805" s="1" t="s">
        <v>2901</v>
      </c>
      <c r="B1805" s="2">
        <v>45794</v>
      </c>
      <c r="C1805" s="1" t="s">
        <v>684</v>
      </c>
      <c r="D1805" s="1" t="s">
        <v>685</v>
      </c>
      <c r="E1805" s="1" t="s">
        <v>37</v>
      </c>
      <c r="F1805" s="1" t="s">
        <v>350</v>
      </c>
      <c r="G1805" s="1" t="s">
        <v>351</v>
      </c>
      <c r="H1805" s="1" t="s">
        <v>37</v>
      </c>
      <c r="I1805">
        <v>91951</v>
      </c>
      <c r="J1805" s="3">
        <v>48.56</v>
      </c>
      <c r="K1805" s="3">
        <v>4465140.5599999996</v>
      </c>
    </row>
    <row r="1806" spans="1:11" x14ac:dyDescent="0.2">
      <c r="A1806" s="1" t="s">
        <v>2902</v>
      </c>
      <c r="B1806" s="2">
        <v>45543</v>
      </c>
      <c r="C1806" s="1" t="s">
        <v>2064</v>
      </c>
      <c r="D1806" s="1" t="s">
        <v>2065</v>
      </c>
      <c r="E1806" s="1" t="s">
        <v>14</v>
      </c>
      <c r="F1806" s="1" t="s">
        <v>76</v>
      </c>
      <c r="G1806" s="1" t="s">
        <v>77</v>
      </c>
      <c r="H1806" s="1" t="s">
        <v>48</v>
      </c>
      <c r="I1806">
        <v>37768</v>
      </c>
      <c r="J1806" s="3">
        <v>35.44</v>
      </c>
      <c r="K1806" s="3">
        <v>1338497.92</v>
      </c>
    </row>
    <row r="1807" spans="1:11" x14ac:dyDescent="0.2">
      <c r="A1807" s="1" t="s">
        <v>2903</v>
      </c>
      <c r="B1807" s="2">
        <v>45892</v>
      </c>
      <c r="C1807" s="1" t="s">
        <v>397</v>
      </c>
      <c r="D1807" s="1" t="s">
        <v>398</v>
      </c>
      <c r="E1807" s="1" t="s">
        <v>34</v>
      </c>
      <c r="F1807" s="1" t="s">
        <v>436</v>
      </c>
      <c r="G1807" s="1" t="s">
        <v>437</v>
      </c>
      <c r="H1807" s="1" t="s">
        <v>24</v>
      </c>
      <c r="I1807">
        <v>80936</v>
      </c>
      <c r="J1807" s="3">
        <v>19.489999999999998</v>
      </c>
      <c r="K1807" s="3">
        <v>1577442.64</v>
      </c>
    </row>
    <row r="1808" spans="1:11" x14ac:dyDescent="0.2">
      <c r="A1808" s="1" t="s">
        <v>2904</v>
      </c>
      <c r="B1808" s="2">
        <v>45500</v>
      </c>
      <c r="C1808" s="1" t="s">
        <v>125</v>
      </c>
      <c r="D1808" s="1" t="s">
        <v>126</v>
      </c>
      <c r="E1808" s="1" t="s">
        <v>21</v>
      </c>
      <c r="F1808" s="1" t="s">
        <v>41</v>
      </c>
      <c r="G1808" s="1" t="s">
        <v>42</v>
      </c>
      <c r="H1808" s="1" t="s">
        <v>24</v>
      </c>
      <c r="I1808">
        <v>52342</v>
      </c>
      <c r="J1808" s="3">
        <v>4.6900000000000004</v>
      </c>
      <c r="K1808" s="3">
        <v>245483.98</v>
      </c>
    </row>
    <row r="1809" spans="1:11" x14ac:dyDescent="0.2">
      <c r="A1809" s="1" t="s">
        <v>2905</v>
      </c>
      <c r="B1809" s="2">
        <v>45505</v>
      </c>
      <c r="C1809" s="1" t="s">
        <v>415</v>
      </c>
      <c r="D1809" s="1" t="s">
        <v>416</v>
      </c>
      <c r="E1809" s="1" t="s">
        <v>14</v>
      </c>
      <c r="F1809" s="1" t="s">
        <v>284</v>
      </c>
      <c r="G1809" s="1" t="s">
        <v>285</v>
      </c>
      <c r="H1809" s="1" t="s">
        <v>37</v>
      </c>
      <c r="I1809">
        <v>98622</v>
      </c>
      <c r="J1809" s="3">
        <v>15.04</v>
      </c>
      <c r="K1809" s="3">
        <v>1483274.88</v>
      </c>
    </row>
    <row r="1810" spans="1:11" x14ac:dyDescent="0.2">
      <c r="A1810" s="1" t="s">
        <v>2906</v>
      </c>
      <c r="B1810" s="2">
        <v>45648</v>
      </c>
      <c r="C1810" s="1" t="s">
        <v>257</v>
      </c>
      <c r="D1810" s="1" t="s">
        <v>258</v>
      </c>
      <c r="E1810" s="1" t="s">
        <v>28</v>
      </c>
      <c r="F1810" s="1" t="s">
        <v>251</v>
      </c>
      <c r="G1810" s="1" t="s">
        <v>252</v>
      </c>
      <c r="H1810" s="1" t="s">
        <v>72</v>
      </c>
      <c r="I1810">
        <v>1390</v>
      </c>
      <c r="J1810" s="3">
        <v>15.92</v>
      </c>
      <c r="K1810" s="3">
        <v>22128.799999999999</v>
      </c>
    </row>
    <row r="1811" spans="1:11" x14ac:dyDescent="0.2">
      <c r="A1811" s="1" t="s">
        <v>2907</v>
      </c>
      <c r="B1811" s="2">
        <v>45292</v>
      </c>
      <c r="C1811" s="1" t="s">
        <v>929</v>
      </c>
      <c r="D1811" s="1" t="s">
        <v>930</v>
      </c>
      <c r="E1811" s="1" t="s">
        <v>28</v>
      </c>
      <c r="F1811" s="1" t="s">
        <v>339</v>
      </c>
      <c r="G1811" s="1" t="s">
        <v>340</v>
      </c>
      <c r="H1811" s="1" t="s">
        <v>24</v>
      </c>
      <c r="I1811">
        <v>53279</v>
      </c>
      <c r="J1811" s="3">
        <v>2.87</v>
      </c>
      <c r="K1811" s="3">
        <v>152910.73000000001</v>
      </c>
    </row>
    <row r="1812" spans="1:11" x14ac:dyDescent="0.2">
      <c r="A1812" s="1" t="s">
        <v>2908</v>
      </c>
      <c r="B1812" s="2">
        <v>45538</v>
      </c>
      <c r="C1812" s="1" t="s">
        <v>1541</v>
      </c>
      <c r="D1812" s="1" t="s">
        <v>1542</v>
      </c>
      <c r="E1812" s="1" t="s">
        <v>37</v>
      </c>
      <c r="F1812" s="1" t="s">
        <v>510</v>
      </c>
      <c r="G1812" s="1" t="s">
        <v>511</v>
      </c>
      <c r="H1812" s="1" t="s">
        <v>17</v>
      </c>
      <c r="I1812">
        <v>88242</v>
      </c>
      <c r="J1812" s="3">
        <v>20.07</v>
      </c>
      <c r="K1812" s="3">
        <v>1771016.94</v>
      </c>
    </row>
    <row r="1813" spans="1:11" x14ac:dyDescent="0.2">
      <c r="A1813" s="1" t="s">
        <v>2909</v>
      </c>
      <c r="B1813" s="2">
        <v>45638</v>
      </c>
      <c r="C1813" s="1" t="s">
        <v>1708</v>
      </c>
      <c r="D1813" s="1" t="s">
        <v>1709</v>
      </c>
      <c r="E1813" s="1" t="s">
        <v>14</v>
      </c>
      <c r="F1813" s="1" t="s">
        <v>113</v>
      </c>
      <c r="G1813" s="1" t="s">
        <v>114</v>
      </c>
      <c r="H1813" s="1" t="s">
        <v>37</v>
      </c>
      <c r="I1813">
        <v>8606</v>
      </c>
      <c r="J1813" s="3">
        <v>16.100000000000001</v>
      </c>
      <c r="K1813" s="3">
        <v>138556.6</v>
      </c>
    </row>
    <row r="1814" spans="1:11" x14ac:dyDescent="0.2">
      <c r="A1814" s="1" t="s">
        <v>2910</v>
      </c>
      <c r="B1814" s="2">
        <v>45481</v>
      </c>
      <c r="C1814" s="1" t="s">
        <v>734</v>
      </c>
      <c r="D1814" s="1" t="s">
        <v>735</v>
      </c>
      <c r="E1814" s="1" t="s">
        <v>28</v>
      </c>
      <c r="F1814" s="1" t="s">
        <v>436</v>
      </c>
      <c r="G1814" s="1" t="s">
        <v>437</v>
      </c>
      <c r="H1814" s="1" t="s">
        <v>24</v>
      </c>
      <c r="I1814">
        <v>14714</v>
      </c>
      <c r="J1814" s="3">
        <v>46.47</v>
      </c>
      <c r="K1814" s="3">
        <v>683759.58</v>
      </c>
    </row>
    <row r="1815" spans="1:11" x14ac:dyDescent="0.2">
      <c r="A1815" s="1" t="s">
        <v>2911</v>
      </c>
      <c r="B1815" s="2">
        <v>45736</v>
      </c>
      <c r="C1815" s="1" t="s">
        <v>948</v>
      </c>
      <c r="D1815" s="1" t="s">
        <v>949</v>
      </c>
      <c r="E1815" s="1" t="s">
        <v>21</v>
      </c>
      <c r="F1815" s="1" t="s">
        <v>268</v>
      </c>
      <c r="G1815" s="1" t="s">
        <v>269</v>
      </c>
      <c r="H1815" s="1" t="s">
        <v>72</v>
      </c>
      <c r="I1815">
        <v>23128</v>
      </c>
      <c r="J1815" s="3">
        <v>13.55</v>
      </c>
      <c r="K1815" s="3">
        <v>313384.40000000002</v>
      </c>
    </row>
    <row r="1816" spans="1:11" x14ac:dyDescent="0.2">
      <c r="A1816" s="1" t="s">
        <v>2912</v>
      </c>
      <c r="B1816" s="2">
        <v>45847</v>
      </c>
      <c r="C1816" s="1" t="s">
        <v>1695</v>
      </c>
      <c r="D1816" s="1" t="s">
        <v>1696</v>
      </c>
      <c r="E1816" s="1" t="s">
        <v>34</v>
      </c>
      <c r="F1816" s="1" t="s">
        <v>81</v>
      </c>
      <c r="G1816" s="1" t="s">
        <v>82</v>
      </c>
      <c r="H1816" s="1" t="s">
        <v>72</v>
      </c>
      <c r="I1816">
        <v>26188</v>
      </c>
      <c r="J1816" s="3">
        <v>18.71</v>
      </c>
      <c r="K1816" s="3">
        <v>489977.48</v>
      </c>
    </row>
    <row r="1817" spans="1:11" x14ac:dyDescent="0.2">
      <c r="A1817" s="1" t="s">
        <v>2913</v>
      </c>
      <c r="B1817" s="2">
        <v>45972</v>
      </c>
      <c r="C1817" s="1" t="s">
        <v>2260</v>
      </c>
      <c r="D1817" s="1" t="s">
        <v>2261</v>
      </c>
      <c r="E1817" s="1" t="s">
        <v>14</v>
      </c>
      <c r="F1817" s="1" t="s">
        <v>203</v>
      </c>
      <c r="G1817" s="1" t="s">
        <v>204</v>
      </c>
      <c r="H1817" s="1" t="s">
        <v>72</v>
      </c>
      <c r="I1817">
        <v>22168</v>
      </c>
      <c r="J1817" s="3">
        <v>43.94</v>
      </c>
      <c r="K1817" s="3">
        <v>974061.92</v>
      </c>
    </row>
    <row r="1818" spans="1:11" x14ac:dyDescent="0.2">
      <c r="A1818" s="1" t="s">
        <v>2914</v>
      </c>
      <c r="B1818" s="2">
        <v>45997</v>
      </c>
      <c r="C1818" s="1" t="s">
        <v>1438</v>
      </c>
      <c r="D1818" s="1" t="s">
        <v>1439</v>
      </c>
      <c r="E1818" s="1" t="s">
        <v>34</v>
      </c>
      <c r="F1818" s="1" t="s">
        <v>189</v>
      </c>
      <c r="G1818" s="1" t="s">
        <v>190</v>
      </c>
      <c r="H1818" s="1" t="s">
        <v>17</v>
      </c>
      <c r="I1818">
        <v>98409</v>
      </c>
      <c r="J1818" s="3">
        <v>7.17</v>
      </c>
      <c r="K1818" s="3">
        <v>705592.53</v>
      </c>
    </row>
    <row r="1819" spans="1:11" x14ac:dyDescent="0.2">
      <c r="A1819" s="1" t="s">
        <v>2915</v>
      </c>
      <c r="B1819" s="2">
        <v>45892</v>
      </c>
      <c r="C1819" s="1" t="s">
        <v>2242</v>
      </c>
      <c r="D1819" s="1" t="s">
        <v>2243</v>
      </c>
      <c r="E1819" s="1" t="s">
        <v>34</v>
      </c>
      <c r="F1819" s="1" t="s">
        <v>157</v>
      </c>
      <c r="G1819" s="1" t="s">
        <v>158</v>
      </c>
      <c r="H1819" s="1" t="s">
        <v>48</v>
      </c>
      <c r="I1819">
        <v>75754</v>
      </c>
      <c r="J1819" s="3">
        <v>37.1</v>
      </c>
      <c r="K1819" s="3">
        <v>2810473.4</v>
      </c>
    </row>
    <row r="1820" spans="1:11" x14ac:dyDescent="0.2">
      <c r="A1820" s="1" t="s">
        <v>2916</v>
      </c>
      <c r="B1820" s="2">
        <v>45793</v>
      </c>
      <c r="C1820" s="1" t="s">
        <v>1630</v>
      </c>
      <c r="D1820" s="1" t="s">
        <v>1631</v>
      </c>
      <c r="E1820" s="1" t="s">
        <v>37</v>
      </c>
      <c r="F1820" s="1" t="s">
        <v>22</v>
      </c>
      <c r="G1820" s="1" t="s">
        <v>23</v>
      </c>
      <c r="H1820" s="1" t="s">
        <v>24</v>
      </c>
      <c r="I1820">
        <v>75934</v>
      </c>
      <c r="J1820" s="3">
        <v>26.66</v>
      </c>
      <c r="K1820" s="3">
        <v>2024400.44</v>
      </c>
    </row>
    <row r="1821" spans="1:11" x14ac:dyDescent="0.2">
      <c r="A1821" s="1" t="s">
        <v>2917</v>
      </c>
      <c r="B1821" s="2">
        <v>45523</v>
      </c>
      <c r="C1821" s="1" t="s">
        <v>994</v>
      </c>
      <c r="D1821" s="1" t="s">
        <v>995</v>
      </c>
      <c r="E1821" s="1" t="s">
        <v>21</v>
      </c>
      <c r="F1821" s="1" t="s">
        <v>540</v>
      </c>
      <c r="G1821" s="1" t="s">
        <v>541</v>
      </c>
      <c r="H1821" s="1" t="s">
        <v>37</v>
      </c>
      <c r="I1821">
        <v>34714</v>
      </c>
      <c r="J1821" s="3">
        <v>34.409999999999997</v>
      </c>
      <c r="K1821" s="3">
        <v>1194508.74</v>
      </c>
    </row>
    <row r="1822" spans="1:11" x14ac:dyDescent="0.2">
      <c r="A1822" s="1" t="s">
        <v>2918</v>
      </c>
      <c r="B1822" s="2">
        <v>46005</v>
      </c>
      <c r="C1822" s="1" t="s">
        <v>1412</v>
      </c>
      <c r="D1822" s="1" t="s">
        <v>1413</v>
      </c>
      <c r="E1822" s="1" t="s">
        <v>37</v>
      </c>
      <c r="F1822" s="1" t="s">
        <v>761</v>
      </c>
      <c r="G1822" s="1" t="s">
        <v>762</v>
      </c>
      <c r="H1822" s="1" t="s">
        <v>48</v>
      </c>
      <c r="I1822">
        <v>51548</v>
      </c>
      <c r="J1822" s="3">
        <v>48.88</v>
      </c>
      <c r="K1822" s="3">
        <v>2519666.2400000002</v>
      </c>
    </row>
    <row r="1823" spans="1:11" x14ac:dyDescent="0.2">
      <c r="A1823" s="1" t="s">
        <v>2919</v>
      </c>
      <c r="B1823" s="2">
        <v>45818</v>
      </c>
      <c r="C1823" s="1" t="s">
        <v>397</v>
      </c>
      <c r="D1823" s="1" t="s">
        <v>398</v>
      </c>
      <c r="E1823" s="1" t="s">
        <v>34</v>
      </c>
      <c r="F1823" s="1" t="s">
        <v>474</v>
      </c>
      <c r="G1823" s="1" t="s">
        <v>475</v>
      </c>
      <c r="H1823" s="1" t="s">
        <v>48</v>
      </c>
      <c r="I1823">
        <v>72141</v>
      </c>
      <c r="J1823" s="3">
        <v>28.74</v>
      </c>
      <c r="K1823" s="3">
        <v>2073332.34</v>
      </c>
    </row>
    <row r="1824" spans="1:11" x14ac:dyDescent="0.2">
      <c r="A1824" s="1" t="s">
        <v>2920</v>
      </c>
      <c r="B1824" s="2">
        <v>45700</v>
      </c>
      <c r="C1824" s="1" t="s">
        <v>1460</v>
      </c>
      <c r="D1824" s="1" t="s">
        <v>1461</v>
      </c>
      <c r="E1824" s="1" t="s">
        <v>37</v>
      </c>
      <c r="F1824" s="1" t="s">
        <v>41</v>
      </c>
      <c r="G1824" s="1" t="s">
        <v>42</v>
      </c>
      <c r="H1824" s="1" t="s">
        <v>24</v>
      </c>
      <c r="I1824">
        <v>42764</v>
      </c>
      <c r="J1824" s="3">
        <v>21.57</v>
      </c>
      <c r="K1824" s="3">
        <v>922419.48</v>
      </c>
    </row>
    <row r="1825" spans="1:11" x14ac:dyDescent="0.2">
      <c r="A1825" s="1" t="s">
        <v>2921</v>
      </c>
      <c r="B1825" s="2">
        <v>45474</v>
      </c>
      <c r="C1825" s="1" t="s">
        <v>1216</v>
      </c>
      <c r="D1825" s="1" t="s">
        <v>1217</v>
      </c>
      <c r="E1825" s="1" t="s">
        <v>37</v>
      </c>
      <c r="F1825" s="1" t="s">
        <v>15</v>
      </c>
      <c r="G1825" s="1" t="s">
        <v>16</v>
      </c>
      <c r="H1825" s="1" t="s">
        <v>17</v>
      </c>
      <c r="I1825">
        <v>28376</v>
      </c>
      <c r="J1825" s="3">
        <v>15.04</v>
      </c>
      <c r="K1825" s="3">
        <v>426775.03999999998</v>
      </c>
    </row>
    <row r="1826" spans="1:11" x14ac:dyDescent="0.2">
      <c r="A1826" s="1" t="s">
        <v>2922</v>
      </c>
      <c r="B1826" s="2">
        <v>45370</v>
      </c>
      <c r="C1826" s="1" t="s">
        <v>96</v>
      </c>
      <c r="D1826" s="1" t="s">
        <v>97</v>
      </c>
      <c r="E1826" s="1" t="s">
        <v>21</v>
      </c>
      <c r="F1826" s="1" t="s">
        <v>263</v>
      </c>
      <c r="G1826" s="1" t="s">
        <v>264</v>
      </c>
      <c r="H1826" s="1" t="s">
        <v>17</v>
      </c>
      <c r="I1826">
        <v>95412</v>
      </c>
      <c r="J1826" s="3">
        <v>27.25</v>
      </c>
      <c r="K1826" s="3">
        <v>2599977</v>
      </c>
    </row>
    <row r="1827" spans="1:11" x14ac:dyDescent="0.2">
      <c r="A1827" s="1" t="s">
        <v>2923</v>
      </c>
      <c r="B1827" s="2">
        <v>45555</v>
      </c>
      <c r="C1827" s="1" t="s">
        <v>362</v>
      </c>
      <c r="D1827" s="1" t="s">
        <v>363</v>
      </c>
      <c r="E1827" s="1" t="s">
        <v>37</v>
      </c>
      <c r="F1827" s="1" t="s">
        <v>203</v>
      </c>
      <c r="G1827" s="1" t="s">
        <v>204</v>
      </c>
      <c r="H1827" s="1" t="s">
        <v>72</v>
      </c>
      <c r="I1827">
        <v>78118</v>
      </c>
      <c r="J1827" s="3">
        <v>48.8</v>
      </c>
      <c r="K1827" s="3">
        <v>3812158.4</v>
      </c>
    </row>
    <row r="1828" spans="1:11" x14ac:dyDescent="0.2">
      <c r="A1828" s="1" t="s">
        <v>2924</v>
      </c>
      <c r="B1828" s="2">
        <v>45709</v>
      </c>
      <c r="C1828" s="1" t="s">
        <v>137</v>
      </c>
      <c r="D1828" s="1" t="s">
        <v>138</v>
      </c>
      <c r="E1828" s="1" t="s">
        <v>37</v>
      </c>
      <c r="F1828" s="1" t="s">
        <v>81</v>
      </c>
      <c r="G1828" s="1" t="s">
        <v>82</v>
      </c>
      <c r="H1828" s="1" t="s">
        <v>72</v>
      </c>
      <c r="I1828">
        <v>28863</v>
      </c>
      <c r="J1828" s="3">
        <v>29.9</v>
      </c>
      <c r="K1828" s="3">
        <v>863003.7</v>
      </c>
    </row>
    <row r="1829" spans="1:11" x14ac:dyDescent="0.2">
      <c r="A1829" s="1" t="s">
        <v>2925</v>
      </c>
      <c r="B1829" s="2">
        <v>45417</v>
      </c>
      <c r="C1829" s="1" t="s">
        <v>523</v>
      </c>
      <c r="D1829" s="1" t="s">
        <v>524</v>
      </c>
      <c r="E1829" s="1" t="s">
        <v>14</v>
      </c>
      <c r="F1829" s="1" t="s">
        <v>176</v>
      </c>
      <c r="G1829" s="1" t="s">
        <v>177</v>
      </c>
      <c r="H1829" s="1" t="s">
        <v>37</v>
      </c>
      <c r="I1829">
        <v>22612</v>
      </c>
      <c r="J1829" s="3">
        <v>31.34</v>
      </c>
      <c r="K1829" s="3">
        <v>708660.08</v>
      </c>
    </row>
    <row r="1830" spans="1:11" x14ac:dyDescent="0.2">
      <c r="A1830" s="1" t="s">
        <v>2926</v>
      </c>
      <c r="B1830" s="2">
        <v>45553</v>
      </c>
      <c r="C1830" s="1" t="s">
        <v>1023</v>
      </c>
      <c r="D1830" s="1" t="s">
        <v>1024</v>
      </c>
      <c r="E1830" s="1" t="s">
        <v>37</v>
      </c>
      <c r="F1830" s="1" t="s">
        <v>463</v>
      </c>
      <c r="G1830" s="1" t="s">
        <v>464</v>
      </c>
      <c r="H1830" s="1" t="s">
        <v>37</v>
      </c>
      <c r="I1830">
        <v>44334</v>
      </c>
      <c r="J1830" s="3">
        <v>13.72</v>
      </c>
      <c r="K1830" s="3">
        <v>608262.48</v>
      </c>
    </row>
    <row r="1831" spans="1:11" x14ac:dyDescent="0.2">
      <c r="A1831" s="1" t="s">
        <v>2927</v>
      </c>
      <c r="B1831" s="2">
        <v>45299</v>
      </c>
      <c r="C1831" s="1" t="s">
        <v>322</v>
      </c>
      <c r="D1831" s="1" t="s">
        <v>323</v>
      </c>
      <c r="E1831" s="1" t="s">
        <v>14</v>
      </c>
      <c r="F1831" s="1" t="s">
        <v>217</v>
      </c>
      <c r="G1831" s="1" t="s">
        <v>218</v>
      </c>
      <c r="H1831" s="1" t="s">
        <v>72</v>
      </c>
      <c r="I1831">
        <v>1980</v>
      </c>
      <c r="J1831" s="3">
        <v>20.8</v>
      </c>
      <c r="K1831" s="3">
        <v>41184</v>
      </c>
    </row>
    <row r="1832" spans="1:11" x14ac:dyDescent="0.2">
      <c r="A1832" s="1" t="s">
        <v>2928</v>
      </c>
      <c r="B1832" s="2">
        <v>45615</v>
      </c>
      <c r="C1832" s="1" t="s">
        <v>1237</v>
      </c>
      <c r="D1832" s="1" t="s">
        <v>1238</v>
      </c>
      <c r="E1832" s="1" t="s">
        <v>34</v>
      </c>
      <c r="F1832" s="1" t="s">
        <v>463</v>
      </c>
      <c r="G1832" s="1" t="s">
        <v>464</v>
      </c>
      <c r="H1832" s="1" t="s">
        <v>37</v>
      </c>
      <c r="I1832">
        <v>70205</v>
      </c>
      <c r="J1832" s="3">
        <v>35.86</v>
      </c>
      <c r="K1832" s="3">
        <v>2517551.2999999998</v>
      </c>
    </row>
    <row r="1833" spans="1:11" x14ac:dyDescent="0.2">
      <c r="A1833" s="1" t="s">
        <v>2929</v>
      </c>
      <c r="B1833" s="2">
        <v>45896</v>
      </c>
      <c r="C1833" s="1" t="s">
        <v>749</v>
      </c>
      <c r="D1833" s="1" t="s">
        <v>750</v>
      </c>
      <c r="E1833" s="1" t="s">
        <v>28</v>
      </c>
      <c r="F1833" s="1" t="s">
        <v>217</v>
      </c>
      <c r="G1833" s="1" t="s">
        <v>218</v>
      </c>
      <c r="H1833" s="1" t="s">
        <v>72</v>
      </c>
      <c r="I1833">
        <v>4117</v>
      </c>
      <c r="J1833" s="3">
        <v>40.79</v>
      </c>
      <c r="K1833" s="3">
        <v>167932.43</v>
      </c>
    </row>
    <row r="1834" spans="1:11" x14ac:dyDescent="0.2">
      <c r="A1834" s="1" t="s">
        <v>2930</v>
      </c>
      <c r="B1834" s="2">
        <v>45933</v>
      </c>
      <c r="C1834" s="1" t="s">
        <v>901</v>
      </c>
      <c r="D1834" s="1" t="s">
        <v>902</v>
      </c>
      <c r="E1834" s="1" t="s">
        <v>21</v>
      </c>
      <c r="F1834" s="1" t="s">
        <v>273</v>
      </c>
      <c r="G1834" s="1" t="s">
        <v>274</v>
      </c>
      <c r="H1834" s="1" t="s">
        <v>24</v>
      </c>
      <c r="I1834">
        <v>47298</v>
      </c>
      <c r="J1834" s="3">
        <v>20.14</v>
      </c>
      <c r="K1834" s="3">
        <v>952581.72</v>
      </c>
    </row>
    <row r="1835" spans="1:11" x14ac:dyDescent="0.2">
      <c r="A1835" s="1" t="s">
        <v>2931</v>
      </c>
      <c r="B1835" s="2">
        <v>45608</v>
      </c>
      <c r="C1835" s="1" t="s">
        <v>1446</v>
      </c>
      <c r="D1835" s="1" t="s">
        <v>1447</v>
      </c>
      <c r="E1835" s="1" t="s">
        <v>37</v>
      </c>
      <c r="F1835" s="1" t="s">
        <v>273</v>
      </c>
      <c r="G1835" s="1" t="s">
        <v>274</v>
      </c>
      <c r="H1835" s="1" t="s">
        <v>24</v>
      </c>
      <c r="I1835">
        <v>42927</v>
      </c>
      <c r="J1835" s="3">
        <v>6.8</v>
      </c>
      <c r="K1835" s="3">
        <v>291903.59999999998</v>
      </c>
    </row>
    <row r="1836" spans="1:11" x14ac:dyDescent="0.2">
      <c r="A1836" s="1" t="s">
        <v>2932</v>
      </c>
      <c r="B1836" s="2">
        <v>45659</v>
      </c>
      <c r="C1836" s="1" t="s">
        <v>1085</v>
      </c>
      <c r="D1836" s="1" t="s">
        <v>1086</v>
      </c>
      <c r="E1836" s="1" t="s">
        <v>14</v>
      </c>
      <c r="F1836" s="1" t="s">
        <v>510</v>
      </c>
      <c r="G1836" s="1" t="s">
        <v>511</v>
      </c>
      <c r="H1836" s="1" t="s">
        <v>17</v>
      </c>
      <c r="I1836">
        <v>65263</v>
      </c>
      <c r="J1836" s="3">
        <v>26.45</v>
      </c>
      <c r="K1836" s="3">
        <v>1726206.35</v>
      </c>
    </row>
    <row r="1837" spans="1:11" x14ac:dyDescent="0.2">
      <c r="A1837" s="1" t="s">
        <v>2933</v>
      </c>
      <c r="B1837" s="2">
        <v>45525</v>
      </c>
      <c r="C1837" s="1" t="s">
        <v>916</v>
      </c>
      <c r="D1837" s="1" t="s">
        <v>917</v>
      </c>
      <c r="E1837" s="1" t="s">
        <v>28</v>
      </c>
      <c r="F1837" s="1" t="s">
        <v>217</v>
      </c>
      <c r="G1837" s="1" t="s">
        <v>218</v>
      </c>
      <c r="H1837" s="1" t="s">
        <v>72</v>
      </c>
      <c r="I1837">
        <v>83514</v>
      </c>
      <c r="J1837" s="3">
        <v>13.99</v>
      </c>
      <c r="K1837" s="3">
        <v>1168360.8600000001</v>
      </c>
    </row>
    <row r="1838" spans="1:11" x14ac:dyDescent="0.2">
      <c r="A1838" s="1" t="s">
        <v>2934</v>
      </c>
      <c r="B1838" s="2">
        <v>45793</v>
      </c>
      <c r="C1838" s="1" t="s">
        <v>472</v>
      </c>
      <c r="D1838" s="1" t="s">
        <v>473</v>
      </c>
      <c r="E1838" s="1" t="s">
        <v>14</v>
      </c>
      <c r="F1838" s="1" t="s">
        <v>103</v>
      </c>
      <c r="G1838" s="1" t="s">
        <v>104</v>
      </c>
      <c r="H1838" s="1" t="s">
        <v>37</v>
      </c>
      <c r="I1838">
        <v>64881</v>
      </c>
      <c r="J1838" s="3">
        <v>2.6</v>
      </c>
      <c r="K1838" s="3">
        <v>168690.6</v>
      </c>
    </row>
    <row r="1839" spans="1:11" x14ac:dyDescent="0.2">
      <c r="A1839" s="1" t="s">
        <v>2935</v>
      </c>
      <c r="B1839" s="2">
        <v>45353</v>
      </c>
      <c r="C1839" s="1" t="s">
        <v>874</v>
      </c>
      <c r="D1839" s="1" t="s">
        <v>875</v>
      </c>
      <c r="E1839" s="1" t="s">
        <v>21</v>
      </c>
      <c r="F1839" s="1" t="s">
        <v>273</v>
      </c>
      <c r="G1839" s="1" t="s">
        <v>274</v>
      </c>
      <c r="H1839" s="1" t="s">
        <v>24</v>
      </c>
      <c r="I1839">
        <v>35365</v>
      </c>
      <c r="J1839" s="3">
        <v>36.96</v>
      </c>
      <c r="K1839" s="3">
        <v>1307090.3999999999</v>
      </c>
    </row>
    <row r="1840" spans="1:11" x14ac:dyDescent="0.2">
      <c r="A1840" s="1" t="s">
        <v>2936</v>
      </c>
      <c r="B1840" s="2">
        <v>45944</v>
      </c>
      <c r="C1840" s="1" t="s">
        <v>226</v>
      </c>
      <c r="D1840" s="1" t="s">
        <v>227</v>
      </c>
      <c r="E1840" s="1" t="s">
        <v>34</v>
      </c>
      <c r="F1840" s="1" t="s">
        <v>228</v>
      </c>
      <c r="G1840" s="1" t="s">
        <v>229</v>
      </c>
      <c r="H1840" s="1" t="s">
        <v>48</v>
      </c>
      <c r="I1840">
        <v>98747</v>
      </c>
      <c r="J1840" s="3">
        <v>46.15</v>
      </c>
      <c r="K1840" s="3">
        <v>4557174.05</v>
      </c>
    </row>
    <row r="1841" spans="1:11" x14ac:dyDescent="0.2">
      <c r="A1841" s="1" t="s">
        <v>2937</v>
      </c>
      <c r="B1841" s="2">
        <v>45384</v>
      </c>
      <c r="C1841" s="1" t="s">
        <v>942</v>
      </c>
      <c r="D1841" s="1" t="s">
        <v>943</v>
      </c>
      <c r="E1841" s="1" t="s">
        <v>28</v>
      </c>
      <c r="F1841" s="1" t="s">
        <v>263</v>
      </c>
      <c r="G1841" s="1" t="s">
        <v>264</v>
      </c>
      <c r="H1841" s="1" t="s">
        <v>17</v>
      </c>
      <c r="I1841">
        <v>27450</v>
      </c>
      <c r="J1841" s="3">
        <v>23.98</v>
      </c>
      <c r="K1841" s="3">
        <v>658251</v>
      </c>
    </row>
    <row r="1842" spans="1:11" x14ac:dyDescent="0.2">
      <c r="A1842" s="1" t="s">
        <v>2938</v>
      </c>
      <c r="B1842" s="2">
        <v>45630</v>
      </c>
      <c r="C1842" s="1" t="s">
        <v>365</v>
      </c>
      <c r="D1842" s="1" t="s">
        <v>366</v>
      </c>
      <c r="E1842" s="1" t="s">
        <v>14</v>
      </c>
      <c r="F1842" s="1" t="s">
        <v>330</v>
      </c>
      <c r="G1842" s="1" t="s">
        <v>331</v>
      </c>
      <c r="H1842" s="1" t="s">
        <v>72</v>
      </c>
      <c r="I1842">
        <v>68470</v>
      </c>
      <c r="J1842" s="3">
        <v>30.81</v>
      </c>
      <c r="K1842" s="3">
        <v>2109560.7000000002</v>
      </c>
    </row>
    <row r="1843" spans="1:11" x14ac:dyDescent="0.2">
      <c r="A1843" s="1" t="s">
        <v>2939</v>
      </c>
      <c r="B1843" s="2">
        <v>45978</v>
      </c>
      <c r="C1843" s="1" t="s">
        <v>1615</v>
      </c>
      <c r="D1843" s="1" t="s">
        <v>1616</v>
      </c>
      <c r="E1843" s="1" t="s">
        <v>37</v>
      </c>
      <c r="F1843" s="1" t="s">
        <v>98</v>
      </c>
      <c r="G1843" s="1" t="s">
        <v>99</v>
      </c>
      <c r="H1843" s="1" t="s">
        <v>72</v>
      </c>
      <c r="I1843">
        <v>8120</v>
      </c>
      <c r="J1843" s="3">
        <v>21.86</v>
      </c>
      <c r="K1843" s="3">
        <v>177503.2</v>
      </c>
    </row>
    <row r="1844" spans="1:11" x14ac:dyDescent="0.2">
      <c r="A1844" s="1" t="s">
        <v>2940</v>
      </c>
      <c r="B1844" s="2">
        <v>45520</v>
      </c>
      <c r="C1844" s="1" t="s">
        <v>50</v>
      </c>
      <c r="D1844" s="1" t="s">
        <v>51</v>
      </c>
      <c r="E1844" s="1" t="s">
        <v>21</v>
      </c>
      <c r="F1844" s="1" t="s">
        <v>52</v>
      </c>
      <c r="G1844" s="1" t="s">
        <v>53</v>
      </c>
      <c r="H1844" s="1" t="s">
        <v>17</v>
      </c>
      <c r="I1844">
        <v>82547</v>
      </c>
      <c r="J1844" s="3">
        <v>40.799999999999997</v>
      </c>
      <c r="K1844" s="3">
        <v>3367917.6</v>
      </c>
    </row>
    <row r="1845" spans="1:11" x14ac:dyDescent="0.2">
      <c r="A1845" s="1" t="s">
        <v>2941</v>
      </c>
      <c r="B1845" s="2">
        <v>46000</v>
      </c>
      <c r="C1845" s="1" t="s">
        <v>502</v>
      </c>
      <c r="D1845" s="1" t="s">
        <v>503</v>
      </c>
      <c r="E1845" s="1" t="s">
        <v>14</v>
      </c>
      <c r="F1845" s="1" t="s">
        <v>65</v>
      </c>
      <c r="G1845" s="1" t="s">
        <v>66</v>
      </c>
      <c r="H1845" s="1" t="s">
        <v>48</v>
      </c>
      <c r="I1845">
        <v>80168</v>
      </c>
      <c r="J1845" s="3">
        <v>32.85</v>
      </c>
      <c r="K1845" s="3">
        <v>2633518.7999999998</v>
      </c>
    </row>
    <row r="1846" spans="1:11" x14ac:dyDescent="0.2">
      <c r="A1846" s="1" t="s">
        <v>2942</v>
      </c>
      <c r="B1846" s="2">
        <v>45606</v>
      </c>
      <c r="C1846" s="1" t="s">
        <v>1885</v>
      </c>
      <c r="D1846" s="1" t="s">
        <v>1886</v>
      </c>
      <c r="E1846" s="1" t="s">
        <v>28</v>
      </c>
      <c r="F1846" s="1" t="s">
        <v>436</v>
      </c>
      <c r="G1846" s="1" t="s">
        <v>437</v>
      </c>
      <c r="H1846" s="1" t="s">
        <v>24</v>
      </c>
      <c r="I1846">
        <v>52813</v>
      </c>
      <c r="J1846" s="3">
        <v>33.549999999999997</v>
      </c>
      <c r="K1846" s="3">
        <v>1771876.15</v>
      </c>
    </row>
    <row r="1847" spans="1:11" x14ac:dyDescent="0.2">
      <c r="A1847" s="1" t="s">
        <v>2943</v>
      </c>
      <c r="B1847" s="2">
        <v>46009</v>
      </c>
      <c r="C1847" s="1" t="s">
        <v>87</v>
      </c>
      <c r="D1847" s="1" t="s">
        <v>88</v>
      </c>
      <c r="E1847" s="1" t="s">
        <v>14</v>
      </c>
      <c r="F1847" s="1" t="s">
        <v>81</v>
      </c>
      <c r="G1847" s="1" t="s">
        <v>82</v>
      </c>
      <c r="H1847" s="1" t="s">
        <v>72</v>
      </c>
      <c r="I1847">
        <v>3174</v>
      </c>
      <c r="J1847" s="3">
        <v>47.18</v>
      </c>
      <c r="K1847" s="3">
        <v>149749.32</v>
      </c>
    </row>
    <row r="1848" spans="1:11" x14ac:dyDescent="0.2">
      <c r="A1848" s="1" t="s">
        <v>2944</v>
      </c>
      <c r="B1848" s="2">
        <v>45642</v>
      </c>
      <c r="C1848" s="1" t="s">
        <v>1412</v>
      </c>
      <c r="D1848" s="1" t="s">
        <v>1413</v>
      </c>
      <c r="E1848" s="1" t="s">
        <v>37</v>
      </c>
      <c r="F1848" s="1" t="s">
        <v>339</v>
      </c>
      <c r="G1848" s="1" t="s">
        <v>340</v>
      </c>
      <c r="H1848" s="1" t="s">
        <v>24</v>
      </c>
      <c r="I1848">
        <v>11494</v>
      </c>
      <c r="J1848" s="3">
        <v>17.850000000000001</v>
      </c>
      <c r="K1848" s="3">
        <v>205167.9</v>
      </c>
    </row>
    <row r="1849" spans="1:11" x14ac:dyDescent="0.2">
      <c r="A1849" s="1" t="s">
        <v>2945</v>
      </c>
      <c r="B1849" s="2">
        <v>45827</v>
      </c>
      <c r="C1849" s="1" t="s">
        <v>32</v>
      </c>
      <c r="D1849" s="1" t="s">
        <v>33</v>
      </c>
      <c r="E1849" s="1" t="s">
        <v>34</v>
      </c>
      <c r="F1849" s="1" t="s">
        <v>251</v>
      </c>
      <c r="G1849" s="1" t="s">
        <v>252</v>
      </c>
      <c r="H1849" s="1" t="s">
        <v>72</v>
      </c>
      <c r="I1849">
        <v>36251</v>
      </c>
      <c r="J1849" s="3">
        <v>8.1</v>
      </c>
      <c r="K1849" s="3">
        <v>293633.09999999998</v>
      </c>
    </row>
    <row r="1850" spans="1:11" x14ac:dyDescent="0.2">
      <c r="A1850" s="1" t="s">
        <v>2946</v>
      </c>
      <c r="B1850" s="2">
        <v>45397</v>
      </c>
      <c r="C1850" s="1" t="s">
        <v>580</v>
      </c>
      <c r="D1850" s="1" t="s">
        <v>581</v>
      </c>
      <c r="E1850" s="1" t="s">
        <v>21</v>
      </c>
      <c r="F1850" s="1" t="s">
        <v>52</v>
      </c>
      <c r="G1850" s="1" t="s">
        <v>53</v>
      </c>
      <c r="H1850" s="1" t="s">
        <v>17</v>
      </c>
      <c r="I1850">
        <v>75761</v>
      </c>
      <c r="J1850" s="3">
        <v>40.53</v>
      </c>
      <c r="K1850" s="3">
        <v>3070593.33</v>
      </c>
    </row>
    <row r="1851" spans="1:11" x14ac:dyDescent="0.2">
      <c r="A1851" s="1" t="s">
        <v>2947</v>
      </c>
      <c r="B1851" s="2">
        <v>45813</v>
      </c>
      <c r="C1851" s="1" t="s">
        <v>829</v>
      </c>
      <c r="D1851" s="1" t="s">
        <v>830</v>
      </c>
      <c r="E1851" s="1" t="s">
        <v>14</v>
      </c>
      <c r="F1851" s="1" t="s">
        <v>228</v>
      </c>
      <c r="G1851" s="1" t="s">
        <v>229</v>
      </c>
      <c r="H1851" s="1" t="s">
        <v>48</v>
      </c>
      <c r="I1851">
        <v>30894</v>
      </c>
      <c r="J1851" s="3">
        <v>39.159999999999997</v>
      </c>
      <c r="K1851" s="3">
        <v>1209809.04</v>
      </c>
    </row>
    <row r="1852" spans="1:11" x14ac:dyDescent="0.2">
      <c r="A1852" s="1" t="s">
        <v>2948</v>
      </c>
      <c r="B1852" s="2">
        <v>45979</v>
      </c>
      <c r="C1852" s="1" t="s">
        <v>365</v>
      </c>
      <c r="D1852" s="1" t="s">
        <v>366</v>
      </c>
      <c r="E1852" s="1" t="s">
        <v>14</v>
      </c>
      <c r="F1852" s="1" t="s">
        <v>339</v>
      </c>
      <c r="G1852" s="1" t="s">
        <v>340</v>
      </c>
      <c r="H1852" s="1" t="s">
        <v>24</v>
      </c>
      <c r="I1852">
        <v>65410</v>
      </c>
      <c r="J1852" s="3">
        <v>44.55</v>
      </c>
      <c r="K1852" s="3">
        <v>2914015.5</v>
      </c>
    </row>
    <row r="1853" spans="1:11" x14ac:dyDescent="0.2">
      <c r="A1853" s="1" t="s">
        <v>2949</v>
      </c>
      <c r="B1853" s="2">
        <v>45498</v>
      </c>
      <c r="C1853" s="1" t="s">
        <v>2169</v>
      </c>
      <c r="D1853" s="1" t="s">
        <v>2170</v>
      </c>
      <c r="E1853" s="1" t="s">
        <v>28</v>
      </c>
      <c r="F1853" s="1" t="s">
        <v>263</v>
      </c>
      <c r="G1853" s="1" t="s">
        <v>264</v>
      </c>
      <c r="H1853" s="1" t="s">
        <v>17</v>
      </c>
      <c r="I1853">
        <v>14560</v>
      </c>
      <c r="J1853" s="3">
        <v>30.17</v>
      </c>
      <c r="K1853" s="3">
        <v>439275.2</v>
      </c>
    </row>
    <row r="1854" spans="1:11" x14ac:dyDescent="0.2">
      <c r="A1854" s="1" t="s">
        <v>2950</v>
      </c>
      <c r="B1854" s="2">
        <v>45880</v>
      </c>
      <c r="C1854" s="1" t="s">
        <v>2059</v>
      </c>
      <c r="D1854" s="1" t="s">
        <v>2060</v>
      </c>
      <c r="E1854" s="1" t="s">
        <v>21</v>
      </c>
      <c r="F1854" s="1" t="s">
        <v>237</v>
      </c>
      <c r="G1854" s="1" t="s">
        <v>238</v>
      </c>
      <c r="H1854" s="1" t="s">
        <v>17</v>
      </c>
      <c r="I1854">
        <v>18823</v>
      </c>
      <c r="J1854" s="3">
        <v>34.770000000000003</v>
      </c>
      <c r="K1854" s="3">
        <v>654475.71</v>
      </c>
    </row>
    <row r="1855" spans="1:11" x14ac:dyDescent="0.2">
      <c r="A1855" s="1" t="s">
        <v>2951</v>
      </c>
      <c r="B1855" s="2">
        <v>45455</v>
      </c>
      <c r="C1855" s="1" t="s">
        <v>297</v>
      </c>
      <c r="D1855" s="1" t="s">
        <v>298</v>
      </c>
      <c r="E1855" s="1" t="s">
        <v>21</v>
      </c>
      <c r="F1855" s="1" t="s">
        <v>81</v>
      </c>
      <c r="G1855" s="1" t="s">
        <v>82</v>
      </c>
      <c r="H1855" s="1" t="s">
        <v>72</v>
      </c>
      <c r="I1855">
        <v>9370</v>
      </c>
      <c r="J1855" s="3">
        <v>48.93</v>
      </c>
      <c r="K1855" s="3">
        <v>458474.1</v>
      </c>
    </row>
    <row r="1856" spans="1:11" x14ac:dyDescent="0.2">
      <c r="A1856" s="1" t="s">
        <v>2952</v>
      </c>
      <c r="B1856" s="2">
        <v>45716</v>
      </c>
      <c r="C1856" s="1" t="s">
        <v>969</v>
      </c>
      <c r="D1856" s="1" t="s">
        <v>970</v>
      </c>
      <c r="E1856" s="1" t="s">
        <v>37</v>
      </c>
      <c r="F1856" s="1" t="s">
        <v>552</v>
      </c>
      <c r="G1856" s="1" t="s">
        <v>553</v>
      </c>
      <c r="H1856" s="1" t="s">
        <v>37</v>
      </c>
      <c r="I1856">
        <v>72315</v>
      </c>
      <c r="J1856" s="3">
        <v>7.65</v>
      </c>
      <c r="K1856" s="3">
        <v>553209.75</v>
      </c>
    </row>
    <row r="1857" spans="1:11" x14ac:dyDescent="0.2">
      <c r="A1857" s="1" t="s">
        <v>2953</v>
      </c>
      <c r="B1857" s="2">
        <v>45975</v>
      </c>
      <c r="C1857" s="1" t="s">
        <v>1909</v>
      </c>
      <c r="D1857" s="1" t="s">
        <v>1910</v>
      </c>
      <c r="E1857" s="1" t="s">
        <v>37</v>
      </c>
      <c r="F1857" s="1" t="s">
        <v>406</v>
      </c>
      <c r="G1857" s="1" t="s">
        <v>407</v>
      </c>
      <c r="H1857" s="1" t="s">
        <v>17</v>
      </c>
      <c r="I1857">
        <v>94986</v>
      </c>
      <c r="J1857" s="3">
        <v>2.1800000000000002</v>
      </c>
      <c r="K1857" s="3">
        <v>207069.48</v>
      </c>
    </row>
    <row r="1858" spans="1:11" x14ac:dyDescent="0.2">
      <c r="A1858" s="1" t="s">
        <v>2954</v>
      </c>
      <c r="B1858" s="2">
        <v>45686</v>
      </c>
      <c r="C1858" s="1" t="s">
        <v>55</v>
      </c>
      <c r="D1858" s="1" t="s">
        <v>56</v>
      </c>
      <c r="E1858" s="1" t="s">
        <v>21</v>
      </c>
      <c r="F1858" s="1" t="s">
        <v>268</v>
      </c>
      <c r="G1858" s="1" t="s">
        <v>269</v>
      </c>
      <c r="H1858" s="1" t="s">
        <v>72</v>
      </c>
      <c r="I1858">
        <v>64508</v>
      </c>
      <c r="J1858" s="3">
        <v>9.77</v>
      </c>
      <c r="K1858" s="3">
        <v>630243.16</v>
      </c>
    </row>
    <row r="1859" spans="1:11" x14ac:dyDescent="0.2">
      <c r="A1859" s="1" t="s">
        <v>2955</v>
      </c>
      <c r="B1859" s="2">
        <v>45863</v>
      </c>
      <c r="C1859" s="1" t="s">
        <v>2196</v>
      </c>
      <c r="D1859" s="1" t="s">
        <v>2197</v>
      </c>
      <c r="E1859" s="1" t="s">
        <v>34</v>
      </c>
      <c r="F1859" s="1" t="s">
        <v>330</v>
      </c>
      <c r="G1859" s="1" t="s">
        <v>331</v>
      </c>
      <c r="H1859" s="1" t="s">
        <v>72</v>
      </c>
      <c r="I1859">
        <v>89338</v>
      </c>
      <c r="J1859" s="3">
        <v>32.950000000000003</v>
      </c>
      <c r="K1859" s="3">
        <v>2943687.1</v>
      </c>
    </row>
    <row r="1860" spans="1:11" x14ac:dyDescent="0.2">
      <c r="A1860" s="1" t="s">
        <v>2956</v>
      </c>
      <c r="B1860" s="2">
        <v>45858</v>
      </c>
      <c r="C1860" s="1" t="s">
        <v>1643</v>
      </c>
      <c r="D1860" s="1" t="s">
        <v>1644</v>
      </c>
      <c r="E1860" s="1" t="s">
        <v>28</v>
      </c>
      <c r="F1860" s="1" t="s">
        <v>412</v>
      </c>
      <c r="G1860" s="1" t="s">
        <v>413</v>
      </c>
      <c r="H1860" s="1" t="s">
        <v>72</v>
      </c>
      <c r="I1860">
        <v>53236</v>
      </c>
      <c r="J1860" s="3">
        <v>26.22</v>
      </c>
      <c r="K1860" s="3">
        <v>1395847.92</v>
      </c>
    </row>
    <row r="1861" spans="1:11" x14ac:dyDescent="0.2">
      <c r="A1861" s="1" t="s">
        <v>2957</v>
      </c>
      <c r="B1861" s="2">
        <v>45939</v>
      </c>
      <c r="C1861" s="1" t="s">
        <v>96</v>
      </c>
      <c r="D1861" s="1" t="s">
        <v>97</v>
      </c>
      <c r="E1861" s="1" t="s">
        <v>21</v>
      </c>
      <c r="F1861" s="1" t="s">
        <v>108</v>
      </c>
      <c r="G1861" s="1" t="s">
        <v>109</v>
      </c>
      <c r="H1861" s="1" t="s">
        <v>37</v>
      </c>
      <c r="I1861">
        <v>93132</v>
      </c>
      <c r="J1861" s="3">
        <v>42.22</v>
      </c>
      <c r="K1861" s="3">
        <v>3932033.04</v>
      </c>
    </row>
    <row r="1862" spans="1:11" x14ac:dyDescent="0.2">
      <c r="A1862" s="1" t="s">
        <v>2958</v>
      </c>
      <c r="B1862" s="2">
        <v>45896</v>
      </c>
      <c r="C1862" s="1" t="s">
        <v>1373</v>
      </c>
      <c r="D1862" s="1" t="s">
        <v>1374</v>
      </c>
      <c r="E1862" s="1" t="s">
        <v>21</v>
      </c>
      <c r="F1862" s="1" t="s">
        <v>263</v>
      </c>
      <c r="G1862" s="1" t="s">
        <v>264</v>
      </c>
      <c r="H1862" s="1" t="s">
        <v>17</v>
      </c>
      <c r="I1862">
        <v>84130</v>
      </c>
      <c r="J1862" s="3">
        <v>2.7</v>
      </c>
      <c r="K1862" s="3">
        <v>227151</v>
      </c>
    </row>
    <row r="1863" spans="1:11" x14ac:dyDescent="0.2">
      <c r="A1863" s="1" t="s">
        <v>2959</v>
      </c>
      <c r="B1863" s="2">
        <v>45683</v>
      </c>
      <c r="C1863" s="1" t="s">
        <v>2597</v>
      </c>
      <c r="D1863" s="1" t="s">
        <v>2598</v>
      </c>
      <c r="E1863" s="1" t="s">
        <v>21</v>
      </c>
      <c r="F1863" s="1" t="s">
        <v>15</v>
      </c>
      <c r="G1863" s="1" t="s">
        <v>16</v>
      </c>
      <c r="H1863" s="1" t="s">
        <v>17</v>
      </c>
      <c r="I1863">
        <v>31860</v>
      </c>
      <c r="J1863" s="3">
        <v>2.14</v>
      </c>
      <c r="K1863" s="3">
        <v>68180.399999999994</v>
      </c>
    </row>
    <row r="1864" spans="1:11" x14ac:dyDescent="0.2">
      <c r="A1864" s="1" t="s">
        <v>2960</v>
      </c>
      <c r="B1864" s="2">
        <v>46022</v>
      </c>
      <c r="C1864" s="1" t="s">
        <v>1860</v>
      </c>
      <c r="D1864" s="1" t="s">
        <v>1861</v>
      </c>
      <c r="E1864" s="1" t="s">
        <v>21</v>
      </c>
      <c r="F1864" s="1" t="s">
        <v>474</v>
      </c>
      <c r="G1864" s="1" t="s">
        <v>475</v>
      </c>
      <c r="H1864" s="1" t="s">
        <v>48</v>
      </c>
      <c r="I1864">
        <v>49860</v>
      </c>
      <c r="J1864" s="3">
        <v>3.48</v>
      </c>
      <c r="K1864" s="3">
        <v>173512.8</v>
      </c>
    </row>
    <row r="1865" spans="1:11" x14ac:dyDescent="0.2">
      <c r="A1865" s="1" t="s">
        <v>2961</v>
      </c>
      <c r="B1865" s="2">
        <v>45512</v>
      </c>
      <c r="C1865" s="1" t="s">
        <v>746</v>
      </c>
      <c r="D1865" s="1" t="s">
        <v>747</v>
      </c>
      <c r="E1865" s="1" t="s">
        <v>37</v>
      </c>
      <c r="F1865" s="1" t="s">
        <v>552</v>
      </c>
      <c r="G1865" s="1" t="s">
        <v>553</v>
      </c>
      <c r="H1865" s="1" t="s">
        <v>37</v>
      </c>
      <c r="I1865">
        <v>61762</v>
      </c>
      <c r="J1865" s="3">
        <v>8.94</v>
      </c>
      <c r="K1865" s="3">
        <v>552152.28</v>
      </c>
    </row>
    <row r="1866" spans="1:11" x14ac:dyDescent="0.2">
      <c r="A1866" s="1" t="s">
        <v>2962</v>
      </c>
      <c r="B1866" s="2">
        <v>45640</v>
      </c>
      <c r="C1866" s="1" t="s">
        <v>1099</v>
      </c>
      <c r="D1866" s="1" t="s">
        <v>1100</v>
      </c>
      <c r="E1866" s="1" t="s">
        <v>34</v>
      </c>
      <c r="F1866" s="1" t="s">
        <v>339</v>
      </c>
      <c r="G1866" s="1" t="s">
        <v>340</v>
      </c>
      <c r="H1866" s="1" t="s">
        <v>24</v>
      </c>
      <c r="I1866">
        <v>77248</v>
      </c>
      <c r="J1866" s="3">
        <v>49.44</v>
      </c>
      <c r="K1866" s="3">
        <v>3819141.1200000001</v>
      </c>
    </row>
    <row r="1867" spans="1:11" x14ac:dyDescent="0.2">
      <c r="A1867" s="1" t="s">
        <v>2963</v>
      </c>
      <c r="B1867" s="2">
        <v>45768</v>
      </c>
      <c r="C1867" s="1" t="s">
        <v>382</v>
      </c>
      <c r="D1867" s="1" t="s">
        <v>383</v>
      </c>
      <c r="E1867" s="1" t="s">
        <v>34</v>
      </c>
      <c r="F1867" s="1" t="s">
        <v>195</v>
      </c>
      <c r="G1867" s="1" t="s">
        <v>196</v>
      </c>
      <c r="H1867" s="1" t="s">
        <v>48</v>
      </c>
      <c r="I1867">
        <v>86053</v>
      </c>
      <c r="J1867" s="3">
        <v>33.31</v>
      </c>
      <c r="K1867" s="3">
        <v>2866425.43</v>
      </c>
    </row>
    <row r="1868" spans="1:11" x14ac:dyDescent="0.2">
      <c r="A1868" s="1" t="s">
        <v>2964</v>
      </c>
      <c r="B1868" s="2">
        <v>45633</v>
      </c>
      <c r="C1868" s="1" t="s">
        <v>570</v>
      </c>
      <c r="D1868" s="1" t="s">
        <v>571</v>
      </c>
      <c r="E1868" s="1" t="s">
        <v>28</v>
      </c>
      <c r="F1868" s="1" t="s">
        <v>189</v>
      </c>
      <c r="G1868" s="1" t="s">
        <v>190</v>
      </c>
      <c r="H1868" s="1" t="s">
        <v>17</v>
      </c>
      <c r="I1868">
        <v>27493</v>
      </c>
      <c r="J1868" s="3">
        <v>23.79</v>
      </c>
      <c r="K1868" s="3">
        <v>654058.47</v>
      </c>
    </row>
    <row r="1869" spans="1:11" x14ac:dyDescent="0.2">
      <c r="A1869" s="1" t="s">
        <v>2965</v>
      </c>
      <c r="B1869" s="2">
        <v>45922</v>
      </c>
      <c r="C1869" s="1" t="s">
        <v>342</v>
      </c>
      <c r="D1869" s="1" t="s">
        <v>343</v>
      </c>
      <c r="E1869" s="1" t="s">
        <v>37</v>
      </c>
      <c r="F1869" s="1" t="s">
        <v>184</v>
      </c>
      <c r="G1869" s="1" t="s">
        <v>185</v>
      </c>
      <c r="H1869" s="1" t="s">
        <v>17</v>
      </c>
      <c r="I1869">
        <v>90800</v>
      </c>
      <c r="J1869" s="3">
        <v>13.01</v>
      </c>
      <c r="K1869" s="3">
        <v>1181308</v>
      </c>
    </row>
    <row r="1870" spans="1:11" x14ac:dyDescent="0.2">
      <c r="A1870" s="1" t="s">
        <v>2966</v>
      </c>
      <c r="B1870" s="2">
        <v>45870</v>
      </c>
      <c r="C1870" s="1" t="s">
        <v>1761</v>
      </c>
      <c r="D1870" s="1" t="s">
        <v>1762</v>
      </c>
      <c r="E1870" s="1" t="s">
        <v>14</v>
      </c>
      <c r="F1870" s="1" t="s">
        <v>228</v>
      </c>
      <c r="G1870" s="1" t="s">
        <v>229</v>
      </c>
      <c r="H1870" s="1" t="s">
        <v>48</v>
      </c>
      <c r="I1870">
        <v>8014</v>
      </c>
      <c r="J1870" s="3">
        <v>36.57</v>
      </c>
      <c r="K1870" s="3">
        <v>293071.98</v>
      </c>
    </row>
    <row r="1871" spans="1:11" x14ac:dyDescent="0.2">
      <c r="A1871" s="1" t="s">
        <v>2967</v>
      </c>
      <c r="B1871" s="2">
        <v>45507</v>
      </c>
      <c r="C1871" s="1" t="s">
        <v>1637</v>
      </c>
      <c r="D1871" s="1" t="s">
        <v>1638</v>
      </c>
      <c r="E1871" s="1" t="s">
        <v>34</v>
      </c>
      <c r="F1871" s="1" t="s">
        <v>189</v>
      </c>
      <c r="G1871" s="1" t="s">
        <v>190</v>
      </c>
      <c r="H1871" s="1" t="s">
        <v>17</v>
      </c>
      <c r="I1871">
        <v>82363</v>
      </c>
      <c r="J1871" s="3">
        <v>23.45</v>
      </c>
      <c r="K1871" s="3">
        <v>1931412.35</v>
      </c>
    </row>
    <row r="1872" spans="1:11" x14ac:dyDescent="0.2">
      <c r="A1872" s="1" t="s">
        <v>2968</v>
      </c>
      <c r="B1872" s="2">
        <v>45515</v>
      </c>
      <c r="C1872" s="1" t="s">
        <v>1050</v>
      </c>
      <c r="D1872" s="1" t="s">
        <v>1051</v>
      </c>
      <c r="E1872" s="1" t="s">
        <v>14</v>
      </c>
      <c r="F1872" s="1" t="s">
        <v>510</v>
      </c>
      <c r="G1872" s="1" t="s">
        <v>511</v>
      </c>
      <c r="H1872" s="1" t="s">
        <v>17</v>
      </c>
      <c r="I1872">
        <v>49946</v>
      </c>
      <c r="J1872" s="3">
        <v>31.53</v>
      </c>
      <c r="K1872" s="3">
        <v>1574797.38</v>
      </c>
    </row>
    <row r="1873" spans="1:11" x14ac:dyDescent="0.2">
      <c r="A1873" s="1" t="s">
        <v>2969</v>
      </c>
      <c r="B1873" s="2">
        <v>45721</v>
      </c>
      <c r="C1873" s="1" t="s">
        <v>87</v>
      </c>
      <c r="D1873" s="1" t="s">
        <v>88</v>
      </c>
      <c r="E1873" s="1" t="s">
        <v>14</v>
      </c>
      <c r="F1873" s="1" t="s">
        <v>103</v>
      </c>
      <c r="G1873" s="1" t="s">
        <v>104</v>
      </c>
      <c r="H1873" s="1" t="s">
        <v>37</v>
      </c>
      <c r="I1873">
        <v>71806</v>
      </c>
      <c r="J1873" s="3">
        <v>28.7</v>
      </c>
      <c r="K1873" s="3">
        <v>2060832.2</v>
      </c>
    </row>
    <row r="1874" spans="1:11" x14ac:dyDescent="0.2">
      <c r="A1874" s="1" t="s">
        <v>2970</v>
      </c>
      <c r="B1874" s="2">
        <v>45578</v>
      </c>
      <c r="C1874" s="1" t="s">
        <v>155</v>
      </c>
      <c r="D1874" s="1" t="s">
        <v>156</v>
      </c>
      <c r="E1874" s="1" t="s">
        <v>14</v>
      </c>
      <c r="F1874" s="1" t="s">
        <v>157</v>
      </c>
      <c r="G1874" s="1" t="s">
        <v>158</v>
      </c>
      <c r="H1874" s="1" t="s">
        <v>48</v>
      </c>
      <c r="I1874">
        <v>88844</v>
      </c>
      <c r="J1874" s="3">
        <v>44.62</v>
      </c>
      <c r="K1874" s="3">
        <v>3964219.28</v>
      </c>
    </row>
    <row r="1875" spans="1:11" x14ac:dyDescent="0.2">
      <c r="A1875" s="1" t="s">
        <v>2971</v>
      </c>
      <c r="B1875" s="2">
        <v>45632</v>
      </c>
      <c r="C1875" s="1" t="s">
        <v>2442</v>
      </c>
      <c r="D1875" s="1" t="s">
        <v>2443</v>
      </c>
      <c r="E1875" s="1" t="s">
        <v>34</v>
      </c>
      <c r="F1875" s="1" t="s">
        <v>263</v>
      </c>
      <c r="G1875" s="1" t="s">
        <v>264</v>
      </c>
      <c r="H1875" s="1" t="s">
        <v>17</v>
      </c>
      <c r="I1875">
        <v>86639</v>
      </c>
      <c r="J1875" s="3">
        <v>48.16</v>
      </c>
      <c r="K1875" s="3">
        <v>4172534.24</v>
      </c>
    </row>
    <row r="1876" spans="1:11" x14ac:dyDescent="0.2">
      <c r="A1876" s="1" t="s">
        <v>2972</v>
      </c>
      <c r="B1876" s="2">
        <v>45375</v>
      </c>
      <c r="C1876" s="1" t="s">
        <v>1376</v>
      </c>
      <c r="D1876" s="1" t="s">
        <v>1377</v>
      </c>
      <c r="E1876" s="1" t="s">
        <v>14</v>
      </c>
      <c r="F1876" s="1" t="s">
        <v>406</v>
      </c>
      <c r="G1876" s="1" t="s">
        <v>407</v>
      </c>
      <c r="H1876" s="1" t="s">
        <v>17</v>
      </c>
      <c r="I1876">
        <v>19244</v>
      </c>
      <c r="J1876" s="3">
        <v>25.2</v>
      </c>
      <c r="K1876" s="3">
        <v>484948.8</v>
      </c>
    </row>
    <row r="1877" spans="1:11" x14ac:dyDescent="0.2">
      <c r="A1877" s="1" t="s">
        <v>2973</v>
      </c>
      <c r="B1877" s="2">
        <v>45788</v>
      </c>
      <c r="C1877" s="1" t="s">
        <v>356</v>
      </c>
      <c r="D1877" s="1" t="s">
        <v>357</v>
      </c>
      <c r="E1877" s="1" t="s">
        <v>14</v>
      </c>
      <c r="F1877" s="1" t="s">
        <v>52</v>
      </c>
      <c r="G1877" s="1" t="s">
        <v>53</v>
      </c>
      <c r="H1877" s="1" t="s">
        <v>17</v>
      </c>
      <c r="I1877">
        <v>19659</v>
      </c>
      <c r="J1877" s="3">
        <v>8.82</v>
      </c>
      <c r="K1877" s="3">
        <v>173392.38</v>
      </c>
    </row>
    <row r="1878" spans="1:11" x14ac:dyDescent="0.2">
      <c r="A1878" s="1" t="s">
        <v>2974</v>
      </c>
      <c r="B1878" s="2">
        <v>45913</v>
      </c>
      <c r="C1878" s="1" t="s">
        <v>1191</v>
      </c>
      <c r="D1878" s="1" t="s">
        <v>1192</v>
      </c>
      <c r="E1878" s="1" t="s">
        <v>21</v>
      </c>
      <c r="F1878" s="1" t="s">
        <v>184</v>
      </c>
      <c r="G1878" s="1" t="s">
        <v>185</v>
      </c>
      <c r="H1878" s="1" t="s">
        <v>17</v>
      </c>
      <c r="I1878">
        <v>91194</v>
      </c>
      <c r="J1878" s="3">
        <v>22.1</v>
      </c>
      <c r="K1878" s="3">
        <v>2015387.4</v>
      </c>
    </row>
    <row r="1879" spans="1:11" x14ac:dyDescent="0.2">
      <c r="A1879" s="1" t="s">
        <v>2975</v>
      </c>
      <c r="B1879" s="2">
        <v>45585</v>
      </c>
      <c r="C1879" s="1" t="s">
        <v>948</v>
      </c>
      <c r="D1879" s="1" t="s">
        <v>949</v>
      </c>
      <c r="E1879" s="1" t="s">
        <v>21</v>
      </c>
      <c r="F1879" s="1" t="s">
        <v>52</v>
      </c>
      <c r="G1879" s="1" t="s">
        <v>53</v>
      </c>
      <c r="H1879" s="1" t="s">
        <v>17</v>
      </c>
      <c r="I1879">
        <v>93944</v>
      </c>
      <c r="J1879" s="3">
        <v>42.87</v>
      </c>
      <c r="K1879" s="3">
        <v>4027379.28</v>
      </c>
    </row>
    <row r="1880" spans="1:11" x14ac:dyDescent="0.2">
      <c r="A1880" s="1" t="s">
        <v>2976</v>
      </c>
      <c r="B1880" s="2">
        <v>45774</v>
      </c>
      <c r="C1880" s="1" t="s">
        <v>886</v>
      </c>
      <c r="D1880" s="1" t="s">
        <v>887</v>
      </c>
      <c r="E1880" s="1" t="s">
        <v>21</v>
      </c>
      <c r="F1880" s="1" t="s">
        <v>412</v>
      </c>
      <c r="G1880" s="1" t="s">
        <v>413</v>
      </c>
      <c r="H1880" s="1" t="s">
        <v>72</v>
      </c>
      <c r="I1880">
        <v>35860</v>
      </c>
      <c r="J1880" s="3">
        <v>24.64</v>
      </c>
      <c r="K1880" s="3">
        <v>883590.4</v>
      </c>
    </row>
    <row r="1881" spans="1:11" x14ac:dyDescent="0.2">
      <c r="A1881" s="1" t="s">
        <v>2977</v>
      </c>
      <c r="B1881" s="2">
        <v>45782</v>
      </c>
      <c r="C1881" s="1" t="s">
        <v>50</v>
      </c>
      <c r="D1881" s="1" t="s">
        <v>51</v>
      </c>
      <c r="E1881" s="1" t="s">
        <v>21</v>
      </c>
      <c r="F1881" s="1" t="s">
        <v>15</v>
      </c>
      <c r="G1881" s="1" t="s">
        <v>16</v>
      </c>
      <c r="H1881" s="1" t="s">
        <v>17</v>
      </c>
      <c r="I1881">
        <v>95724</v>
      </c>
      <c r="J1881" s="3">
        <v>32.700000000000003</v>
      </c>
      <c r="K1881" s="3">
        <v>3130174.8</v>
      </c>
    </row>
    <row r="1882" spans="1:11" x14ac:dyDescent="0.2">
      <c r="A1882" s="1" t="s">
        <v>2978</v>
      </c>
      <c r="B1882" s="2">
        <v>45826</v>
      </c>
      <c r="C1882" s="1" t="s">
        <v>1310</v>
      </c>
      <c r="D1882" s="1" t="s">
        <v>1311</v>
      </c>
      <c r="E1882" s="1" t="s">
        <v>37</v>
      </c>
      <c r="F1882" s="1" t="s">
        <v>52</v>
      </c>
      <c r="G1882" s="1" t="s">
        <v>53</v>
      </c>
      <c r="H1882" s="1" t="s">
        <v>17</v>
      </c>
      <c r="I1882">
        <v>2654</v>
      </c>
      <c r="J1882" s="3">
        <v>17.059999999999999</v>
      </c>
      <c r="K1882" s="3">
        <v>45277.24</v>
      </c>
    </row>
    <row r="1883" spans="1:11" x14ac:dyDescent="0.2">
      <c r="A1883" s="1" t="s">
        <v>2979</v>
      </c>
      <c r="B1883" s="2">
        <v>46018</v>
      </c>
      <c r="C1883" s="1" t="s">
        <v>111</v>
      </c>
      <c r="D1883" s="1" t="s">
        <v>112</v>
      </c>
      <c r="E1883" s="1" t="s">
        <v>14</v>
      </c>
      <c r="F1883" s="1" t="s">
        <v>761</v>
      </c>
      <c r="G1883" s="1" t="s">
        <v>762</v>
      </c>
      <c r="H1883" s="1" t="s">
        <v>48</v>
      </c>
      <c r="I1883">
        <v>44253</v>
      </c>
      <c r="J1883" s="3">
        <v>21.54</v>
      </c>
      <c r="K1883" s="3">
        <v>953209.62</v>
      </c>
    </row>
    <row r="1884" spans="1:11" x14ac:dyDescent="0.2">
      <c r="A1884" s="1" t="s">
        <v>2980</v>
      </c>
      <c r="B1884" s="2">
        <v>45467</v>
      </c>
      <c r="C1884" s="1" t="s">
        <v>1578</v>
      </c>
      <c r="D1884" s="1" t="s">
        <v>1579</v>
      </c>
      <c r="E1884" s="1" t="s">
        <v>28</v>
      </c>
      <c r="F1884" s="1" t="s">
        <v>157</v>
      </c>
      <c r="G1884" s="1" t="s">
        <v>158</v>
      </c>
      <c r="H1884" s="1" t="s">
        <v>48</v>
      </c>
      <c r="I1884">
        <v>25315</v>
      </c>
      <c r="J1884" s="3">
        <v>32.909999999999997</v>
      </c>
      <c r="K1884" s="3">
        <v>833116.65</v>
      </c>
    </row>
    <row r="1885" spans="1:11" x14ac:dyDescent="0.2">
      <c r="A1885" s="1" t="s">
        <v>2981</v>
      </c>
      <c r="B1885" s="2">
        <v>45690</v>
      </c>
      <c r="C1885" s="1" t="s">
        <v>1314</v>
      </c>
      <c r="D1885" s="1" t="s">
        <v>1315</v>
      </c>
      <c r="E1885" s="1" t="s">
        <v>14</v>
      </c>
      <c r="F1885" s="1" t="s">
        <v>108</v>
      </c>
      <c r="G1885" s="1" t="s">
        <v>109</v>
      </c>
      <c r="H1885" s="1" t="s">
        <v>37</v>
      </c>
      <c r="I1885">
        <v>34847</v>
      </c>
      <c r="J1885" s="3">
        <v>39.06</v>
      </c>
      <c r="K1885" s="3">
        <v>1361123.82</v>
      </c>
    </row>
    <row r="1886" spans="1:11" x14ac:dyDescent="0.2">
      <c r="A1886" s="1" t="s">
        <v>2982</v>
      </c>
      <c r="B1886" s="2">
        <v>45512</v>
      </c>
      <c r="C1886" s="1" t="s">
        <v>759</v>
      </c>
      <c r="D1886" s="1" t="s">
        <v>760</v>
      </c>
      <c r="E1886" s="1" t="s">
        <v>37</v>
      </c>
      <c r="F1886" s="1" t="s">
        <v>176</v>
      </c>
      <c r="G1886" s="1" t="s">
        <v>177</v>
      </c>
      <c r="H1886" s="1" t="s">
        <v>37</v>
      </c>
      <c r="I1886">
        <v>88368</v>
      </c>
      <c r="J1886" s="3">
        <v>13.12</v>
      </c>
      <c r="K1886" s="3">
        <v>1159388.1599999999</v>
      </c>
    </row>
    <row r="1887" spans="1:11" x14ac:dyDescent="0.2">
      <c r="A1887" s="1" t="s">
        <v>2983</v>
      </c>
      <c r="B1887" s="2">
        <v>46008</v>
      </c>
      <c r="C1887" s="1" t="s">
        <v>1268</v>
      </c>
      <c r="D1887" s="1" t="s">
        <v>1269</v>
      </c>
      <c r="E1887" s="1" t="s">
        <v>34</v>
      </c>
      <c r="F1887" s="1" t="s">
        <v>284</v>
      </c>
      <c r="G1887" s="1" t="s">
        <v>285</v>
      </c>
      <c r="H1887" s="1" t="s">
        <v>37</v>
      </c>
      <c r="I1887">
        <v>33395</v>
      </c>
      <c r="J1887" s="3">
        <v>36.33</v>
      </c>
      <c r="K1887" s="3">
        <v>1213240.3500000001</v>
      </c>
    </row>
    <row r="1888" spans="1:11" x14ac:dyDescent="0.2">
      <c r="A1888" s="1" t="s">
        <v>2984</v>
      </c>
      <c r="B1888" s="2">
        <v>45799</v>
      </c>
      <c r="C1888" s="1" t="s">
        <v>377</v>
      </c>
      <c r="D1888" s="1" t="s">
        <v>378</v>
      </c>
      <c r="E1888" s="1" t="s">
        <v>37</v>
      </c>
      <c r="F1888" s="1" t="s">
        <v>15</v>
      </c>
      <c r="G1888" s="1" t="s">
        <v>16</v>
      </c>
      <c r="H1888" s="1" t="s">
        <v>17</v>
      </c>
      <c r="I1888">
        <v>59308</v>
      </c>
      <c r="J1888" s="3">
        <v>50</v>
      </c>
      <c r="K1888" s="3">
        <v>2965400</v>
      </c>
    </row>
    <row r="1889" spans="1:11" x14ac:dyDescent="0.2">
      <c r="A1889" s="1" t="s">
        <v>2985</v>
      </c>
      <c r="B1889" s="2">
        <v>45727</v>
      </c>
      <c r="C1889" s="1" t="s">
        <v>844</v>
      </c>
      <c r="D1889" s="1" t="s">
        <v>845</v>
      </c>
      <c r="E1889" s="1" t="s">
        <v>37</v>
      </c>
      <c r="F1889" s="1" t="s">
        <v>57</v>
      </c>
      <c r="G1889" s="1" t="s">
        <v>58</v>
      </c>
      <c r="H1889" s="1" t="s">
        <v>48</v>
      </c>
      <c r="I1889">
        <v>39647</v>
      </c>
      <c r="J1889" s="3">
        <v>2.86</v>
      </c>
      <c r="K1889" s="3">
        <v>113390.42</v>
      </c>
    </row>
    <row r="1890" spans="1:11" x14ac:dyDescent="0.2">
      <c r="A1890" s="1" t="s">
        <v>2986</v>
      </c>
      <c r="B1890" s="2">
        <v>45930</v>
      </c>
      <c r="C1890" s="1" t="s">
        <v>2662</v>
      </c>
      <c r="D1890" s="1" t="s">
        <v>2663</v>
      </c>
      <c r="E1890" s="1" t="s">
        <v>21</v>
      </c>
      <c r="F1890" s="1" t="s">
        <v>108</v>
      </c>
      <c r="G1890" s="1" t="s">
        <v>109</v>
      </c>
      <c r="H1890" s="1" t="s">
        <v>37</v>
      </c>
      <c r="I1890">
        <v>36326</v>
      </c>
      <c r="J1890" s="3">
        <v>12.39</v>
      </c>
      <c r="K1890" s="3">
        <v>450079.14</v>
      </c>
    </row>
    <row r="1891" spans="1:11" x14ac:dyDescent="0.2">
      <c r="A1891" s="1" t="s">
        <v>2987</v>
      </c>
      <c r="B1891" s="2">
        <v>45477</v>
      </c>
      <c r="C1891" s="1" t="s">
        <v>1658</v>
      </c>
      <c r="D1891" s="1" t="s">
        <v>1659</v>
      </c>
      <c r="E1891" s="1" t="s">
        <v>28</v>
      </c>
      <c r="F1891" s="1" t="s">
        <v>144</v>
      </c>
      <c r="G1891" s="1" t="s">
        <v>145</v>
      </c>
      <c r="H1891" s="1" t="s">
        <v>24</v>
      </c>
      <c r="I1891">
        <v>50640</v>
      </c>
      <c r="J1891" s="3">
        <v>18.48</v>
      </c>
      <c r="K1891" s="3">
        <v>935827.2</v>
      </c>
    </row>
    <row r="1892" spans="1:11" x14ac:dyDescent="0.2">
      <c r="A1892" s="1" t="s">
        <v>2988</v>
      </c>
      <c r="B1892" s="2">
        <v>45979</v>
      </c>
      <c r="C1892" s="1" t="s">
        <v>535</v>
      </c>
      <c r="D1892" s="1" t="s">
        <v>536</v>
      </c>
      <c r="E1892" s="1" t="s">
        <v>28</v>
      </c>
      <c r="F1892" s="1" t="s">
        <v>52</v>
      </c>
      <c r="G1892" s="1" t="s">
        <v>53</v>
      </c>
      <c r="H1892" s="1" t="s">
        <v>17</v>
      </c>
      <c r="I1892">
        <v>77669</v>
      </c>
      <c r="J1892" s="3">
        <v>46.64</v>
      </c>
      <c r="K1892" s="3">
        <v>3622482.16</v>
      </c>
    </row>
    <row r="1893" spans="1:11" x14ac:dyDescent="0.2">
      <c r="A1893" s="1" t="s">
        <v>2989</v>
      </c>
      <c r="B1893" s="2">
        <v>45305</v>
      </c>
      <c r="C1893" s="1" t="s">
        <v>1575</v>
      </c>
      <c r="D1893" s="1" t="s">
        <v>1576</v>
      </c>
      <c r="E1893" s="1" t="s">
        <v>14</v>
      </c>
      <c r="F1893" s="1" t="s">
        <v>330</v>
      </c>
      <c r="G1893" s="1" t="s">
        <v>331</v>
      </c>
      <c r="H1893" s="1" t="s">
        <v>72</v>
      </c>
      <c r="I1893">
        <v>75163</v>
      </c>
      <c r="J1893" s="3">
        <v>47.1</v>
      </c>
      <c r="K1893" s="3">
        <v>3540177.3</v>
      </c>
    </row>
    <row r="1894" spans="1:11" x14ac:dyDescent="0.2">
      <c r="A1894" s="1" t="s">
        <v>2990</v>
      </c>
      <c r="B1894" s="2">
        <v>45692</v>
      </c>
      <c r="C1894" s="1" t="s">
        <v>2991</v>
      </c>
      <c r="D1894" s="1" t="s">
        <v>2992</v>
      </c>
      <c r="E1894" s="1" t="s">
        <v>37</v>
      </c>
      <c r="F1894" s="1" t="s">
        <v>46</v>
      </c>
      <c r="G1894" s="1" t="s">
        <v>47</v>
      </c>
      <c r="H1894" s="1" t="s">
        <v>48</v>
      </c>
      <c r="I1894">
        <v>98312</v>
      </c>
      <c r="J1894" s="3">
        <v>11.17</v>
      </c>
      <c r="K1894" s="3">
        <v>1098145.04</v>
      </c>
    </row>
    <row r="1895" spans="1:11" x14ac:dyDescent="0.2">
      <c r="A1895" s="1" t="s">
        <v>2993</v>
      </c>
      <c r="B1895" s="2">
        <v>45342</v>
      </c>
      <c r="C1895" s="1" t="s">
        <v>945</v>
      </c>
      <c r="D1895" s="1" t="s">
        <v>946</v>
      </c>
      <c r="E1895" s="1" t="s">
        <v>14</v>
      </c>
      <c r="F1895" s="1" t="s">
        <v>165</v>
      </c>
      <c r="G1895" s="1" t="s">
        <v>166</v>
      </c>
      <c r="H1895" s="1" t="s">
        <v>24</v>
      </c>
      <c r="I1895">
        <v>30558</v>
      </c>
      <c r="J1895" s="3">
        <v>28.8</v>
      </c>
      <c r="K1895" s="3">
        <v>880070.4</v>
      </c>
    </row>
    <row r="1896" spans="1:11" x14ac:dyDescent="0.2">
      <c r="A1896" s="1" t="s">
        <v>2994</v>
      </c>
      <c r="B1896" s="2">
        <v>45581</v>
      </c>
      <c r="C1896" s="1" t="s">
        <v>920</v>
      </c>
      <c r="D1896" s="1" t="s">
        <v>921</v>
      </c>
      <c r="E1896" s="1" t="s">
        <v>14</v>
      </c>
      <c r="F1896" s="1" t="s">
        <v>251</v>
      </c>
      <c r="G1896" s="1" t="s">
        <v>252</v>
      </c>
      <c r="H1896" s="1" t="s">
        <v>72</v>
      </c>
      <c r="I1896">
        <v>94367</v>
      </c>
      <c r="J1896" s="3">
        <v>47.59</v>
      </c>
      <c r="K1896" s="3">
        <v>4490925.53</v>
      </c>
    </row>
    <row r="1897" spans="1:11" x14ac:dyDescent="0.2">
      <c r="A1897" s="1" t="s">
        <v>2995</v>
      </c>
      <c r="B1897" s="2">
        <v>45590</v>
      </c>
      <c r="C1897" s="1" t="s">
        <v>2121</v>
      </c>
      <c r="D1897" s="1" t="s">
        <v>2122</v>
      </c>
      <c r="E1897" s="1" t="s">
        <v>34</v>
      </c>
      <c r="F1897" s="1" t="s">
        <v>152</v>
      </c>
      <c r="G1897" s="1" t="s">
        <v>153</v>
      </c>
      <c r="H1897" s="1" t="s">
        <v>17</v>
      </c>
      <c r="I1897">
        <v>22034</v>
      </c>
      <c r="J1897" s="3">
        <v>40.49</v>
      </c>
      <c r="K1897" s="3">
        <v>892156.66</v>
      </c>
    </row>
    <row r="1898" spans="1:11" x14ac:dyDescent="0.2">
      <c r="A1898" s="1" t="s">
        <v>2996</v>
      </c>
      <c r="B1898" s="2">
        <v>45672</v>
      </c>
      <c r="C1898" s="1" t="s">
        <v>1007</v>
      </c>
      <c r="D1898" s="1" t="s">
        <v>1008</v>
      </c>
      <c r="E1898" s="1" t="s">
        <v>37</v>
      </c>
      <c r="F1898" s="1" t="s">
        <v>113</v>
      </c>
      <c r="G1898" s="1" t="s">
        <v>114</v>
      </c>
      <c r="H1898" s="1" t="s">
        <v>37</v>
      </c>
      <c r="I1898">
        <v>77539</v>
      </c>
      <c r="J1898" s="3">
        <v>10.18</v>
      </c>
      <c r="K1898" s="3">
        <v>789347.02</v>
      </c>
    </row>
    <row r="1899" spans="1:11" x14ac:dyDescent="0.2">
      <c r="A1899" s="1" t="s">
        <v>2997</v>
      </c>
      <c r="B1899" s="2">
        <v>45557</v>
      </c>
      <c r="C1899" s="1" t="s">
        <v>791</v>
      </c>
      <c r="D1899" s="1" t="s">
        <v>792</v>
      </c>
      <c r="E1899" s="1" t="s">
        <v>34</v>
      </c>
      <c r="F1899" s="1" t="s">
        <v>176</v>
      </c>
      <c r="G1899" s="1" t="s">
        <v>177</v>
      </c>
      <c r="H1899" s="1" t="s">
        <v>37</v>
      </c>
      <c r="I1899">
        <v>71852</v>
      </c>
      <c r="J1899" s="3">
        <v>32.42</v>
      </c>
      <c r="K1899" s="3">
        <v>2329441.84</v>
      </c>
    </row>
    <row r="1900" spans="1:11" x14ac:dyDescent="0.2">
      <c r="A1900" s="1" t="s">
        <v>2998</v>
      </c>
      <c r="B1900" s="2">
        <v>45492</v>
      </c>
      <c r="C1900" s="1" t="s">
        <v>2781</v>
      </c>
      <c r="D1900" s="1" t="s">
        <v>2782</v>
      </c>
      <c r="E1900" s="1" t="s">
        <v>34</v>
      </c>
      <c r="F1900" s="1" t="s">
        <v>108</v>
      </c>
      <c r="G1900" s="1" t="s">
        <v>109</v>
      </c>
      <c r="H1900" s="1" t="s">
        <v>37</v>
      </c>
      <c r="I1900">
        <v>40570</v>
      </c>
      <c r="J1900" s="3">
        <v>3.54</v>
      </c>
      <c r="K1900" s="3">
        <v>143617.79999999999</v>
      </c>
    </row>
    <row r="1901" spans="1:11" x14ac:dyDescent="0.2">
      <c r="A1901" s="1" t="s">
        <v>2999</v>
      </c>
      <c r="B1901" s="2">
        <v>45974</v>
      </c>
      <c r="C1901" s="1" t="s">
        <v>1953</v>
      </c>
      <c r="D1901" s="1" t="s">
        <v>1954</v>
      </c>
      <c r="E1901" s="1" t="s">
        <v>34</v>
      </c>
      <c r="F1901" s="1" t="s">
        <v>113</v>
      </c>
      <c r="G1901" s="1" t="s">
        <v>114</v>
      </c>
      <c r="H1901" s="1" t="s">
        <v>37</v>
      </c>
      <c r="I1901">
        <v>45900</v>
      </c>
      <c r="J1901" s="3">
        <v>22.38</v>
      </c>
      <c r="K1901" s="3">
        <v>1027242</v>
      </c>
    </row>
    <row r="1902" spans="1:11" x14ac:dyDescent="0.2">
      <c r="A1902" s="1" t="s">
        <v>3000</v>
      </c>
      <c r="B1902" s="2">
        <v>45401</v>
      </c>
      <c r="C1902" s="1" t="s">
        <v>1376</v>
      </c>
      <c r="D1902" s="1" t="s">
        <v>1377</v>
      </c>
      <c r="E1902" s="1" t="s">
        <v>14</v>
      </c>
      <c r="F1902" s="1" t="s">
        <v>273</v>
      </c>
      <c r="G1902" s="1" t="s">
        <v>274</v>
      </c>
      <c r="H1902" s="1" t="s">
        <v>24</v>
      </c>
      <c r="I1902">
        <v>60045</v>
      </c>
      <c r="J1902" s="3">
        <v>33.24</v>
      </c>
      <c r="K1902" s="3">
        <v>1995895.8</v>
      </c>
    </row>
    <row r="1903" spans="1:11" x14ac:dyDescent="0.2">
      <c r="A1903" s="1" t="s">
        <v>3001</v>
      </c>
      <c r="B1903" s="2">
        <v>45858</v>
      </c>
      <c r="C1903" s="1" t="s">
        <v>445</v>
      </c>
      <c r="D1903" s="1" t="s">
        <v>446</v>
      </c>
      <c r="E1903" s="1" t="s">
        <v>34</v>
      </c>
      <c r="F1903" s="1" t="s">
        <v>761</v>
      </c>
      <c r="G1903" s="1" t="s">
        <v>762</v>
      </c>
      <c r="H1903" s="1" t="s">
        <v>48</v>
      </c>
      <c r="I1903">
        <v>71075</v>
      </c>
      <c r="J1903" s="3">
        <v>49.69</v>
      </c>
      <c r="K1903" s="3">
        <v>3531716.75</v>
      </c>
    </row>
    <row r="1904" spans="1:11" x14ac:dyDescent="0.2">
      <c r="A1904" s="1" t="s">
        <v>3002</v>
      </c>
      <c r="B1904" s="2">
        <v>45698</v>
      </c>
      <c r="C1904" s="1" t="s">
        <v>101</v>
      </c>
      <c r="D1904" s="1" t="s">
        <v>102</v>
      </c>
      <c r="E1904" s="1" t="s">
        <v>37</v>
      </c>
      <c r="F1904" s="1" t="s">
        <v>113</v>
      </c>
      <c r="G1904" s="1" t="s">
        <v>114</v>
      </c>
      <c r="H1904" s="1" t="s">
        <v>37</v>
      </c>
      <c r="I1904">
        <v>3109</v>
      </c>
      <c r="J1904" s="3">
        <v>27.57</v>
      </c>
      <c r="K1904" s="3">
        <v>85715.13</v>
      </c>
    </row>
    <row r="1905" spans="1:11" x14ac:dyDescent="0.2">
      <c r="A1905" s="1" t="s">
        <v>3003</v>
      </c>
      <c r="B1905" s="2">
        <v>45965</v>
      </c>
      <c r="C1905" s="1" t="s">
        <v>1408</v>
      </c>
      <c r="D1905" s="1" t="s">
        <v>1409</v>
      </c>
      <c r="E1905" s="1" t="s">
        <v>21</v>
      </c>
      <c r="F1905" s="1" t="s">
        <v>57</v>
      </c>
      <c r="G1905" s="1" t="s">
        <v>58</v>
      </c>
      <c r="H1905" s="1" t="s">
        <v>48</v>
      </c>
      <c r="I1905">
        <v>27843</v>
      </c>
      <c r="J1905" s="3">
        <v>24.4</v>
      </c>
      <c r="K1905" s="3">
        <v>679369.2</v>
      </c>
    </row>
    <row r="1906" spans="1:11" x14ac:dyDescent="0.2">
      <c r="A1906" s="1" t="s">
        <v>3004</v>
      </c>
      <c r="B1906" s="2">
        <v>45914</v>
      </c>
      <c r="C1906" s="1" t="s">
        <v>2031</v>
      </c>
      <c r="D1906" s="1" t="s">
        <v>2032</v>
      </c>
      <c r="E1906" s="1" t="s">
        <v>14</v>
      </c>
      <c r="F1906" s="1" t="s">
        <v>144</v>
      </c>
      <c r="G1906" s="1" t="s">
        <v>145</v>
      </c>
      <c r="H1906" s="1" t="s">
        <v>24</v>
      </c>
      <c r="I1906">
        <v>55099</v>
      </c>
      <c r="J1906" s="3">
        <v>3.45</v>
      </c>
      <c r="K1906" s="3">
        <v>190091.55</v>
      </c>
    </row>
    <row r="1907" spans="1:11" x14ac:dyDescent="0.2">
      <c r="A1907" s="1" t="s">
        <v>3005</v>
      </c>
      <c r="B1907" s="2">
        <v>45782</v>
      </c>
      <c r="C1907" s="1" t="s">
        <v>1061</v>
      </c>
      <c r="D1907" s="1" t="s">
        <v>1062</v>
      </c>
      <c r="E1907" s="1" t="s">
        <v>14</v>
      </c>
      <c r="F1907" s="1" t="s">
        <v>65</v>
      </c>
      <c r="G1907" s="1" t="s">
        <v>66</v>
      </c>
      <c r="H1907" s="1" t="s">
        <v>48</v>
      </c>
      <c r="I1907">
        <v>14291</v>
      </c>
      <c r="J1907" s="3">
        <v>6.46</v>
      </c>
      <c r="K1907" s="3">
        <v>92319.86</v>
      </c>
    </row>
    <row r="1908" spans="1:11" x14ac:dyDescent="0.2">
      <c r="A1908" s="1" t="s">
        <v>3006</v>
      </c>
      <c r="B1908" s="2">
        <v>45672</v>
      </c>
      <c r="C1908" s="1" t="s">
        <v>192</v>
      </c>
      <c r="D1908" s="1" t="s">
        <v>193</v>
      </c>
      <c r="E1908" s="1" t="s">
        <v>37</v>
      </c>
      <c r="F1908" s="1" t="s">
        <v>208</v>
      </c>
      <c r="G1908" s="1" t="s">
        <v>209</v>
      </c>
      <c r="H1908" s="1" t="s">
        <v>17</v>
      </c>
      <c r="I1908">
        <v>8562</v>
      </c>
      <c r="J1908" s="3">
        <v>36.85</v>
      </c>
      <c r="K1908" s="3">
        <v>315509.7</v>
      </c>
    </row>
    <row r="1909" spans="1:11" x14ac:dyDescent="0.2">
      <c r="A1909" s="1" t="s">
        <v>3007</v>
      </c>
      <c r="B1909" s="2">
        <v>45352</v>
      </c>
      <c r="C1909" s="1" t="s">
        <v>625</v>
      </c>
      <c r="D1909" s="1" t="s">
        <v>626</v>
      </c>
      <c r="E1909" s="1" t="s">
        <v>34</v>
      </c>
      <c r="F1909" s="1" t="s">
        <v>474</v>
      </c>
      <c r="G1909" s="1" t="s">
        <v>475</v>
      </c>
      <c r="H1909" s="1" t="s">
        <v>48</v>
      </c>
      <c r="I1909">
        <v>15174</v>
      </c>
      <c r="J1909" s="3">
        <v>5.94</v>
      </c>
      <c r="K1909" s="3">
        <v>90133.56</v>
      </c>
    </row>
    <row r="1910" spans="1:11" x14ac:dyDescent="0.2">
      <c r="A1910" s="1" t="s">
        <v>3008</v>
      </c>
      <c r="B1910" s="2">
        <v>45360</v>
      </c>
      <c r="C1910" s="1" t="s">
        <v>984</v>
      </c>
      <c r="D1910" s="1" t="s">
        <v>985</v>
      </c>
      <c r="E1910" s="1" t="s">
        <v>14</v>
      </c>
      <c r="F1910" s="1" t="s">
        <v>98</v>
      </c>
      <c r="G1910" s="1" t="s">
        <v>99</v>
      </c>
      <c r="H1910" s="1" t="s">
        <v>72</v>
      </c>
      <c r="I1910">
        <v>75395</v>
      </c>
      <c r="J1910" s="3">
        <v>40.83</v>
      </c>
      <c r="K1910" s="3">
        <v>3078377.85</v>
      </c>
    </row>
    <row r="1911" spans="1:11" x14ac:dyDescent="0.2">
      <c r="A1911" s="1" t="s">
        <v>3009</v>
      </c>
      <c r="B1911" s="2">
        <v>45595</v>
      </c>
      <c r="C1911" s="1" t="s">
        <v>240</v>
      </c>
      <c r="D1911" s="1" t="s">
        <v>241</v>
      </c>
      <c r="E1911" s="1" t="s">
        <v>28</v>
      </c>
      <c r="F1911" s="1" t="s">
        <v>29</v>
      </c>
      <c r="G1911" s="1" t="s">
        <v>30</v>
      </c>
      <c r="H1911" s="1" t="s">
        <v>24</v>
      </c>
      <c r="I1911">
        <v>68740</v>
      </c>
      <c r="J1911" s="3">
        <v>6.42</v>
      </c>
      <c r="K1911" s="3">
        <v>441310.8</v>
      </c>
    </row>
    <row r="1912" spans="1:11" x14ac:dyDescent="0.2">
      <c r="A1912" s="1" t="s">
        <v>3010</v>
      </c>
      <c r="B1912" s="2">
        <v>45672</v>
      </c>
      <c r="C1912" s="1" t="s">
        <v>487</v>
      </c>
      <c r="D1912" s="1" t="s">
        <v>488</v>
      </c>
      <c r="E1912" s="1" t="s">
        <v>28</v>
      </c>
      <c r="F1912" s="1" t="s">
        <v>70</v>
      </c>
      <c r="G1912" s="1" t="s">
        <v>71</v>
      </c>
      <c r="H1912" s="1" t="s">
        <v>72</v>
      </c>
      <c r="I1912">
        <v>1713</v>
      </c>
      <c r="J1912" s="3">
        <v>23.59</v>
      </c>
      <c r="K1912" s="3">
        <v>40409.67</v>
      </c>
    </row>
    <row r="1913" spans="1:11" x14ac:dyDescent="0.2">
      <c r="A1913" s="1" t="s">
        <v>3011</v>
      </c>
      <c r="B1913" s="2">
        <v>45905</v>
      </c>
      <c r="C1913" s="1" t="s">
        <v>84</v>
      </c>
      <c r="D1913" s="1" t="s">
        <v>85</v>
      </c>
      <c r="E1913" s="1" t="s">
        <v>28</v>
      </c>
      <c r="F1913" s="1" t="s">
        <v>436</v>
      </c>
      <c r="G1913" s="1" t="s">
        <v>437</v>
      </c>
      <c r="H1913" s="1" t="s">
        <v>24</v>
      </c>
      <c r="I1913">
        <v>56071</v>
      </c>
      <c r="J1913" s="3">
        <v>44.27</v>
      </c>
      <c r="K1913" s="3">
        <v>2482263.17</v>
      </c>
    </row>
    <row r="1914" spans="1:11" x14ac:dyDescent="0.2">
      <c r="A1914" s="1" t="s">
        <v>3012</v>
      </c>
      <c r="B1914" s="2">
        <v>45888</v>
      </c>
      <c r="C1914" s="1" t="s">
        <v>1662</v>
      </c>
      <c r="D1914" s="1" t="s">
        <v>1663</v>
      </c>
      <c r="E1914" s="1" t="s">
        <v>37</v>
      </c>
      <c r="F1914" s="1" t="s">
        <v>41</v>
      </c>
      <c r="G1914" s="1" t="s">
        <v>42</v>
      </c>
      <c r="H1914" s="1" t="s">
        <v>24</v>
      </c>
      <c r="I1914">
        <v>47781</v>
      </c>
      <c r="J1914" s="3">
        <v>11.07</v>
      </c>
      <c r="K1914" s="3">
        <v>528935.67000000004</v>
      </c>
    </row>
    <row r="1915" spans="1:11" x14ac:dyDescent="0.2">
      <c r="A1915" s="1" t="s">
        <v>3013</v>
      </c>
      <c r="B1915" s="2">
        <v>45749</v>
      </c>
      <c r="C1915" s="1" t="s">
        <v>692</v>
      </c>
      <c r="D1915" s="1" t="s">
        <v>693</v>
      </c>
      <c r="E1915" s="1" t="s">
        <v>28</v>
      </c>
      <c r="F1915" s="1" t="s">
        <v>406</v>
      </c>
      <c r="G1915" s="1" t="s">
        <v>407</v>
      </c>
      <c r="H1915" s="1" t="s">
        <v>17</v>
      </c>
      <c r="I1915">
        <v>22458</v>
      </c>
      <c r="J1915" s="3">
        <v>24.33</v>
      </c>
      <c r="K1915" s="3">
        <v>546403.14</v>
      </c>
    </row>
    <row r="1916" spans="1:11" x14ac:dyDescent="0.2">
      <c r="A1916" s="1" t="s">
        <v>3014</v>
      </c>
      <c r="B1916" s="2">
        <v>45553</v>
      </c>
      <c r="C1916" s="1" t="s">
        <v>400</v>
      </c>
      <c r="D1916" s="1" t="s">
        <v>401</v>
      </c>
      <c r="E1916" s="1" t="s">
        <v>21</v>
      </c>
      <c r="F1916" s="1" t="s">
        <v>406</v>
      </c>
      <c r="G1916" s="1" t="s">
        <v>407</v>
      </c>
      <c r="H1916" s="1" t="s">
        <v>17</v>
      </c>
      <c r="I1916">
        <v>63782</v>
      </c>
      <c r="J1916" s="3">
        <v>33.020000000000003</v>
      </c>
      <c r="K1916" s="3">
        <v>2106081.64</v>
      </c>
    </row>
    <row r="1917" spans="1:11" x14ac:dyDescent="0.2">
      <c r="A1917" s="1" t="s">
        <v>3015</v>
      </c>
      <c r="B1917" s="2">
        <v>45310</v>
      </c>
      <c r="C1917" s="1" t="s">
        <v>1368</v>
      </c>
      <c r="D1917" s="1" t="s">
        <v>1369</v>
      </c>
      <c r="E1917" s="1" t="s">
        <v>28</v>
      </c>
      <c r="F1917" s="1" t="s">
        <v>339</v>
      </c>
      <c r="G1917" s="1" t="s">
        <v>340</v>
      </c>
      <c r="H1917" s="1" t="s">
        <v>24</v>
      </c>
      <c r="I1917">
        <v>13495</v>
      </c>
      <c r="J1917" s="3">
        <v>49.91</v>
      </c>
      <c r="K1917" s="3">
        <v>673535.45</v>
      </c>
    </row>
    <row r="1918" spans="1:11" x14ac:dyDescent="0.2">
      <c r="A1918" s="1" t="s">
        <v>3016</v>
      </c>
      <c r="B1918" s="2">
        <v>45986</v>
      </c>
      <c r="C1918" s="1" t="s">
        <v>1105</v>
      </c>
      <c r="D1918" s="1" t="s">
        <v>1106</v>
      </c>
      <c r="E1918" s="1" t="s">
        <v>34</v>
      </c>
      <c r="F1918" s="1" t="s">
        <v>463</v>
      </c>
      <c r="G1918" s="1" t="s">
        <v>464</v>
      </c>
      <c r="H1918" s="1" t="s">
        <v>37</v>
      </c>
      <c r="I1918">
        <v>69896</v>
      </c>
      <c r="J1918" s="3">
        <v>32.49</v>
      </c>
      <c r="K1918" s="3">
        <v>2270921.04</v>
      </c>
    </row>
    <row r="1919" spans="1:11" x14ac:dyDescent="0.2">
      <c r="A1919" s="1" t="s">
        <v>3017</v>
      </c>
      <c r="B1919" s="2">
        <v>45356</v>
      </c>
      <c r="C1919" s="1" t="s">
        <v>1800</v>
      </c>
      <c r="D1919" s="1" t="s">
        <v>1801</v>
      </c>
      <c r="E1919" s="1" t="s">
        <v>34</v>
      </c>
      <c r="F1919" s="1" t="s">
        <v>552</v>
      </c>
      <c r="G1919" s="1" t="s">
        <v>553</v>
      </c>
      <c r="H1919" s="1" t="s">
        <v>37</v>
      </c>
      <c r="I1919">
        <v>83181</v>
      </c>
      <c r="J1919" s="3">
        <v>16.39</v>
      </c>
      <c r="K1919" s="3">
        <v>1363336.59</v>
      </c>
    </row>
    <row r="1920" spans="1:11" x14ac:dyDescent="0.2">
      <c r="A1920" s="1" t="s">
        <v>3018</v>
      </c>
      <c r="B1920" s="2">
        <v>45370</v>
      </c>
      <c r="C1920" s="1" t="s">
        <v>1652</v>
      </c>
      <c r="D1920" s="1" t="s">
        <v>1653</v>
      </c>
      <c r="E1920" s="1" t="s">
        <v>28</v>
      </c>
      <c r="F1920" s="1" t="s">
        <v>81</v>
      </c>
      <c r="G1920" s="1" t="s">
        <v>82</v>
      </c>
      <c r="H1920" s="1" t="s">
        <v>72</v>
      </c>
      <c r="I1920">
        <v>79573</v>
      </c>
      <c r="J1920" s="3">
        <v>13.24</v>
      </c>
      <c r="K1920" s="3">
        <v>1053546.52</v>
      </c>
    </row>
    <row r="1921" spans="1:11" x14ac:dyDescent="0.2">
      <c r="A1921" s="1" t="s">
        <v>3019</v>
      </c>
      <c r="B1921" s="2">
        <v>45490</v>
      </c>
      <c r="C1921" s="1" t="s">
        <v>44</v>
      </c>
      <c r="D1921" s="1" t="s">
        <v>45</v>
      </c>
      <c r="E1921" s="1" t="s">
        <v>34</v>
      </c>
      <c r="F1921" s="1" t="s">
        <v>412</v>
      </c>
      <c r="G1921" s="1" t="s">
        <v>413</v>
      </c>
      <c r="H1921" s="1" t="s">
        <v>72</v>
      </c>
      <c r="I1921">
        <v>64440</v>
      </c>
      <c r="J1921" s="3">
        <v>7.55</v>
      </c>
      <c r="K1921" s="3">
        <v>486522</v>
      </c>
    </row>
    <row r="1922" spans="1:11" x14ac:dyDescent="0.2">
      <c r="A1922" s="1" t="s">
        <v>3020</v>
      </c>
      <c r="B1922" s="2">
        <v>45334</v>
      </c>
      <c r="C1922" s="1" t="s">
        <v>1578</v>
      </c>
      <c r="D1922" s="1" t="s">
        <v>1579</v>
      </c>
      <c r="E1922" s="1" t="s">
        <v>28</v>
      </c>
      <c r="F1922" s="1" t="s">
        <v>184</v>
      </c>
      <c r="G1922" s="1" t="s">
        <v>185</v>
      </c>
      <c r="H1922" s="1" t="s">
        <v>17</v>
      </c>
      <c r="I1922">
        <v>50074</v>
      </c>
      <c r="J1922" s="3">
        <v>5.79</v>
      </c>
      <c r="K1922" s="3">
        <v>289928.46000000002</v>
      </c>
    </row>
    <row r="1923" spans="1:11" x14ac:dyDescent="0.2">
      <c r="A1923" s="1" t="s">
        <v>3021</v>
      </c>
      <c r="B1923" s="2">
        <v>45646</v>
      </c>
      <c r="C1923" s="1" t="s">
        <v>495</v>
      </c>
      <c r="D1923" s="1" t="s">
        <v>496</v>
      </c>
      <c r="E1923" s="1" t="s">
        <v>37</v>
      </c>
      <c r="F1923" s="1" t="s">
        <v>57</v>
      </c>
      <c r="G1923" s="1" t="s">
        <v>58</v>
      </c>
      <c r="H1923" s="1" t="s">
        <v>48</v>
      </c>
      <c r="I1923">
        <v>24198</v>
      </c>
      <c r="J1923" s="3">
        <v>39.25</v>
      </c>
      <c r="K1923" s="3">
        <v>949771.5</v>
      </c>
    </row>
    <row r="1924" spans="1:11" x14ac:dyDescent="0.2">
      <c r="A1924" s="1" t="s">
        <v>3022</v>
      </c>
      <c r="B1924" s="2">
        <v>45457</v>
      </c>
      <c r="C1924" s="1" t="s">
        <v>1001</v>
      </c>
      <c r="D1924" s="1" t="s">
        <v>1002</v>
      </c>
      <c r="E1924" s="1" t="s">
        <v>37</v>
      </c>
      <c r="F1924" s="1" t="s">
        <v>195</v>
      </c>
      <c r="G1924" s="1" t="s">
        <v>196</v>
      </c>
      <c r="H1924" s="1" t="s">
        <v>48</v>
      </c>
      <c r="I1924">
        <v>70476</v>
      </c>
      <c r="J1924" s="3">
        <v>23.09</v>
      </c>
      <c r="K1924" s="3">
        <v>1627290.84</v>
      </c>
    </row>
    <row r="1925" spans="1:11" x14ac:dyDescent="0.2">
      <c r="A1925" s="1" t="s">
        <v>3023</v>
      </c>
      <c r="B1925" s="2">
        <v>45728</v>
      </c>
      <c r="C1925" s="1" t="s">
        <v>1513</v>
      </c>
      <c r="D1925" s="1" t="s">
        <v>1514</v>
      </c>
      <c r="E1925" s="1" t="s">
        <v>28</v>
      </c>
      <c r="F1925" s="1" t="s">
        <v>184</v>
      </c>
      <c r="G1925" s="1" t="s">
        <v>185</v>
      </c>
      <c r="H1925" s="1" t="s">
        <v>17</v>
      </c>
      <c r="I1925">
        <v>44652</v>
      </c>
      <c r="J1925" s="3">
        <v>16.09</v>
      </c>
      <c r="K1925" s="3">
        <v>718450.68</v>
      </c>
    </row>
    <row r="1926" spans="1:11" x14ac:dyDescent="0.2">
      <c r="A1926" s="1" t="s">
        <v>3024</v>
      </c>
      <c r="B1926" s="2">
        <v>45613</v>
      </c>
      <c r="C1926" s="1" t="s">
        <v>50</v>
      </c>
      <c r="D1926" s="1" t="s">
        <v>51</v>
      </c>
      <c r="E1926" s="1" t="s">
        <v>21</v>
      </c>
      <c r="F1926" s="1" t="s">
        <v>510</v>
      </c>
      <c r="G1926" s="1" t="s">
        <v>511</v>
      </c>
      <c r="H1926" s="1" t="s">
        <v>17</v>
      </c>
      <c r="I1926">
        <v>44707</v>
      </c>
      <c r="J1926" s="3">
        <v>9.9600000000000009</v>
      </c>
      <c r="K1926" s="3">
        <v>445281.72</v>
      </c>
    </row>
    <row r="1927" spans="1:11" x14ac:dyDescent="0.2">
      <c r="A1927" s="1" t="s">
        <v>3025</v>
      </c>
      <c r="B1927" s="2">
        <v>45482</v>
      </c>
      <c r="C1927" s="1" t="s">
        <v>1314</v>
      </c>
      <c r="D1927" s="1" t="s">
        <v>1315</v>
      </c>
      <c r="E1927" s="1" t="s">
        <v>14</v>
      </c>
      <c r="F1927" s="1" t="s">
        <v>70</v>
      </c>
      <c r="G1927" s="1" t="s">
        <v>71</v>
      </c>
      <c r="H1927" s="1" t="s">
        <v>72</v>
      </c>
      <c r="I1927">
        <v>71744</v>
      </c>
      <c r="J1927" s="3">
        <v>15.55</v>
      </c>
      <c r="K1927" s="3">
        <v>1115619.2</v>
      </c>
    </row>
    <row r="1928" spans="1:11" x14ac:dyDescent="0.2">
      <c r="A1928" s="1" t="s">
        <v>3026</v>
      </c>
      <c r="B1928" s="2">
        <v>45560</v>
      </c>
      <c r="C1928" s="1" t="s">
        <v>382</v>
      </c>
      <c r="D1928" s="1" t="s">
        <v>383</v>
      </c>
      <c r="E1928" s="1" t="s">
        <v>34</v>
      </c>
      <c r="F1928" s="1" t="s">
        <v>195</v>
      </c>
      <c r="G1928" s="1" t="s">
        <v>196</v>
      </c>
      <c r="H1928" s="1" t="s">
        <v>48</v>
      </c>
      <c r="I1928">
        <v>1190</v>
      </c>
      <c r="J1928" s="3">
        <v>45.68</v>
      </c>
      <c r="K1928" s="3">
        <v>54359.199999999997</v>
      </c>
    </row>
    <row r="1929" spans="1:11" x14ac:dyDescent="0.2">
      <c r="A1929" s="1" t="s">
        <v>3027</v>
      </c>
      <c r="B1929" s="2">
        <v>45950</v>
      </c>
      <c r="C1929" s="1" t="s">
        <v>505</v>
      </c>
      <c r="D1929" s="1" t="s">
        <v>506</v>
      </c>
      <c r="E1929" s="1" t="s">
        <v>21</v>
      </c>
      <c r="F1929" s="1" t="s">
        <v>458</v>
      </c>
      <c r="G1929" s="1" t="s">
        <v>459</v>
      </c>
      <c r="H1929" s="1" t="s">
        <v>72</v>
      </c>
      <c r="I1929">
        <v>67365</v>
      </c>
      <c r="J1929" s="3">
        <v>4.78</v>
      </c>
      <c r="K1929" s="3">
        <v>322004.7</v>
      </c>
    </row>
    <row r="1930" spans="1:11" x14ac:dyDescent="0.2">
      <c r="A1930" s="1" t="s">
        <v>3028</v>
      </c>
      <c r="B1930" s="2">
        <v>45921</v>
      </c>
      <c r="C1930" s="1" t="s">
        <v>593</v>
      </c>
      <c r="D1930" s="1" t="s">
        <v>594</v>
      </c>
      <c r="E1930" s="1" t="s">
        <v>37</v>
      </c>
      <c r="F1930" s="1" t="s">
        <v>103</v>
      </c>
      <c r="G1930" s="1" t="s">
        <v>104</v>
      </c>
      <c r="H1930" s="1" t="s">
        <v>37</v>
      </c>
      <c r="I1930">
        <v>78289</v>
      </c>
      <c r="J1930" s="3">
        <v>10.5</v>
      </c>
      <c r="K1930" s="3">
        <v>822034.5</v>
      </c>
    </row>
    <row r="1931" spans="1:11" x14ac:dyDescent="0.2">
      <c r="A1931" s="1" t="s">
        <v>3029</v>
      </c>
      <c r="B1931" s="2">
        <v>45594</v>
      </c>
      <c r="C1931" s="1" t="s">
        <v>1178</v>
      </c>
      <c r="D1931" s="1" t="s">
        <v>1179</v>
      </c>
      <c r="E1931" s="1" t="s">
        <v>34</v>
      </c>
      <c r="F1931" s="1" t="s">
        <v>98</v>
      </c>
      <c r="G1931" s="1" t="s">
        <v>99</v>
      </c>
      <c r="H1931" s="1" t="s">
        <v>72</v>
      </c>
      <c r="I1931">
        <v>86919</v>
      </c>
      <c r="J1931" s="3">
        <v>5.33</v>
      </c>
      <c r="K1931" s="3">
        <v>463278.27</v>
      </c>
    </row>
    <row r="1932" spans="1:11" x14ac:dyDescent="0.2">
      <c r="A1932" s="1" t="s">
        <v>3030</v>
      </c>
      <c r="B1932" s="2">
        <v>45790</v>
      </c>
      <c r="C1932" s="1" t="s">
        <v>730</v>
      </c>
      <c r="D1932" s="1" t="s">
        <v>731</v>
      </c>
      <c r="E1932" s="1" t="s">
        <v>14</v>
      </c>
      <c r="F1932" s="1" t="s">
        <v>108</v>
      </c>
      <c r="G1932" s="1" t="s">
        <v>109</v>
      </c>
      <c r="H1932" s="1" t="s">
        <v>37</v>
      </c>
      <c r="I1932">
        <v>38866</v>
      </c>
      <c r="J1932" s="3">
        <v>29.6</v>
      </c>
      <c r="K1932" s="3">
        <v>1150433.6000000001</v>
      </c>
    </row>
    <row r="1933" spans="1:11" x14ac:dyDescent="0.2">
      <c r="A1933" s="1" t="s">
        <v>3031</v>
      </c>
      <c r="B1933" s="2">
        <v>45946</v>
      </c>
      <c r="C1933" s="1" t="s">
        <v>362</v>
      </c>
      <c r="D1933" s="1" t="s">
        <v>363</v>
      </c>
      <c r="E1933" s="1" t="s">
        <v>37</v>
      </c>
      <c r="F1933" s="1" t="s">
        <v>268</v>
      </c>
      <c r="G1933" s="1" t="s">
        <v>269</v>
      </c>
      <c r="H1933" s="1" t="s">
        <v>72</v>
      </c>
      <c r="I1933">
        <v>8474</v>
      </c>
      <c r="J1933" s="3">
        <v>17.71</v>
      </c>
      <c r="K1933" s="3">
        <v>150074.54</v>
      </c>
    </row>
    <row r="1934" spans="1:11" x14ac:dyDescent="0.2">
      <c r="A1934" s="1" t="s">
        <v>3032</v>
      </c>
      <c r="B1934" s="2">
        <v>46000</v>
      </c>
      <c r="C1934" s="1" t="s">
        <v>2145</v>
      </c>
      <c r="D1934" s="1" t="s">
        <v>2146</v>
      </c>
      <c r="E1934" s="1" t="s">
        <v>37</v>
      </c>
      <c r="F1934" s="1" t="s">
        <v>284</v>
      </c>
      <c r="G1934" s="1" t="s">
        <v>285</v>
      </c>
      <c r="H1934" s="1" t="s">
        <v>37</v>
      </c>
      <c r="I1934">
        <v>25493</v>
      </c>
      <c r="J1934" s="3">
        <v>12.17</v>
      </c>
      <c r="K1934" s="3">
        <v>310249.81</v>
      </c>
    </row>
    <row r="1935" spans="1:11" x14ac:dyDescent="0.2">
      <c r="A1935" s="1" t="s">
        <v>3033</v>
      </c>
      <c r="B1935" s="2">
        <v>45543</v>
      </c>
      <c r="C1935" s="1" t="s">
        <v>2662</v>
      </c>
      <c r="D1935" s="1" t="s">
        <v>2663</v>
      </c>
      <c r="E1935" s="1" t="s">
        <v>21</v>
      </c>
      <c r="F1935" s="1" t="s">
        <v>237</v>
      </c>
      <c r="G1935" s="1" t="s">
        <v>238</v>
      </c>
      <c r="H1935" s="1" t="s">
        <v>17</v>
      </c>
      <c r="I1935">
        <v>27229</v>
      </c>
      <c r="J1935" s="3">
        <v>20.5</v>
      </c>
      <c r="K1935" s="3">
        <v>558194.5</v>
      </c>
    </row>
    <row r="1936" spans="1:11" x14ac:dyDescent="0.2">
      <c r="A1936" s="1" t="s">
        <v>3034</v>
      </c>
      <c r="B1936" s="2">
        <v>45312</v>
      </c>
      <c r="C1936" s="1" t="s">
        <v>1894</v>
      </c>
      <c r="D1936" s="1" t="s">
        <v>1895</v>
      </c>
      <c r="E1936" s="1" t="s">
        <v>28</v>
      </c>
      <c r="F1936" s="1" t="s">
        <v>22</v>
      </c>
      <c r="G1936" s="1" t="s">
        <v>23</v>
      </c>
      <c r="H1936" s="1" t="s">
        <v>24</v>
      </c>
      <c r="I1936">
        <v>28971</v>
      </c>
      <c r="J1936" s="3">
        <v>7.06</v>
      </c>
      <c r="K1936" s="3">
        <v>204535.26</v>
      </c>
    </row>
    <row r="1937" spans="1:11" x14ac:dyDescent="0.2">
      <c r="A1937" s="1" t="s">
        <v>3035</v>
      </c>
      <c r="B1937" s="2">
        <v>45954</v>
      </c>
      <c r="C1937" s="1" t="s">
        <v>1652</v>
      </c>
      <c r="D1937" s="1" t="s">
        <v>1653</v>
      </c>
      <c r="E1937" s="1" t="s">
        <v>28</v>
      </c>
      <c r="F1937" s="1" t="s">
        <v>406</v>
      </c>
      <c r="G1937" s="1" t="s">
        <v>407</v>
      </c>
      <c r="H1937" s="1" t="s">
        <v>17</v>
      </c>
      <c r="I1937">
        <v>1907</v>
      </c>
      <c r="J1937" s="3">
        <v>9.92</v>
      </c>
      <c r="K1937" s="3">
        <v>18917.439999999999</v>
      </c>
    </row>
    <row r="1938" spans="1:11" x14ac:dyDescent="0.2">
      <c r="A1938" s="1" t="s">
        <v>3036</v>
      </c>
      <c r="B1938" s="2">
        <v>45935</v>
      </c>
      <c r="C1938" s="1" t="s">
        <v>587</v>
      </c>
      <c r="D1938" s="1" t="s">
        <v>588</v>
      </c>
      <c r="E1938" s="1" t="s">
        <v>21</v>
      </c>
      <c r="F1938" s="1" t="s">
        <v>57</v>
      </c>
      <c r="G1938" s="1" t="s">
        <v>58</v>
      </c>
      <c r="H1938" s="1" t="s">
        <v>48</v>
      </c>
      <c r="I1938">
        <v>1197</v>
      </c>
      <c r="J1938" s="3">
        <v>23.05</v>
      </c>
      <c r="K1938" s="3">
        <v>27590.85</v>
      </c>
    </row>
    <row r="1939" spans="1:11" x14ac:dyDescent="0.2">
      <c r="A1939" s="1" t="s">
        <v>3037</v>
      </c>
      <c r="B1939" s="2">
        <v>45341</v>
      </c>
      <c r="C1939" s="1" t="s">
        <v>1137</v>
      </c>
      <c r="D1939" s="1" t="s">
        <v>1138</v>
      </c>
      <c r="E1939" s="1" t="s">
        <v>21</v>
      </c>
      <c r="F1939" s="1" t="s">
        <v>203</v>
      </c>
      <c r="G1939" s="1" t="s">
        <v>204</v>
      </c>
      <c r="H1939" s="1" t="s">
        <v>72</v>
      </c>
      <c r="I1939">
        <v>62775</v>
      </c>
      <c r="J1939" s="3">
        <v>31.48</v>
      </c>
      <c r="K1939" s="3">
        <v>1976157</v>
      </c>
    </row>
    <row r="1940" spans="1:11" x14ac:dyDescent="0.2">
      <c r="A1940" s="1" t="s">
        <v>3038</v>
      </c>
      <c r="B1940" s="2">
        <v>45411</v>
      </c>
      <c r="C1940" s="1" t="s">
        <v>688</v>
      </c>
      <c r="D1940" s="1" t="s">
        <v>689</v>
      </c>
      <c r="E1940" s="1" t="s">
        <v>37</v>
      </c>
      <c r="F1940" s="1" t="s">
        <v>263</v>
      </c>
      <c r="G1940" s="1" t="s">
        <v>264</v>
      </c>
      <c r="H1940" s="1" t="s">
        <v>17</v>
      </c>
      <c r="I1940">
        <v>58377</v>
      </c>
      <c r="J1940" s="3">
        <v>11.49</v>
      </c>
      <c r="K1940" s="3">
        <v>670751.73</v>
      </c>
    </row>
    <row r="1941" spans="1:11" x14ac:dyDescent="0.2">
      <c r="A1941" s="1" t="s">
        <v>3039</v>
      </c>
      <c r="B1941" s="2">
        <v>45700</v>
      </c>
      <c r="C1941" s="1" t="s">
        <v>1007</v>
      </c>
      <c r="D1941" s="1" t="s">
        <v>1008</v>
      </c>
      <c r="E1941" s="1" t="s">
        <v>37</v>
      </c>
      <c r="F1941" s="1" t="s">
        <v>474</v>
      </c>
      <c r="G1941" s="1" t="s">
        <v>475</v>
      </c>
      <c r="H1941" s="1" t="s">
        <v>48</v>
      </c>
      <c r="I1941">
        <v>34509</v>
      </c>
      <c r="J1941" s="3">
        <v>47.54</v>
      </c>
      <c r="K1941" s="3">
        <v>1640557.86</v>
      </c>
    </row>
    <row r="1942" spans="1:11" x14ac:dyDescent="0.2">
      <c r="A1942" s="1" t="s">
        <v>3040</v>
      </c>
      <c r="B1942" s="2">
        <v>45535</v>
      </c>
      <c r="C1942" s="1" t="s">
        <v>779</v>
      </c>
      <c r="D1942" s="1" t="s">
        <v>780</v>
      </c>
      <c r="E1942" s="1" t="s">
        <v>21</v>
      </c>
      <c r="F1942" s="1" t="s">
        <v>52</v>
      </c>
      <c r="G1942" s="1" t="s">
        <v>53</v>
      </c>
      <c r="H1942" s="1" t="s">
        <v>17</v>
      </c>
      <c r="I1942">
        <v>63001</v>
      </c>
      <c r="J1942" s="3">
        <v>16.940000000000001</v>
      </c>
      <c r="K1942" s="3">
        <v>1067236.94</v>
      </c>
    </row>
    <row r="1943" spans="1:11" x14ac:dyDescent="0.2">
      <c r="A1943" s="1" t="s">
        <v>3041</v>
      </c>
      <c r="B1943" s="2">
        <v>45347</v>
      </c>
      <c r="C1943" s="1" t="s">
        <v>2323</v>
      </c>
      <c r="D1943" s="1" t="s">
        <v>2324</v>
      </c>
      <c r="E1943" s="1" t="s">
        <v>34</v>
      </c>
      <c r="F1943" s="1" t="s">
        <v>139</v>
      </c>
      <c r="G1943" s="1" t="s">
        <v>140</v>
      </c>
      <c r="H1943" s="1" t="s">
        <v>24</v>
      </c>
      <c r="I1943">
        <v>18112</v>
      </c>
      <c r="J1943" s="3">
        <v>30.06</v>
      </c>
      <c r="K1943" s="3">
        <v>544446.71999999997</v>
      </c>
    </row>
    <row r="1944" spans="1:11" x14ac:dyDescent="0.2">
      <c r="A1944" s="1" t="s">
        <v>3042</v>
      </c>
      <c r="B1944" s="2">
        <v>45984</v>
      </c>
      <c r="C1944" s="1" t="s">
        <v>617</v>
      </c>
      <c r="D1944" s="1" t="s">
        <v>618</v>
      </c>
      <c r="E1944" s="1" t="s">
        <v>37</v>
      </c>
      <c r="F1944" s="1" t="s">
        <v>268</v>
      </c>
      <c r="G1944" s="1" t="s">
        <v>269</v>
      </c>
      <c r="H1944" s="1" t="s">
        <v>72</v>
      </c>
      <c r="I1944">
        <v>93938</v>
      </c>
      <c r="J1944" s="3">
        <v>15.37</v>
      </c>
      <c r="K1944" s="3">
        <v>1443827.06</v>
      </c>
    </row>
    <row r="1945" spans="1:11" x14ac:dyDescent="0.2">
      <c r="A1945" s="1" t="s">
        <v>3043</v>
      </c>
      <c r="B1945" s="2">
        <v>45488</v>
      </c>
      <c r="C1945" s="1" t="s">
        <v>1460</v>
      </c>
      <c r="D1945" s="1" t="s">
        <v>1461</v>
      </c>
      <c r="E1945" s="1" t="s">
        <v>37</v>
      </c>
      <c r="F1945" s="1" t="s">
        <v>157</v>
      </c>
      <c r="G1945" s="1" t="s">
        <v>158</v>
      </c>
      <c r="H1945" s="1" t="s">
        <v>48</v>
      </c>
      <c r="I1945">
        <v>82074</v>
      </c>
      <c r="J1945" s="3">
        <v>34.840000000000003</v>
      </c>
      <c r="K1945" s="3">
        <v>2859458.16</v>
      </c>
    </row>
    <row r="1946" spans="1:11" x14ac:dyDescent="0.2">
      <c r="A1946" s="1" t="s">
        <v>3044</v>
      </c>
      <c r="B1946" s="2">
        <v>45456</v>
      </c>
      <c r="C1946" s="1" t="s">
        <v>820</v>
      </c>
      <c r="D1946" s="1" t="s">
        <v>821</v>
      </c>
      <c r="E1946" s="1" t="s">
        <v>28</v>
      </c>
      <c r="F1946" s="1" t="s">
        <v>510</v>
      </c>
      <c r="G1946" s="1" t="s">
        <v>511</v>
      </c>
      <c r="H1946" s="1" t="s">
        <v>17</v>
      </c>
      <c r="I1946">
        <v>7449</v>
      </c>
      <c r="J1946" s="3">
        <v>19.18</v>
      </c>
      <c r="K1946" s="3">
        <v>142871.82</v>
      </c>
    </row>
    <row r="1947" spans="1:11" x14ac:dyDescent="0.2">
      <c r="A1947" s="1" t="s">
        <v>3045</v>
      </c>
      <c r="B1947" s="2">
        <v>45724</v>
      </c>
      <c r="C1947" s="1" t="s">
        <v>1340</v>
      </c>
      <c r="D1947" s="1" t="s">
        <v>1341</v>
      </c>
      <c r="E1947" s="1" t="s">
        <v>28</v>
      </c>
      <c r="F1947" s="1" t="s">
        <v>208</v>
      </c>
      <c r="G1947" s="1" t="s">
        <v>209</v>
      </c>
      <c r="H1947" s="1" t="s">
        <v>17</v>
      </c>
      <c r="I1947">
        <v>59772</v>
      </c>
      <c r="J1947" s="3">
        <v>48.24</v>
      </c>
      <c r="K1947" s="3">
        <v>2883401.28</v>
      </c>
    </row>
    <row r="1948" spans="1:11" x14ac:dyDescent="0.2">
      <c r="A1948" s="1" t="s">
        <v>3046</v>
      </c>
      <c r="B1948" s="2">
        <v>45775</v>
      </c>
      <c r="C1948" s="1" t="s">
        <v>1204</v>
      </c>
      <c r="D1948" s="1" t="s">
        <v>1205</v>
      </c>
      <c r="E1948" s="1" t="s">
        <v>14</v>
      </c>
      <c r="F1948" s="1" t="s">
        <v>98</v>
      </c>
      <c r="G1948" s="1" t="s">
        <v>99</v>
      </c>
      <c r="H1948" s="1" t="s">
        <v>72</v>
      </c>
      <c r="I1948">
        <v>8079</v>
      </c>
      <c r="J1948" s="3">
        <v>13.06</v>
      </c>
      <c r="K1948" s="3">
        <v>105511.74</v>
      </c>
    </row>
    <row r="1949" spans="1:11" x14ac:dyDescent="0.2">
      <c r="A1949" s="1" t="s">
        <v>3047</v>
      </c>
      <c r="B1949" s="2">
        <v>45564</v>
      </c>
      <c r="C1949" s="1" t="s">
        <v>243</v>
      </c>
      <c r="D1949" s="1" t="s">
        <v>244</v>
      </c>
      <c r="E1949" s="1" t="s">
        <v>21</v>
      </c>
      <c r="F1949" s="1" t="s">
        <v>103</v>
      </c>
      <c r="G1949" s="1" t="s">
        <v>104</v>
      </c>
      <c r="H1949" s="1" t="s">
        <v>37</v>
      </c>
      <c r="I1949">
        <v>60318</v>
      </c>
      <c r="J1949" s="3">
        <v>32.56</v>
      </c>
      <c r="K1949" s="3">
        <v>1963954.08</v>
      </c>
    </row>
    <row r="1950" spans="1:11" x14ac:dyDescent="0.2">
      <c r="A1950" s="1" t="s">
        <v>3048</v>
      </c>
      <c r="B1950" s="2">
        <v>45416</v>
      </c>
      <c r="C1950" s="1" t="s">
        <v>1001</v>
      </c>
      <c r="D1950" s="1" t="s">
        <v>1002</v>
      </c>
      <c r="E1950" s="1" t="s">
        <v>37</v>
      </c>
      <c r="F1950" s="1" t="s">
        <v>195</v>
      </c>
      <c r="G1950" s="1" t="s">
        <v>196</v>
      </c>
      <c r="H1950" s="1" t="s">
        <v>48</v>
      </c>
      <c r="I1950">
        <v>43204</v>
      </c>
      <c r="J1950" s="3">
        <v>13.8</v>
      </c>
      <c r="K1950" s="3">
        <v>596215.19999999995</v>
      </c>
    </row>
    <row r="1951" spans="1:11" x14ac:dyDescent="0.2">
      <c r="A1951" s="1" t="s">
        <v>3049</v>
      </c>
      <c r="B1951" s="2">
        <v>45504</v>
      </c>
      <c r="C1951" s="1" t="s">
        <v>1402</v>
      </c>
      <c r="D1951" s="1" t="s">
        <v>1403</v>
      </c>
      <c r="E1951" s="1" t="s">
        <v>34</v>
      </c>
      <c r="F1951" s="1" t="s">
        <v>406</v>
      </c>
      <c r="G1951" s="1" t="s">
        <v>407</v>
      </c>
      <c r="H1951" s="1" t="s">
        <v>17</v>
      </c>
      <c r="I1951">
        <v>2538</v>
      </c>
      <c r="J1951" s="3">
        <v>30.59</v>
      </c>
      <c r="K1951" s="3">
        <v>77637.42</v>
      </c>
    </row>
    <row r="1952" spans="1:11" x14ac:dyDescent="0.2">
      <c r="A1952" s="1" t="s">
        <v>3050</v>
      </c>
      <c r="B1952" s="2">
        <v>45859</v>
      </c>
      <c r="C1952" s="1" t="s">
        <v>752</v>
      </c>
      <c r="D1952" s="1" t="s">
        <v>753</v>
      </c>
      <c r="E1952" s="1" t="s">
        <v>34</v>
      </c>
      <c r="F1952" s="1" t="s">
        <v>251</v>
      </c>
      <c r="G1952" s="1" t="s">
        <v>252</v>
      </c>
      <c r="H1952" s="1" t="s">
        <v>72</v>
      </c>
      <c r="I1952">
        <v>25884</v>
      </c>
      <c r="J1952" s="3">
        <v>46.15</v>
      </c>
      <c r="K1952" s="3">
        <v>1194546.6000000001</v>
      </c>
    </row>
    <row r="1953" spans="1:11" x14ac:dyDescent="0.2">
      <c r="A1953" s="1" t="s">
        <v>3051</v>
      </c>
      <c r="B1953" s="2">
        <v>45865</v>
      </c>
      <c r="C1953" s="1" t="s">
        <v>1454</v>
      </c>
      <c r="D1953" s="1" t="s">
        <v>1455</v>
      </c>
      <c r="E1953" s="1" t="s">
        <v>37</v>
      </c>
      <c r="F1953" s="1" t="s">
        <v>176</v>
      </c>
      <c r="G1953" s="1" t="s">
        <v>177</v>
      </c>
      <c r="H1953" s="1" t="s">
        <v>37</v>
      </c>
      <c r="I1953">
        <v>46609</v>
      </c>
      <c r="J1953" s="3">
        <v>23.72</v>
      </c>
      <c r="K1953" s="3">
        <v>1105565.48</v>
      </c>
    </row>
    <row r="1954" spans="1:11" x14ac:dyDescent="0.2">
      <c r="A1954" s="1" t="s">
        <v>3052</v>
      </c>
      <c r="B1954" s="2">
        <v>45352</v>
      </c>
      <c r="C1954" s="1" t="s">
        <v>1317</v>
      </c>
      <c r="D1954" s="1" t="s">
        <v>1318</v>
      </c>
      <c r="E1954" s="1" t="s">
        <v>28</v>
      </c>
      <c r="F1954" s="1" t="s">
        <v>251</v>
      </c>
      <c r="G1954" s="1" t="s">
        <v>252</v>
      </c>
      <c r="H1954" s="1" t="s">
        <v>72</v>
      </c>
      <c r="I1954">
        <v>29868</v>
      </c>
      <c r="J1954" s="3">
        <v>4.5599999999999996</v>
      </c>
      <c r="K1954" s="3">
        <v>136198.07999999999</v>
      </c>
    </row>
    <row r="1955" spans="1:11" x14ac:dyDescent="0.2">
      <c r="A1955" s="1" t="s">
        <v>3053</v>
      </c>
      <c r="B1955" s="2">
        <v>45782</v>
      </c>
      <c r="C1955" s="1" t="s">
        <v>804</v>
      </c>
      <c r="D1955" s="1" t="s">
        <v>805</v>
      </c>
      <c r="E1955" s="1" t="s">
        <v>34</v>
      </c>
      <c r="F1955" s="1" t="s">
        <v>540</v>
      </c>
      <c r="G1955" s="1" t="s">
        <v>541</v>
      </c>
      <c r="H1955" s="1" t="s">
        <v>37</v>
      </c>
      <c r="I1955">
        <v>57742</v>
      </c>
      <c r="J1955" s="3">
        <v>9.35</v>
      </c>
      <c r="K1955" s="3">
        <v>539887.69999999995</v>
      </c>
    </row>
    <row r="1956" spans="1:11" x14ac:dyDescent="0.2">
      <c r="A1956" s="1" t="s">
        <v>3054</v>
      </c>
      <c r="B1956" s="2">
        <v>45361</v>
      </c>
      <c r="C1956" s="1" t="s">
        <v>1240</v>
      </c>
      <c r="D1956" s="1" t="s">
        <v>1241</v>
      </c>
      <c r="E1956" s="1" t="s">
        <v>28</v>
      </c>
      <c r="F1956" s="1" t="s">
        <v>103</v>
      </c>
      <c r="G1956" s="1" t="s">
        <v>104</v>
      </c>
      <c r="H1956" s="1" t="s">
        <v>37</v>
      </c>
      <c r="I1956">
        <v>63662</v>
      </c>
      <c r="J1956" s="3">
        <v>42.69</v>
      </c>
      <c r="K1956" s="3">
        <v>2717730.78</v>
      </c>
    </row>
    <row r="1957" spans="1:11" x14ac:dyDescent="0.2">
      <c r="A1957" s="1" t="s">
        <v>3055</v>
      </c>
      <c r="B1957" s="2">
        <v>45602</v>
      </c>
      <c r="C1957" s="1" t="s">
        <v>678</v>
      </c>
      <c r="D1957" s="1" t="s">
        <v>679</v>
      </c>
      <c r="E1957" s="1" t="s">
        <v>28</v>
      </c>
      <c r="F1957" s="1" t="s">
        <v>463</v>
      </c>
      <c r="G1957" s="1" t="s">
        <v>464</v>
      </c>
      <c r="H1957" s="1" t="s">
        <v>37</v>
      </c>
      <c r="I1957">
        <v>67489</v>
      </c>
      <c r="J1957" s="3">
        <v>21.01</v>
      </c>
      <c r="K1957" s="3">
        <v>1417943.89</v>
      </c>
    </row>
    <row r="1958" spans="1:11" x14ac:dyDescent="0.2">
      <c r="A1958" s="1" t="s">
        <v>3056</v>
      </c>
      <c r="B1958" s="2">
        <v>45743</v>
      </c>
      <c r="C1958" s="1" t="s">
        <v>1679</v>
      </c>
      <c r="D1958" s="1" t="s">
        <v>1680</v>
      </c>
      <c r="E1958" s="1" t="s">
        <v>37</v>
      </c>
      <c r="F1958" s="1" t="s">
        <v>458</v>
      </c>
      <c r="G1958" s="1" t="s">
        <v>459</v>
      </c>
      <c r="H1958" s="1" t="s">
        <v>72</v>
      </c>
      <c r="I1958">
        <v>67379</v>
      </c>
      <c r="J1958" s="3">
        <v>34.01</v>
      </c>
      <c r="K1958" s="3">
        <v>2291559.79</v>
      </c>
    </row>
    <row r="1959" spans="1:11" x14ac:dyDescent="0.2">
      <c r="A1959" s="1" t="s">
        <v>3057</v>
      </c>
      <c r="B1959" s="2">
        <v>45631</v>
      </c>
      <c r="C1959" s="1" t="s">
        <v>1885</v>
      </c>
      <c r="D1959" s="1" t="s">
        <v>1886</v>
      </c>
      <c r="E1959" s="1" t="s">
        <v>28</v>
      </c>
      <c r="F1959" s="1" t="s">
        <v>144</v>
      </c>
      <c r="G1959" s="1" t="s">
        <v>145</v>
      </c>
      <c r="H1959" s="1" t="s">
        <v>24</v>
      </c>
      <c r="I1959">
        <v>24662</v>
      </c>
      <c r="J1959" s="3">
        <v>28.78</v>
      </c>
      <c r="K1959" s="3">
        <v>709772.36</v>
      </c>
    </row>
    <row r="1960" spans="1:11" x14ac:dyDescent="0.2">
      <c r="A1960" s="1" t="s">
        <v>3058</v>
      </c>
      <c r="B1960" s="2">
        <v>45751</v>
      </c>
      <c r="C1960" s="1" t="s">
        <v>171</v>
      </c>
      <c r="D1960" s="1" t="s">
        <v>172</v>
      </c>
      <c r="E1960" s="1" t="s">
        <v>28</v>
      </c>
      <c r="F1960" s="1" t="s">
        <v>436</v>
      </c>
      <c r="G1960" s="1" t="s">
        <v>437</v>
      </c>
      <c r="H1960" s="1" t="s">
        <v>24</v>
      </c>
      <c r="I1960">
        <v>79029</v>
      </c>
      <c r="J1960" s="3">
        <v>34.75</v>
      </c>
      <c r="K1960" s="3">
        <v>2746257.75</v>
      </c>
    </row>
    <row r="1961" spans="1:11" x14ac:dyDescent="0.2">
      <c r="A1961" s="1" t="s">
        <v>3059</v>
      </c>
      <c r="B1961" s="2">
        <v>45346</v>
      </c>
      <c r="C1961" s="1" t="s">
        <v>2442</v>
      </c>
      <c r="D1961" s="1" t="s">
        <v>2443</v>
      </c>
      <c r="E1961" s="1" t="s">
        <v>34</v>
      </c>
      <c r="F1961" s="1" t="s">
        <v>65</v>
      </c>
      <c r="G1961" s="1" t="s">
        <v>66</v>
      </c>
      <c r="H1961" s="1" t="s">
        <v>48</v>
      </c>
      <c r="I1961">
        <v>52016</v>
      </c>
      <c r="J1961" s="3">
        <v>27.29</v>
      </c>
      <c r="K1961" s="3">
        <v>1419516.64</v>
      </c>
    </row>
    <row r="1962" spans="1:11" x14ac:dyDescent="0.2">
      <c r="A1962" s="1" t="s">
        <v>3060</v>
      </c>
      <c r="B1962" s="2">
        <v>45852</v>
      </c>
      <c r="C1962" s="1" t="s">
        <v>684</v>
      </c>
      <c r="D1962" s="1" t="s">
        <v>685</v>
      </c>
      <c r="E1962" s="1" t="s">
        <v>37</v>
      </c>
      <c r="F1962" s="1" t="s">
        <v>65</v>
      </c>
      <c r="G1962" s="1" t="s">
        <v>66</v>
      </c>
      <c r="H1962" s="1" t="s">
        <v>48</v>
      </c>
      <c r="I1962">
        <v>2083</v>
      </c>
      <c r="J1962" s="3">
        <v>28.52</v>
      </c>
      <c r="K1962" s="3">
        <v>59407.16</v>
      </c>
    </row>
    <row r="1963" spans="1:11" x14ac:dyDescent="0.2">
      <c r="A1963" s="1" t="s">
        <v>3061</v>
      </c>
      <c r="B1963" s="2">
        <v>45606</v>
      </c>
      <c r="C1963" s="1" t="s">
        <v>12</v>
      </c>
      <c r="D1963" s="1" t="s">
        <v>13</v>
      </c>
      <c r="E1963" s="1" t="s">
        <v>14</v>
      </c>
      <c r="F1963" s="1" t="s">
        <v>22</v>
      </c>
      <c r="G1963" s="1" t="s">
        <v>23</v>
      </c>
      <c r="H1963" s="1" t="s">
        <v>24</v>
      </c>
      <c r="I1963">
        <v>87334</v>
      </c>
      <c r="J1963" s="3">
        <v>7.49</v>
      </c>
      <c r="K1963" s="3">
        <v>654131.66</v>
      </c>
    </row>
    <row r="1964" spans="1:11" x14ac:dyDescent="0.2">
      <c r="A1964" s="1" t="s">
        <v>3062</v>
      </c>
      <c r="B1964" s="2">
        <v>45531</v>
      </c>
      <c r="C1964" s="1" t="s">
        <v>1237</v>
      </c>
      <c r="D1964" s="1" t="s">
        <v>1238</v>
      </c>
      <c r="E1964" s="1" t="s">
        <v>34</v>
      </c>
      <c r="F1964" s="1" t="s">
        <v>76</v>
      </c>
      <c r="G1964" s="1" t="s">
        <v>77</v>
      </c>
      <c r="H1964" s="1" t="s">
        <v>48</v>
      </c>
      <c r="I1964">
        <v>78229</v>
      </c>
      <c r="J1964" s="3">
        <v>43.19</v>
      </c>
      <c r="K1964" s="3">
        <v>3378710.51</v>
      </c>
    </row>
    <row r="1965" spans="1:11" x14ac:dyDescent="0.2">
      <c r="A1965" s="1" t="s">
        <v>3063</v>
      </c>
      <c r="B1965" s="2">
        <v>45314</v>
      </c>
      <c r="C1965" s="1" t="s">
        <v>3064</v>
      </c>
      <c r="D1965" s="1" t="s">
        <v>3065</v>
      </c>
      <c r="E1965" s="1" t="s">
        <v>37</v>
      </c>
      <c r="F1965" s="1" t="s">
        <v>251</v>
      </c>
      <c r="G1965" s="1" t="s">
        <v>252</v>
      </c>
      <c r="H1965" s="1" t="s">
        <v>72</v>
      </c>
      <c r="I1965">
        <v>46129</v>
      </c>
      <c r="J1965" s="3">
        <v>34.01</v>
      </c>
      <c r="K1965" s="3">
        <v>1568847.29</v>
      </c>
    </row>
    <row r="1966" spans="1:11" x14ac:dyDescent="0.2">
      <c r="A1966" s="1" t="s">
        <v>3066</v>
      </c>
      <c r="B1966" s="2">
        <v>45677</v>
      </c>
      <c r="C1966" s="1" t="s">
        <v>1105</v>
      </c>
      <c r="D1966" s="1" t="s">
        <v>1106</v>
      </c>
      <c r="E1966" s="1" t="s">
        <v>34</v>
      </c>
      <c r="F1966" s="1" t="s">
        <v>46</v>
      </c>
      <c r="G1966" s="1" t="s">
        <v>47</v>
      </c>
      <c r="H1966" s="1" t="s">
        <v>48</v>
      </c>
      <c r="I1966">
        <v>84237</v>
      </c>
      <c r="J1966" s="3">
        <v>41.8</v>
      </c>
      <c r="K1966" s="3">
        <v>3521106.6</v>
      </c>
    </row>
    <row r="1967" spans="1:11" x14ac:dyDescent="0.2">
      <c r="A1967" s="1" t="s">
        <v>3067</v>
      </c>
      <c r="B1967" s="2">
        <v>45608</v>
      </c>
      <c r="C1967" s="1" t="s">
        <v>307</v>
      </c>
      <c r="D1967" s="1" t="s">
        <v>308</v>
      </c>
      <c r="E1967" s="1" t="s">
        <v>14</v>
      </c>
      <c r="F1967" s="1" t="s">
        <v>463</v>
      </c>
      <c r="G1967" s="1" t="s">
        <v>464</v>
      </c>
      <c r="H1967" s="1" t="s">
        <v>37</v>
      </c>
      <c r="I1967">
        <v>53264</v>
      </c>
      <c r="J1967" s="3">
        <v>32.119999999999997</v>
      </c>
      <c r="K1967" s="3">
        <v>1710839.68</v>
      </c>
    </row>
    <row r="1968" spans="1:11" x14ac:dyDescent="0.2">
      <c r="A1968" s="1" t="s">
        <v>3068</v>
      </c>
      <c r="B1968" s="2">
        <v>45982</v>
      </c>
      <c r="C1968" s="1" t="s">
        <v>1011</v>
      </c>
      <c r="D1968" s="1" t="s">
        <v>1012</v>
      </c>
      <c r="E1968" s="1" t="s">
        <v>21</v>
      </c>
      <c r="F1968" s="1" t="s">
        <v>268</v>
      </c>
      <c r="G1968" s="1" t="s">
        <v>269</v>
      </c>
      <c r="H1968" s="1" t="s">
        <v>72</v>
      </c>
      <c r="I1968">
        <v>67733</v>
      </c>
      <c r="J1968" s="3">
        <v>43.99</v>
      </c>
      <c r="K1968" s="3">
        <v>2979574.67</v>
      </c>
    </row>
    <row r="1969" spans="1:11" x14ac:dyDescent="0.2">
      <c r="A1969" s="1" t="s">
        <v>3069</v>
      </c>
      <c r="B1969" s="2">
        <v>45509</v>
      </c>
      <c r="C1969" s="1" t="s">
        <v>866</v>
      </c>
      <c r="D1969" s="1" t="s">
        <v>867</v>
      </c>
      <c r="E1969" s="1" t="s">
        <v>14</v>
      </c>
      <c r="F1969" s="1" t="s">
        <v>108</v>
      </c>
      <c r="G1969" s="1" t="s">
        <v>109</v>
      </c>
      <c r="H1969" s="1" t="s">
        <v>37</v>
      </c>
      <c r="I1969">
        <v>66999</v>
      </c>
      <c r="J1969" s="3">
        <v>16.239999999999998</v>
      </c>
      <c r="K1969" s="3">
        <v>1088063.76</v>
      </c>
    </row>
    <row r="1970" spans="1:11" x14ac:dyDescent="0.2">
      <c r="A1970" s="1" t="s">
        <v>3070</v>
      </c>
      <c r="B1970" s="2">
        <v>45863</v>
      </c>
      <c r="C1970" s="1" t="s">
        <v>713</v>
      </c>
      <c r="D1970" s="1" t="s">
        <v>714</v>
      </c>
      <c r="E1970" s="1" t="s">
        <v>34</v>
      </c>
      <c r="F1970" s="1" t="s">
        <v>152</v>
      </c>
      <c r="G1970" s="1" t="s">
        <v>153</v>
      </c>
      <c r="H1970" s="1" t="s">
        <v>17</v>
      </c>
      <c r="I1970">
        <v>88523</v>
      </c>
      <c r="J1970" s="3">
        <v>28.86</v>
      </c>
      <c r="K1970" s="3">
        <v>2554773.7799999998</v>
      </c>
    </row>
    <row r="1971" spans="1:11" x14ac:dyDescent="0.2">
      <c r="A1971" s="1" t="s">
        <v>3071</v>
      </c>
      <c r="B1971" s="2">
        <v>45471</v>
      </c>
      <c r="C1971" s="1" t="s">
        <v>1132</v>
      </c>
      <c r="D1971" s="1" t="s">
        <v>1133</v>
      </c>
      <c r="E1971" s="1" t="s">
        <v>34</v>
      </c>
      <c r="F1971" s="1" t="s">
        <v>324</v>
      </c>
      <c r="G1971" s="1" t="s">
        <v>325</v>
      </c>
      <c r="H1971" s="1" t="s">
        <v>24</v>
      </c>
      <c r="I1971">
        <v>83451</v>
      </c>
      <c r="J1971" s="3">
        <v>8.41</v>
      </c>
      <c r="K1971" s="3">
        <v>701822.91</v>
      </c>
    </row>
    <row r="1972" spans="1:11" x14ac:dyDescent="0.2">
      <c r="A1972" s="1" t="s">
        <v>3072</v>
      </c>
      <c r="B1972" s="2">
        <v>46010</v>
      </c>
      <c r="C1972" s="1" t="s">
        <v>257</v>
      </c>
      <c r="D1972" s="1" t="s">
        <v>258</v>
      </c>
      <c r="E1972" s="1" t="s">
        <v>28</v>
      </c>
      <c r="F1972" s="1" t="s">
        <v>176</v>
      </c>
      <c r="G1972" s="1" t="s">
        <v>177</v>
      </c>
      <c r="H1972" s="1" t="s">
        <v>37</v>
      </c>
      <c r="I1972">
        <v>14249</v>
      </c>
      <c r="J1972" s="3">
        <v>2.0499999999999998</v>
      </c>
      <c r="K1972" s="3">
        <v>29210.45</v>
      </c>
    </row>
    <row r="1973" spans="1:11" x14ac:dyDescent="0.2">
      <c r="A1973" s="1" t="s">
        <v>3073</v>
      </c>
      <c r="B1973" s="2">
        <v>45642</v>
      </c>
      <c r="C1973" s="1" t="s">
        <v>664</v>
      </c>
      <c r="D1973" s="1" t="s">
        <v>665</v>
      </c>
      <c r="E1973" s="1" t="s">
        <v>21</v>
      </c>
      <c r="F1973" s="1" t="s">
        <v>251</v>
      </c>
      <c r="G1973" s="1" t="s">
        <v>252</v>
      </c>
      <c r="H1973" s="1" t="s">
        <v>72</v>
      </c>
      <c r="I1973">
        <v>94377</v>
      </c>
      <c r="J1973" s="3">
        <v>39.06</v>
      </c>
      <c r="K1973" s="3">
        <v>3686365.62</v>
      </c>
    </row>
    <row r="1974" spans="1:11" x14ac:dyDescent="0.2">
      <c r="A1974" s="1" t="s">
        <v>3074</v>
      </c>
      <c r="B1974" s="2">
        <v>45420</v>
      </c>
      <c r="C1974" s="1" t="s">
        <v>1028</v>
      </c>
      <c r="D1974" s="1" t="s">
        <v>1029</v>
      </c>
      <c r="E1974" s="1" t="s">
        <v>14</v>
      </c>
      <c r="F1974" s="1" t="s">
        <v>339</v>
      </c>
      <c r="G1974" s="1" t="s">
        <v>340</v>
      </c>
      <c r="H1974" s="1" t="s">
        <v>24</v>
      </c>
      <c r="I1974">
        <v>71966</v>
      </c>
      <c r="J1974" s="3">
        <v>49.18</v>
      </c>
      <c r="K1974" s="3">
        <v>3539287.88</v>
      </c>
    </row>
    <row r="1975" spans="1:11" x14ac:dyDescent="0.2">
      <c r="A1975" s="1" t="s">
        <v>3075</v>
      </c>
      <c r="B1975" s="2">
        <v>45459</v>
      </c>
      <c r="C1975" s="1" t="s">
        <v>608</v>
      </c>
      <c r="D1975" s="1" t="s">
        <v>609</v>
      </c>
      <c r="E1975" s="1" t="s">
        <v>28</v>
      </c>
      <c r="F1975" s="1" t="s">
        <v>41</v>
      </c>
      <c r="G1975" s="1" t="s">
        <v>42</v>
      </c>
      <c r="H1975" s="1" t="s">
        <v>24</v>
      </c>
      <c r="I1975">
        <v>39145</v>
      </c>
      <c r="J1975" s="3">
        <v>19.079999999999998</v>
      </c>
      <c r="K1975" s="3">
        <v>746886.6</v>
      </c>
    </row>
    <row r="1976" spans="1:11" x14ac:dyDescent="0.2">
      <c r="A1976" s="1" t="s">
        <v>3076</v>
      </c>
      <c r="B1976" s="2">
        <v>45336</v>
      </c>
      <c r="C1976" s="1" t="s">
        <v>1132</v>
      </c>
      <c r="D1976" s="1" t="s">
        <v>1133</v>
      </c>
      <c r="E1976" s="1" t="s">
        <v>34</v>
      </c>
      <c r="F1976" s="1" t="s">
        <v>165</v>
      </c>
      <c r="G1976" s="1" t="s">
        <v>166</v>
      </c>
      <c r="H1976" s="1" t="s">
        <v>24</v>
      </c>
      <c r="I1976">
        <v>35615</v>
      </c>
      <c r="J1976" s="3">
        <v>3.82</v>
      </c>
      <c r="K1976" s="3">
        <v>136049.29999999999</v>
      </c>
    </row>
    <row r="1977" spans="1:11" x14ac:dyDescent="0.2">
      <c r="A1977" s="1" t="s">
        <v>3077</v>
      </c>
      <c r="B1977" s="2">
        <v>45531</v>
      </c>
      <c r="C1977" s="1" t="s">
        <v>198</v>
      </c>
      <c r="D1977" s="1" t="s">
        <v>199</v>
      </c>
      <c r="E1977" s="1" t="s">
        <v>21</v>
      </c>
      <c r="F1977" s="1" t="s">
        <v>510</v>
      </c>
      <c r="G1977" s="1" t="s">
        <v>511</v>
      </c>
      <c r="H1977" s="1" t="s">
        <v>17</v>
      </c>
      <c r="I1977">
        <v>9315</v>
      </c>
      <c r="J1977" s="3">
        <v>13.62</v>
      </c>
      <c r="K1977" s="3">
        <v>126870.3</v>
      </c>
    </row>
    <row r="1978" spans="1:11" x14ac:dyDescent="0.2">
      <c r="A1978" s="1" t="s">
        <v>3078</v>
      </c>
      <c r="B1978" s="2">
        <v>45850</v>
      </c>
      <c r="C1978" s="1" t="s">
        <v>1474</v>
      </c>
      <c r="D1978" s="1" t="s">
        <v>1475</v>
      </c>
      <c r="E1978" s="1" t="s">
        <v>28</v>
      </c>
      <c r="F1978" s="1" t="s">
        <v>273</v>
      </c>
      <c r="G1978" s="1" t="s">
        <v>274</v>
      </c>
      <c r="H1978" s="1" t="s">
        <v>24</v>
      </c>
      <c r="I1978">
        <v>92922</v>
      </c>
      <c r="J1978" s="3">
        <v>27.95</v>
      </c>
      <c r="K1978" s="3">
        <v>2597169.9</v>
      </c>
    </row>
    <row r="1979" spans="1:11" x14ac:dyDescent="0.2">
      <c r="A1979" s="1" t="s">
        <v>3079</v>
      </c>
      <c r="B1979" s="2">
        <v>45824</v>
      </c>
      <c r="C1979" s="1" t="s">
        <v>385</v>
      </c>
      <c r="D1979" s="1" t="s">
        <v>386</v>
      </c>
      <c r="E1979" s="1" t="s">
        <v>34</v>
      </c>
      <c r="F1979" s="1" t="s">
        <v>228</v>
      </c>
      <c r="G1979" s="1" t="s">
        <v>229</v>
      </c>
      <c r="H1979" s="1" t="s">
        <v>48</v>
      </c>
      <c r="I1979">
        <v>7212</v>
      </c>
      <c r="J1979" s="3">
        <v>44.35</v>
      </c>
      <c r="K1979" s="3">
        <v>319852.2</v>
      </c>
    </row>
    <row r="1980" spans="1:11" x14ac:dyDescent="0.2">
      <c r="A1980" s="1" t="s">
        <v>3080</v>
      </c>
      <c r="B1980" s="2">
        <v>45934</v>
      </c>
      <c r="C1980" s="1" t="s">
        <v>2064</v>
      </c>
      <c r="D1980" s="1" t="s">
        <v>2065</v>
      </c>
      <c r="E1980" s="1" t="s">
        <v>14</v>
      </c>
      <c r="F1980" s="1" t="s">
        <v>458</v>
      </c>
      <c r="G1980" s="1" t="s">
        <v>459</v>
      </c>
      <c r="H1980" s="1" t="s">
        <v>72</v>
      </c>
      <c r="I1980">
        <v>88045</v>
      </c>
      <c r="J1980" s="3">
        <v>45.89</v>
      </c>
      <c r="K1980" s="3">
        <v>4040385.05</v>
      </c>
    </row>
    <row r="1981" spans="1:11" x14ac:dyDescent="0.2">
      <c r="A1981" s="1" t="s">
        <v>3081</v>
      </c>
      <c r="B1981" s="2">
        <v>45825</v>
      </c>
      <c r="C1981" s="1" t="s">
        <v>174</v>
      </c>
      <c r="D1981" s="1" t="s">
        <v>175</v>
      </c>
      <c r="E1981" s="1" t="s">
        <v>37</v>
      </c>
      <c r="F1981" s="1" t="s">
        <v>463</v>
      </c>
      <c r="G1981" s="1" t="s">
        <v>464</v>
      </c>
      <c r="H1981" s="1" t="s">
        <v>37</v>
      </c>
      <c r="I1981">
        <v>21483</v>
      </c>
      <c r="J1981" s="3">
        <v>40.520000000000003</v>
      </c>
      <c r="K1981" s="3">
        <v>870491.16</v>
      </c>
    </row>
    <row r="1982" spans="1:11" x14ac:dyDescent="0.2">
      <c r="A1982" s="1" t="s">
        <v>3082</v>
      </c>
      <c r="B1982" s="2">
        <v>46021</v>
      </c>
      <c r="C1982" s="1" t="s">
        <v>84</v>
      </c>
      <c r="D1982" s="1" t="s">
        <v>85</v>
      </c>
      <c r="E1982" s="1" t="s">
        <v>28</v>
      </c>
      <c r="F1982" s="1" t="s">
        <v>152</v>
      </c>
      <c r="G1982" s="1" t="s">
        <v>153</v>
      </c>
      <c r="H1982" s="1" t="s">
        <v>17</v>
      </c>
      <c r="I1982">
        <v>25171</v>
      </c>
      <c r="J1982" s="3">
        <v>2.34</v>
      </c>
      <c r="K1982" s="3">
        <v>58900.14</v>
      </c>
    </row>
    <row r="1983" spans="1:11" x14ac:dyDescent="0.2">
      <c r="A1983" s="1" t="s">
        <v>3083</v>
      </c>
      <c r="B1983" s="2">
        <v>45578</v>
      </c>
      <c r="C1983" s="1" t="s">
        <v>495</v>
      </c>
      <c r="D1983" s="1" t="s">
        <v>496</v>
      </c>
      <c r="E1983" s="1" t="s">
        <v>37</v>
      </c>
      <c r="F1983" s="1" t="s">
        <v>263</v>
      </c>
      <c r="G1983" s="1" t="s">
        <v>264</v>
      </c>
      <c r="H1983" s="1" t="s">
        <v>17</v>
      </c>
      <c r="I1983">
        <v>98263</v>
      </c>
      <c r="J1983" s="3">
        <v>25.14</v>
      </c>
      <c r="K1983" s="3">
        <v>2470331.8199999998</v>
      </c>
    </row>
    <row r="1984" spans="1:11" x14ac:dyDescent="0.2">
      <c r="A1984" s="1" t="s">
        <v>3084</v>
      </c>
      <c r="B1984" s="2">
        <v>45320</v>
      </c>
      <c r="C1984" s="1" t="s">
        <v>808</v>
      </c>
      <c r="D1984" s="1" t="s">
        <v>809</v>
      </c>
      <c r="E1984" s="1" t="s">
        <v>28</v>
      </c>
      <c r="F1984" s="1" t="s">
        <v>458</v>
      </c>
      <c r="G1984" s="1" t="s">
        <v>459</v>
      </c>
      <c r="H1984" s="1" t="s">
        <v>72</v>
      </c>
      <c r="I1984">
        <v>62603</v>
      </c>
      <c r="J1984" s="3">
        <v>6.69</v>
      </c>
      <c r="K1984" s="3">
        <v>418814.07</v>
      </c>
    </row>
    <row r="1985" spans="1:11" x14ac:dyDescent="0.2">
      <c r="A1985" s="1" t="s">
        <v>3085</v>
      </c>
      <c r="B1985" s="2">
        <v>45820</v>
      </c>
      <c r="C1985" s="1" t="s">
        <v>3086</v>
      </c>
      <c r="D1985" s="1" t="s">
        <v>3087</v>
      </c>
      <c r="E1985" s="1" t="s">
        <v>28</v>
      </c>
      <c r="F1985" s="1" t="s">
        <v>52</v>
      </c>
      <c r="G1985" s="1" t="s">
        <v>53</v>
      </c>
      <c r="H1985" s="1" t="s">
        <v>17</v>
      </c>
      <c r="I1985">
        <v>94610</v>
      </c>
      <c r="J1985" s="3">
        <v>45.85</v>
      </c>
      <c r="K1985" s="3">
        <v>4337868.5</v>
      </c>
    </row>
    <row r="1986" spans="1:11" x14ac:dyDescent="0.2">
      <c r="A1986" s="1" t="s">
        <v>3088</v>
      </c>
      <c r="B1986" s="2">
        <v>45966</v>
      </c>
      <c r="C1986" s="1" t="s">
        <v>1567</v>
      </c>
      <c r="D1986" s="1" t="s">
        <v>1568</v>
      </c>
      <c r="E1986" s="1" t="s">
        <v>34</v>
      </c>
      <c r="F1986" s="1" t="s">
        <v>330</v>
      </c>
      <c r="G1986" s="1" t="s">
        <v>331</v>
      </c>
      <c r="H1986" s="1" t="s">
        <v>72</v>
      </c>
      <c r="I1986">
        <v>34883</v>
      </c>
      <c r="J1986" s="3">
        <v>9.9700000000000006</v>
      </c>
      <c r="K1986" s="3">
        <v>347783.51</v>
      </c>
    </row>
    <row r="1987" spans="1:11" x14ac:dyDescent="0.2">
      <c r="A1987" s="1" t="s">
        <v>3089</v>
      </c>
      <c r="B1987" s="2">
        <v>45946</v>
      </c>
      <c r="C1987" s="1" t="s">
        <v>2363</v>
      </c>
      <c r="D1987" s="1" t="s">
        <v>2364</v>
      </c>
      <c r="E1987" s="1" t="s">
        <v>14</v>
      </c>
      <c r="F1987" s="1" t="s">
        <v>203</v>
      </c>
      <c r="G1987" s="1" t="s">
        <v>204</v>
      </c>
      <c r="H1987" s="1" t="s">
        <v>72</v>
      </c>
      <c r="I1987">
        <v>41184</v>
      </c>
      <c r="J1987" s="3">
        <v>19.059999999999999</v>
      </c>
      <c r="K1987" s="3">
        <v>784967.04</v>
      </c>
    </row>
    <row r="1988" spans="1:11" x14ac:dyDescent="0.2">
      <c r="A1988" s="1" t="s">
        <v>3090</v>
      </c>
      <c r="B1988" s="2">
        <v>45780</v>
      </c>
      <c r="C1988" s="1" t="s">
        <v>774</v>
      </c>
      <c r="D1988" s="1" t="s">
        <v>775</v>
      </c>
      <c r="E1988" s="1" t="s">
        <v>37</v>
      </c>
      <c r="F1988" s="1" t="s">
        <v>339</v>
      </c>
      <c r="G1988" s="1" t="s">
        <v>340</v>
      </c>
      <c r="H1988" s="1" t="s">
        <v>24</v>
      </c>
      <c r="I1988">
        <v>96320</v>
      </c>
      <c r="J1988" s="3">
        <v>25.51</v>
      </c>
      <c r="K1988" s="3">
        <v>2457123.2000000002</v>
      </c>
    </row>
    <row r="1989" spans="1:11" x14ac:dyDescent="0.2">
      <c r="A1989" s="1" t="s">
        <v>3091</v>
      </c>
      <c r="B1989" s="2">
        <v>45682</v>
      </c>
      <c r="C1989" s="1" t="s">
        <v>523</v>
      </c>
      <c r="D1989" s="1" t="s">
        <v>524</v>
      </c>
      <c r="E1989" s="1" t="s">
        <v>14</v>
      </c>
      <c r="F1989" s="1" t="s">
        <v>108</v>
      </c>
      <c r="G1989" s="1" t="s">
        <v>109</v>
      </c>
      <c r="H1989" s="1" t="s">
        <v>37</v>
      </c>
      <c r="I1989">
        <v>96821</v>
      </c>
      <c r="J1989" s="3">
        <v>6.09</v>
      </c>
      <c r="K1989" s="3">
        <v>589639.89</v>
      </c>
    </row>
    <row r="1990" spans="1:11" x14ac:dyDescent="0.2">
      <c r="A1990" s="1" t="s">
        <v>3092</v>
      </c>
      <c r="B1990" s="2">
        <v>45862</v>
      </c>
      <c r="C1990" s="1" t="s">
        <v>1028</v>
      </c>
      <c r="D1990" s="1" t="s">
        <v>1029</v>
      </c>
      <c r="E1990" s="1" t="s">
        <v>14</v>
      </c>
      <c r="F1990" s="1" t="s">
        <v>228</v>
      </c>
      <c r="G1990" s="1" t="s">
        <v>229</v>
      </c>
      <c r="H1990" s="1" t="s">
        <v>48</v>
      </c>
      <c r="I1990">
        <v>47731</v>
      </c>
      <c r="J1990" s="3">
        <v>2.5</v>
      </c>
      <c r="K1990" s="3">
        <v>119327.5</v>
      </c>
    </row>
    <row r="1991" spans="1:11" x14ac:dyDescent="0.2">
      <c r="A1991" s="1" t="s">
        <v>3093</v>
      </c>
      <c r="B1991" s="2">
        <v>45474</v>
      </c>
      <c r="C1991" s="1" t="s">
        <v>783</v>
      </c>
      <c r="D1991" s="1" t="s">
        <v>784</v>
      </c>
      <c r="E1991" s="1" t="s">
        <v>14</v>
      </c>
      <c r="F1991" s="1" t="s">
        <v>176</v>
      </c>
      <c r="G1991" s="1" t="s">
        <v>177</v>
      </c>
      <c r="H1991" s="1" t="s">
        <v>37</v>
      </c>
      <c r="I1991">
        <v>94524</v>
      </c>
      <c r="J1991" s="3">
        <v>20.64</v>
      </c>
      <c r="K1991" s="3">
        <v>1950975.36</v>
      </c>
    </row>
    <row r="1992" spans="1:11" x14ac:dyDescent="0.2">
      <c r="A1992" s="1" t="s">
        <v>3094</v>
      </c>
      <c r="B1992" s="2">
        <v>45362</v>
      </c>
      <c r="C1992" s="1" t="s">
        <v>580</v>
      </c>
      <c r="D1992" s="1" t="s">
        <v>581</v>
      </c>
      <c r="E1992" s="1" t="s">
        <v>21</v>
      </c>
      <c r="F1992" s="1" t="s">
        <v>113</v>
      </c>
      <c r="G1992" s="1" t="s">
        <v>114</v>
      </c>
      <c r="H1992" s="1" t="s">
        <v>37</v>
      </c>
      <c r="I1992">
        <v>48970</v>
      </c>
      <c r="J1992" s="3">
        <v>27.03</v>
      </c>
      <c r="K1992" s="3">
        <v>1323659.1000000001</v>
      </c>
    </row>
    <row r="1993" spans="1:11" x14ac:dyDescent="0.2">
      <c r="A1993" s="1" t="s">
        <v>3095</v>
      </c>
      <c r="B1993" s="2">
        <v>46010</v>
      </c>
      <c r="C1993" s="1" t="s">
        <v>660</v>
      </c>
      <c r="D1993" s="1" t="s">
        <v>661</v>
      </c>
      <c r="E1993" s="1" t="s">
        <v>34</v>
      </c>
      <c r="F1993" s="1" t="s">
        <v>152</v>
      </c>
      <c r="G1993" s="1" t="s">
        <v>153</v>
      </c>
      <c r="H1993" s="1" t="s">
        <v>17</v>
      </c>
      <c r="I1993">
        <v>98312</v>
      </c>
      <c r="J1993" s="3">
        <v>47.55</v>
      </c>
      <c r="K1993" s="3">
        <v>4674735.5999999996</v>
      </c>
    </row>
    <row r="1994" spans="1:11" x14ac:dyDescent="0.2">
      <c r="A1994" s="1" t="s">
        <v>3096</v>
      </c>
      <c r="B1994" s="2">
        <v>45746</v>
      </c>
      <c r="C1994" s="1" t="s">
        <v>910</v>
      </c>
      <c r="D1994" s="1" t="s">
        <v>911</v>
      </c>
      <c r="E1994" s="1" t="s">
        <v>28</v>
      </c>
      <c r="F1994" s="1" t="s">
        <v>144</v>
      </c>
      <c r="G1994" s="1" t="s">
        <v>145</v>
      </c>
      <c r="H1994" s="1" t="s">
        <v>24</v>
      </c>
      <c r="I1994">
        <v>68024</v>
      </c>
      <c r="J1994" s="3">
        <v>38.549999999999997</v>
      </c>
      <c r="K1994" s="3">
        <v>2622325.2000000002</v>
      </c>
    </row>
    <row r="1995" spans="1:11" x14ac:dyDescent="0.2">
      <c r="A1995" s="1" t="s">
        <v>3097</v>
      </c>
      <c r="B1995" s="2">
        <v>45669</v>
      </c>
      <c r="C1995" s="1" t="s">
        <v>87</v>
      </c>
      <c r="D1995" s="1" t="s">
        <v>88</v>
      </c>
      <c r="E1995" s="1" t="s">
        <v>14</v>
      </c>
      <c r="F1995" s="1" t="s">
        <v>330</v>
      </c>
      <c r="G1995" s="1" t="s">
        <v>331</v>
      </c>
      <c r="H1995" s="1" t="s">
        <v>72</v>
      </c>
      <c r="I1995">
        <v>82973</v>
      </c>
      <c r="J1995" s="3">
        <v>4.4800000000000004</v>
      </c>
      <c r="K1995" s="3">
        <v>371719.04</v>
      </c>
    </row>
    <row r="1996" spans="1:11" x14ac:dyDescent="0.2">
      <c r="A1996" s="1" t="s">
        <v>3098</v>
      </c>
      <c r="B1996" s="2">
        <v>45962</v>
      </c>
      <c r="C1996" s="1" t="s">
        <v>817</v>
      </c>
      <c r="D1996" s="1" t="s">
        <v>818</v>
      </c>
      <c r="E1996" s="1" t="s">
        <v>14</v>
      </c>
      <c r="F1996" s="1" t="s">
        <v>273</v>
      </c>
      <c r="G1996" s="1" t="s">
        <v>274</v>
      </c>
      <c r="H1996" s="1" t="s">
        <v>24</v>
      </c>
      <c r="I1996">
        <v>58262</v>
      </c>
      <c r="J1996" s="3">
        <v>10.58</v>
      </c>
      <c r="K1996" s="3">
        <v>616411.96</v>
      </c>
    </row>
    <row r="1997" spans="1:11" x14ac:dyDescent="0.2">
      <c r="A1997" s="1" t="s">
        <v>3099</v>
      </c>
      <c r="B1997" s="2">
        <v>45641</v>
      </c>
      <c r="C1997" s="1" t="s">
        <v>2207</v>
      </c>
      <c r="D1997" s="1" t="s">
        <v>2208</v>
      </c>
      <c r="E1997" s="1" t="s">
        <v>37</v>
      </c>
      <c r="F1997" s="1" t="s">
        <v>22</v>
      </c>
      <c r="G1997" s="1" t="s">
        <v>23</v>
      </c>
      <c r="H1997" s="1" t="s">
        <v>24</v>
      </c>
      <c r="I1997">
        <v>74504</v>
      </c>
      <c r="J1997" s="3">
        <v>48.55</v>
      </c>
      <c r="K1997" s="3">
        <v>3617169.2</v>
      </c>
    </row>
    <row r="1998" spans="1:11" x14ac:dyDescent="0.2">
      <c r="A1998" s="1" t="s">
        <v>3100</v>
      </c>
      <c r="B1998" s="2">
        <v>45602</v>
      </c>
      <c r="C1998" s="1" t="s">
        <v>2481</v>
      </c>
      <c r="D1998" s="1" t="s">
        <v>2482</v>
      </c>
      <c r="E1998" s="1" t="s">
        <v>21</v>
      </c>
      <c r="F1998" s="1" t="s">
        <v>81</v>
      </c>
      <c r="G1998" s="1" t="s">
        <v>82</v>
      </c>
      <c r="H1998" s="1" t="s">
        <v>72</v>
      </c>
      <c r="I1998">
        <v>76568</v>
      </c>
      <c r="J1998" s="3">
        <v>38.22</v>
      </c>
      <c r="K1998" s="3">
        <v>2926428.96</v>
      </c>
    </row>
    <row r="1999" spans="1:11" x14ac:dyDescent="0.2">
      <c r="A1999" s="1" t="s">
        <v>3101</v>
      </c>
      <c r="B1999" s="2">
        <v>45696</v>
      </c>
      <c r="C1999" s="1" t="s">
        <v>608</v>
      </c>
      <c r="D1999" s="1" t="s">
        <v>609</v>
      </c>
      <c r="E1999" s="1" t="s">
        <v>28</v>
      </c>
      <c r="F1999" s="1" t="s">
        <v>52</v>
      </c>
      <c r="G1999" s="1" t="s">
        <v>53</v>
      </c>
      <c r="H1999" s="1" t="s">
        <v>17</v>
      </c>
      <c r="I1999">
        <v>80287</v>
      </c>
      <c r="J1999" s="3">
        <v>25.82</v>
      </c>
      <c r="K1999" s="3">
        <v>2073010.34</v>
      </c>
    </row>
    <row r="2000" spans="1:11" x14ac:dyDescent="0.2">
      <c r="A2000" s="1" t="s">
        <v>3102</v>
      </c>
      <c r="B2000" s="2">
        <v>45410</v>
      </c>
      <c r="C2000" s="1" t="s">
        <v>2233</v>
      </c>
      <c r="D2000" s="1" t="s">
        <v>2234</v>
      </c>
      <c r="E2000" s="1" t="s">
        <v>37</v>
      </c>
      <c r="F2000" s="1" t="s">
        <v>165</v>
      </c>
      <c r="G2000" s="1" t="s">
        <v>166</v>
      </c>
      <c r="H2000" s="1" t="s">
        <v>24</v>
      </c>
      <c r="I2000">
        <v>14901</v>
      </c>
      <c r="J2000" s="3">
        <v>17.04</v>
      </c>
      <c r="K2000" s="3">
        <v>253913.04</v>
      </c>
    </row>
    <row r="2001" spans="1:11" x14ac:dyDescent="0.2">
      <c r="A2001" s="1" t="s">
        <v>3103</v>
      </c>
      <c r="B2001" s="2">
        <v>45995</v>
      </c>
      <c r="C2001" s="1" t="s">
        <v>1364</v>
      </c>
      <c r="D2001" s="1" t="s">
        <v>1365</v>
      </c>
      <c r="E2001" s="1" t="s">
        <v>37</v>
      </c>
      <c r="F2001" s="1" t="s">
        <v>394</v>
      </c>
      <c r="G2001" s="1" t="s">
        <v>395</v>
      </c>
      <c r="H2001" s="1" t="s">
        <v>48</v>
      </c>
      <c r="I2001">
        <v>85350</v>
      </c>
      <c r="J2001" s="3">
        <v>19.59</v>
      </c>
      <c r="K2001" s="3">
        <v>1672006.5</v>
      </c>
    </row>
    <row r="2002" spans="1:11" x14ac:dyDescent="0.2">
      <c r="A2002" s="1" t="s">
        <v>3104</v>
      </c>
      <c r="B2002" s="2">
        <v>45617</v>
      </c>
      <c r="C2002" s="1" t="s">
        <v>2038</v>
      </c>
      <c r="D2002" s="1" t="s">
        <v>2039</v>
      </c>
      <c r="E2002" s="1" t="s">
        <v>28</v>
      </c>
      <c r="F2002" s="1" t="s">
        <v>52</v>
      </c>
      <c r="G2002" s="1" t="s">
        <v>53</v>
      </c>
      <c r="H2002" s="1" t="s">
        <v>17</v>
      </c>
      <c r="I2002">
        <v>46567</v>
      </c>
      <c r="J2002" s="3">
        <v>49.86</v>
      </c>
      <c r="K2002" s="3">
        <v>2321830.62</v>
      </c>
    </row>
    <row r="2003" spans="1:11" x14ac:dyDescent="0.2">
      <c r="A2003" s="1" t="s">
        <v>3105</v>
      </c>
      <c r="B2003" s="2">
        <v>45694</v>
      </c>
      <c r="C2003" s="1" t="s">
        <v>1421</v>
      </c>
      <c r="D2003" s="1" t="s">
        <v>1422</v>
      </c>
      <c r="E2003" s="1" t="s">
        <v>21</v>
      </c>
      <c r="F2003" s="1" t="s">
        <v>284</v>
      </c>
      <c r="G2003" s="1" t="s">
        <v>285</v>
      </c>
      <c r="H2003" s="1" t="s">
        <v>37</v>
      </c>
      <c r="I2003">
        <v>51215</v>
      </c>
      <c r="J2003" s="3">
        <v>14.52</v>
      </c>
      <c r="K2003" s="3">
        <v>743641.8</v>
      </c>
    </row>
    <row r="2004" spans="1:11" x14ac:dyDescent="0.2">
      <c r="A2004" s="1" t="s">
        <v>3106</v>
      </c>
      <c r="B2004" s="2">
        <v>45873</v>
      </c>
      <c r="C2004" s="1" t="s">
        <v>257</v>
      </c>
      <c r="D2004" s="1" t="s">
        <v>258</v>
      </c>
      <c r="E2004" s="1" t="s">
        <v>28</v>
      </c>
      <c r="F2004" s="1" t="s">
        <v>263</v>
      </c>
      <c r="G2004" s="1" t="s">
        <v>264</v>
      </c>
      <c r="H2004" s="1" t="s">
        <v>17</v>
      </c>
      <c r="I2004">
        <v>50490</v>
      </c>
      <c r="J2004" s="3">
        <v>19.260000000000002</v>
      </c>
      <c r="K2004" s="3">
        <v>972437.4</v>
      </c>
    </row>
    <row r="2005" spans="1:11" x14ac:dyDescent="0.2">
      <c r="A2005" s="1" t="s">
        <v>3107</v>
      </c>
      <c r="B2005" s="2">
        <v>45367</v>
      </c>
      <c r="C2005" s="1" t="s">
        <v>1516</v>
      </c>
      <c r="D2005" s="1" t="s">
        <v>1517</v>
      </c>
      <c r="E2005" s="1" t="s">
        <v>21</v>
      </c>
      <c r="F2005" s="1" t="s">
        <v>22</v>
      </c>
      <c r="G2005" s="1" t="s">
        <v>23</v>
      </c>
      <c r="H2005" s="1" t="s">
        <v>24</v>
      </c>
      <c r="I2005">
        <v>3614</v>
      </c>
      <c r="J2005" s="3">
        <v>48.04</v>
      </c>
      <c r="K2005" s="3">
        <v>173616.56</v>
      </c>
    </row>
    <row r="2006" spans="1:11" x14ac:dyDescent="0.2">
      <c r="A2006" s="1" t="s">
        <v>3108</v>
      </c>
      <c r="B2006" s="2">
        <v>45868</v>
      </c>
      <c r="C2006" s="1" t="s">
        <v>478</v>
      </c>
      <c r="D2006" s="1" t="s">
        <v>479</v>
      </c>
      <c r="E2006" s="1" t="s">
        <v>34</v>
      </c>
      <c r="F2006" s="1" t="s">
        <v>157</v>
      </c>
      <c r="G2006" s="1" t="s">
        <v>158</v>
      </c>
      <c r="H2006" s="1" t="s">
        <v>48</v>
      </c>
      <c r="I2006">
        <v>5714</v>
      </c>
      <c r="J2006" s="3">
        <v>6.98</v>
      </c>
      <c r="K2006" s="3">
        <v>39883.72</v>
      </c>
    </row>
    <row r="2007" spans="1:11" x14ac:dyDescent="0.2">
      <c r="A2007" s="1" t="s">
        <v>3109</v>
      </c>
      <c r="B2007" s="2">
        <v>45716</v>
      </c>
      <c r="C2007" s="1" t="s">
        <v>535</v>
      </c>
      <c r="D2007" s="1" t="s">
        <v>536</v>
      </c>
      <c r="E2007" s="1" t="s">
        <v>28</v>
      </c>
      <c r="F2007" s="1" t="s">
        <v>46</v>
      </c>
      <c r="G2007" s="1" t="s">
        <v>47</v>
      </c>
      <c r="H2007" s="1" t="s">
        <v>48</v>
      </c>
      <c r="I2007">
        <v>30908</v>
      </c>
      <c r="J2007" s="3">
        <v>12.58</v>
      </c>
      <c r="K2007" s="3">
        <v>388822.64</v>
      </c>
    </row>
    <row r="2008" spans="1:11" x14ac:dyDescent="0.2">
      <c r="A2008" s="1" t="s">
        <v>3110</v>
      </c>
      <c r="B2008" s="2">
        <v>45913</v>
      </c>
      <c r="C2008" s="1" t="s">
        <v>192</v>
      </c>
      <c r="D2008" s="1" t="s">
        <v>193</v>
      </c>
      <c r="E2008" s="1" t="s">
        <v>37</v>
      </c>
      <c r="F2008" s="1" t="s">
        <v>406</v>
      </c>
      <c r="G2008" s="1" t="s">
        <v>407</v>
      </c>
      <c r="H2008" s="1" t="s">
        <v>17</v>
      </c>
      <c r="I2008">
        <v>8721</v>
      </c>
      <c r="J2008" s="3">
        <v>18.62</v>
      </c>
      <c r="K2008" s="3">
        <v>162385.01999999999</v>
      </c>
    </row>
    <row r="2009" spans="1:11" x14ac:dyDescent="0.2">
      <c r="A2009" s="1" t="s">
        <v>3111</v>
      </c>
      <c r="B2009" s="2">
        <v>45360</v>
      </c>
      <c r="C2009" s="1" t="s">
        <v>910</v>
      </c>
      <c r="D2009" s="1" t="s">
        <v>911</v>
      </c>
      <c r="E2009" s="1" t="s">
        <v>28</v>
      </c>
      <c r="F2009" s="1" t="s">
        <v>268</v>
      </c>
      <c r="G2009" s="1" t="s">
        <v>269</v>
      </c>
      <c r="H2009" s="1" t="s">
        <v>72</v>
      </c>
      <c r="I2009">
        <v>88859</v>
      </c>
      <c r="J2009" s="3">
        <v>22.37</v>
      </c>
      <c r="K2009" s="3">
        <v>1987775.83</v>
      </c>
    </row>
    <row r="2010" spans="1:11" x14ac:dyDescent="0.2">
      <c r="A2010" s="1" t="s">
        <v>3112</v>
      </c>
      <c r="B2010" s="2">
        <v>45556</v>
      </c>
      <c r="C2010" s="1" t="s">
        <v>44</v>
      </c>
      <c r="D2010" s="1" t="s">
        <v>45</v>
      </c>
      <c r="E2010" s="1" t="s">
        <v>34</v>
      </c>
      <c r="F2010" s="1" t="s">
        <v>15</v>
      </c>
      <c r="G2010" s="1" t="s">
        <v>16</v>
      </c>
      <c r="H2010" s="1" t="s">
        <v>17</v>
      </c>
      <c r="I2010">
        <v>71182</v>
      </c>
      <c r="J2010" s="3">
        <v>28.74</v>
      </c>
      <c r="K2010" s="3">
        <v>2045770.68</v>
      </c>
    </row>
    <row r="2011" spans="1:11" x14ac:dyDescent="0.2">
      <c r="A2011" s="1" t="s">
        <v>3113</v>
      </c>
      <c r="B2011" s="2">
        <v>45502</v>
      </c>
      <c r="C2011" s="1" t="s">
        <v>2662</v>
      </c>
      <c r="D2011" s="1" t="s">
        <v>2663</v>
      </c>
      <c r="E2011" s="1" t="s">
        <v>21</v>
      </c>
      <c r="F2011" s="1" t="s">
        <v>57</v>
      </c>
      <c r="G2011" s="1" t="s">
        <v>58</v>
      </c>
      <c r="H2011" s="1" t="s">
        <v>48</v>
      </c>
      <c r="I2011">
        <v>41092</v>
      </c>
      <c r="J2011" s="3">
        <v>14.33</v>
      </c>
      <c r="K2011" s="3">
        <v>588848.36</v>
      </c>
    </row>
    <row r="2012" spans="1:11" x14ac:dyDescent="0.2">
      <c r="A2012" s="1" t="s">
        <v>3114</v>
      </c>
      <c r="B2012" s="2">
        <v>45525</v>
      </c>
      <c r="C2012" s="1" t="s">
        <v>2145</v>
      </c>
      <c r="D2012" s="1" t="s">
        <v>2146</v>
      </c>
      <c r="E2012" s="1" t="s">
        <v>37</v>
      </c>
      <c r="F2012" s="1" t="s">
        <v>184</v>
      </c>
      <c r="G2012" s="1" t="s">
        <v>185</v>
      </c>
      <c r="H2012" s="1" t="s">
        <v>17</v>
      </c>
      <c r="I2012">
        <v>44521</v>
      </c>
      <c r="J2012" s="3">
        <v>47.67</v>
      </c>
      <c r="K2012" s="3">
        <v>2122316.0699999998</v>
      </c>
    </row>
    <row r="2013" spans="1:11" x14ac:dyDescent="0.2">
      <c r="A2013" s="1" t="s">
        <v>3115</v>
      </c>
      <c r="B2013" s="2">
        <v>45960</v>
      </c>
      <c r="C2013" s="1" t="s">
        <v>1640</v>
      </c>
      <c r="D2013" s="1" t="s">
        <v>1641</v>
      </c>
      <c r="E2013" s="1" t="s">
        <v>28</v>
      </c>
      <c r="F2013" s="1" t="s">
        <v>339</v>
      </c>
      <c r="G2013" s="1" t="s">
        <v>340</v>
      </c>
      <c r="H2013" s="1" t="s">
        <v>24</v>
      </c>
      <c r="I2013">
        <v>56397</v>
      </c>
      <c r="J2013" s="3">
        <v>41.33</v>
      </c>
      <c r="K2013" s="3">
        <v>2330888.0099999998</v>
      </c>
    </row>
    <row r="2014" spans="1:11" x14ac:dyDescent="0.2">
      <c r="A2014" s="1" t="s">
        <v>3116</v>
      </c>
      <c r="B2014" s="2">
        <v>45796</v>
      </c>
      <c r="C2014" s="1" t="s">
        <v>297</v>
      </c>
      <c r="D2014" s="1" t="s">
        <v>298</v>
      </c>
      <c r="E2014" s="1" t="s">
        <v>21</v>
      </c>
      <c r="F2014" s="1" t="s">
        <v>510</v>
      </c>
      <c r="G2014" s="1" t="s">
        <v>511</v>
      </c>
      <c r="H2014" s="1" t="s">
        <v>17</v>
      </c>
      <c r="I2014">
        <v>50557</v>
      </c>
      <c r="J2014" s="3">
        <v>15.64</v>
      </c>
      <c r="K2014" s="3">
        <v>790711.48</v>
      </c>
    </row>
    <row r="2015" spans="1:11" x14ac:dyDescent="0.2">
      <c r="A2015" s="1" t="s">
        <v>3117</v>
      </c>
      <c r="B2015" s="2">
        <v>45428</v>
      </c>
      <c r="C2015" s="1" t="s">
        <v>2686</v>
      </c>
      <c r="D2015" s="1" t="s">
        <v>2687</v>
      </c>
      <c r="E2015" s="1" t="s">
        <v>21</v>
      </c>
      <c r="F2015" s="1" t="s">
        <v>540</v>
      </c>
      <c r="G2015" s="1" t="s">
        <v>541</v>
      </c>
      <c r="H2015" s="1" t="s">
        <v>37</v>
      </c>
      <c r="I2015">
        <v>76000</v>
      </c>
      <c r="J2015" s="3">
        <v>46.68</v>
      </c>
      <c r="K2015" s="3">
        <v>3547680</v>
      </c>
    </row>
    <row r="2016" spans="1:11" x14ac:dyDescent="0.2">
      <c r="A2016" s="1" t="s">
        <v>3118</v>
      </c>
      <c r="B2016" s="2">
        <v>45997</v>
      </c>
      <c r="C2016" s="1" t="s">
        <v>1364</v>
      </c>
      <c r="D2016" s="1" t="s">
        <v>1365</v>
      </c>
      <c r="E2016" s="1" t="s">
        <v>37</v>
      </c>
      <c r="F2016" s="1" t="s">
        <v>70</v>
      </c>
      <c r="G2016" s="1" t="s">
        <v>71</v>
      </c>
      <c r="H2016" s="1" t="s">
        <v>72</v>
      </c>
      <c r="I2016">
        <v>60923</v>
      </c>
      <c r="J2016" s="3">
        <v>2.4500000000000002</v>
      </c>
      <c r="K2016" s="3">
        <v>149261.35</v>
      </c>
    </row>
    <row r="2017" spans="1:11" x14ac:dyDescent="0.2">
      <c r="A2017" s="1" t="s">
        <v>3119</v>
      </c>
      <c r="B2017" s="2">
        <v>45348</v>
      </c>
      <c r="C2017" s="1" t="s">
        <v>749</v>
      </c>
      <c r="D2017" s="1" t="s">
        <v>750</v>
      </c>
      <c r="E2017" s="1" t="s">
        <v>28</v>
      </c>
      <c r="F2017" s="1" t="s">
        <v>57</v>
      </c>
      <c r="G2017" s="1" t="s">
        <v>58</v>
      </c>
      <c r="H2017" s="1" t="s">
        <v>48</v>
      </c>
      <c r="I2017">
        <v>61031</v>
      </c>
      <c r="J2017" s="3">
        <v>40.450000000000003</v>
      </c>
      <c r="K2017" s="3">
        <v>2468703.9500000002</v>
      </c>
    </row>
    <row r="2018" spans="1:11" x14ac:dyDescent="0.2">
      <c r="A2018" s="1" t="s">
        <v>3120</v>
      </c>
      <c r="B2018" s="2">
        <v>45759</v>
      </c>
      <c r="C2018" s="1" t="s">
        <v>74</v>
      </c>
      <c r="D2018" s="1" t="s">
        <v>75</v>
      </c>
      <c r="E2018" s="1" t="s">
        <v>37</v>
      </c>
      <c r="F2018" s="1" t="s">
        <v>57</v>
      </c>
      <c r="G2018" s="1" t="s">
        <v>58</v>
      </c>
      <c r="H2018" s="1" t="s">
        <v>48</v>
      </c>
      <c r="I2018">
        <v>10648</v>
      </c>
      <c r="J2018" s="3">
        <v>4.8899999999999997</v>
      </c>
      <c r="K2018" s="3">
        <v>52068.72</v>
      </c>
    </row>
    <row r="2019" spans="1:11" x14ac:dyDescent="0.2">
      <c r="A2019" s="1" t="s">
        <v>3121</v>
      </c>
      <c r="B2019" s="2">
        <v>45618</v>
      </c>
      <c r="C2019" s="1" t="s">
        <v>942</v>
      </c>
      <c r="D2019" s="1" t="s">
        <v>943</v>
      </c>
      <c r="E2019" s="1" t="s">
        <v>28</v>
      </c>
      <c r="F2019" s="1" t="s">
        <v>394</v>
      </c>
      <c r="G2019" s="1" t="s">
        <v>395</v>
      </c>
      <c r="H2019" s="1" t="s">
        <v>48</v>
      </c>
      <c r="I2019">
        <v>80595</v>
      </c>
      <c r="J2019" s="3">
        <v>21.76</v>
      </c>
      <c r="K2019" s="3">
        <v>1753747.2</v>
      </c>
    </row>
    <row r="2020" spans="1:11" x14ac:dyDescent="0.2">
      <c r="A2020" s="1" t="s">
        <v>3122</v>
      </c>
      <c r="B2020" s="2">
        <v>45748</v>
      </c>
      <c r="C2020" s="1" t="s">
        <v>307</v>
      </c>
      <c r="D2020" s="1" t="s">
        <v>308</v>
      </c>
      <c r="E2020" s="1" t="s">
        <v>14</v>
      </c>
      <c r="F2020" s="1" t="s">
        <v>113</v>
      </c>
      <c r="G2020" s="1" t="s">
        <v>114</v>
      </c>
      <c r="H2020" s="1" t="s">
        <v>37</v>
      </c>
      <c r="I2020">
        <v>67428</v>
      </c>
      <c r="J2020" s="3">
        <v>9.07</v>
      </c>
      <c r="K2020" s="3">
        <v>611571.96</v>
      </c>
    </row>
    <row r="2021" spans="1:11" x14ac:dyDescent="0.2">
      <c r="A2021" s="1" t="s">
        <v>3123</v>
      </c>
      <c r="B2021" s="2">
        <v>45651</v>
      </c>
      <c r="C2021" s="1" t="s">
        <v>2326</v>
      </c>
      <c r="D2021" s="1" t="s">
        <v>2327</v>
      </c>
      <c r="E2021" s="1" t="s">
        <v>37</v>
      </c>
      <c r="F2021" s="1" t="s">
        <v>98</v>
      </c>
      <c r="G2021" s="1" t="s">
        <v>99</v>
      </c>
      <c r="H2021" s="1" t="s">
        <v>72</v>
      </c>
      <c r="I2021">
        <v>88112</v>
      </c>
      <c r="J2021" s="3">
        <v>26.01</v>
      </c>
      <c r="K2021" s="3">
        <v>2291793.12</v>
      </c>
    </row>
    <row r="2022" spans="1:11" x14ac:dyDescent="0.2">
      <c r="A2022" s="1" t="s">
        <v>3124</v>
      </c>
      <c r="B2022" s="2">
        <v>45857</v>
      </c>
      <c r="C2022" s="1" t="s">
        <v>972</v>
      </c>
      <c r="D2022" s="1" t="s">
        <v>973</v>
      </c>
      <c r="E2022" s="1" t="s">
        <v>34</v>
      </c>
      <c r="F2022" s="1" t="s">
        <v>268</v>
      </c>
      <c r="G2022" s="1" t="s">
        <v>269</v>
      </c>
      <c r="H2022" s="1" t="s">
        <v>72</v>
      </c>
      <c r="I2022">
        <v>34211</v>
      </c>
      <c r="J2022" s="3">
        <v>30.83</v>
      </c>
      <c r="K2022" s="3">
        <v>1054725.1299999999</v>
      </c>
    </row>
    <row r="2023" spans="1:11" x14ac:dyDescent="0.2">
      <c r="A2023" s="1" t="s">
        <v>3125</v>
      </c>
      <c r="B2023" s="2">
        <v>45510</v>
      </c>
      <c r="C2023" s="1" t="s">
        <v>1354</v>
      </c>
      <c r="D2023" s="1" t="s">
        <v>1355</v>
      </c>
      <c r="E2023" s="1" t="s">
        <v>34</v>
      </c>
      <c r="F2023" s="1" t="s">
        <v>157</v>
      </c>
      <c r="G2023" s="1" t="s">
        <v>158</v>
      </c>
      <c r="H2023" s="1" t="s">
        <v>48</v>
      </c>
      <c r="I2023">
        <v>60045</v>
      </c>
      <c r="J2023" s="3">
        <v>13.8</v>
      </c>
      <c r="K2023" s="3">
        <v>828621</v>
      </c>
    </row>
    <row r="2024" spans="1:11" x14ac:dyDescent="0.2">
      <c r="A2024" s="1" t="s">
        <v>3126</v>
      </c>
      <c r="B2024" s="2">
        <v>45925</v>
      </c>
      <c r="C2024" s="1" t="s">
        <v>835</v>
      </c>
      <c r="D2024" s="1" t="s">
        <v>836</v>
      </c>
      <c r="E2024" s="1" t="s">
        <v>21</v>
      </c>
      <c r="F2024" s="1" t="s">
        <v>406</v>
      </c>
      <c r="G2024" s="1" t="s">
        <v>407</v>
      </c>
      <c r="H2024" s="1" t="s">
        <v>17</v>
      </c>
      <c r="I2024">
        <v>27516</v>
      </c>
      <c r="J2024" s="3">
        <v>22.01</v>
      </c>
      <c r="K2024" s="3">
        <v>605627.16</v>
      </c>
    </row>
    <row r="2025" spans="1:11" x14ac:dyDescent="0.2">
      <c r="A2025" s="1" t="s">
        <v>3127</v>
      </c>
      <c r="B2025" s="2">
        <v>45732</v>
      </c>
      <c r="C2025" s="1" t="s">
        <v>1698</v>
      </c>
      <c r="D2025" s="1" t="s">
        <v>1699</v>
      </c>
      <c r="E2025" s="1" t="s">
        <v>14</v>
      </c>
      <c r="F2025" s="1" t="s">
        <v>330</v>
      </c>
      <c r="G2025" s="1" t="s">
        <v>331</v>
      </c>
      <c r="H2025" s="1" t="s">
        <v>72</v>
      </c>
      <c r="I2025">
        <v>57962</v>
      </c>
      <c r="J2025" s="3">
        <v>17.079999999999998</v>
      </c>
      <c r="K2025" s="3">
        <v>989990.96</v>
      </c>
    </row>
    <row r="2026" spans="1:11" x14ac:dyDescent="0.2">
      <c r="A2026" s="1" t="s">
        <v>3128</v>
      </c>
      <c r="B2026" s="2">
        <v>45936</v>
      </c>
      <c r="C2026" s="1" t="s">
        <v>198</v>
      </c>
      <c r="D2026" s="1" t="s">
        <v>199</v>
      </c>
      <c r="E2026" s="1" t="s">
        <v>21</v>
      </c>
      <c r="F2026" s="1" t="s">
        <v>228</v>
      </c>
      <c r="G2026" s="1" t="s">
        <v>229</v>
      </c>
      <c r="H2026" s="1" t="s">
        <v>48</v>
      </c>
      <c r="I2026">
        <v>74026</v>
      </c>
      <c r="J2026" s="3">
        <v>13.76</v>
      </c>
      <c r="K2026" s="3">
        <v>1018597.76</v>
      </c>
    </row>
    <row r="2027" spans="1:11" x14ac:dyDescent="0.2">
      <c r="A2027" s="1" t="s">
        <v>3129</v>
      </c>
      <c r="B2027" s="2">
        <v>45894</v>
      </c>
      <c r="C2027" s="1" t="s">
        <v>215</v>
      </c>
      <c r="D2027" s="1" t="s">
        <v>216</v>
      </c>
      <c r="E2027" s="1" t="s">
        <v>21</v>
      </c>
      <c r="F2027" s="1" t="s">
        <v>436</v>
      </c>
      <c r="G2027" s="1" t="s">
        <v>437</v>
      </c>
      <c r="H2027" s="1" t="s">
        <v>24</v>
      </c>
      <c r="I2027">
        <v>45257</v>
      </c>
      <c r="J2027" s="3">
        <v>23.25</v>
      </c>
      <c r="K2027" s="3">
        <v>1052225.25</v>
      </c>
    </row>
    <row r="2028" spans="1:11" x14ac:dyDescent="0.2">
      <c r="A2028" s="1" t="s">
        <v>3130</v>
      </c>
      <c r="B2028" s="2">
        <v>45524</v>
      </c>
      <c r="C2028" s="1" t="s">
        <v>3064</v>
      </c>
      <c r="D2028" s="1" t="s">
        <v>3065</v>
      </c>
      <c r="E2028" s="1" t="s">
        <v>37</v>
      </c>
      <c r="F2028" s="1" t="s">
        <v>406</v>
      </c>
      <c r="G2028" s="1" t="s">
        <v>407</v>
      </c>
      <c r="H2028" s="1" t="s">
        <v>17</v>
      </c>
      <c r="I2028">
        <v>15720</v>
      </c>
      <c r="J2028" s="3">
        <v>24.05</v>
      </c>
      <c r="K2028" s="3">
        <v>378066</v>
      </c>
    </row>
    <row r="2029" spans="1:11" x14ac:dyDescent="0.2">
      <c r="A2029" s="1" t="s">
        <v>3131</v>
      </c>
      <c r="B2029" s="2">
        <v>45950</v>
      </c>
      <c r="C2029" s="1" t="s">
        <v>1591</v>
      </c>
      <c r="D2029" s="1" t="s">
        <v>1592</v>
      </c>
      <c r="E2029" s="1" t="s">
        <v>34</v>
      </c>
      <c r="F2029" s="1" t="s">
        <v>70</v>
      </c>
      <c r="G2029" s="1" t="s">
        <v>71</v>
      </c>
      <c r="H2029" s="1" t="s">
        <v>72</v>
      </c>
      <c r="I2029">
        <v>19516</v>
      </c>
      <c r="J2029" s="3">
        <v>30.36</v>
      </c>
      <c r="K2029" s="3">
        <v>592505.76</v>
      </c>
    </row>
    <row r="2030" spans="1:11" x14ac:dyDescent="0.2">
      <c r="A2030" s="1" t="s">
        <v>3132</v>
      </c>
      <c r="B2030" s="2">
        <v>45800</v>
      </c>
      <c r="C2030" s="1" t="s">
        <v>1972</v>
      </c>
      <c r="D2030" s="1" t="s">
        <v>1973</v>
      </c>
      <c r="E2030" s="1" t="s">
        <v>28</v>
      </c>
      <c r="F2030" s="1" t="s">
        <v>76</v>
      </c>
      <c r="G2030" s="1" t="s">
        <v>77</v>
      </c>
      <c r="H2030" s="1" t="s">
        <v>48</v>
      </c>
      <c r="I2030">
        <v>43791</v>
      </c>
      <c r="J2030" s="3">
        <v>5.38</v>
      </c>
      <c r="K2030" s="3">
        <v>235595.58</v>
      </c>
    </row>
    <row r="2031" spans="1:11" x14ac:dyDescent="0.2">
      <c r="A2031" s="1" t="s">
        <v>3133</v>
      </c>
      <c r="B2031" s="2">
        <v>45649</v>
      </c>
      <c r="C2031" s="1" t="s">
        <v>573</v>
      </c>
      <c r="D2031" s="1" t="s">
        <v>574</v>
      </c>
      <c r="E2031" s="1" t="s">
        <v>14</v>
      </c>
      <c r="F2031" s="1" t="s">
        <v>52</v>
      </c>
      <c r="G2031" s="1" t="s">
        <v>53</v>
      </c>
      <c r="H2031" s="1" t="s">
        <v>17</v>
      </c>
      <c r="I2031">
        <v>69502</v>
      </c>
      <c r="J2031" s="3">
        <v>7.49</v>
      </c>
      <c r="K2031" s="3">
        <v>520569.98</v>
      </c>
    </row>
    <row r="2032" spans="1:11" x14ac:dyDescent="0.2">
      <c r="A2032" s="1" t="s">
        <v>3134</v>
      </c>
      <c r="B2032" s="2">
        <v>45982</v>
      </c>
      <c r="C2032" s="1" t="s">
        <v>106</v>
      </c>
      <c r="D2032" s="1" t="s">
        <v>107</v>
      </c>
      <c r="E2032" s="1" t="s">
        <v>14</v>
      </c>
      <c r="F2032" s="1" t="s">
        <v>65</v>
      </c>
      <c r="G2032" s="1" t="s">
        <v>66</v>
      </c>
      <c r="H2032" s="1" t="s">
        <v>48</v>
      </c>
      <c r="I2032">
        <v>75212</v>
      </c>
      <c r="J2032" s="3">
        <v>37.270000000000003</v>
      </c>
      <c r="K2032" s="3">
        <v>2803151.24</v>
      </c>
    </row>
    <row r="2033" spans="1:11" x14ac:dyDescent="0.2">
      <c r="A2033" s="1" t="s">
        <v>3135</v>
      </c>
      <c r="B2033" s="2">
        <v>45600</v>
      </c>
      <c r="C2033" s="1" t="s">
        <v>820</v>
      </c>
      <c r="D2033" s="1" t="s">
        <v>821</v>
      </c>
      <c r="E2033" s="1" t="s">
        <v>28</v>
      </c>
      <c r="F2033" s="1" t="s">
        <v>217</v>
      </c>
      <c r="G2033" s="1" t="s">
        <v>218</v>
      </c>
      <c r="H2033" s="1" t="s">
        <v>72</v>
      </c>
      <c r="I2033">
        <v>52253</v>
      </c>
      <c r="J2033" s="3">
        <v>34.75</v>
      </c>
      <c r="K2033" s="3">
        <v>1815791.75</v>
      </c>
    </row>
    <row r="2034" spans="1:11" x14ac:dyDescent="0.2">
      <c r="A2034" s="1" t="s">
        <v>3136</v>
      </c>
      <c r="B2034" s="2">
        <v>45295</v>
      </c>
      <c r="C2034" s="1" t="s">
        <v>365</v>
      </c>
      <c r="D2034" s="1" t="s">
        <v>366</v>
      </c>
      <c r="E2034" s="1" t="s">
        <v>14</v>
      </c>
      <c r="F2034" s="1" t="s">
        <v>552</v>
      </c>
      <c r="G2034" s="1" t="s">
        <v>553</v>
      </c>
      <c r="H2034" s="1" t="s">
        <v>37</v>
      </c>
      <c r="I2034">
        <v>21867</v>
      </c>
      <c r="J2034" s="3">
        <v>5.62</v>
      </c>
      <c r="K2034" s="3">
        <v>122892.54</v>
      </c>
    </row>
    <row r="2035" spans="1:11" x14ac:dyDescent="0.2">
      <c r="A2035" s="1" t="s">
        <v>3137</v>
      </c>
      <c r="B2035" s="2">
        <v>45853</v>
      </c>
      <c r="C2035" s="1" t="s">
        <v>945</v>
      </c>
      <c r="D2035" s="1" t="s">
        <v>946</v>
      </c>
      <c r="E2035" s="1" t="s">
        <v>14</v>
      </c>
      <c r="F2035" s="1" t="s">
        <v>81</v>
      </c>
      <c r="G2035" s="1" t="s">
        <v>82</v>
      </c>
      <c r="H2035" s="1" t="s">
        <v>72</v>
      </c>
      <c r="I2035">
        <v>62715</v>
      </c>
      <c r="J2035" s="3">
        <v>16.57</v>
      </c>
      <c r="K2035" s="3">
        <v>1039187.55</v>
      </c>
    </row>
    <row r="2036" spans="1:11" x14ac:dyDescent="0.2">
      <c r="A2036" s="1" t="s">
        <v>3138</v>
      </c>
      <c r="B2036" s="2">
        <v>45965</v>
      </c>
      <c r="C2036" s="1" t="s">
        <v>1157</v>
      </c>
      <c r="D2036" s="1" t="s">
        <v>1158</v>
      </c>
      <c r="E2036" s="1" t="s">
        <v>28</v>
      </c>
      <c r="F2036" s="1" t="s">
        <v>237</v>
      </c>
      <c r="G2036" s="1" t="s">
        <v>238</v>
      </c>
      <c r="H2036" s="1" t="s">
        <v>17</v>
      </c>
      <c r="I2036">
        <v>30264</v>
      </c>
      <c r="J2036" s="3">
        <v>20.55</v>
      </c>
      <c r="K2036" s="3">
        <v>621925.19999999995</v>
      </c>
    </row>
    <row r="2037" spans="1:11" x14ac:dyDescent="0.2">
      <c r="A2037" s="1" t="s">
        <v>3139</v>
      </c>
      <c r="B2037" s="2">
        <v>45784</v>
      </c>
      <c r="C2037" s="1" t="s">
        <v>1184</v>
      </c>
      <c r="D2037" s="1" t="s">
        <v>1185</v>
      </c>
      <c r="E2037" s="1" t="s">
        <v>28</v>
      </c>
      <c r="F2037" s="1" t="s">
        <v>35</v>
      </c>
      <c r="G2037" s="1" t="s">
        <v>36</v>
      </c>
      <c r="H2037" s="1" t="s">
        <v>37</v>
      </c>
      <c r="I2037">
        <v>61251</v>
      </c>
      <c r="J2037" s="3">
        <v>11.89</v>
      </c>
      <c r="K2037" s="3">
        <v>728274.39</v>
      </c>
    </row>
    <row r="2038" spans="1:11" x14ac:dyDescent="0.2">
      <c r="A2038" s="1" t="s">
        <v>3140</v>
      </c>
      <c r="B2038" s="2">
        <v>45960</v>
      </c>
      <c r="C2038" s="1" t="s">
        <v>1082</v>
      </c>
      <c r="D2038" s="1" t="s">
        <v>1083</v>
      </c>
      <c r="E2038" s="1" t="s">
        <v>28</v>
      </c>
      <c r="F2038" s="1" t="s">
        <v>195</v>
      </c>
      <c r="G2038" s="1" t="s">
        <v>196</v>
      </c>
      <c r="H2038" s="1" t="s">
        <v>48</v>
      </c>
      <c r="I2038">
        <v>74081</v>
      </c>
      <c r="J2038" s="3">
        <v>43.58</v>
      </c>
      <c r="K2038" s="3">
        <v>3228449.98</v>
      </c>
    </row>
    <row r="2039" spans="1:11" x14ac:dyDescent="0.2">
      <c r="A2039" s="1" t="s">
        <v>3141</v>
      </c>
      <c r="B2039" s="2">
        <v>45598</v>
      </c>
      <c r="C2039" s="1" t="s">
        <v>418</v>
      </c>
      <c r="D2039" s="1" t="s">
        <v>419</v>
      </c>
      <c r="E2039" s="1" t="s">
        <v>14</v>
      </c>
      <c r="F2039" s="1" t="s">
        <v>57</v>
      </c>
      <c r="G2039" s="1" t="s">
        <v>58</v>
      </c>
      <c r="H2039" s="1" t="s">
        <v>48</v>
      </c>
      <c r="I2039">
        <v>97776</v>
      </c>
      <c r="J2039" s="3">
        <v>11.58</v>
      </c>
      <c r="K2039" s="3">
        <v>1132246.08</v>
      </c>
    </row>
    <row r="2040" spans="1:11" x14ac:dyDescent="0.2">
      <c r="A2040" s="1" t="s">
        <v>3142</v>
      </c>
      <c r="B2040" s="2">
        <v>45758</v>
      </c>
      <c r="C2040" s="1" t="s">
        <v>1324</v>
      </c>
      <c r="D2040" s="1" t="s">
        <v>1325</v>
      </c>
      <c r="E2040" s="1" t="s">
        <v>34</v>
      </c>
      <c r="F2040" s="1" t="s">
        <v>139</v>
      </c>
      <c r="G2040" s="1" t="s">
        <v>140</v>
      </c>
      <c r="H2040" s="1" t="s">
        <v>24</v>
      </c>
      <c r="I2040">
        <v>95490</v>
      </c>
      <c r="J2040" s="3">
        <v>47.66</v>
      </c>
      <c r="K2040" s="3">
        <v>4551053.4000000004</v>
      </c>
    </row>
    <row r="2041" spans="1:11" x14ac:dyDescent="0.2">
      <c r="A2041" s="1" t="s">
        <v>3143</v>
      </c>
      <c r="B2041" s="2">
        <v>45531</v>
      </c>
      <c r="C2041" s="1" t="s">
        <v>770</v>
      </c>
      <c r="D2041" s="1" t="s">
        <v>771</v>
      </c>
      <c r="E2041" s="1" t="s">
        <v>34</v>
      </c>
      <c r="F2041" s="1" t="s">
        <v>217</v>
      </c>
      <c r="G2041" s="1" t="s">
        <v>218</v>
      </c>
      <c r="H2041" s="1" t="s">
        <v>72</v>
      </c>
      <c r="I2041">
        <v>92092</v>
      </c>
      <c r="J2041" s="3">
        <v>43.49</v>
      </c>
      <c r="K2041" s="3">
        <v>4005081.08</v>
      </c>
    </row>
    <row r="2042" spans="1:11" x14ac:dyDescent="0.2">
      <c r="A2042" s="1" t="s">
        <v>3144</v>
      </c>
      <c r="B2042" s="2">
        <v>45897</v>
      </c>
      <c r="C2042" s="1" t="s">
        <v>1053</v>
      </c>
      <c r="D2042" s="1" t="s">
        <v>1054</v>
      </c>
      <c r="E2042" s="1" t="s">
        <v>21</v>
      </c>
      <c r="F2042" s="1" t="s">
        <v>263</v>
      </c>
      <c r="G2042" s="1" t="s">
        <v>264</v>
      </c>
      <c r="H2042" s="1" t="s">
        <v>17</v>
      </c>
      <c r="I2042">
        <v>44377</v>
      </c>
      <c r="J2042" s="3">
        <v>10.68</v>
      </c>
      <c r="K2042" s="3">
        <v>473946.36</v>
      </c>
    </row>
    <row r="2043" spans="1:11" x14ac:dyDescent="0.2">
      <c r="A2043" s="1" t="s">
        <v>3145</v>
      </c>
      <c r="B2043" s="2">
        <v>45537</v>
      </c>
      <c r="C2043" s="1" t="s">
        <v>377</v>
      </c>
      <c r="D2043" s="1" t="s">
        <v>378</v>
      </c>
      <c r="E2043" s="1" t="s">
        <v>37</v>
      </c>
      <c r="F2043" s="1" t="s">
        <v>22</v>
      </c>
      <c r="G2043" s="1" t="s">
        <v>23</v>
      </c>
      <c r="H2043" s="1" t="s">
        <v>24</v>
      </c>
      <c r="I2043">
        <v>86581</v>
      </c>
      <c r="J2043" s="3">
        <v>13.31</v>
      </c>
      <c r="K2043" s="3">
        <v>1152393.1100000001</v>
      </c>
    </row>
    <row r="2044" spans="1:11" x14ac:dyDescent="0.2">
      <c r="A2044" s="1" t="s">
        <v>3146</v>
      </c>
      <c r="B2044" s="2">
        <v>45371</v>
      </c>
      <c r="C2044" s="1" t="s">
        <v>3086</v>
      </c>
      <c r="D2044" s="1" t="s">
        <v>3087</v>
      </c>
      <c r="E2044" s="1" t="s">
        <v>28</v>
      </c>
      <c r="F2044" s="1" t="s">
        <v>165</v>
      </c>
      <c r="G2044" s="1" t="s">
        <v>166</v>
      </c>
      <c r="H2044" s="1" t="s">
        <v>24</v>
      </c>
      <c r="I2044">
        <v>70412</v>
      </c>
      <c r="J2044" s="3">
        <v>5.1100000000000003</v>
      </c>
      <c r="K2044" s="3">
        <v>359805.32</v>
      </c>
    </row>
    <row r="2045" spans="1:11" x14ac:dyDescent="0.2">
      <c r="A2045" s="1" t="s">
        <v>3147</v>
      </c>
      <c r="B2045" s="2">
        <v>45961</v>
      </c>
      <c r="C2045" s="1" t="s">
        <v>2145</v>
      </c>
      <c r="D2045" s="1" t="s">
        <v>2146</v>
      </c>
      <c r="E2045" s="1" t="s">
        <v>37</v>
      </c>
      <c r="F2045" s="1" t="s">
        <v>284</v>
      </c>
      <c r="G2045" s="1" t="s">
        <v>285</v>
      </c>
      <c r="H2045" s="1" t="s">
        <v>37</v>
      </c>
      <c r="I2045">
        <v>51341</v>
      </c>
      <c r="J2045" s="3">
        <v>7.59</v>
      </c>
      <c r="K2045" s="3">
        <v>389678.19</v>
      </c>
    </row>
    <row r="2046" spans="1:11" x14ac:dyDescent="0.2">
      <c r="A2046" s="1" t="s">
        <v>3148</v>
      </c>
      <c r="B2046" s="2">
        <v>45969</v>
      </c>
      <c r="C2046" s="1" t="s">
        <v>1698</v>
      </c>
      <c r="D2046" s="1" t="s">
        <v>1699</v>
      </c>
      <c r="E2046" s="1" t="s">
        <v>14</v>
      </c>
      <c r="F2046" s="1" t="s">
        <v>463</v>
      </c>
      <c r="G2046" s="1" t="s">
        <v>464</v>
      </c>
      <c r="H2046" s="1" t="s">
        <v>37</v>
      </c>
      <c r="I2046">
        <v>45864</v>
      </c>
      <c r="J2046" s="3">
        <v>11.67</v>
      </c>
      <c r="K2046" s="3">
        <v>535232.88</v>
      </c>
    </row>
    <row r="2047" spans="1:11" x14ac:dyDescent="0.2">
      <c r="A2047" s="1" t="s">
        <v>3149</v>
      </c>
      <c r="B2047" s="2">
        <v>46013</v>
      </c>
      <c r="C2047" s="1" t="s">
        <v>1722</v>
      </c>
      <c r="D2047" s="1" t="s">
        <v>1723</v>
      </c>
      <c r="E2047" s="1" t="s">
        <v>34</v>
      </c>
      <c r="F2047" s="1" t="s">
        <v>228</v>
      </c>
      <c r="G2047" s="1" t="s">
        <v>229</v>
      </c>
      <c r="H2047" s="1" t="s">
        <v>48</v>
      </c>
      <c r="I2047">
        <v>70284</v>
      </c>
      <c r="J2047" s="3">
        <v>44.03</v>
      </c>
      <c r="K2047" s="3">
        <v>3094604.52</v>
      </c>
    </row>
    <row r="2048" spans="1:11" x14ac:dyDescent="0.2">
      <c r="A2048" s="1" t="s">
        <v>3150</v>
      </c>
      <c r="B2048" s="2">
        <v>45307</v>
      </c>
      <c r="C2048" s="1" t="s">
        <v>863</v>
      </c>
      <c r="D2048" s="1" t="s">
        <v>864</v>
      </c>
      <c r="E2048" s="1" t="s">
        <v>37</v>
      </c>
      <c r="F2048" s="1" t="s">
        <v>251</v>
      </c>
      <c r="G2048" s="1" t="s">
        <v>252</v>
      </c>
      <c r="H2048" s="1" t="s">
        <v>72</v>
      </c>
      <c r="I2048">
        <v>51898</v>
      </c>
      <c r="J2048" s="3">
        <v>29.45</v>
      </c>
      <c r="K2048" s="3">
        <v>1528396.1</v>
      </c>
    </row>
    <row r="2049" spans="1:11" x14ac:dyDescent="0.2">
      <c r="A2049" s="1" t="s">
        <v>3151</v>
      </c>
      <c r="B2049" s="2">
        <v>45973</v>
      </c>
      <c r="C2049" s="1" t="s">
        <v>866</v>
      </c>
      <c r="D2049" s="1" t="s">
        <v>867</v>
      </c>
      <c r="E2049" s="1" t="s">
        <v>14</v>
      </c>
      <c r="F2049" s="1" t="s">
        <v>436</v>
      </c>
      <c r="G2049" s="1" t="s">
        <v>437</v>
      </c>
      <c r="H2049" s="1" t="s">
        <v>24</v>
      </c>
      <c r="I2049">
        <v>3798</v>
      </c>
      <c r="J2049" s="3">
        <v>27.23</v>
      </c>
      <c r="K2049" s="3">
        <v>103419.54</v>
      </c>
    </row>
    <row r="2050" spans="1:11" x14ac:dyDescent="0.2">
      <c r="A2050" s="1" t="s">
        <v>3152</v>
      </c>
      <c r="B2050" s="2">
        <v>45699</v>
      </c>
      <c r="C2050" s="1" t="s">
        <v>605</v>
      </c>
      <c r="D2050" s="1" t="s">
        <v>606</v>
      </c>
      <c r="E2050" s="1" t="s">
        <v>14</v>
      </c>
      <c r="F2050" s="1" t="s">
        <v>263</v>
      </c>
      <c r="G2050" s="1" t="s">
        <v>264</v>
      </c>
      <c r="H2050" s="1" t="s">
        <v>17</v>
      </c>
      <c r="I2050">
        <v>27395</v>
      </c>
      <c r="J2050" s="3">
        <v>41.81</v>
      </c>
      <c r="K2050" s="3">
        <v>1145384.95</v>
      </c>
    </row>
    <row r="2051" spans="1:11" x14ac:dyDescent="0.2">
      <c r="A2051" s="1" t="s">
        <v>3153</v>
      </c>
      <c r="B2051" s="2">
        <v>45527</v>
      </c>
      <c r="C2051" s="1" t="s">
        <v>1421</v>
      </c>
      <c r="D2051" s="1" t="s">
        <v>1422</v>
      </c>
      <c r="E2051" s="1" t="s">
        <v>21</v>
      </c>
      <c r="F2051" s="1" t="s">
        <v>540</v>
      </c>
      <c r="G2051" s="1" t="s">
        <v>541</v>
      </c>
      <c r="H2051" s="1" t="s">
        <v>37</v>
      </c>
      <c r="I2051">
        <v>80061</v>
      </c>
      <c r="J2051" s="3">
        <v>14.52</v>
      </c>
      <c r="K2051" s="3">
        <v>1162485.72</v>
      </c>
    </row>
    <row r="2052" spans="1:11" x14ac:dyDescent="0.2">
      <c r="A2052" s="1" t="s">
        <v>3154</v>
      </c>
      <c r="B2052" s="2">
        <v>46005</v>
      </c>
      <c r="C2052" s="1" t="s">
        <v>2467</v>
      </c>
      <c r="D2052" s="1" t="s">
        <v>2468</v>
      </c>
      <c r="E2052" s="1" t="s">
        <v>37</v>
      </c>
      <c r="F2052" s="1" t="s">
        <v>46</v>
      </c>
      <c r="G2052" s="1" t="s">
        <v>47</v>
      </c>
      <c r="H2052" s="1" t="s">
        <v>48</v>
      </c>
      <c r="I2052">
        <v>81765</v>
      </c>
      <c r="J2052" s="3">
        <v>43.77</v>
      </c>
      <c r="K2052" s="3">
        <v>3578854.05</v>
      </c>
    </row>
    <row r="2053" spans="1:11" x14ac:dyDescent="0.2">
      <c r="A2053" s="1" t="s">
        <v>3155</v>
      </c>
      <c r="B2053" s="2">
        <v>45974</v>
      </c>
      <c r="C2053" s="1" t="s">
        <v>404</v>
      </c>
      <c r="D2053" s="1" t="s">
        <v>405</v>
      </c>
      <c r="E2053" s="1" t="s">
        <v>37</v>
      </c>
      <c r="F2053" s="1" t="s">
        <v>98</v>
      </c>
      <c r="G2053" s="1" t="s">
        <v>99</v>
      </c>
      <c r="H2053" s="1" t="s">
        <v>72</v>
      </c>
      <c r="I2053">
        <v>45705</v>
      </c>
      <c r="J2053" s="3">
        <v>7.18</v>
      </c>
      <c r="K2053" s="3">
        <v>328161.90000000002</v>
      </c>
    </row>
    <row r="2054" spans="1:11" x14ac:dyDescent="0.2">
      <c r="A2054" s="1" t="s">
        <v>3156</v>
      </c>
      <c r="B2054" s="2">
        <v>45350</v>
      </c>
      <c r="C2054" s="1" t="s">
        <v>2662</v>
      </c>
      <c r="D2054" s="1" t="s">
        <v>2663</v>
      </c>
      <c r="E2054" s="1" t="s">
        <v>21</v>
      </c>
      <c r="F2054" s="1" t="s">
        <v>103</v>
      </c>
      <c r="G2054" s="1" t="s">
        <v>104</v>
      </c>
      <c r="H2054" s="1" t="s">
        <v>37</v>
      </c>
      <c r="I2054">
        <v>77806</v>
      </c>
      <c r="J2054" s="3">
        <v>45.31</v>
      </c>
      <c r="K2054" s="3">
        <v>3525389.86</v>
      </c>
    </row>
    <row r="2055" spans="1:11" x14ac:dyDescent="0.2">
      <c r="A2055" s="1" t="s">
        <v>3157</v>
      </c>
      <c r="B2055" s="2">
        <v>46022</v>
      </c>
      <c r="C2055" s="1" t="s">
        <v>1050</v>
      </c>
      <c r="D2055" s="1" t="s">
        <v>1051</v>
      </c>
      <c r="E2055" s="1" t="s">
        <v>14</v>
      </c>
      <c r="F2055" s="1" t="s">
        <v>406</v>
      </c>
      <c r="G2055" s="1" t="s">
        <v>407</v>
      </c>
      <c r="H2055" s="1" t="s">
        <v>17</v>
      </c>
      <c r="I2055">
        <v>72341</v>
      </c>
      <c r="J2055" s="3">
        <v>40.24</v>
      </c>
      <c r="K2055" s="3">
        <v>2911001.84</v>
      </c>
    </row>
    <row r="2056" spans="1:11" x14ac:dyDescent="0.2">
      <c r="A2056" s="1" t="s">
        <v>3158</v>
      </c>
      <c r="B2056" s="2">
        <v>45391</v>
      </c>
      <c r="C2056" s="1" t="s">
        <v>942</v>
      </c>
      <c r="D2056" s="1" t="s">
        <v>943</v>
      </c>
      <c r="E2056" s="1" t="s">
        <v>28</v>
      </c>
      <c r="F2056" s="1" t="s">
        <v>237</v>
      </c>
      <c r="G2056" s="1" t="s">
        <v>238</v>
      </c>
      <c r="H2056" s="1" t="s">
        <v>17</v>
      </c>
      <c r="I2056">
        <v>10561</v>
      </c>
      <c r="J2056" s="3">
        <v>29.27</v>
      </c>
      <c r="K2056" s="3">
        <v>309120.46999999997</v>
      </c>
    </row>
    <row r="2057" spans="1:11" x14ac:dyDescent="0.2">
      <c r="A2057" s="1" t="s">
        <v>3159</v>
      </c>
      <c r="B2057" s="2">
        <v>45345</v>
      </c>
      <c r="C2057" s="1" t="s">
        <v>779</v>
      </c>
      <c r="D2057" s="1" t="s">
        <v>780</v>
      </c>
      <c r="E2057" s="1" t="s">
        <v>21</v>
      </c>
      <c r="F2057" s="1" t="s">
        <v>15</v>
      </c>
      <c r="G2057" s="1" t="s">
        <v>16</v>
      </c>
      <c r="H2057" s="1" t="s">
        <v>17</v>
      </c>
      <c r="I2057">
        <v>75332</v>
      </c>
      <c r="J2057" s="3">
        <v>11.73</v>
      </c>
      <c r="K2057" s="3">
        <v>883644.36</v>
      </c>
    </row>
    <row r="2058" spans="1:11" x14ac:dyDescent="0.2">
      <c r="A2058" s="1" t="s">
        <v>3160</v>
      </c>
      <c r="B2058" s="2">
        <v>45360</v>
      </c>
      <c r="C2058" s="1" t="s">
        <v>2654</v>
      </c>
      <c r="D2058" s="1" t="s">
        <v>2655</v>
      </c>
      <c r="E2058" s="1" t="s">
        <v>28</v>
      </c>
      <c r="F2058" s="1" t="s">
        <v>65</v>
      </c>
      <c r="G2058" s="1" t="s">
        <v>66</v>
      </c>
      <c r="H2058" s="1" t="s">
        <v>48</v>
      </c>
      <c r="I2058">
        <v>99236</v>
      </c>
      <c r="J2058" s="3">
        <v>21.7</v>
      </c>
      <c r="K2058" s="3">
        <v>2153421.2000000002</v>
      </c>
    </row>
    <row r="2059" spans="1:11" x14ac:dyDescent="0.2">
      <c r="A2059" s="1" t="s">
        <v>3161</v>
      </c>
      <c r="B2059" s="2">
        <v>45365</v>
      </c>
      <c r="C2059" s="1" t="s">
        <v>1117</v>
      </c>
      <c r="D2059" s="1" t="s">
        <v>1118</v>
      </c>
      <c r="E2059" s="1" t="s">
        <v>37</v>
      </c>
      <c r="F2059" s="1" t="s">
        <v>22</v>
      </c>
      <c r="G2059" s="1" t="s">
        <v>23</v>
      </c>
      <c r="H2059" s="1" t="s">
        <v>24</v>
      </c>
      <c r="I2059">
        <v>56759</v>
      </c>
      <c r="J2059" s="3">
        <v>14.74</v>
      </c>
      <c r="K2059" s="3">
        <v>836627.66</v>
      </c>
    </row>
    <row r="2060" spans="1:11" x14ac:dyDescent="0.2">
      <c r="A2060" s="1" t="s">
        <v>3162</v>
      </c>
      <c r="B2060" s="2">
        <v>45816</v>
      </c>
      <c r="C2060" s="1" t="s">
        <v>1662</v>
      </c>
      <c r="D2060" s="1" t="s">
        <v>1663</v>
      </c>
      <c r="E2060" s="1" t="s">
        <v>37</v>
      </c>
      <c r="F2060" s="1" t="s">
        <v>394</v>
      </c>
      <c r="G2060" s="1" t="s">
        <v>395</v>
      </c>
      <c r="H2060" s="1" t="s">
        <v>48</v>
      </c>
      <c r="I2060">
        <v>94690</v>
      </c>
      <c r="J2060" s="3">
        <v>37.74</v>
      </c>
      <c r="K2060" s="3">
        <v>3573600.6</v>
      </c>
    </row>
    <row r="2061" spans="1:11" x14ac:dyDescent="0.2">
      <c r="A2061" s="1" t="s">
        <v>3163</v>
      </c>
      <c r="B2061" s="2">
        <v>45331</v>
      </c>
      <c r="C2061" s="1" t="s">
        <v>2442</v>
      </c>
      <c r="D2061" s="1" t="s">
        <v>2443</v>
      </c>
      <c r="E2061" s="1" t="s">
        <v>34</v>
      </c>
      <c r="F2061" s="1" t="s">
        <v>540</v>
      </c>
      <c r="G2061" s="1" t="s">
        <v>541</v>
      </c>
      <c r="H2061" s="1" t="s">
        <v>37</v>
      </c>
      <c r="I2061">
        <v>41808</v>
      </c>
      <c r="J2061" s="3">
        <v>5.88</v>
      </c>
      <c r="K2061" s="3">
        <v>245831.04000000001</v>
      </c>
    </row>
    <row r="2062" spans="1:11" x14ac:dyDescent="0.2">
      <c r="A2062" s="1" t="s">
        <v>3164</v>
      </c>
      <c r="B2062" s="2">
        <v>45409</v>
      </c>
      <c r="C2062" s="1" t="s">
        <v>657</v>
      </c>
      <c r="D2062" s="1" t="s">
        <v>658</v>
      </c>
      <c r="E2062" s="1" t="s">
        <v>37</v>
      </c>
      <c r="F2062" s="1" t="s">
        <v>474</v>
      </c>
      <c r="G2062" s="1" t="s">
        <v>475</v>
      </c>
      <c r="H2062" s="1" t="s">
        <v>48</v>
      </c>
      <c r="I2062">
        <v>91144</v>
      </c>
      <c r="J2062" s="3">
        <v>47.83</v>
      </c>
      <c r="K2062" s="3">
        <v>4359417.5199999996</v>
      </c>
    </row>
    <row r="2063" spans="1:11" x14ac:dyDescent="0.2">
      <c r="A2063" s="1" t="s">
        <v>3165</v>
      </c>
      <c r="B2063" s="2">
        <v>45674</v>
      </c>
      <c r="C2063" s="1" t="s">
        <v>1789</v>
      </c>
      <c r="D2063" s="1" t="s">
        <v>1790</v>
      </c>
      <c r="E2063" s="1" t="s">
        <v>21</v>
      </c>
      <c r="F2063" s="1" t="s">
        <v>157</v>
      </c>
      <c r="G2063" s="1" t="s">
        <v>158</v>
      </c>
      <c r="H2063" s="1" t="s">
        <v>48</v>
      </c>
      <c r="I2063">
        <v>38430</v>
      </c>
      <c r="J2063" s="3">
        <v>43.12</v>
      </c>
      <c r="K2063" s="3">
        <v>1657101.6</v>
      </c>
    </row>
    <row r="2064" spans="1:11" x14ac:dyDescent="0.2">
      <c r="A2064" s="1" t="s">
        <v>3166</v>
      </c>
      <c r="B2064" s="2">
        <v>45951</v>
      </c>
      <c r="C2064" s="1" t="s">
        <v>526</v>
      </c>
      <c r="D2064" s="1" t="s">
        <v>527</v>
      </c>
      <c r="E2064" s="1" t="s">
        <v>34</v>
      </c>
      <c r="F2064" s="1" t="s">
        <v>350</v>
      </c>
      <c r="G2064" s="1" t="s">
        <v>351</v>
      </c>
      <c r="H2064" s="1" t="s">
        <v>37</v>
      </c>
      <c r="I2064">
        <v>58894</v>
      </c>
      <c r="J2064" s="3">
        <v>9.81</v>
      </c>
      <c r="K2064" s="3">
        <v>577750.14</v>
      </c>
    </row>
    <row r="2065" spans="1:11" x14ac:dyDescent="0.2">
      <c r="A2065" s="1" t="s">
        <v>3167</v>
      </c>
      <c r="B2065" s="2">
        <v>45500</v>
      </c>
      <c r="C2065" s="1" t="s">
        <v>1171</v>
      </c>
      <c r="D2065" s="1" t="s">
        <v>1172</v>
      </c>
      <c r="E2065" s="1" t="s">
        <v>34</v>
      </c>
      <c r="F2065" s="1" t="s">
        <v>81</v>
      </c>
      <c r="G2065" s="1" t="s">
        <v>82</v>
      </c>
      <c r="H2065" s="1" t="s">
        <v>72</v>
      </c>
      <c r="I2065">
        <v>93752</v>
      </c>
      <c r="J2065" s="3">
        <v>12.19</v>
      </c>
      <c r="K2065" s="3">
        <v>1142836.8799999999</v>
      </c>
    </row>
    <row r="2066" spans="1:11" x14ac:dyDescent="0.2">
      <c r="A2066" s="1" t="s">
        <v>3168</v>
      </c>
      <c r="B2066" s="2">
        <v>45325</v>
      </c>
      <c r="C2066" s="1" t="s">
        <v>1516</v>
      </c>
      <c r="D2066" s="1" t="s">
        <v>1517</v>
      </c>
      <c r="E2066" s="1" t="s">
        <v>21</v>
      </c>
      <c r="F2066" s="1" t="s">
        <v>203</v>
      </c>
      <c r="G2066" s="1" t="s">
        <v>204</v>
      </c>
      <c r="H2066" s="1" t="s">
        <v>72</v>
      </c>
      <c r="I2066">
        <v>94717</v>
      </c>
      <c r="J2066" s="3">
        <v>37.51</v>
      </c>
      <c r="K2066" s="3">
        <v>3552834.67</v>
      </c>
    </row>
    <row r="2067" spans="1:11" x14ac:dyDescent="0.2">
      <c r="A2067" s="1" t="s">
        <v>3169</v>
      </c>
      <c r="B2067" s="2">
        <v>45312</v>
      </c>
      <c r="C2067" s="1" t="s">
        <v>3170</v>
      </c>
      <c r="D2067" s="1" t="s">
        <v>3171</v>
      </c>
      <c r="E2067" s="1" t="s">
        <v>34</v>
      </c>
      <c r="F2067" s="1" t="s">
        <v>70</v>
      </c>
      <c r="G2067" s="1" t="s">
        <v>71</v>
      </c>
      <c r="H2067" s="1" t="s">
        <v>72</v>
      </c>
      <c r="I2067">
        <v>23474</v>
      </c>
      <c r="J2067" s="3">
        <v>13.2</v>
      </c>
      <c r="K2067" s="3">
        <v>309856.8</v>
      </c>
    </row>
    <row r="2068" spans="1:11" x14ac:dyDescent="0.2">
      <c r="A2068" s="1" t="s">
        <v>3172</v>
      </c>
      <c r="B2068" s="2">
        <v>45474</v>
      </c>
      <c r="C2068" s="1" t="s">
        <v>538</v>
      </c>
      <c r="D2068" s="1" t="s">
        <v>539</v>
      </c>
      <c r="E2068" s="1" t="s">
        <v>21</v>
      </c>
      <c r="F2068" s="1" t="s">
        <v>394</v>
      </c>
      <c r="G2068" s="1" t="s">
        <v>395</v>
      </c>
      <c r="H2068" s="1" t="s">
        <v>48</v>
      </c>
      <c r="I2068">
        <v>90465</v>
      </c>
      <c r="J2068" s="3">
        <v>3.44</v>
      </c>
      <c r="K2068" s="3">
        <v>311199.59999999998</v>
      </c>
    </row>
    <row r="2069" spans="1:11" x14ac:dyDescent="0.2">
      <c r="A2069" s="1" t="s">
        <v>3173</v>
      </c>
      <c r="B2069" s="2">
        <v>45836</v>
      </c>
      <c r="C2069" s="1" t="s">
        <v>847</v>
      </c>
      <c r="D2069" s="1" t="s">
        <v>848</v>
      </c>
      <c r="E2069" s="1" t="s">
        <v>34</v>
      </c>
      <c r="F2069" s="1" t="s">
        <v>510</v>
      </c>
      <c r="G2069" s="1" t="s">
        <v>511</v>
      </c>
      <c r="H2069" s="1" t="s">
        <v>17</v>
      </c>
      <c r="I2069">
        <v>53555</v>
      </c>
      <c r="J2069" s="3">
        <v>9.8699999999999992</v>
      </c>
      <c r="K2069" s="3">
        <v>528587.85</v>
      </c>
    </row>
    <row r="2070" spans="1:11" x14ac:dyDescent="0.2">
      <c r="A2070" s="1" t="s">
        <v>3174</v>
      </c>
      <c r="B2070" s="2">
        <v>45897</v>
      </c>
      <c r="C2070" s="1" t="s">
        <v>639</v>
      </c>
      <c r="D2070" s="1" t="s">
        <v>640</v>
      </c>
      <c r="E2070" s="1" t="s">
        <v>28</v>
      </c>
      <c r="F2070" s="1" t="s">
        <v>263</v>
      </c>
      <c r="G2070" s="1" t="s">
        <v>264</v>
      </c>
      <c r="H2070" s="1" t="s">
        <v>17</v>
      </c>
      <c r="I2070">
        <v>31730</v>
      </c>
      <c r="J2070" s="3">
        <v>5.13</v>
      </c>
      <c r="K2070" s="3">
        <v>162774.9</v>
      </c>
    </row>
    <row r="2071" spans="1:11" x14ac:dyDescent="0.2">
      <c r="A2071" s="1" t="s">
        <v>3175</v>
      </c>
      <c r="B2071" s="2">
        <v>45642</v>
      </c>
      <c r="C2071" s="1" t="s">
        <v>1039</v>
      </c>
      <c r="D2071" s="1" t="s">
        <v>1040</v>
      </c>
      <c r="E2071" s="1" t="s">
        <v>14</v>
      </c>
      <c r="F2071" s="1" t="s">
        <v>65</v>
      </c>
      <c r="G2071" s="1" t="s">
        <v>66</v>
      </c>
      <c r="H2071" s="1" t="s">
        <v>48</v>
      </c>
      <c r="I2071">
        <v>40474</v>
      </c>
      <c r="J2071" s="3">
        <v>19.57</v>
      </c>
      <c r="K2071" s="3">
        <v>792076.18</v>
      </c>
    </row>
    <row r="2072" spans="1:11" x14ac:dyDescent="0.2">
      <c r="A2072" s="1" t="s">
        <v>3176</v>
      </c>
      <c r="B2072" s="2">
        <v>45742</v>
      </c>
      <c r="C2072" s="1" t="s">
        <v>342</v>
      </c>
      <c r="D2072" s="1" t="s">
        <v>343</v>
      </c>
      <c r="E2072" s="1" t="s">
        <v>37</v>
      </c>
      <c r="F2072" s="1" t="s">
        <v>228</v>
      </c>
      <c r="G2072" s="1" t="s">
        <v>229</v>
      </c>
      <c r="H2072" s="1" t="s">
        <v>48</v>
      </c>
      <c r="I2072">
        <v>65405</v>
      </c>
      <c r="J2072" s="3">
        <v>28.18</v>
      </c>
      <c r="K2072" s="3">
        <v>1843112.9</v>
      </c>
    </row>
    <row r="2073" spans="1:11" x14ac:dyDescent="0.2">
      <c r="A2073" s="1" t="s">
        <v>3177</v>
      </c>
      <c r="B2073" s="2">
        <v>45526</v>
      </c>
      <c r="C2073" s="1" t="s">
        <v>570</v>
      </c>
      <c r="D2073" s="1" t="s">
        <v>571</v>
      </c>
      <c r="E2073" s="1" t="s">
        <v>28</v>
      </c>
      <c r="F2073" s="1" t="s">
        <v>436</v>
      </c>
      <c r="G2073" s="1" t="s">
        <v>437</v>
      </c>
      <c r="H2073" s="1" t="s">
        <v>24</v>
      </c>
      <c r="I2073">
        <v>23338</v>
      </c>
      <c r="J2073" s="3">
        <v>9.7200000000000006</v>
      </c>
      <c r="K2073" s="3">
        <v>226845.36</v>
      </c>
    </row>
    <row r="2074" spans="1:11" x14ac:dyDescent="0.2">
      <c r="A2074" s="1" t="s">
        <v>3178</v>
      </c>
      <c r="B2074" s="2">
        <v>45501</v>
      </c>
      <c r="C2074" s="1" t="s">
        <v>2662</v>
      </c>
      <c r="D2074" s="1" t="s">
        <v>2663</v>
      </c>
      <c r="E2074" s="1" t="s">
        <v>21</v>
      </c>
      <c r="F2074" s="1" t="s">
        <v>208</v>
      </c>
      <c r="G2074" s="1" t="s">
        <v>209</v>
      </c>
      <c r="H2074" s="1" t="s">
        <v>17</v>
      </c>
      <c r="I2074">
        <v>45400</v>
      </c>
      <c r="J2074" s="3">
        <v>38.85</v>
      </c>
      <c r="K2074" s="3">
        <v>1763790</v>
      </c>
    </row>
    <row r="2075" spans="1:11" x14ac:dyDescent="0.2">
      <c r="A2075" s="1" t="s">
        <v>3179</v>
      </c>
      <c r="B2075" s="2">
        <v>45447</v>
      </c>
      <c r="C2075" s="1" t="s">
        <v>570</v>
      </c>
      <c r="D2075" s="1" t="s">
        <v>571</v>
      </c>
      <c r="E2075" s="1" t="s">
        <v>28</v>
      </c>
      <c r="F2075" s="1" t="s">
        <v>29</v>
      </c>
      <c r="G2075" s="1" t="s">
        <v>30</v>
      </c>
      <c r="H2075" s="1" t="s">
        <v>24</v>
      </c>
      <c r="I2075">
        <v>14779</v>
      </c>
      <c r="J2075" s="3">
        <v>41.83</v>
      </c>
      <c r="K2075" s="3">
        <v>618205.56999999995</v>
      </c>
    </row>
    <row r="2076" spans="1:11" x14ac:dyDescent="0.2">
      <c r="A2076" s="1" t="s">
        <v>3180</v>
      </c>
      <c r="B2076" s="2">
        <v>45317</v>
      </c>
      <c r="C2076" s="1" t="s">
        <v>434</v>
      </c>
      <c r="D2076" s="1" t="s">
        <v>435</v>
      </c>
      <c r="E2076" s="1" t="s">
        <v>21</v>
      </c>
      <c r="F2076" s="1" t="s">
        <v>203</v>
      </c>
      <c r="G2076" s="1" t="s">
        <v>204</v>
      </c>
      <c r="H2076" s="1" t="s">
        <v>72</v>
      </c>
      <c r="I2076">
        <v>37376</v>
      </c>
      <c r="J2076" s="3">
        <v>8.8000000000000007</v>
      </c>
      <c r="K2076" s="3">
        <v>328908.79999999999</v>
      </c>
    </row>
    <row r="2077" spans="1:11" x14ac:dyDescent="0.2">
      <c r="A2077" s="1" t="s">
        <v>3181</v>
      </c>
      <c r="B2077" s="2">
        <v>45661</v>
      </c>
      <c r="C2077" s="1" t="s">
        <v>415</v>
      </c>
      <c r="D2077" s="1" t="s">
        <v>416</v>
      </c>
      <c r="E2077" s="1" t="s">
        <v>14</v>
      </c>
      <c r="F2077" s="1" t="s">
        <v>458</v>
      </c>
      <c r="G2077" s="1" t="s">
        <v>459</v>
      </c>
      <c r="H2077" s="1" t="s">
        <v>72</v>
      </c>
      <c r="I2077">
        <v>91802</v>
      </c>
      <c r="J2077" s="3">
        <v>49.08</v>
      </c>
      <c r="K2077" s="3">
        <v>4505642.16</v>
      </c>
    </row>
    <row r="2078" spans="1:11" x14ac:dyDescent="0.2">
      <c r="A2078" s="1" t="s">
        <v>3182</v>
      </c>
      <c r="B2078" s="2">
        <v>45710</v>
      </c>
      <c r="C2078" s="1" t="s">
        <v>746</v>
      </c>
      <c r="D2078" s="1" t="s">
        <v>747</v>
      </c>
      <c r="E2078" s="1" t="s">
        <v>37</v>
      </c>
      <c r="F2078" s="1" t="s">
        <v>237</v>
      </c>
      <c r="G2078" s="1" t="s">
        <v>238</v>
      </c>
      <c r="H2078" s="1" t="s">
        <v>17</v>
      </c>
      <c r="I2078">
        <v>91882</v>
      </c>
      <c r="J2078" s="3">
        <v>24.33</v>
      </c>
      <c r="K2078" s="3">
        <v>2235489.06</v>
      </c>
    </row>
    <row r="2079" spans="1:11" x14ac:dyDescent="0.2">
      <c r="A2079" s="1" t="s">
        <v>3183</v>
      </c>
      <c r="B2079" s="2">
        <v>45887</v>
      </c>
      <c r="C2079" s="1" t="s">
        <v>798</v>
      </c>
      <c r="D2079" s="1" t="s">
        <v>799</v>
      </c>
      <c r="E2079" s="1" t="s">
        <v>34</v>
      </c>
      <c r="F2079" s="1" t="s">
        <v>144</v>
      </c>
      <c r="G2079" s="1" t="s">
        <v>145</v>
      </c>
      <c r="H2079" s="1" t="s">
        <v>24</v>
      </c>
      <c r="I2079">
        <v>59868</v>
      </c>
      <c r="J2079" s="3">
        <v>11.22</v>
      </c>
      <c r="K2079" s="3">
        <v>671718.96</v>
      </c>
    </row>
    <row r="2080" spans="1:11" x14ac:dyDescent="0.2">
      <c r="A2080" s="1" t="s">
        <v>3184</v>
      </c>
      <c r="B2080" s="2">
        <v>45424</v>
      </c>
      <c r="C2080" s="1" t="s">
        <v>400</v>
      </c>
      <c r="D2080" s="1" t="s">
        <v>401</v>
      </c>
      <c r="E2080" s="1" t="s">
        <v>21</v>
      </c>
      <c r="F2080" s="1" t="s">
        <v>458</v>
      </c>
      <c r="G2080" s="1" t="s">
        <v>459</v>
      </c>
      <c r="H2080" s="1" t="s">
        <v>72</v>
      </c>
      <c r="I2080">
        <v>28240</v>
      </c>
      <c r="J2080" s="3">
        <v>5.79</v>
      </c>
      <c r="K2080" s="3">
        <v>163509.6</v>
      </c>
    </row>
    <row r="2081" spans="1:11" x14ac:dyDescent="0.2">
      <c r="A2081" s="1" t="s">
        <v>3185</v>
      </c>
      <c r="B2081" s="2">
        <v>45951</v>
      </c>
      <c r="C2081" s="1" t="s">
        <v>1578</v>
      </c>
      <c r="D2081" s="1" t="s">
        <v>1579</v>
      </c>
      <c r="E2081" s="1" t="s">
        <v>28</v>
      </c>
      <c r="F2081" s="1" t="s">
        <v>203</v>
      </c>
      <c r="G2081" s="1" t="s">
        <v>204</v>
      </c>
      <c r="H2081" s="1" t="s">
        <v>72</v>
      </c>
      <c r="I2081">
        <v>92001</v>
      </c>
      <c r="J2081" s="3">
        <v>34.17</v>
      </c>
      <c r="K2081" s="3">
        <v>3143674.17</v>
      </c>
    </row>
    <row r="2082" spans="1:11" x14ac:dyDescent="0.2">
      <c r="A2082" s="1" t="s">
        <v>3186</v>
      </c>
      <c r="B2082" s="2">
        <v>45335</v>
      </c>
      <c r="C2082" s="1" t="s">
        <v>2781</v>
      </c>
      <c r="D2082" s="1" t="s">
        <v>2782</v>
      </c>
      <c r="E2082" s="1" t="s">
        <v>34</v>
      </c>
      <c r="F2082" s="1" t="s">
        <v>103</v>
      </c>
      <c r="G2082" s="1" t="s">
        <v>104</v>
      </c>
      <c r="H2082" s="1" t="s">
        <v>37</v>
      </c>
      <c r="I2082">
        <v>69426</v>
      </c>
      <c r="J2082" s="3">
        <v>15.97</v>
      </c>
      <c r="K2082" s="3">
        <v>1108733.22</v>
      </c>
    </row>
    <row r="2083" spans="1:11" x14ac:dyDescent="0.2">
      <c r="A2083" s="1" t="s">
        <v>3187</v>
      </c>
      <c r="B2083" s="2">
        <v>45741</v>
      </c>
      <c r="C2083" s="1" t="s">
        <v>651</v>
      </c>
      <c r="D2083" s="1" t="s">
        <v>652</v>
      </c>
      <c r="E2083" s="1" t="s">
        <v>28</v>
      </c>
      <c r="F2083" s="1" t="s">
        <v>108</v>
      </c>
      <c r="G2083" s="1" t="s">
        <v>109</v>
      </c>
      <c r="H2083" s="1" t="s">
        <v>37</v>
      </c>
      <c r="I2083">
        <v>27990</v>
      </c>
      <c r="J2083" s="3">
        <v>35.32</v>
      </c>
      <c r="K2083" s="3">
        <v>988606.8</v>
      </c>
    </row>
    <row r="2084" spans="1:11" x14ac:dyDescent="0.2">
      <c r="A2084" s="1" t="s">
        <v>3188</v>
      </c>
      <c r="B2084" s="2">
        <v>45603</v>
      </c>
      <c r="C2084" s="1" t="s">
        <v>2326</v>
      </c>
      <c r="D2084" s="1" t="s">
        <v>2327</v>
      </c>
      <c r="E2084" s="1" t="s">
        <v>37</v>
      </c>
      <c r="F2084" s="1" t="s">
        <v>29</v>
      </c>
      <c r="G2084" s="1" t="s">
        <v>30</v>
      </c>
      <c r="H2084" s="1" t="s">
        <v>24</v>
      </c>
      <c r="I2084">
        <v>49014</v>
      </c>
      <c r="J2084" s="3">
        <v>47.58</v>
      </c>
      <c r="K2084" s="3">
        <v>2332086.12</v>
      </c>
    </row>
    <row r="2085" spans="1:11" x14ac:dyDescent="0.2">
      <c r="A2085" s="1" t="s">
        <v>3189</v>
      </c>
      <c r="B2085" s="2">
        <v>45784</v>
      </c>
      <c r="C2085" s="1" t="s">
        <v>910</v>
      </c>
      <c r="D2085" s="1" t="s">
        <v>911</v>
      </c>
      <c r="E2085" s="1" t="s">
        <v>28</v>
      </c>
      <c r="F2085" s="1" t="s">
        <v>412</v>
      </c>
      <c r="G2085" s="1" t="s">
        <v>413</v>
      </c>
      <c r="H2085" s="1" t="s">
        <v>72</v>
      </c>
      <c r="I2085">
        <v>15872</v>
      </c>
      <c r="J2085" s="3">
        <v>10.210000000000001</v>
      </c>
      <c r="K2085" s="3">
        <v>162053.12</v>
      </c>
    </row>
    <row r="2086" spans="1:11" x14ac:dyDescent="0.2">
      <c r="A2086" s="1" t="s">
        <v>3190</v>
      </c>
      <c r="B2086" s="2">
        <v>45572</v>
      </c>
      <c r="C2086" s="1" t="s">
        <v>223</v>
      </c>
      <c r="D2086" s="1" t="s">
        <v>224</v>
      </c>
      <c r="E2086" s="1" t="s">
        <v>28</v>
      </c>
      <c r="F2086" s="1" t="s">
        <v>394</v>
      </c>
      <c r="G2086" s="1" t="s">
        <v>395</v>
      </c>
      <c r="H2086" s="1" t="s">
        <v>48</v>
      </c>
      <c r="I2086">
        <v>84381</v>
      </c>
      <c r="J2086" s="3">
        <v>23.16</v>
      </c>
      <c r="K2086" s="3">
        <v>1954263.96</v>
      </c>
    </row>
    <row r="2087" spans="1:11" x14ac:dyDescent="0.2">
      <c r="A2087" s="1" t="s">
        <v>3191</v>
      </c>
      <c r="B2087" s="2">
        <v>45623</v>
      </c>
      <c r="C2087" s="1" t="s">
        <v>1575</v>
      </c>
      <c r="D2087" s="1" t="s">
        <v>1576</v>
      </c>
      <c r="E2087" s="1" t="s">
        <v>14</v>
      </c>
      <c r="F2087" s="1" t="s">
        <v>394</v>
      </c>
      <c r="G2087" s="1" t="s">
        <v>395</v>
      </c>
      <c r="H2087" s="1" t="s">
        <v>48</v>
      </c>
      <c r="I2087">
        <v>13841</v>
      </c>
      <c r="J2087" s="3">
        <v>11.96</v>
      </c>
      <c r="K2087" s="3">
        <v>165538.35999999999</v>
      </c>
    </row>
    <row r="2088" spans="1:11" x14ac:dyDescent="0.2">
      <c r="A2088" s="1" t="s">
        <v>3192</v>
      </c>
      <c r="B2088" s="2">
        <v>45780</v>
      </c>
      <c r="C2088" s="1" t="s">
        <v>1402</v>
      </c>
      <c r="D2088" s="1" t="s">
        <v>1403</v>
      </c>
      <c r="E2088" s="1" t="s">
        <v>34</v>
      </c>
      <c r="F2088" s="1" t="s">
        <v>189</v>
      </c>
      <c r="G2088" s="1" t="s">
        <v>190</v>
      </c>
      <c r="H2088" s="1" t="s">
        <v>17</v>
      </c>
      <c r="I2088">
        <v>69456</v>
      </c>
      <c r="J2088" s="3">
        <v>38.82</v>
      </c>
      <c r="K2088" s="3">
        <v>2696281.92</v>
      </c>
    </row>
    <row r="2089" spans="1:11" x14ac:dyDescent="0.2">
      <c r="A2089" s="1" t="s">
        <v>3193</v>
      </c>
      <c r="B2089" s="2">
        <v>45383</v>
      </c>
      <c r="C2089" s="1" t="s">
        <v>874</v>
      </c>
      <c r="D2089" s="1" t="s">
        <v>875</v>
      </c>
      <c r="E2089" s="1" t="s">
        <v>21</v>
      </c>
      <c r="F2089" s="1" t="s">
        <v>339</v>
      </c>
      <c r="G2089" s="1" t="s">
        <v>340</v>
      </c>
      <c r="H2089" s="1" t="s">
        <v>24</v>
      </c>
      <c r="I2089">
        <v>44380</v>
      </c>
      <c r="J2089" s="3">
        <v>33.82</v>
      </c>
      <c r="K2089" s="3">
        <v>1500931.6</v>
      </c>
    </row>
    <row r="2090" spans="1:11" x14ac:dyDescent="0.2">
      <c r="A2090" s="1" t="s">
        <v>3194</v>
      </c>
      <c r="B2090" s="2">
        <v>45938</v>
      </c>
      <c r="C2090" s="1" t="s">
        <v>817</v>
      </c>
      <c r="D2090" s="1" t="s">
        <v>818</v>
      </c>
      <c r="E2090" s="1" t="s">
        <v>14</v>
      </c>
      <c r="F2090" s="1" t="s">
        <v>324</v>
      </c>
      <c r="G2090" s="1" t="s">
        <v>325</v>
      </c>
      <c r="H2090" s="1" t="s">
        <v>24</v>
      </c>
      <c r="I2090">
        <v>3399</v>
      </c>
      <c r="J2090" s="3">
        <v>17.62</v>
      </c>
      <c r="K2090" s="3">
        <v>59890.38</v>
      </c>
    </row>
    <row r="2091" spans="1:11" x14ac:dyDescent="0.2">
      <c r="A2091" s="1" t="s">
        <v>3195</v>
      </c>
      <c r="B2091" s="2">
        <v>45832</v>
      </c>
      <c r="C2091" s="1" t="s">
        <v>1201</v>
      </c>
      <c r="D2091" s="1" t="s">
        <v>1202</v>
      </c>
      <c r="E2091" s="1" t="s">
        <v>37</v>
      </c>
      <c r="F2091" s="1" t="s">
        <v>228</v>
      </c>
      <c r="G2091" s="1" t="s">
        <v>229</v>
      </c>
      <c r="H2091" s="1" t="s">
        <v>48</v>
      </c>
      <c r="I2091">
        <v>75093</v>
      </c>
      <c r="J2091" s="3">
        <v>26.41</v>
      </c>
      <c r="K2091" s="3">
        <v>1983206.13</v>
      </c>
    </row>
    <row r="2092" spans="1:11" x14ac:dyDescent="0.2">
      <c r="A2092" s="1" t="s">
        <v>3196</v>
      </c>
      <c r="B2092" s="2">
        <v>45852</v>
      </c>
      <c r="C2092" s="1" t="s">
        <v>1102</v>
      </c>
      <c r="D2092" s="1" t="s">
        <v>1103</v>
      </c>
      <c r="E2092" s="1" t="s">
        <v>21</v>
      </c>
      <c r="F2092" s="1" t="s">
        <v>552</v>
      </c>
      <c r="G2092" s="1" t="s">
        <v>553</v>
      </c>
      <c r="H2092" s="1" t="s">
        <v>37</v>
      </c>
      <c r="I2092">
        <v>90593</v>
      </c>
      <c r="J2092" s="3">
        <v>19.940000000000001</v>
      </c>
      <c r="K2092" s="3">
        <v>1806424.42</v>
      </c>
    </row>
    <row r="2093" spans="1:11" x14ac:dyDescent="0.2">
      <c r="A2093" s="1" t="s">
        <v>3197</v>
      </c>
      <c r="B2093" s="2">
        <v>45360</v>
      </c>
      <c r="C2093" s="1" t="s">
        <v>1637</v>
      </c>
      <c r="D2093" s="1" t="s">
        <v>1638</v>
      </c>
      <c r="E2093" s="1" t="s">
        <v>34</v>
      </c>
      <c r="F2093" s="1" t="s">
        <v>184</v>
      </c>
      <c r="G2093" s="1" t="s">
        <v>185</v>
      </c>
      <c r="H2093" s="1" t="s">
        <v>17</v>
      </c>
      <c r="I2093">
        <v>44816</v>
      </c>
      <c r="J2093" s="3">
        <v>2.98</v>
      </c>
      <c r="K2093" s="3">
        <v>133551.67999999999</v>
      </c>
    </row>
    <row r="2094" spans="1:11" x14ac:dyDescent="0.2">
      <c r="A2094" s="1" t="s">
        <v>3198</v>
      </c>
      <c r="B2094" s="2">
        <v>45930</v>
      </c>
      <c r="C2094" s="1" t="s">
        <v>168</v>
      </c>
      <c r="D2094" s="1" t="s">
        <v>169</v>
      </c>
      <c r="E2094" s="1" t="s">
        <v>21</v>
      </c>
      <c r="F2094" s="1" t="s">
        <v>195</v>
      </c>
      <c r="G2094" s="1" t="s">
        <v>196</v>
      </c>
      <c r="H2094" s="1" t="s">
        <v>48</v>
      </c>
      <c r="I2094">
        <v>9390</v>
      </c>
      <c r="J2094" s="3">
        <v>33.04</v>
      </c>
      <c r="K2094" s="3">
        <v>310245.59999999998</v>
      </c>
    </row>
    <row r="2095" spans="1:11" x14ac:dyDescent="0.2">
      <c r="A2095" s="1" t="s">
        <v>3199</v>
      </c>
      <c r="B2095" s="2">
        <v>45456</v>
      </c>
      <c r="C2095" s="1" t="s">
        <v>442</v>
      </c>
      <c r="D2095" s="1" t="s">
        <v>443</v>
      </c>
      <c r="E2095" s="1" t="s">
        <v>34</v>
      </c>
      <c r="F2095" s="1" t="s">
        <v>412</v>
      </c>
      <c r="G2095" s="1" t="s">
        <v>413</v>
      </c>
      <c r="H2095" s="1" t="s">
        <v>72</v>
      </c>
      <c r="I2095">
        <v>99967</v>
      </c>
      <c r="J2095" s="3">
        <v>13.62</v>
      </c>
      <c r="K2095" s="3">
        <v>1361550.54</v>
      </c>
    </row>
    <row r="2096" spans="1:11" x14ac:dyDescent="0.2">
      <c r="A2096" s="1" t="s">
        <v>3200</v>
      </c>
      <c r="B2096" s="2">
        <v>45610</v>
      </c>
      <c r="C2096" s="1" t="s">
        <v>1598</v>
      </c>
      <c r="D2096" s="1" t="s">
        <v>1599</v>
      </c>
      <c r="E2096" s="1" t="s">
        <v>34</v>
      </c>
      <c r="F2096" s="1" t="s">
        <v>165</v>
      </c>
      <c r="G2096" s="1" t="s">
        <v>166</v>
      </c>
      <c r="H2096" s="1" t="s">
        <v>24</v>
      </c>
      <c r="I2096">
        <v>67536</v>
      </c>
      <c r="J2096" s="3">
        <v>45.17</v>
      </c>
      <c r="K2096" s="3">
        <v>3050601.12</v>
      </c>
    </row>
    <row r="2097" spans="1:11" x14ac:dyDescent="0.2">
      <c r="A2097" s="1" t="s">
        <v>3201</v>
      </c>
      <c r="B2097" s="2">
        <v>45889</v>
      </c>
      <c r="C2097" s="1" t="s">
        <v>1483</v>
      </c>
      <c r="D2097" s="1" t="s">
        <v>1484</v>
      </c>
      <c r="E2097" s="1" t="s">
        <v>21</v>
      </c>
      <c r="F2097" s="1" t="s">
        <v>552</v>
      </c>
      <c r="G2097" s="1" t="s">
        <v>553</v>
      </c>
      <c r="H2097" s="1" t="s">
        <v>37</v>
      </c>
      <c r="I2097">
        <v>85261</v>
      </c>
      <c r="J2097" s="3">
        <v>7.79</v>
      </c>
      <c r="K2097" s="3">
        <v>664183.18999999994</v>
      </c>
    </row>
    <row r="2098" spans="1:11" x14ac:dyDescent="0.2">
      <c r="A2098" s="1" t="s">
        <v>3202</v>
      </c>
      <c r="B2098" s="2">
        <v>45455</v>
      </c>
      <c r="C2098" s="1" t="s">
        <v>550</v>
      </c>
      <c r="D2098" s="1" t="s">
        <v>551</v>
      </c>
      <c r="E2098" s="1" t="s">
        <v>34</v>
      </c>
      <c r="F2098" s="1" t="s">
        <v>195</v>
      </c>
      <c r="G2098" s="1" t="s">
        <v>196</v>
      </c>
      <c r="H2098" s="1" t="s">
        <v>48</v>
      </c>
      <c r="I2098">
        <v>48988</v>
      </c>
      <c r="J2098" s="3">
        <v>43.09</v>
      </c>
      <c r="K2098" s="3">
        <v>2110892.92</v>
      </c>
    </row>
    <row r="2099" spans="1:11" x14ac:dyDescent="0.2">
      <c r="A2099" s="1" t="s">
        <v>3203</v>
      </c>
      <c r="B2099" s="2">
        <v>45617</v>
      </c>
      <c r="C2099" s="1" t="s">
        <v>563</v>
      </c>
      <c r="D2099" s="1" t="s">
        <v>564</v>
      </c>
      <c r="E2099" s="1" t="s">
        <v>37</v>
      </c>
      <c r="F2099" s="1" t="s">
        <v>474</v>
      </c>
      <c r="G2099" s="1" t="s">
        <v>475</v>
      </c>
      <c r="H2099" s="1" t="s">
        <v>48</v>
      </c>
      <c r="I2099">
        <v>91625</v>
      </c>
      <c r="J2099" s="3">
        <v>48.77</v>
      </c>
      <c r="K2099" s="3">
        <v>4468551.25</v>
      </c>
    </row>
    <row r="2100" spans="1:11" x14ac:dyDescent="0.2">
      <c r="A2100" s="1" t="s">
        <v>3204</v>
      </c>
      <c r="B2100" s="2">
        <v>45571</v>
      </c>
      <c r="C2100" s="1" t="s">
        <v>385</v>
      </c>
      <c r="D2100" s="1" t="s">
        <v>386</v>
      </c>
      <c r="E2100" s="1" t="s">
        <v>34</v>
      </c>
      <c r="F2100" s="1" t="s">
        <v>29</v>
      </c>
      <c r="G2100" s="1" t="s">
        <v>30</v>
      </c>
      <c r="H2100" s="1" t="s">
        <v>24</v>
      </c>
      <c r="I2100">
        <v>64543</v>
      </c>
      <c r="J2100" s="3">
        <v>16.36</v>
      </c>
      <c r="K2100" s="3">
        <v>1055923.48</v>
      </c>
    </row>
    <row r="2101" spans="1:11" x14ac:dyDescent="0.2">
      <c r="A2101" s="1" t="s">
        <v>3205</v>
      </c>
      <c r="B2101" s="2">
        <v>45726</v>
      </c>
      <c r="C2101" s="1" t="s">
        <v>880</v>
      </c>
      <c r="D2101" s="1" t="s">
        <v>881</v>
      </c>
      <c r="E2101" s="1" t="s">
        <v>21</v>
      </c>
      <c r="F2101" s="1" t="s">
        <v>98</v>
      </c>
      <c r="G2101" s="1" t="s">
        <v>99</v>
      </c>
      <c r="H2101" s="1" t="s">
        <v>72</v>
      </c>
      <c r="I2101">
        <v>70295</v>
      </c>
      <c r="J2101" s="3">
        <v>29.58</v>
      </c>
      <c r="K2101" s="3">
        <v>2079326.1</v>
      </c>
    </row>
    <row r="2102" spans="1:11" x14ac:dyDescent="0.2">
      <c r="A2102" s="1" t="s">
        <v>3206</v>
      </c>
      <c r="B2102" s="2">
        <v>45842</v>
      </c>
      <c r="C2102" s="1" t="s">
        <v>220</v>
      </c>
      <c r="D2102" s="1" t="s">
        <v>221</v>
      </c>
      <c r="E2102" s="1" t="s">
        <v>21</v>
      </c>
      <c r="F2102" s="1" t="s">
        <v>350</v>
      </c>
      <c r="G2102" s="1" t="s">
        <v>351</v>
      </c>
      <c r="H2102" s="1" t="s">
        <v>37</v>
      </c>
      <c r="I2102">
        <v>11714</v>
      </c>
      <c r="J2102" s="3">
        <v>22.75</v>
      </c>
      <c r="K2102" s="3">
        <v>266493.5</v>
      </c>
    </row>
    <row r="2103" spans="1:11" x14ac:dyDescent="0.2">
      <c r="A2103" s="1" t="s">
        <v>3207</v>
      </c>
      <c r="B2103" s="2">
        <v>45832</v>
      </c>
      <c r="C2103" s="1" t="s">
        <v>150</v>
      </c>
      <c r="D2103" s="1" t="s">
        <v>151</v>
      </c>
      <c r="E2103" s="1" t="s">
        <v>14</v>
      </c>
      <c r="F2103" s="1" t="s">
        <v>412</v>
      </c>
      <c r="G2103" s="1" t="s">
        <v>413</v>
      </c>
      <c r="H2103" s="1" t="s">
        <v>72</v>
      </c>
      <c r="I2103">
        <v>71048</v>
      </c>
      <c r="J2103" s="3">
        <v>8.67</v>
      </c>
      <c r="K2103" s="3">
        <v>615986.16</v>
      </c>
    </row>
    <row r="2104" spans="1:11" x14ac:dyDescent="0.2">
      <c r="A2104" s="1" t="s">
        <v>3208</v>
      </c>
      <c r="B2104" s="2">
        <v>45612</v>
      </c>
      <c r="C2104" s="1" t="s">
        <v>1220</v>
      </c>
      <c r="D2104" s="1" t="s">
        <v>1221</v>
      </c>
      <c r="E2104" s="1" t="s">
        <v>34</v>
      </c>
      <c r="F2104" s="1" t="s">
        <v>152</v>
      </c>
      <c r="G2104" s="1" t="s">
        <v>153</v>
      </c>
      <c r="H2104" s="1" t="s">
        <v>17</v>
      </c>
      <c r="I2104">
        <v>87009</v>
      </c>
      <c r="J2104" s="3">
        <v>44.68</v>
      </c>
      <c r="K2104" s="3">
        <v>3887562.12</v>
      </c>
    </row>
    <row r="2105" spans="1:11" x14ac:dyDescent="0.2">
      <c r="A2105" s="1" t="s">
        <v>3209</v>
      </c>
      <c r="B2105" s="2">
        <v>45447</v>
      </c>
      <c r="C2105" s="1" t="s">
        <v>590</v>
      </c>
      <c r="D2105" s="1" t="s">
        <v>591</v>
      </c>
      <c r="E2105" s="1" t="s">
        <v>37</v>
      </c>
      <c r="F2105" s="1" t="s">
        <v>46</v>
      </c>
      <c r="G2105" s="1" t="s">
        <v>47</v>
      </c>
      <c r="H2105" s="1" t="s">
        <v>48</v>
      </c>
      <c r="I2105">
        <v>46761</v>
      </c>
      <c r="J2105" s="3">
        <v>7.51</v>
      </c>
      <c r="K2105" s="3">
        <v>351175.11</v>
      </c>
    </row>
    <row r="2106" spans="1:11" x14ac:dyDescent="0.2">
      <c r="A2106" s="1" t="s">
        <v>3210</v>
      </c>
      <c r="B2106" s="2">
        <v>45741</v>
      </c>
      <c r="C2106" s="1" t="s">
        <v>342</v>
      </c>
      <c r="D2106" s="1" t="s">
        <v>343</v>
      </c>
      <c r="E2106" s="1" t="s">
        <v>37</v>
      </c>
      <c r="F2106" s="1" t="s">
        <v>108</v>
      </c>
      <c r="G2106" s="1" t="s">
        <v>109</v>
      </c>
      <c r="H2106" s="1" t="s">
        <v>37</v>
      </c>
      <c r="I2106">
        <v>78565</v>
      </c>
      <c r="J2106" s="3">
        <v>31.65</v>
      </c>
      <c r="K2106" s="3">
        <v>2486582.25</v>
      </c>
    </row>
    <row r="2107" spans="1:11" x14ac:dyDescent="0.2">
      <c r="A2107" s="1" t="s">
        <v>3211</v>
      </c>
      <c r="B2107" s="2">
        <v>45649</v>
      </c>
      <c r="C2107" s="1" t="s">
        <v>1113</v>
      </c>
      <c r="D2107" s="1" t="s">
        <v>1114</v>
      </c>
      <c r="E2107" s="1" t="s">
        <v>14</v>
      </c>
      <c r="F2107" s="1" t="s">
        <v>70</v>
      </c>
      <c r="G2107" s="1" t="s">
        <v>71</v>
      </c>
      <c r="H2107" s="1" t="s">
        <v>72</v>
      </c>
      <c r="I2107">
        <v>85762</v>
      </c>
      <c r="J2107" s="3">
        <v>44.9</v>
      </c>
      <c r="K2107" s="3">
        <v>3850713.8</v>
      </c>
    </row>
    <row r="2108" spans="1:11" x14ac:dyDescent="0.2">
      <c r="A2108" s="1" t="s">
        <v>3212</v>
      </c>
      <c r="B2108" s="2">
        <v>45611</v>
      </c>
      <c r="C2108" s="1" t="s">
        <v>633</v>
      </c>
      <c r="D2108" s="1" t="s">
        <v>634</v>
      </c>
      <c r="E2108" s="1" t="s">
        <v>34</v>
      </c>
      <c r="F2108" s="1" t="s">
        <v>46</v>
      </c>
      <c r="G2108" s="1" t="s">
        <v>47</v>
      </c>
      <c r="H2108" s="1" t="s">
        <v>48</v>
      </c>
      <c r="I2108">
        <v>75891</v>
      </c>
      <c r="J2108" s="3">
        <v>13.44</v>
      </c>
      <c r="K2108" s="3">
        <v>1019975.04</v>
      </c>
    </row>
    <row r="2109" spans="1:11" x14ac:dyDescent="0.2">
      <c r="A2109" s="1" t="s">
        <v>3213</v>
      </c>
      <c r="B2109" s="2">
        <v>45559</v>
      </c>
      <c r="C2109" s="1" t="s">
        <v>932</v>
      </c>
      <c r="D2109" s="1" t="s">
        <v>933</v>
      </c>
      <c r="E2109" s="1" t="s">
        <v>14</v>
      </c>
      <c r="F2109" s="1" t="s">
        <v>165</v>
      </c>
      <c r="G2109" s="1" t="s">
        <v>166</v>
      </c>
      <c r="H2109" s="1" t="s">
        <v>24</v>
      </c>
      <c r="I2109">
        <v>21139</v>
      </c>
      <c r="J2109" s="3">
        <v>25.54</v>
      </c>
      <c r="K2109" s="3">
        <v>539890.06000000006</v>
      </c>
    </row>
    <row r="2110" spans="1:11" x14ac:dyDescent="0.2">
      <c r="A2110" s="1" t="s">
        <v>3214</v>
      </c>
      <c r="B2110" s="2">
        <v>45785</v>
      </c>
      <c r="C2110" s="1" t="s">
        <v>702</v>
      </c>
      <c r="D2110" s="1" t="s">
        <v>703</v>
      </c>
      <c r="E2110" s="1" t="s">
        <v>34</v>
      </c>
      <c r="F2110" s="1" t="s">
        <v>81</v>
      </c>
      <c r="G2110" s="1" t="s">
        <v>82</v>
      </c>
      <c r="H2110" s="1" t="s">
        <v>72</v>
      </c>
      <c r="I2110">
        <v>16248</v>
      </c>
      <c r="J2110" s="3">
        <v>30.96</v>
      </c>
      <c r="K2110" s="3">
        <v>503038.08</v>
      </c>
    </row>
    <row r="2111" spans="1:11" x14ac:dyDescent="0.2">
      <c r="A2111" s="1" t="s">
        <v>3215</v>
      </c>
      <c r="B2111" s="2">
        <v>45552</v>
      </c>
      <c r="C2111" s="1" t="s">
        <v>211</v>
      </c>
      <c r="D2111" s="1" t="s">
        <v>212</v>
      </c>
      <c r="E2111" s="1" t="s">
        <v>37</v>
      </c>
      <c r="F2111" s="1" t="s">
        <v>350</v>
      </c>
      <c r="G2111" s="1" t="s">
        <v>351</v>
      </c>
      <c r="H2111" s="1" t="s">
        <v>37</v>
      </c>
      <c r="I2111">
        <v>15988</v>
      </c>
      <c r="J2111" s="3">
        <v>17.11</v>
      </c>
      <c r="K2111" s="3">
        <v>273554.68</v>
      </c>
    </row>
    <row r="2112" spans="1:11" x14ac:dyDescent="0.2">
      <c r="A2112" s="1" t="s">
        <v>3216</v>
      </c>
      <c r="B2112" s="2">
        <v>45892</v>
      </c>
      <c r="C2112" s="1" t="s">
        <v>187</v>
      </c>
      <c r="D2112" s="1" t="s">
        <v>188</v>
      </c>
      <c r="E2112" s="1" t="s">
        <v>34</v>
      </c>
      <c r="F2112" s="1" t="s">
        <v>273</v>
      </c>
      <c r="G2112" s="1" t="s">
        <v>274</v>
      </c>
      <c r="H2112" s="1" t="s">
        <v>24</v>
      </c>
      <c r="I2112">
        <v>96026</v>
      </c>
      <c r="J2112" s="3">
        <v>8.84</v>
      </c>
      <c r="K2112" s="3">
        <v>848869.84</v>
      </c>
    </row>
    <row r="2113" spans="1:11" x14ac:dyDescent="0.2">
      <c r="A2113" s="1" t="s">
        <v>3217</v>
      </c>
      <c r="B2113" s="2">
        <v>45704</v>
      </c>
      <c r="C2113" s="1" t="s">
        <v>1191</v>
      </c>
      <c r="D2113" s="1" t="s">
        <v>1192</v>
      </c>
      <c r="E2113" s="1" t="s">
        <v>21</v>
      </c>
      <c r="F2113" s="1" t="s">
        <v>284</v>
      </c>
      <c r="G2113" s="1" t="s">
        <v>285</v>
      </c>
      <c r="H2113" s="1" t="s">
        <v>37</v>
      </c>
      <c r="I2113">
        <v>37107</v>
      </c>
      <c r="J2113" s="3">
        <v>18.84</v>
      </c>
      <c r="K2113" s="3">
        <v>699095.88</v>
      </c>
    </row>
    <row r="2114" spans="1:11" x14ac:dyDescent="0.2">
      <c r="A2114" s="1" t="s">
        <v>3218</v>
      </c>
      <c r="B2114" s="2">
        <v>45447</v>
      </c>
      <c r="C2114" s="1" t="s">
        <v>291</v>
      </c>
      <c r="D2114" s="1" t="s">
        <v>292</v>
      </c>
      <c r="E2114" s="1" t="s">
        <v>14</v>
      </c>
      <c r="F2114" s="1" t="s">
        <v>350</v>
      </c>
      <c r="G2114" s="1" t="s">
        <v>351</v>
      </c>
      <c r="H2114" s="1" t="s">
        <v>37</v>
      </c>
      <c r="I2114">
        <v>7955</v>
      </c>
      <c r="J2114" s="3">
        <v>19.41</v>
      </c>
      <c r="K2114" s="3">
        <v>154406.54999999999</v>
      </c>
    </row>
    <row r="2115" spans="1:11" x14ac:dyDescent="0.2">
      <c r="A2115" s="1" t="s">
        <v>3219</v>
      </c>
      <c r="B2115" s="2">
        <v>45364</v>
      </c>
      <c r="C2115" s="1" t="s">
        <v>313</v>
      </c>
      <c r="D2115" s="1" t="s">
        <v>314</v>
      </c>
      <c r="E2115" s="1" t="s">
        <v>37</v>
      </c>
      <c r="F2115" s="1" t="s">
        <v>273</v>
      </c>
      <c r="G2115" s="1" t="s">
        <v>274</v>
      </c>
      <c r="H2115" s="1" t="s">
        <v>24</v>
      </c>
      <c r="I2115">
        <v>77494</v>
      </c>
      <c r="J2115" s="3">
        <v>18.7</v>
      </c>
      <c r="K2115" s="3">
        <v>1449137.8</v>
      </c>
    </row>
    <row r="2116" spans="1:11" x14ac:dyDescent="0.2">
      <c r="A2116" s="1" t="s">
        <v>3220</v>
      </c>
      <c r="B2116" s="2">
        <v>45818</v>
      </c>
      <c r="C2116" s="1" t="s">
        <v>3221</v>
      </c>
      <c r="D2116" s="1" t="s">
        <v>3222</v>
      </c>
      <c r="E2116" s="1" t="s">
        <v>37</v>
      </c>
      <c r="F2116" s="1" t="s">
        <v>406</v>
      </c>
      <c r="G2116" s="1" t="s">
        <v>407</v>
      </c>
      <c r="H2116" s="1" t="s">
        <v>17</v>
      </c>
      <c r="I2116">
        <v>15415</v>
      </c>
      <c r="J2116" s="3">
        <v>34.31</v>
      </c>
      <c r="K2116" s="3">
        <v>528888.65</v>
      </c>
    </row>
    <row r="2117" spans="1:11" x14ac:dyDescent="0.2">
      <c r="A2117" s="1" t="s">
        <v>3223</v>
      </c>
      <c r="B2117" s="2">
        <v>45987</v>
      </c>
      <c r="C2117" s="1" t="s">
        <v>1953</v>
      </c>
      <c r="D2117" s="1" t="s">
        <v>1954</v>
      </c>
      <c r="E2117" s="1" t="s">
        <v>34</v>
      </c>
      <c r="F2117" s="1" t="s">
        <v>176</v>
      </c>
      <c r="G2117" s="1" t="s">
        <v>177</v>
      </c>
      <c r="H2117" s="1" t="s">
        <v>37</v>
      </c>
      <c r="I2117">
        <v>21572</v>
      </c>
      <c r="J2117" s="3">
        <v>31.48</v>
      </c>
      <c r="K2117" s="3">
        <v>679086.56</v>
      </c>
    </row>
    <row r="2118" spans="1:11" x14ac:dyDescent="0.2">
      <c r="A2118" s="1" t="s">
        <v>3224</v>
      </c>
      <c r="B2118" s="2">
        <v>45419</v>
      </c>
      <c r="C2118" s="1" t="s">
        <v>1867</v>
      </c>
      <c r="D2118" s="1" t="s">
        <v>1868</v>
      </c>
      <c r="E2118" s="1" t="s">
        <v>28</v>
      </c>
      <c r="F2118" s="1" t="s">
        <v>76</v>
      </c>
      <c r="G2118" s="1" t="s">
        <v>77</v>
      </c>
      <c r="H2118" s="1" t="s">
        <v>48</v>
      </c>
      <c r="I2118">
        <v>75396</v>
      </c>
      <c r="J2118" s="3">
        <v>45.78</v>
      </c>
      <c r="K2118" s="3">
        <v>3451628.88</v>
      </c>
    </row>
    <row r="2119" spans="1:11" x14ac:dyDescent="0.2">
      <c r="A2119" s="1" t="s">
        <v>3225</v>
      </c>
      <c r="B2119" s="2">
        <v>45649</v>
      </c>
      <c r="C2119" s="1" t="s">
        <v>466</v>
      </c>
      <c r="D2119" s="1" t="s">
        <v>467</v>
      </c>
      <c r="E2119" s="1" t="s">
        <v>28</v>
      </c>
      <c r="F2119" s="1" t="s">
        <v>184</v>
      </c>
      <c r="G2119" s="1" t="s">
        <v>185</v>
      </c>
      <c r="H2119" s="1" t="s">
        <v>17</v>
      </c>
      <c r="I2119">
        <v>3098</v>
      </c>
      <c r="J2119" s="3">
        <v>35.47</v>
      </c>
      <c r="K2119" s="3">
        <v>109886.06</v>
      </c>
    </row>
    <row r="2120" spans="1:11" x14ac:dyDescent="0.2">
      <c r="A2120" s="1" t="s">
        <v>3226</v>
      </c>
      <c r="B2120" s="2">
        <v>45660</v>
      </c>
      <c r="C2120" s="1" t="s">
        <v>1662</v>
      </c>
      <c r="D2120" s="1" t="s">
        <v>1663</v>
      </c>
      <c r="E2120" s="1" t="s">
        <v>37</v>
      </c>
      <c r="F2120" s="1" t="s">
        <v>268</v>
      </c>
      <c r="G2120" s="1" t="s">
        <v>269</v>
      </c>
      <c r="H2120" s="1" t="s">
        <v>72</v>
      </c>
      <c r="I2120">
        <v>96560</v>
      </c>
      <c r="J2120" s="3">
        <v>22.8</v>
      </c>
      <c r="K2120" s="3">
        <v>2201568</v>
      </c>
    </row>
    <row r="2121" spans="1:11" x14ac:dyDescent="0.2">
      <c r="A2121" s="1" t="s">
        <v>3227</v>
      </c>
      <c r="B2121" s="2">
        <v>45514</v>
      </c>
      <c r="C2121" s="1" t="s">
        <v>3064</v>
      </c>
      <c r="D2121" s="1" t="s">
        <v>3065</v>
      </c>
      <c r="E2121" s="1" t="s">
        <v>37</v>
      </c>
      <c r="F2121" s="1" t="s">
        <v>152</v>
      </c>
      <c r="G2121" s="1" t="s">
        <v>153</v>
      </c>
      <c r="H2121" s="1" t="s">
        <v>17</v>
      </c>
      <c r="I2121">
        <v>67977</v>
      </c>
      <c r="J2121" s="3">
        <v>48.46</v>
      </c>
      <c r="K2121" s="3">
        <v>3294165.42</v>
      </c>
    </row>
    <row r="2122" spans="1:11" x14ac:dyDescent="0.2">
      <c r="A2122" s="1" t="s">
        <v>3228</v>
      </c>
      <c r="B2122" s="2">
        <v>45948</v>
      </c>
      <c r="C2122" s="1" t="s">
        <v>2270</v>
      </c>
      <c r="D2122" s="1" t="s">
        <v>2271</v>
      </c>
      <c r="E2122" s="1" t="s">
        <v>21</v>
      </c>
      <c r="F2122" s="1" t="s">
        <v>15</v>
      </c>
      <c r="G2122" s="1" t="s">
        <v>16</v>
      </c>
      <c r="H2122" s="1" t="s">
        <v>17</v>
      </c>
      <c r="I2122">
        <v>70542</v>
      </c>
      <c r="J2122" s="3">
        <v>4.38</v>
      </c>
      <c r="K2122" s="3">
        <v>308973.96000000002</v>
      </c>
    </row>
    <row r="2123" spans="1:11" x14ac:dyDescent="0.2">
      <c r="A2123" s="1" t="s">
        <v>3229</v>
      </c>
      <c r="B2123" s="2">
        <v>45643</v>
      </c>
      <c r="C2123" s="1" t="s">
        <v>427</v>
      </c>
      <c r="D2123" s="1" t="s">
        <v>428</v>
      </c>
      <c r="E2123" s="1" t="s">
        <v>21</v>
      </c>
      <c r="F2123" s="1" t="s">
        <v>81</v>
      </c>
      <c r="G2123" s="1" t="s">
        <v>82</v>
      </c>
      <c r="H2123" s="1" t="s">
        <v>72</v>
      </c>
      <c r="I2123">
        <v>90934</v>
      </c>
      <c r="J2123" s="3">
        <v>22.36</v>
      </c>
      <c r="K2123" s="3">
        <v>2033284.24</v>
      </c>
    </row>
    <row r="2124" spans="1:11" x14ac:dyDescent="0.2">
      <c r="A2124" s="1" t="s">
        <v>3230</v>
      </c>
      <c r="B2124" s="2">
        <v>45536</v>
      </c>
      <c r="C2124" s="1" t="s">
        <v>905</v>
      </c>
      <c r="D2124" s="1" t="s">
        <v>906</v>
      </c>
      <c r="E2124" s="1" t="s">
        <v>14</v>
      </c>
      <c r="F2124" s="1" t="s">
        <v>273</v>
      </c>
      <c r="G2124" s="1" t="s">
        <v>274</v>
      </c>
      <c r="H2124" s="1" t="s">
        <v>24</v>
      </c>
      <c r="I2124">
        <v>83582</v>
      </c>
      <c r="J2124" s="3">
        <v>15.16</v>
      </c>
      <c r="K2124" s="3">
        <v>1267103.1200000001</v>
      </c>
    </row>
    <row r="2125" spans="1:11" x14ac:dyDescent="0.2">
      <c r="A2125" s="1" t="s">
        <v>3231</v>
      </c>
      <c r="B2125" s="2">
        <v>45325</v>
      </c>
      <c r="C2125" s="1" t="s">
        <v>2481</v>
      </c>
      <c r="D2125" s="1" t="s">
        <v>2482</v>
      </c>
      <c r="E2125" s="1" t="s">
        <v>21</v>
      </c>
      <c r="F2125" s="1" t="s">
        <v>412</v>
      </c>
      <c r="G2125" s="1" t="s">
        <v>413</v>
      </c>
      <c r="H2125" s="1" t="s">
        <v>72</v>
      </c>
      <c r="I2125">
        <v>26074</v>
      </c>
      <c r="J2125" s="3">
        <v>23.02</v>
      </c>
      <c r="K2125" s="3">
        <v>600223.48</v>
      </c>
    </row>
    <row r="2126" spans="1:11" x14ac:dyDescent="0.2">
      <c r="A2126" s="1" t="s">
        <v>3232</v>
      </c>
      <c r="B2126" s="2">
        <v>45479</v>
      </c>
      <c r="C2126" s="1" t="s">
        <v>1004</v>
      </c>
      <c r="D2126" s="1" t="s">
        <v>1005</v>
      </c>
      <c r="E2126" s="1" t="s">
        <v>21</v>
      </c>
      <c r="F2126" s="1" t="s">
        <v>228</v>
      </c>
      <c r="G2126" s="1" t="s">
        <v>229</v>
      </c>
      <c r="H2126" s="1" t="s">
        <v>48</v>
      </c>
      <c r="I2126">
        <v>19832</v>
      </c>
      <c r="J2126" s="3">
        <v>7.45</v>
      </c>
      <c r="K2126" s="3">
        <v>147748.4</v>
      </c>
    </row>
    <row r="2127" spans="1:11" x14ac:dyDescent="0.2">
      <c r="A2127" s="1" t="s">
        <v>3233</v>
      </c>
      <c r="B2127" s="2">
        <v>45817</v>
      </c>
      <c r="C2127" s="1" t="s">
        <v>2445</v>
      </c>
      <c r="D2127" s="1" t="s">
        <v>2446</v>
      </c>
      <c r="E2127" s="1" t="s">
        <v>34</v>
      </c>
      <c r="F2127" s="1" t="s">
        <v>15</v>
      </c>
      <c r="G2127" s="1" t="s">
        <v>16</v>
      </c>
      <c r="H2127" s="1" t="s">
        <v>17</v>
      </c>
      <c r="I2127">
        <v>5191</v>
      </c>
      <c r="J2127" s="3">
        <v>36.049999999999997</v>
      </c>
      <c r="K2127" s="3">
        <v>187135.55</v>
      </c>
    </row>
    <row r="2128" spans="1:11" x14ac:dyDescent="0.2">
      <c r="A2128" s="1" t="s">
        <v>3234</v>
      </c>
      <c r="B2128" s="2">
        <v>45623</v>
      </c>
      <c r="C2128" s="1" t="s">
        <v>1076</v>
      </c>
      <c r="D2128" s="1" t="s">
        <v>1077</v>
      </c>
      <c r="E2128" s="1" t="s">
        <v>34</v>
      </c>
      <c r="F2128" s="1" t="s">
        <v>41</v>
      </c>
      <c r="G2128" s="1" t="s">
        <v>42</v>
      </c>
      <c r="H2128" s="1" t="s">
        <v>24</v>
      </c>
      <c r="I2128">
        <v>65893</v>
      </c>
      <c r="J2128" s="3">
        <v>41.08</v>
      </c>
      <c r="K2128" s="3">
        <v>2706884.44</v>
      </c>
    </row>
    <row r="2129" spans="1:11" x14ac:dyDescent="0.2">
      <c r="A2129" s="1" t="s">
        <v>3235</v>
      </c>
      <c r="B2129" s="2">
        <v>45918</v>
      </c>
      <c r="C2129" s="1" t="s">
        <v>719</v>
      </c>
      <c r="D2129" s="1" t="s">
        <v>720</v>
      </c>
      <c r="E2129" s="1" t="s">
        <v>37</v>
      </c>
      <c r="F2129" s="1" t="s">
        <v>263</v>
      </c>
      <c r="G2129" s="1" t="s">
        <v>264</v>
      </c>
      <c r="H2129" s="1" t="s">
        <v>17</v>
      </c>
      <c r="I2129">
        <v>84628</v>
      </c>
      <c r="J2129" s="3">
        <v>39.020000000000003</v>
      </c>
      <c r="K2129" s="3">
        <v>3302184.56</v>
      </c>
    </row>
    <row r="2130" spans="1:11" x14ac:dyDescent="0.2">
      <c r="A2130" s="1" t="s">
        <v>3236</v>
      </c>
      <c r="B2130" s="2">
        <v>45928</v>
      </c>
      <c r="C2130" s="1" t="s">
        <v>223</v>
      </c>
      <c r="D2130" s="1" t="s">
        <v>224</v>
      </c>
      <c r="E2130" s="1" t="s">
        <v>28</v>
      </c>
      <c r="F2130" s="1" t="s">
        <v>103</v>
      </c>
      <c r="G2130" s="1" t="s">
        <v>104</v>
      </c>
      <c r="H2130" s="1" t="s">
        <v>37</v>
      </c>
      <c r="I2130">
        <v>39017</v>
      </c>
      <c r="J2130" s="3">
        <v>49.78</v>
      </c>
      <c r="K2130" s="3">
        <v>1942266.26</v>
      </c>
    </row>
    <row r="2131" spans="1:11" x14ac:dyDescent="0.2">
      <c r="A2131" s="1" t="s">
        <v>3237</v>
      </c>
      <c r="B2131" s="2">
        <v>45722</v>
      </c>
      <c r="C2131" s="1" t="s">
        <v>994</v>
      </c>
      <c r="D2131" s="1" t="s">
        <v>995</v>
      </c>
      <c r="E2131" s="1" t="s">
        <v>21</v>
      </c>
      <c r="F2131" s="1" t="s">
        <v>176</v>
      </c>
      <c r="G2131" s="1" t="s">
        <v>177</v>
      </c>
      <c r="H2131" s="1" t="s">
        <v>37</v>
      </c>
      <c r="I2131">
        <v>91841</v>
      </c>
      <c r="J2131" s="3">
        <v>38.9</v>
      </c>
      <c r="K2131" s="3">
        <v>3572614.9</v>
      </c>
    </row>
    <row r="2132" spans="1:11" x14ac:dyDescent="0.2">
      <c r="A2132" s="1" t="s">
        <v>3238</v>
      </c>
      <c r="B2132" s="2">
        <v>45704</v>
      </c>
      <c r="C2132" s="1" t="s">
        <v>1354</v>
      </c>
      <c r="D2132" s="1" t="s">
        <v>1355</v>
      </c>
      <c r="E2132" s="1" t="s">
        <v>34</v>
      </c>
      <c r="F2132" s="1" t="s">
        <v>330</v>
      </c>
      <c r="G2132" s="1" t="s">
        <v>331</v>
      </c>
      <c r="H2132" s="1" t="s">
        <v>72</v>
      </c>
      <c r="I2132">
        <v>10663</v>
      </c>
      <c r="J2132" s="3">
        <v>5.4</v>
      </c>
      <c r="K2132" s="3">
        <v>57580.2</v>
      </c>
    </row>
    <row r="2133" spans="1:11" x14ac:dyDescent="0.2">
      <c r="A2133" s="1" t="s">
        <v>3239</v>
      </c>
      <c r="B2133" s="2">
        <v>45357</v>
      </c>
      <c r="C2133" s="1" t="s">
        <v>74</v>
      </c>
      <c r="D2133" s="1" t="s">
        <v>75</v>
      </c>
      <c r="E2133" s="1" t="s">
        <v>37</v>
      </c>
      <c r="F2133" s="1" t="s">
        <v>189</v>
      </c>
      <c r="G2133" s="1" t="s">
        <v>190</v>
      </c>
      <c r="H2133" s="1" t="s">
        <v>17</v>
      </c>
      <c r="I2133">
        <v>39138</v>
      </c>
      <c r="J2133" s="3">
        <v>44.96</v>
      </c>
      <c r="K2133" s="3">
        <v>1759644.48</v>
      </c>
    </row>
    <row r="2134" spans="1:11" x14ac:dyDescent="0.2">
      <c r="A2134" s="1" t="s">
        <v>3240</v>
      </c>
      <c r="B2134" s="2">
        <v>45340</v>
      </c>
      <c r="C2134" s="1" t="s">
        <v>101</v>
      </c>
      <c r="D2134" s="1" t="s">
        <v>102</v>
      </c>
      <c r="E2134" s="1" t="s">
        <v>37</v>
      </c>
      <c r="F2134" s="1" t="s">
        <v>103</v>
      </c>
      <c r="G2134" s="1" t="s">
        <v>104</v>
      </c>
      <c r="H2134" s="1" t="s">
        <v>37</v>
      </c>
      <c r="I2134">
        <v>68158</v>
      </c>
      <c r="J2134" s="3">
        <v>18.03</v>
      </c>
      <c r="K2134" s="3">
        <v>1228888.74</v>
      </c>
    </row>
    <row r="2135" spans="1:11" x14ac:dyDescent="0.2">
      <c r="A2135" s="1" t="s">
        <v>3241</v>
      </c>
      <c r="B2135" s="2">
        <v>45849</v>
      </c>
      <c r="C2135" s="1" t="s">
        <v>87</v>
      </c>
      <c r="D2135" s="1" t="s">
        <v>88</v>
      </c>
      <c r="E2135" s="1" t="s">
        <v>14</v>
      </c>
      <c r="F2135" s="1" t="s">
        <v>46</v>
      </c>
      <c r="G2135" s="1" t="s">
        <v>47</v>
      </c>
      <c r="H2135" s="1" t="s">
        <v>48</v>
      </c>
      <c r="I2135">
        <v>24456</v>
      </c>
      <c r="J2135" s="3">
        <v>8.52</v>
      </c>
      <c r="K2135" s="3">
        <v>208365.12</v>
      </c>
    </row>
    <row r="2136" spans="1:11" x14ac:dyDescent="0.2">
      <c r="A2136" s="1" t="s">
        <v>3242</v>
      </c>
      <c r="B2136" s="2">
        <v>45792</v>
      </c>
      <c r="C2136" s="1" t="s">
        <v>1220</v>
      </c>
      <c r="D2136" s="1" t="s">
        <v>1221</v>
      </c>
      <c r="E2136" s="1" t="s">
        <v>34</v>
      </c>
      <c r="F2136" s="1" t="s">
        <v>761</v>
      </c>
      <c r="G2136" s="1" t="s">
        <v>762</v>
      </c>
      <c r="H2136" s="1" t="s">
        <v>48</v>
      </c>
      <c r="I2136">
        <v>37153</v>
      </c>
      <c r="J2136" s="3">
        <v>17.89</v>
      </c>
      <c r="K2136" s="3">
        <v>664667.17000000004</v>
      </c>
    </row>
    <row r="2137" spans="1:11" x14ac:dyDescent="0.2">
      <c r="A2137" s="1" t="s">
        <v>3243</v>
      </c>
      <c r="B2137" s="2">
        <v>45319</v>
      </c>
      <c r="C2137" s="1" t="s">
        <v>492</v>
      </c>
      <c r="D2137" s="1" t="s">
        <v>493</v>
      </c>
      <c r="E2137" s="1" t="s">
        <v>37</v>
      </c>
      <c r="F2137" s="1" t="s">
        <v>184</v>
      </c>
      <c r="G2137" s="1" t="s">
        <v>185</v>
      </c>
      <c r="H2137" s="1" t="s">
        <v>17</v>
      </c>
      <c r="I2137">
        <v>69493</v>
      </c>
      <c r="J2137" s="3">
        <v>48.4</v>
      </c>
      <c r="K2137" s="3">
        <v>3363461.2</v>
      </c>
    </row>
    <row r="2138" spans="1:11" x14ac:dyDescent="0.2">
      <c r="A2138" s="1" t="s">
        <v>3244</v>
      </c>
      <c r="B2138" s="2">
        <v>45620</v>
      </c>
      <c r="C2138" s="1" t="s">
        <v>559</v>
      </c>
      <c r="D2138" s="1" t="s">
        <v>560</v>
      </c>
      <c r="E2138" s="1" t="s">
        <v>14</v>
      </c>
      <c r="F2138" s="1" t="s">
        <v>251</v>
      </c>
      <c r="G2138" s="1" t="s">
        <v>252</v>
      </c>
      <c r="H2138" s="1" t="s">
        <v>72</v>
      </c>
      <c r="I2138">
        <v>64246</v>
      </c>
      <c r="J2138" s="3">
        <v>46.35</v>
      </c>
      <c r="K2138" s="3">
        <v>2977802.1</v>
      </c>
    </row>
    <row r="2139" spans="1:11" x14ac:dyDescent="0.2">
      <c r="A2139" s="1" t="s">
        <v>3245</v>
      </c>
      <c r="B2139" s="2">
        <v>45897</v>
      </c>
      <c r="C2139" s="1" t="s">
        <v>847</v>
      </c>
      <c r="D2139" s="1" t="s">
        <v>848</v>
      </c>
      <c r="E2139" s="1" t="s">
        <v>34</v>
      </c>
      <c r="F2139" s="1" t="s">
        <v>195</v>
      </c>
      <c r="G2139" s="1" t="s">
        <v>196</v>
      </c>
      <c r="H2139" s="1" t="s">
        <v>48</v>
      </c>
      <c r="I2139">
        <v>73667</v>
      </c>
      <c r="J2139" s="3">
        <v>18.91</v>
      </c>
      <c r="K2139" s="3">
        <v>1393042.97</v>
      </c>
    </row>
    <row r="2140" spans="1:11" x14ac:dyDescent="0.2">
      <c r="A2140" s="1" t="s">
        <v>3246</v>
      </c>
      <c r="B2140" s="2">
        <v>45861</v>
      </c>
      <c r="C2140" s="1" t="s">
        <v>60</v>
      </c>
      <c r="D2140" s="1" t="s">
        <v>61</v>
      </c>
      <c r="E2140" s="1" t="s">
        <v>28</v>
      </c>
      <c r="F2140" s="1" t="s">
        <v>412</v>
      </c>
      <c r="G2140" s="1" t="s">
        <v>413</v>
      </c>
      <c r="H2140" s="1" t="s">
        <v>72</v>
      </c>
      <c r="I2140">
        <v>29257</v>
      </c>
      <c r="J2140" s="3">
        <v>4.99</v>
      </c>
      <c r="K2140" s="3">
        <v>145992.43</v>
      </c>
    </row>
    <row r="2141" spans="1:11" x14ac:dyDescent="0.2">
      <c r="A2141" s="1" t="s">
        <v>3247</v>
      </c>
      <c r="B2141" s="2">
        <v>45402</v>
      </c>
      <c r="C2141" s="1" t="s">
        <v>2418</v>
      </c>
      <c r="D2141" s="1" t="s">
        <v>2419</v>
      </c>
      <c r="E2141" s="1" t="s">
        <v>37</v>
      </c>
      <c r="F2141" s="1" t="s">
        <v>41</v>
      </c>
      <c r="G2141" s="1" t="s">
        <v>42</v>
      </c>
      <c r="H2141" s="1" t="s">
        <v>24</v>
      </c>
      <c r="I2141">
        <v>53304</v>
      </c>
      <c r="J2141" s="3">
        <v>24.21</v>
      </c>
      <c r="K2141" s="3">
        <v>1290489.8400000001</v>
      </c>
    </row>
    <row r="2142" spans="1:11" x14ac:dyDescent="0.2">
      <c r="A2142" s="1" t="s">
        <v>3248</v>
      </c>
      <c r="B2142" s="2">
        <v>45501</v>
      </c>
      <c r="C2142" s="1" t="s">
        <v>2059</v>
      </c>
      <c r="D2142" s="1" t="s">
        <v>2060</v>
      </c>
      <c r="E2142" s="1" t="s">
        <v>21</v>
      </c>
      <c r="F2142" s="1" t="s">
        <v>157</v>
      </c>
      <c r="G2142" s="1" t="s">
        <v>158</v>
      </c>
      <c r="H2142" s="1" t="s">
        <v>48</v>
      </c>
      <c r="I2142">
        <v>96506</v>
      </c>
      <c r="J2142" s="3">
        <v>43.18</v>
      </c>
      <c r="K2142" s="3">
        <v>4167129.08</v>
      </c>
    </row>
    <row r="2143" spans="1:11" x14ac:dyDescent="0.2">
      <c r="A2143" s="1" t="s">
        <v>3249</v>
      </c>
      <c r="B2143" s="2">
        <v>45487</v>
      </c>
      <c r="C2143" s="1" t="s">
        <v>692</v>
      </c>
      <c r="D2143" s="1" t="s">
        <v>693</v>
      </c>
      <c r="E2143" s="1" t="s">
        <v>28</v>
      </c>
      <c r="F2143" s="1" t="s">
        <v>540</v>
      </c>
      <c r="G2143" s="1" t="s">
        <v>541</v>
      </c>
      <c r="H2143" s="1" t="s">
        <v>37</v>
      </c>
      <c r="I2143">
        <v>11306</v>
      </c>
      <c r="J2143" s="3">
        <v>12.73</v>
      </c>
      <c r="K2143" s="3">
        <v>143925.38</v>
      </c>
    </row>
    <row r="2144" spans="1:11" x14ac:dyDescent="0.2">
      <c r="A2144" s="1" t="s">
        <v>3250</v>
      </c>
      <c r="B2144" s="2">
        <v>45806</v>
      </c>
      <c r="C2144" s="1" t="s">
        <v>502</v>
      </c>
      <c r="D2144" s="1" t="s">
        <v>503</v>
      </c>
      <c r="E2144" s="1" t="s">
        <v>14</v>
      </c>
      <c r="F2144" s="1" t="s">
        <v>41</v>
      </c>
      <c r="G2144" s="1" t="s">
        <v>42</v>
      </c>
      <c r="H2144" s="1" t="s">
        <v>24</v>
      </c>
      <c r="I2144">
        <v>21343</v>
      </c>
      <c r="J2144" s="3">
        <v>14.97</v>
      </c>
      <c r="K2144" s="3">
        <v>319504.71000000002</v>
      </c>
    </row>
    <row r="2145" spans="1:11" x14ac:dyDescent="0.2">
      <c r="A2145" s="1" t="s">
        <v>3251</v>
      </c>
      <c r="B2145" s="2">
        <v>45873</v>
      </c>
      <c r="C2145" s="1" t="s">
        <v>1622</v>
      </c>
      <c r="D2145" s="1" t="s">
        <v>1623</v>
      </c>
      <c r="E2145" s="1" t="s">
        <v>21</v>
      </c>
      <c r="F2145" s="1" t="s">
        <v>324</v>
      </c>
      <c r="G2145" s="1" t="s">
        <v>325</v>
      </c>
      <c r="H2145" s="1" t="s">
        <v>24</v>
      </c>
      <c r="I2145">
        <v>25737</v>
      </c>
      <c r="J2145" s="3">
        <v>37.76</v>
      </c>
      <c r="K2145" s="3">
        <v>971829.12</v>
      </c>
    </row>
    <row r="2146" spans="1:11" x14ac:dyDescent="0.2">
      <c r="A2146" s="1" t="s">
        <v>3252</v>
      </c>
      <c r="B2146" s="2">
        <v>45887</v>
      </c>
      <c r="C2146" s="1" t="s">
        <v>1523</v>
      </c>
      <c r="D2146" s="1" t="s">
        <v>1524</v>
      </c>
      <c r="E2146" s="1" t="s">
        <v>28</v>
      </c>
      <c r="F2146" s="1" t="s">
        <v>157</v>
      </c>
      <c r="G2146" s="1" t="s">
        <v>158</v>
      </c>
      <c r="H2146" s="1" t="s">
        <v>48</v>
      </c>
      <c r="I2146">
        <v>19386</v>
      </c>
      <c r="J2146" s="3">
        <v>8.5500000000000007</v>
      </c>
      <c r="K2146" s="3">
        <v>165750.29999999999</v>
      </c>
    </row>
    <row r="2147" spans="1:11" x14ac:dyDescent="0.2">
      <c r="A2147" s="1" t="s">
        <v>3253</v>
      </c>
      <c r="B2147" s="2">
        <v>45304</v>
      </c>
      <c r="C2147" s="1" t="s">
        <v>505</v>
      </c>
      <c r="D2147" s="1" t="s">
        <v>506</v>
      </c>
      <c r="E2147" s="1" t="s">
        <v>21</v>
      </c>
      <c r="F2147" s="1" t="s">
        <v>394</v>
      </c>
      <c r="G2147" s="1" t="s">
        <v>395</v>
      </c>
      <c r="H2147" s="1" t="s">
        <v>48</v>
      </c>
      <c r="I2147">
        <v>58979</v>
      </c>
      <c r="J2147" s="3">
        <v>40.69</v>
      </c>
      <c r="K2147" s="3">
        <v>2399855.5099999998</v>
      </c>
    </row>
    <row r="2148" spans="1:11" x14ac:dyDescent="0.2">
      <c r="A2148" s="1" t="s">
        <v>3254</v>
      </c>
      <c r="B2148" s="2">
        <v>45813</v>
      </c>
      <c r="C2148" s="1" t="s">
        <v>1909</v>
      </c>
      <c r="D2148" s="1" t="s">
        <v>1910</v>
      </c>
      <c r="E2148" s="1" t="s">
        <v>37</v>
      </c>
      <c r="F2148" s="1" t="s">
        <v>273</v>
      </c>
      <c r="G2148" s="1" t="s">
        <v>274</v>
      </c>
      <c r="H2148" s="1" t="s">
        <v>24</v>
      </c>
      <c r="I2148">
        <v>66946</v>
      </c>
      <c r="J2148" s="3">
        <v>28.83</v>
      </c>
      <c r="K2148" s="3">
        <v>1930053.18</v>
      </c>
    </row>
    <row r="2149" spans="1:11" x14ac:dyDescent="0.2">
      <c r="A2149" s="1" t="s">
        <v>3255</v>
      </c>
      <c r="B2149" s="2">
        <v>45480</v>
      </c>
      <c r="C2149" s="1" t="s">
        <v>555</v>
      </c>
      <c r="D2149" s="1" t="s">
        <v>556</v>
      </c>
      <c r="E2149" s="1" t="s">
        <v>21</v>
      </c>
      <c r="F2149" s="1" t="s">
        <v>350</v>
      </c>
      <c r="G2149" s="1" t="s">
        <v>351</v>
      </c>
      <c r="H2149" s="1" t="s">
        <v>37</v>
      </c>
      <c r="I2149">
        <v>49332</v>
      </c>
      <c r="J2149" s="3">
        <v>16.170000000000002</v>
      </c>
      <c r="K2149" s="3">
        <v>797698.44</v>
      </c>
    </row>
    <row r="2150" spans="1:11" x14ac:dyDescent="0.2">
      <c r="A2150" s="1" t="s">
        <v>3256</v>
      </c>
      <c r="B2150" s="2">
        <v>45539</v>
      </c>
      <c r="C2150" s="1" t="s">
        <v>1324</v>
      </c>
      <c r="D2150" s="1" t="s">
        <v>1325</v>
      </c>
      <c r="E2150" s="1" t="s">
        <v>34</v>
      </c>
      <c r="F2150" s="1" t="s">
        <v>350</v>
      </c>
      <c r="G2150" s="1" t="s">
        <v>351</v>
      </c>
      <c r="H2150" s="1" t="s">
        <v>37</v>
      </c>
      <c r="I2150">
        <v>46507</v>
      </c>
      <c r="J2150" s="3">
        <v>40.380000000000003</v>
      </c>
      <c r="K2150" s="3">
        <v>1877952.66</v>
      </c>
    </row>
    <row r="2151" spans="1:11" x14ac:dyDescent="0.2">
      <c r="A2151" s="1" t="s">
        <v>3257</v>
      </c>
      <c r="B2151" s="2">
        <v>45943</v>
      </c>
      <c r="C2151" s="1" t="s">
        <v>1194</v>
      </c>
      <c r="D2151" s="1" t="s">
        <v>1195</v>
      </c>
      <c r="E2151" s="1" t="s">
        <v>28</v>
      </c>
      <c r="F2151" s="1" t="s">
        <v>324</v>
      </c>
      <c r="G2151" s="1" t="s">
        <v>325</v>
      </c>
      <c r="H2151" s="1" t="s">
        <v>24</v>
      </c>
      <c r="I2151">
        <v>24408</v>
      </c>
      <c r="J2151" s="3">
        <v>16.28</v>
      </c>
      <c r="K2151" s="3">
        <v>397362.24</v>
      </c>
    </row>
    <row r="2152" spans="1:11" x14ac:dyDescent="0.2">
      <c r="A2152" s="1" t="s">
        <v>3258</v>
      </c>
      <c r="B2152" s="2">
        <v>45859</v>
      </c>
      <c r="C2152" s="1" t="s">
        <v>1368</v>
      </c>
      <c r="D2152" s="1" t="s">
        <v>1369</v>
      </c>
      <c r="E2152" s="1" t="s">
        <v>28</v>
      </c>
      <c r="F2152" s="1" t="s">
        <v>263</v>
      </c>
      <c r="G2152" s="1" t="s">
        <v>264</v>
      </c>
      <c r="H2152" s="1" t="s">
        <v>17</v>
      </c>
      <c r="I2152">
        <v>31117</v>
      </c>
      <c r="J2152" s="3">
        <v>3.72</v>
      </c>
      <c r="K2152" s="3">
        <v>115755.24</v>
      </c>
    </row>
    <row r="2153" spans="1:11" x14ac:dyDescent="0.2">
      <c r="A2153" s="1" t="s">
        <v>3259</v>
      </c>
      <c r="B2153" s="2">
        <v>45803</v>
      </c>
      <c r="C2153" s="1" t="s">
        <v>505</v>
      </c>
      <c r="D2153" s="1" t="s">
        <v>506</v>
      </c>
      <c r="E2153" s="1" t="s">
        <v>21</v>
      </c>
      <c r="F2153" s="1" t="s">
        <v>273</v>
      </c>
      <c r="G2153" s="1" t="s">
        <v>274</v>
      </c>
      <c r="H2153" s="1" t="s">
        <v>24</v>
      </c>
      <c r="I2153">
        <v>98339</v>
      </c>
      <c r="J2153" s="3">
        <v>24.15</v>
      </c>
      <c r="K2153" s="3">
        <v>2374886.85</v>
      </c>
    </row>
    <row r="2154" spans="1:11" x14ac:dyDescent="0.2">
      <c r="A2154" s="1" t="s">
        <v>3260</v>
      </c>
      <c r="B2154" s="2">
        <v>45313</v>
      </c>
      <c r="C2154" s="1" t="s">
        <v>1747</v>
      </c>
      <c r="D2154" s="1" t="s">
        <v>1748</v>
      </c>
      <c r="E2154" s="1" t="s">
        <v>37</v>
      </c>
      <c r="F2154" s="1" t="s">
        <v>458</v>
      </c>
      <c r="G2154" s="1" t="s">
        <v>459</v>
      </c>
      <c r="H2154" s="1" t="s">
        <v>72</v>
      </c>
      <c r="I2154">
        <v>37737</v>
      </c>
      <c r="J2154" s="3">
        <v>43.32</v>
      </c>
      <c r="K2154" s="3">
        <v>1634766.84</v>
      </c>
    </row>
    <row r="2155" spans="1:11" x14ac:dyDescent="0.2">
      <c r="A2155" s="1" t="s">
        <v>3261</v>
      </c>
      <c r="B2155" s="2">
        <v>45452</v>
      </c>
      <c r="C2155" s="1" t="s">
        <v>2319</v>
      </c>
      <c r="D2155" s="1" t="s">
        <v>2320</v>
      </c>
      <c r="E2155" s="1" t="s">
        <v>21</v>
      </c>
      <c r="F2155" s="1" t="s">
        <v>203</v>
      </c>
      <c r="G2155" s="1" t="s">
        <v>204</v>
      </c>
      <c r="H2155" s="1" t="s">
        <v>72</v>
      </c>
      <c r="I2155">
        <v>48926</v>
      </c>
      <c r="J2155" s="3">
        <v>29.03</v>
      </c>
      <c r="K2155" s="3">
        <v>1420321.78</v>
      </c>
    </row>
    <row r="2156" spans="1:11" x14ac:dyDescent="0.2">
      <c r="A2156" s="1" t="s">
        <v>3262</v>
      </c>
      <c r="B2156" s="2">
        <v>45301</v>
      </c>
      <c r="C2156" s="1" t="s">
        <v>359</v>
      </c>
      <c r="D2156" s="1" t="s">
        <v>360</v>
      </c>
      <c r="E2156" s="1" t="s">
        <v>34</v>
      </c>
      <c r="F2156" s="1" t="s">
        <v>46</v>
      </c>
      <c r="G2156" s="1" t="s">
        <v>47</v>
      </c>
      <c r="H2156" s="1" t="s">
        <v>48</v>
      </c>
      <c r="I2156">
        <v>90711</v>
      </c>
      <c r="J2156" s="3">
        <v>22.51</v>
      </c>
      <c r="K2156" s="3">
        <v>2041904.61</v>
      </c>
    </row>
    <row r="2157" spans="1:11" x14ac:dyDescent="0.2">
      <c r="A2157" s="1" t="s">
        <v>3263</v>
      </c>
      <c r="B2157" s="2">
        <v>45655</v>
      </c>
      <c r="C2157" s="1" t="s">
        <v>1233</v>
      </c>
      <c r="D2157" s="1" t="s">
        <v>1234</v>
      </c>
      <c r="E2157" s="1" t="s">
        <v>14</v>
      </c>
      <c r="F2157" s="1" t="s">
        <v>251</v>
      </c>
      <c r="G2157" s="1" t="s">
        <v>252</v>
      </c>
      <c r="H2157" s="1" t="s">
        <v>72</v>
      </c>
      <c r="I2157">
        <v>9029</v>
      </c>
      <c r="J2157" s="3">
        <v>41.94</v>
      </c>
      <c r="K2157" s="3">
        <v>378676.26</v>
      </c>
    </row>
    <row r="2158" spans="1:11" x14ac:dyDescent="0.2">
      <c r="A2158" s="1" t="s">
        <v>3264</v>
      </c>
      <c r="B2158" s="2">
        <v>45752</v>
      </c>
      <c r="C2158" s="1" t="s">
        <v>1747</v>
      </c>
      <c r="D2158" s="1" t="s">
        <v>1748</v>
      </c>
      <c r="E2158" s="1" t="s">
        <v>37</v>
      </c>
      <c r="F2158" s="1" t="s">
        <v>217</v>
      </c>
      <c r="G2158" s="1" t="s">
        <v>218</v>
      </c>
      <c r="H2158" s="1" t="s">
        <v>72</v>
      </c>
      <c r="I2158">
        <v>4686</v>
      </c>
      <c r="J2158" s="3">
        <v>33.9</v>
      </c>
      <c r="K2158" s="3">
        <v>158855.4</v>
      </c>
    </row>
    <row r="2159" spans="1:11" x14ac:dyDescent="0.2">
      <c r="A2159" s="1" t="s">
        <v>3265</v>
      </c>
      <c r="B2159" s="2">
        <v>45413</v>
      </c>
      <c r="C2159" s="1" t="s">
        <v>1014</v>
      </c>
      <c r="D2159" s="1" t="s">
        <v>1015</v>
      </c>
      <c r="E2159" s="1" t="s">
        <v>34</v>
      </c>
      <c r="F2159" s="1" t="s">
        <v>474</v>
      </c>
      <c r="G2159" s="1" t="s">
        <v>475</v>
      </c>
      <c r="H2159" s="1" t="s">
        <v>48</v>
      </c>
      <c r="I2159">
        <v>14052</v>
      </c>
      <c r="J2159" s="3">
        <v>45.28</v>
      </c>
      <c r="K2159" s="3">
        <v>636274.56000000006</v>
      </c>
    </row>
    <row r="2160" spans="1:11" x14ac:dyDescent="0.2">
      <c r="A2160" s="1" t="s">
        <v>3266</v>
      </c>
      <c r="B2160" s="2">
        <v>45388</v>
      </c>
      <c r="C2160" s="1" t="s">
        <v>1814</v>
      </c>
      <c r="D2160" s="1" t="s">
        <v>1815</v>
      </c>
      <c r="E2160" s="1" t="s">
        <v>14</v>
      </c>
      <c r="F2160" s="1" t="s">
        <v>761</v>
      </c>
      <c r="G2160" s="1" t="s">
        <v>762</v>
      </c>
      <c r="H2160" s="1" t="s">
        <v>48</v>
      </c>
      <c r="I2160">
        <v>78565</v>
      </c>
      <c r="J2160" s="3">
        <v>29.21</v>
      </c>
      <c r="K2160" s="3">
        <v>2294883.65</v>
      </c>
    </row>
    <row r="2161" spans="1:11" x14ac:dyDescent="0.2">
      <c r="A2161" s="1" t="s">
        <v>3267</v>
      </c>
      <c r="B2161" s="2">
        <v>45339</v>
      </c>
      <c r="C2161" s="1" t="s">
        <v>294</v>
      </c>
      <c r="D2161" s="1" t="s">
        <v>295</v>
      </c>
      <c r="E2161" s="1" t="s">
        <v>37</v>
      </c>
      <c r="F2161" s="1" t="s">
        <v>195</v>
      </c>
      <c r="G2161" s="1" t="s">
        <v>196</v>
      </c>
      <c r="H2161" s="1" t="s">
        <v>48</v>
      </c>
      <c r="I2161">
        <v>33013</v>
      </c>
      <c r="J2161" s="3">
        <v>41.29</v>
      </c>
      <c r="K2161" s="3">
        <v>1363106.77</v>
      </c>
    </row>
    <row r="2162" spans="1:11" x14ac:dyDescent="0.2">
      <c r="A2162" s="1" t="s">
        <v>3268</v>
      </c>
      <c r="B2162" s="2">
        <v>45321</v>
      </c>
      <c r="C2162" s="1" t="s">
        <v>174</v>
      </c>
      <c r="D2162" s="1" t="s">
        <v>175</v>
      </c>
      <c r="E2162" s="1" t="s">
        <v>37</v>
      </c>
      <c r="F2162" s="1" t="s">
        <v>394</v>
      </c>
      <c r="G2162" s="1" t="s">
        <v>395</v>
      </c>
      <c r="H2162" s="1" t="s">
        <v>48</v>
      </c>
      <c r="I2162">
        <v>33332</v>
      </c>
      <c r="J2162" s="3">
        <v>42.68</v>
      </c>
      <c r="K2162" s="3">
        <v>1422609.76</v>
      </c>
    </row>
    <row r="2163" spans="1:11" x14ac:dyDescent="0.2">
      <c r="A2163" s="1" t="s">
        <v>3269</v>
      </c>
      <c r="B2163" s="2">
        <v>45790</v>
      </c>
      <c r="C2163" s="1" t="s">
        <v>2300</v>
      </c>
      <c r="D2163" s="1" t="s">
        <v>2301</v>
      </c>
      <c r="E2163" s="1" t="s">
        <v>21</v>
      </c>
      <c r="F2163" s="1" t="s">
        <v>228</v>
      </c>
      <c r="G2163" s="1" t="s">
        <v>229</v>
      </c>
      <c r="H2163" s="1" t="s">
        <v>48</v>
      </c>
      <c r="I2163">
        <v>40171</v>
      </c>
      <c r="J2163" s="3">
        <v>42.03</v>
      </c>
      <c r="K2163" s="3">
        <v>1688387.13</v>
      </c>
    </row>
    <row r="2164" spans="1:11" x14ac:dyDescent="0.2">
      <c r="A2164" s="1" t="s">
        <v>3270</v>
      </c>
      <c r="B2164" s="2">
        <v>45735</v>
      </c>
      <c r="C2164" s="1" t="s">
        <v>770</v>
      </c>
      <c r="D2164" s="1" t="s">
        <v>771</v>
      </c>
      <c r="E2164" s="1" t="s">
        <v>34</v>
      </c>
      <c r="F2164" s="1" t="s">
        <v>458</v>
      </c>
      <c r="G2164" s="1" t="s">
        <v>459</v>
      </c>
      <c r="H2164" s="1" t="s">
        <v>72</v>
      </c>
      <c r="I2164">
        <v>79967</v>
      </c>
      <c r="J2164" s="3">
        <v>27.81</v>
      </c>
      <c r="K2164" s="3">
        <v>2223882.27</v>
      </c>
    </row>
    <row r="2165" spans="1:11" x14ac:dyDescent="0.2">
      <c r="A2165" s="1" t="s">
        <v>3271</v>
      </c>
      <c r="B2165" s="2">
        <v>45783</v>
      </c>
      <c r="C2165" s="1" t="s">
        <v>1337</v>
      </c>
      <c r="D2165" s="1" t="s">
        <v>1338</v>
      </c>
      <c r="E2165" s="1" t="s">
        <v>34</v>
      </c>
      <c r="F2165" s="1" t="s">
        <v>70</v>
      </c>
      <c r="G2165" s="1" t="s">
        <v>71</v>
      </c>
      <c r="H2165" s="1" t="s">
        <v>72</v>
      </c>
      <c r="I2165">
        <v>71864</v>
      </c>
      <c r="J2165" s="3">
        <v>48.63</v>
      </c>
      <c r="K2165" s="3">
        <v>3494746.32</v>
      </c>
    </row>
    <row r="2166" spans="1:11" x14ac:dyDescent="0.2">
      <c r="A2166" s="1" t="s">
        <v>3272</v>
      </c>
      <c r="B2166" s="2">
        <v>45351</v>
      </c>
      <c r="C2166" s="1" t="s">
        <v>570</v>
      </c>
      <c r="D2166" s="1" t="s">
        <v>571</v>
      </c>
      <c r="E2166" s="1" t="s">
        <v>28</v>
      </c>
      <c r="F2166" s="1" t="s">
        <v>195</v>
      </c>
      <c r="G2166" s="1" t="s">
        <v>196</v>
      </c>
      <c r="H2166" s="1" t="s">
        <v>48</v>
      </c>
      <c r="I2166">
        <v>47831</v>
      </c>
      <c r="J2166" s="3">
        <v>5.82</v>
      </c>
      <c r="K2166" s="3">
        <v>278376.42</v>
      </c>
    </row>
    <row r="2167" spans="1:11" x14ac:dyDescent="0.2">
      <c r="A2167" s="1" t="s">
        <v>3273</v>
      </c>
      <c r="B2167" s="2">
        <v>45862</v>
      </c>
      <c r="C2167" s="1" t="s">
        <v>2300</v>
      </c>
      <c r="D2167" s="1" t="s">
        <v>2301</v>
      </c>
      <c r="E2167" s="1" t="s">
        <v>21</v>
      </c>
      <c r="F2167" s="1" t="s">
        <v>57</v>
      </c>
      <c r="G2167" s="1" t="s">
        <v>58</v>
      </c>
      <c r="H2167" s="1" t="s">
        <v>48</v>
      </c>
      <c r="I2167">
        <v>3227</v>
      </c>
      <c r="J2167" s="3">
        <v>15.38</v>
      </c>
      <c r="K2167" s="3">
        <v>49631.26</v>
      </c>
    </row>
    <row r="2168" spans="1:11" x14ac:dyDescent="0.2">
      <c r="A2168" s="1" t="s">
        <v>3274</v>
      </c>
      <c r="B2168" s="2">
        <v>45777</v>
      </c>
      <c r="C2168" s="1" t="s">
        <v>3221</v>
      </c>
      <c r="D2168" s="1" t="s">
        <v>3222</v>
      </c>
      <c r="E2168" s="1" t="s">
        <v>37</v>
      </c>
      <c r="F2168" s="1" t="s">
        <v>76</v>
      </c>
      <c r="G2168" s="1" t="s">
        <v>77</v>
      </c>
      <c r="H2168" s="1" t="s">
        <v>48</v>
      </c>
      <c r="I2168">
        <v>43713</v>
      </c>
      <c r="J2168" s="3">
        <v>49.31</v>
      </c>
      <c r="K2168" s="3">
        <v>2155488.0299999998</v>
      </c>
    </row>
    <row r="2169" spans="1:11" x14ac:dyDescent="0.2">
      <c r="A2169" s="1" t="s">
        <v>3275</v>
      </c>
      <c r="B2169" s="2">
        <v>45770</v>
      </c>
      <c r="C2169" s="1" t="s">
        <v>913</v>
      </c>
      <c r="D2169" s="1" t="s">
        <v>914</v>
      </c>
      <c r="E2169" s="1" t="s">
        <v>37</v>
      </c>
      <c r="F2169" s="1" t="s">
        <v>113</v>
      </c>
      <c r="G2169" s="1" t="s">
        <v>114</v>
      </c>
      <c r="H2169" s="1" t="s">
        <v>37</v>
      </c>
      <c r="I2169">
        <v>68729</v>
      </c>
      <c r="J2169" s="3">
        <v>47.16</v>
      </c>
      <c r="K2169" s="3">
        <v>3241259.64</v>
      </c>
    </row>
    <row r="2170" spans="1:11" x14ac:dyDescent="0.2">
      <c r="A2170" s="1" t="s">
        <v>3276</v>
      </c>
      <c r="B2170" s="2">
        <v>45796</v>
      </c>
      <c r="C2170" s="1" t="s">
        <v>371</v>
      </c>
      <c r="D2170" s="1" t="s">
        <v>372</v>
      </c>
      <c r="E2170" s="1" t="s">
        <v>14</v>
      </c>
      <c r="F2170" s="1" t="s">
        <v>463</v>
      </c>
      <c r="G2170" s="1" t="s">
        <v>464</v>
      </c>
      <c r="H2170" s="1" t="s">
        <v>37</v>
      </c>
      <c r="I2170">
        <v>90509</v>
      </c>
      <c r="J2170" s="3">
        <v>42.73</v>
      </c>
      <c r="K2170" s="3">
        <v>3867449.57</v>
      </c>
    </row>
    <row r="2171" spans="1:11" x14ac:dyDescent="0.2">
      <c r="A2171" s="1" t="s">
        <v>3277</v>
      </c>
      <c r="B2171" s="2">
        <v>45574</v>
      </c>
      <c r="C2171" s="1" t="s">
        <v>926</v>
      </c>
      <c r="D2171" s="1" t="s">
        <v>927</v>
      </c>
      <c r="E2171" s="1" t="s">
        <v>28</v>
      </c>
      <c r="F2171" s="1" t="s">
        <v>15</v>
      </c>
      <c r="G2171" s="1" t="s">
        <v>16</v>
      </c>
      <c r="H2171" s="1" t="s">
        <v>17</v>
      </c>
      <c r="I2171">
        <v>51791</v>
      </c>
      <c r="J2171" s="3">
        <v>36.590000000000003</v>
      </c>
      <c r="K2171" s="3">
        <v>1895032.69</v>
      </c>
    </row>
    <row r="2172" spans="1:11" x14ac:dyDescent="0.2">
      <c r="A2172" s="1" t="s">
        <v>3278</v>
      </c>
      <c r="B2172" s="2">
        <v>45674</v>
      </c>
      <c r="C2172" s="1" t="s">
        <v>385</v>
      </c>
      <c r="D2172" s="1" t="s">
        <v>386</v>
      </c>
      <c r="E2172" s="1" t="s">
        <v>34</v>
      </c>
      <c r="F2172" s="1" t="s">
        <v>203</v>
      </c>
      <c r="G2172" s="1" t="s">
        <v>204</v>
      </c>
      <c r="H2172" s="1" t="s">
        <v>72</v>
      </c>
      <c r="I2172">
        <v>40108</v>
      </c>
      <c r="J2172" s="3">
        <v>38.31</v>
      </c>
      <c r="K2172" s="3">
        <v>1536537.48</v>
      </c>
    </row>
    <row r="2173" spans="1:11" x14ac:dyDescent="0.2">
      <c r="A2173" s="1" t="s">
        <v>3279</v>
      </c>
      <c r="B2173" s="2">
        <v>45676</v>
      </c>
      <c r="C2173" s="1" t="s">
        <v>55</v>
      </c>
      <c r="D2173" s="1" t="s">
        <v>56</v>
      </c>
      <c r="E2173" s="1" t="s">
        <v>21</v>
      </c>
      <c r="F2173" s="1" t="s">
        <v>98</v>
      </c>
      <c r="G2173" s="1" t="s">
        <v>99</v>
      </c>
      <c r="H2173" s="1" t="s">
        <v>72</v>
      </c>
      <c r="I2173">
        <v>69794</v>
      </c>
      <c r="J2173" s="3">
        <v>29.55</v>
      </c>
      <c r="K2173" s="3">
        <v>2062412.7</v>
      </c>
    </row>
    <row r="2174" spans="1:11" x14ac:dyDescent="0.2">
      <c r="A2174" s="1" t="s">
        <v>3280</v>
      </c>
      <c r="B2174" s="2">
        <v>46008</v>
      </c>
      <c r="C2174" s="1" t="s">
        <v>2748</v>
      </c>
      <c r="D2174" s="1" t="s">
        <v>2749</v>
      </c>
      <c r="E2174" s="1" t="s">
        <v>14</v>
      </c>
      <c r="F2174" s="1" t="s">
        <v>152</v>
      </c>
      <c r="G2174" s="1" t="s">
        <v>153</v>
      </c>
      <c r="H2174" s="1" t="s">
        <v>17</v>
      </c>
      <c r="I2174">
        <v>11326</v>
      </c>
      <c r="J2174" s="3">
        <v>39.03</v>
      </c>
      <c r="K2174" s="3">
        <v>442053.78</v>
      </c>
    </row>
    <row r="2175" spans="1:11" x14ac:dyDescent="0.2">
      <c r="A2175" s="1" t="s">
        <v>3281</v>
      </c>
      <c r="B2175" s="2">
        <v>45376</v>
      </c>
      <c r="C2175" s="1" t="s">
        <v>131</v>
      </c>
      <c r="D2175" s="1" t="s">
        <v>132</v>
      </c>
      <c r="E2175" s="1" t="s">
        <v>37</v>
      </c>
      <c r="F2175" s="1" t="s">
        <v>103</v>
      </c>
      <c r="G2175" s="1" t="s">
        <v>104</v>
      </c>
      <c r="H2175" s="1" t="s">
        <v>37</v>
      </c>
      <c r="I2175">
        <v>50110</v>
      </c>
      <c r="J2175" s="3">
        <v>33.69</v>
      </c>
      <c r="K2175" s="3">
        <v>1688205.9</v>
      </c>
    </row>
    <row r="2176" spans="1:11" x14ac:dyDescent="0.2">
      <c r="A2176" s="1" t="s">
        <v>3282</v>
      </c>
      <c r="B2176" s="2">
        <v>45938</v>
      </c>
      <c r="C2176" s="1" t="s">
        <v>801</v>
      </c>
      <c r="D2176" s="1" t="s">
        <v>802</v>
      </c>
      <c r="E2176" s="1" t="s">
        <v>14</v>
      </c>
      <c r="F2176" s="1" t="s">
        <v>474</v>
      </c>
      <c r="G2176" s="1" t="s">
        <v>475</v>
      </c>
      <c r="H2176" s="1" t="s">
        <v>48</v>
      </c>
      <c r="I2176">
        <v>9223</v>
      </c>
      <c r="J2176" s="3">
        <v>33.18</v>
      </c>
      <c r="K2176" s="3">
        <v>306019.14</v>
      </c>
    </row>
    <row r="2177" spans="1:11" x14ac:dyDescent="0.2">
      <c r="A2177" s="1" t="s">
        <v>3283</v>
      </c>
      <c r="B2177" s="2">
        <v>45523</v>
      </c>
      <c r="C2177" s="1" t="s">
        <v>1626</v>
      </c>
      <c r="D2177" s="1" t="s">
        <v>1627</v>
      </c>
      <c r="E2177" s="1" t="s">
        <v>34</v>
      </c>
      <c r="F2177" s="1" t="s">
        <v>46</v>
      </c>
      <c r="G2177" s="1" t="s">
        <v>47</v>
      </c>
      <c r="H2177" s="1" t="s">
        <v>48</v>
      </c>
      <c r="I2177">
        <v>47482</v>
      </c>
      <c r="J2177" s="3">
        <v>17.16</v>
      </c>
      <c r="K2177" s="3">
        <v>814791.12</v>
      </c>
    </row>
    <row r="2178" spans="1:11" x14ac:dyDescent="0.2">
      <c r="A2178" s="1" t="s">
        <v>3284</v>
      </c>
      <c r="B2178" s="2">
        <v>45420</v>
      </c>
      <c r="C2178" s="1" t="s">
        <v>1750</v>
      </c>
      <c r="D2178" s="1" t="s">
        <v>1751</v>
      </c>
      <c r="E2178" s="1" t="s">
        <v>14</v>
      </c>
      <c r="F2178" s="1" t="s">
        <v>52</v>
      </c>
      <c r="G2178" s="1" t="s">
        <v>53</v>
      </c>
      <c r="H2178" s="1" t="s">
        <v>17</v>
      </c>
      <c r="I2178">
        <v>26276</v>
      </c>
      <c r="J2178" s="3">
        <v>35.32</v>
      </c>
      <c r="K2178" s="3">
        <v>928068.32</v>
      </c>
    </row>
    <row r="2179" spans="1:11" x14ac:dyDescent="0.2">
      <c r="A2179" s="1" t="s">
        <v>3285</v>
      </c>
      <c r="B2179" s="2">
        <v>45977</v>
      </c>
      <c r="C2179" s="1" t="s">
        <v>179</v>
      </c>
      <c r="D2179" s="1" t="s">
        <v>180</v>
      </c>
      <c r="E2179" s="1" t="s">
        <v>37</v>
      </c>
      <c r="F2179" s="1" t="s">
        <v>15</v>
      </c>
      <c r="G2179" s="1" t="s">
        <v>16</v>
      </c>
      <c r="H2179" s="1" t="s">
        <v>17</v>
      </c>
      <c r="I2179">
        <v>66400</v>
      </c>
      <c r="J2179" s="3">
        <v>25.28</v>
      </c>
      <c r="K2179" s="3">
        <v>1678592</v>
      </c>
    </row>
    <row r="2180" spans="1:11" x14ac:dyDescent="0.2">
      <c r="A2180" s="1" t="s">
        <v>3286</v>
      </c>
      <c r="B2180" s="2">
        <v>45975</v>
      </c>
      <c r="C2180" s="1" t="s">
        <v>1871</v>
      </c>
      <c r="D2180" s="1" t="s">
        <v>1872</v>
      </c>
      <c r="E2180" s="1" t="s">
        <v>34</v>
      </c>
      <c r="F2180" s="1" t="s">
        <v>57</v>
      </c>
      <c r="G2180" s="1" t="s">
        <v>58</v>
      </c>
      <c r="H2180" s="1" t="s">
        <v>48</v>
      </c>
      <c r="I2180">
        <v>28840</v>
      </c>
      <c r="J2180" s="3">
        <v>2.97</v>
      </c>
      <c r="K2180" s="3">
        <v>85654.8</v>
      </c>
    </row>
    <row r="2181" spans="1:11" x14ac:dyDescent="0.2">
      <c r="A2181" s="1" t="s">
        <v>3287</v>
      </c>
      <c r="B2181" s="2">
        <v>45778</v>
      </c>
      <c r="C2181" s="1" t="s">
        <v>1237</v>
      </c>
      <c r="D2181" s="1" t="s">
        <v>1238</v>
      </c>
      <c r="E2181" s="1" t="s">
        <v>34</v>
      </c>
      <c r="F2181" s="1" t="s">
        <v>330</v>
      </c>
      <c r="G2181" s="1" t="s">
        <v>331</v>
      </c>
      <c r="H2181" s="1" t="s">
        <v>72</v>
      </c>
      <c r="I2181">
        <v>63425</v>
      </c>
      <c r="J2181" s="3">
        <v>42.36</v>
      </c>
      <c r="K2181" s="3">
        <v>2686683</v>
      </c>
    </row>
    <row r="2182" spans="1:11" x14ac:dyDescent="0.2">
      <c r="A2182" s="1" t="s">
        <v>3288</v>
      </c>
      <c r="B2182" s="2">
        <v>45747</v>
      </c>
      <c r="C2182" s="1" t="s">
        <v>1784</v>
      </c>
      <c r="D2182" s="1" t="s">
        <v>1785</v>
      </c>
      <c r="E2182" s="1" t="s">
        <v>21</v>
      </c>
      <c r="F2182" s="1" t="s">
        <v>157</v>
      </c>
      <c r="G2182" s="1" t="s">
        <v>158</v>
      </c>
      <c r="H2182" s="1" t="s">
        <v>48</v>
      </c>
      <c r="I2182">
        <v>34445</v>
      </c>
      <c r="J2182" s="3">
        <v>14.36</v>
      </c>
      <c r="K2182" s="3">
        <v>494630.2</v>
      </c>
    </row>
    <row r="2183" spans="1:11" x14ac:dyDescent="0.2">
      <c r="A2183" s="1" t="s">
        <v>3289</v>
      </c>
      <c r="B2183" s="2">
        <v>45956</v>
      </c>
      <c r="C2183" s="1" t="s">
        <v>1438</v>
      </c>
      <c r="D2183" s="1" t="s">
        <v>1439</v>
      </c>
      <c r="E2183" s="1" t="s">
        <v>34</v>
      </c>
      <c r="F2183" s="1" t="s">
        <v>350</v>
      </c>
      <c r="G2183" s="1" t="s">
        <v>351</v>
      </c>
      <c r="H2183" s="1" t="s">
        <v>37</v>
      </c>
      <c r="I2183">
        <v>68623</v>
      </c>
      <c r="J2183" s="3">
        <v>49.87</v>
      </c>
      <c r="K2183" s="3">
        <v>3422229.01</v>
      </c>
    </row>
    <row r="2184" spans="1:11" x14ac:dyDescent="0.2">
      <c r="A2184" s="1" t="s">
        <v>3290</v>
      </c>
      <c r="B2184" s="2">
        <v>45319</v>
      </c>
      <c r="C2184" s="1" t="s">
        <v>664</v>
      </c>
      <c r="D2184" s="1" t="s">
        <v>665</v>
      </c>
      <c r="E2184" s="1" t="s">
        <v>21</v>
      </c>
      <c r="F2184" s="1" t="s">
        <v>339</v>
      </c>
      <c r="G2184" s="1" t="s">
        <v>340</v>
      </c>
      <c r="H2184" s="1" t="s">
        <v>24</v>
      </c>
      <c r="I2184">
        <v>1450</v>
      </c>
      <c r="J2184" s="3">
        <v>40.39</v>
      </c>
      <c r="K2184" s="3">
        <v>58565.5</v>
      </c>
    </row>
    <row r="2185" spans="1:11" x14ac:dyDescent="0.2">
      <c r="A2185" s="1" t="s">
        <v>3291</v>
      </c>
      <c r="B2185" s="2">
        <v>46019</v>
      </c>
      <c r="C2185" s="1" t="s">
        <v>817</v>
      </c>
      <c r="D2185" s="1" t="s">
        <v>818</v>
      </c>
      <c r="E2185" s="1" t="s">
        <v>14</v>
      </c>
      <c r="F2185" s="1" t="s">
        <v>552</v>
      </c>
      <c r="G2185" s="1" t="s">
        <v>553</v>
      </c>
      <c r="H2185" s="1" t="s">
        <v>37</v>
      </c>
      <c r="I2185">
        <v>3592</v>
      </c>
      <c r="J2185" s="3">
        <v>43.17</v>
      </c>
      <c r="K2185" s="3">
        <v>155066.64000000001</v>
      </c>
    </row>
    <row r="2186" spans="1:11" x14ac:dyDescent="0.2">
      <c r="A2186" s="1" t="s">
        <v>3292</v>
      </c>
      <c r="B2186" s="2">
        <v>45707</v>
      </c>
      <c r="C2186" s="1" t="s">
        <v>605</v>
      </c>
      <c r="D2186" s="1" t="s">
        <v>606</v>
      </c>
      <c r="E2186" s="1" t="s">
        <v>14</v>
      </c>
      <c r="F2186" s="1" t="s">
        <v>474</v>
      </c>
      <c r="G2186" s="1" t="s">
        <v>475</v>
      </c>
      <c r="H2186" s="1" t="s">
        <v>48</v>
      </c>
      <c r="I2186">
        <v>10232</v>
      </c>
      <c r="J2186" s="3">
        <v>45.91</v>
      </c>
      <c r="K2186" s="3">
        <v>469751.12</v>
      </c>
    </row>
    <row r="2187" spans="1:11" x14ac:dyDescent="0.2">
      <c r="A2187" s="1" t="s">
        <v>3293</v>
      </c>
      <c r="B2187" s="2">
        <v>45865</v>
      </c>
      <c r="C2187" s="1" t="s">
        <v>910</v>
      </c>
      <c r="D2187" s="1" t="s">
        <v>911</v>
      </c>
      <c r="E2187" s="1" t="s">
        <v>28</v>
      </c>
      <c r="F2187" s="1" t="s">
        <v>463</v>
      </c>
      <c r="G2187" s="1" t="s">
        <v>464</v>
      </c>
      <c r="H2187" s="1" t="s">
        <v>37</v>
      </c>
      <c r="I2187">
        <v>84937</v>
      </c>
      <c r="J2187" s="3">
        <v>46.77</v>
      </c>
      <c r="K2187" s="3">
        <v>3972503.49</v>
      </c>
    </row>
    <row r="2188" spans="1:11" x14ac:dyDescent="0.2">
      <c r="A2188" s="1" t="s">
        <v>3294</v>
      </c>
      <c r="B2188" s="2">
        <v>45691</v>
      </c>
      <c r="C2188" s="1" t="s">
        <v>32</v>
      </c>
      <c r="D2188" s="1" t="s">
        <v>33</v>
      </c>
      <c r="E2188" s="1" t="s">
        <v>34</v>
      </c>
      <c r="F2188" s="1" t="s">
        <v>98</v>
      </c>
      <c r="G2188" s="1" t="s">
        <v>99</v>
      </c>
      <c r="H2188" s="1" t="s">
        <v>72</v>
      </c>
      <c r="I2188">
        <v>82302</v>
      </c>
      <c r="J2188" s="3">
        <v>26.47</v>
      </c>
      <c r="K2188" s="3">
        <v>2178533.94</v>
      </c>
    </row>
    <row r="2189" spans="1:11" x14ac:dyDescent="0.2">
      <c r="A2189" s="1" t="s">
        <v>3295</v>
      </c>
      <c r="B2189" s="2">
        <v>45921</v>
      </c>
      <c r="C2189" s="1" t="s">
        <v>1571</v>
      </c>
      <c r="D2189" s="1" t="s">
        <v>1572</v>
      </c>
      <c r="E2189" s="1" t="s">
        <v>14</v>
      </c>
      <c r="F2189" s="1" t="s">
        <v>52</v>
      </c>
      <c r="G2189" s="1" t="s">
        <v>53</v>
      </c>
      <c r="H2189" s="1" t="s">
        <v>17</v>
      </c>
      <c r="I2189">
        <v>99317</v>
      </c>
      <c r="J2189" s="3">
        <v>20.29</v>
      </c>
      <c r="K2189" s="3">
        <v>2015141.93</v>
      </c>
    </row>
    <row r="2190" spans="1:11" x14ac:dyDescent="0.2">
      <c r="A2190" s="1" t="s">
        <v>3296</v>
      </c>
      <c r="B2190" s="2">
        <v>45384</v>
      </c>
      <c r="C2190" s="1" t="s">
        <v>951</v>
      </c>
      <c r="D2190" s="1" t="s">
        <v>952</v>
      </c>
      <c r="E2190" s="1" t="s">
        <v>14</v>
      </c>
      <c r="F2190" s="1" t="s">
        <v>184</v>
      </c>
      <c r="G2190" s="1" t="s">
        <v>185</v>
      </c>
      <c r="H2190" s="1" t="s">
        <v>17</v>
      </c>
      <c r="I2190">
        <v>16452</v>
      </c>
      <c r="J2190" s="3">
        <v>28.95</v>
      </c>
      <c r="K2190" s="3">
        <v>476285.4</v>
      </c>
    </row>
    <row r="2191" spans="1:11" x14ac:dyDescent="0.2">
      <c r="A2191" s="1" t="s">
        <v>3297</v>
      </c>
      <c r="B2191" s="2">
        <v>45813</v>
      </c>
      <c r="C2191" s="1" t="s">
        <v>1797</v>
      </c>
      <c r="D2191" s="1" t="s">
        <v>1798</v>
      </c>
      <c r="E2191" s="1" t="s">
        <v>37</v>
      </c>
      <c r="F2191" s="1" t="s">
        <v>208</v>
      </c>
      <c r="G2191" s="1" t="s">
        <v>209</v>
      </c>
      <c r="H2191" s="1" t="s">
        <v>17</v>
      </c>
      <c r="I2191">
        <v>27513</v>
      </c>
      <c r="J2191" s="3">
        <v>32.94</v>
      </c>
      <c r="K2191" s="3">
        <v>906278.22</v>
      </c>
    </row>
    <row r="2192" spans="1:11" x14ac:dyDescent="0.2">
      <c r="A2192" s="1" t="s">
        <v>3298</v>
      </c>
      <c r="B2192" s="2">
        <v>45965</v>
      </c>
      <c r="C2192" s="1" t="s">
        <v>883</v>
      </c>
      <c r="D2192" s="1" t="s">
        <v>884</v>
      </c>
      <c r="E2192" s="1" t="s">
        <v>37</v>
      </c>
      <c r="F2192" s="1" t="s">
        <v>35</v>
      </c>
      <c r="G2192" s="1" t="s">
        <v>36</v>
      </c>
      <c r="H2192" s="1" t="s">
        <v>37</v>
      </c>
      <c r="I2192">
        <v>68982</v>
      </c>
      <c r="J2192" s="3">
        <v>26.48</v>
      </c>
      <c r="K2192" s="3">
        <v>1826643.36</v>
      </c>
    </row>
    <row r="2193" spans="1:11" x14ac:dyDescent="0.2">
      <c r="A2193" s="1" t="s">
        <v>3299</v>
      </c>
      <c r="B2193" s="2">
        <v>45706</v>
      </c>
      <c r="C2193" s="1" t="s">
        <v>1442</v>
      </c>
      <c r="D2193" s="1" t="s">
        <v>1443</v>
      </c>
      <c r="E2193" s="1" t="s">
        <v>14</v>
      </c>
      <c r="F2193" s="1" t="s">
        <v>81</v>
      </c>
      <c r="G2193" s="1" t="s">
        <v>82</v>
      </c>
      <c r="H2193" s="1" t="s">
        <v>72</v>
      </c>
      <c r="I2193">
        <v>37697</v>
      </c>
      <c r="J2193" s="3">
        <v>49.69</v>
      </c>
      <c r="K2193" s="3">
        <v>1873163.93</v>
      </c>
    </row>
    <row r="2194" spans="1:11" x14ac:dyDescent="0.2">
      <c r="A2194" s="1" t="s">
        <v>3300</v>
      </c>
      <c r="B2194" s="2">
        <v>45867</v>
      </c>
      <c r="C2194" s="1" t="s">
        <v>3301</v>
      </c>
      <c r="D2194" s="1" t="s">
        <v>3302</v>
      </c>
      <c r="E2194" s="1" t="s">
        <v>28</v>
      </c>
      <c r="F2194" s="1" t="s">
        <v>29</v>
      </c>
      <c r="G2194" s="1" t="s">
        <v>30</v>
      </c>
      <c r="H2194" s="1" t="s">
        <v>24</v>
      </c>
      <c r="I2194">
        <v>84167</v>
      </c>
      <c r="J2194" s="3">
        <v>37.47</v>
      </c>
      <c r="K2194" s="3">
        <v>3153737.49</v>
      </c>
    </row>
    <row r="2195" spans="1:11" x14ac:dyDescent="0.2">
      <c r="A2195" s="1" t="s">
        <v>3303</v>
      </c>
      <c r="B2195" s="2">
        <v>45806</v>
      </c>
      <c r="C2195" s="1" t="s">
        <v>866</v>
      </c>
      <c r="D2195" s="1" t="s">
        <v>867</v>
      </c>
      <c r="E2195" s="1" t="s">
        <v>14</v>
      </c>
      <c r="F2195" s="1" t="s">
        <v>70</v>
      </c>
      <c r="G2195" s="1" t="s">
        <v>71</v>
      </c>
      <c r="H2195" s="1" t="s">
        <v>72</v>
      </c>
      <c r="I2195">
        <v>85457</v>
      </c>
      <c r="J2195" s="3">
        <v>2.2000000000000002</v>
      </c>
      <c r="K2195" s="3">
        <v>188005.4</v>
      </c>
    </row>
    <row r="2196" spans="1:11" x14ac:dyDescent="0.2">
      <c r="A2196" s="1" t="s">
        <v>3304</v>
      </c>
      <c r="B2196" s="2">
        <v>45428</v>
      </c>
      <c r="C2196" s="1" t="s">
        <v>1662</v>
      </c>
      <c r="D2196" s="1" t="s">
        <v>1663</v>
      </c>
      <c r="E2196" s="1" t="s">
        <v>37</v>
      </c>
      <c r="F2196" s="1" t="s">
        <v>152</v>
      </c>
      <c r="G2196" s="1" t="s">
        <v>153</v>
      </c>
      <c r="H2196" s="1" t="s">
        <v>17</v>
      </c>
      <c r="I2196">
        <v>39157</v>
      </c>
      <c r="J2196" s="3">
        <v>9.18</v>
      </c>
      <c r="K2196" s="3">
        <v>359461.26</v>
      </c>
    </row>
    <row r="2197" spans="1:11" x14ac:dyDescent="0.2">
      <c r="A2197" s="1" t="s">
        <v>3305</v>
      </c>
      <c r="B2197" s="2">
        <v>45566</v>
      </c>
      <c r="C2197" s="1" t="s">
        <v>692</v>
      </c>
      <c r="D2197" s="1" t="s">
        <v>693</v>
      </c>
      <c r="E2197" s="1" t="s">
        <v>28</v>
      </c>
      <c r="F2197" s="1" t="s">
        <v>76</v>
      </c>
      <c r="G2197" s="1" t="s">
        <v>77</v>
      </c>
      <c r="H2197" s="1" t="s">
        <v>48</v>
      </c>
      <c r="I2197">
        <v>45010</v>
      </c>
      <c r="J2197" s="3">
        <v>25.74</v>
      </c>
      <c r="K2197" s="3">
        <v>1158557.3999999999</v>
      </c>
    </row>
    <row r="2198" spans="1:11" x14ac:dyDescent="0.2">
      <c r="A2198" s="1" t="s">
        <v>3306</v>
      </c>
      <c r="B2198" s="2">
        <v>45293</v>
      </c>
      <c r="C2198" s="1" t="s">
        <v>877</v>
      </c>
      <c r="D2198" s="1" t="s">
        <v>878</v>
      </c>
      <c r="E2198" s="1" t="s">
        <v>37</v>
      </c>
      <c r="F2198" s="1" t="s">
        <v>324</v>
      </c>
      <c r="G2198" s="1" t="s">
        <v>325</v>
      </c>
      <c r="H2198" s="1" t="s">
        <v>24</v>
      </c>
      <c r="I2198">
        <v>71553</v>
      </c>
      <c r="J2198" s="3">
        <v>28.23</v>
      </c>
      <c r="K2198" s="3">
        <v>2019941.19</v>
      </c>
    </row>
    <row r="2199" spans="1:11" x14ac:dyDescent="0.2">
      <c r="A2199" s="1" t="s">
        <v>3307</v>
      </c>
      <c r="B2199" s="2">
        <v>45753</v>
      </c>
      <c r="C2199" s="1" t="s">
        <v>1810</v>
      </c>
      <c r="D2199" s="1" t="s">
        <v>1811</v>
      </c>
      <c r="E2199" s="1" t="s">
        <v>21</v>
      </c>
      <c r="F2199" s="1" t="s">
        <v>189</v>
      </c>
      <c r="G2199" s="1" t="s">
        <v>190</v>
      </c>
      <c r="H2199" s="1" t="s">
        <v>17</v>
      </c>
      <c r="I2199">
        <v>99293</v>
      </c>
      <c r="J2199" s="3">
        <v>2.11</v>
      </c>
      <c r="K2199" s="3">
        <v>209508.23</v>
      </c>
    </row>
    <row r="2200" spans="1:11" x14ac:dyDescent="0.2">
      <c r="A2200" s="1" t="s">
        <v>3308</v>
      </c>
      <c r="B2200" s="2">
        <v>45485</v>
      </c>
      <c r="C2200" s="1" t="s">
        <v>2541</v>
      </c>
      <c r="D2200" s="1" t="s">
        <v>2542</v>
      </c>
      <c r="E2200" s="1" t="s">
        <v>14</v>
      </c>
      <c r="F2200" s="1" t="s">
        <v>76</v>
      </c>
      <c r="G2200" s="1" t="s">
        <v>77</v>
      </c>
      <c r="H2200" s="1" t="s">
        <v>48</v>
      </c>
      <c r="I2200">
        <v>80449</v>
      </c>
      <c r="J2200" s="3">
        <v>11.75</v>
      </c>
      <c r="K2200" s="3">
        <v>945275.75</v>
      </c>
    </row>
    <row r="2201" spans="1:11" x14ac:dyDescent="0.2">
      <c r="A2201" s="1" t="s">
        <v>3309</v>
      </c>
      <c r="B2201" s="2">
        <v>45560</v>
      </c>
      <c r="C2201" s="1" t="s">
        <v>415</v>
      </c>
      <c r="D2201" s="1" t="s">
        <v>416</v>
      </c>
      <c r="E2201" s="1" t="s">
        <v>14</v>
      </c>
      <c r="F2201" s="1" t="s">
        <v>217</v>
      </c>
      <c r="G2201" s="1" t="s">
        <v>218</v>
      </c>
      <c r="H2201" s="1" t="s">
        <v>72</v>
      </c>
      <c r="I2201">
        <v>24461</v>
      </c>
      <c r="J2201" s="3">
        <v>36.75</v>
      </c>
      <c r="K2201" s="3">
        <v>898941.75</v>
      </c>
    </row>
    <row r="2202" spans="1:11" x14ac:dyDescent="0.2">
      <c r="A2202" s="1" t="s">
        <v>3310</v>
      </c>
      <c r="B2202" s="2">
        <v>45831</v>
      </c>
      <c r="C2202" s="1" t="s">
        <v>1102</v>
      </c>
      <c r="D2202" s="1" t="s">
        <v>1103</v>
      </c>
      <c r="E2202" s="1" t="s">
        <v>21</v>
      </c>
      <c r="F2202" s="1" t="s">
        <v>350</v>
      </c>
      <c r="G2202" s="1" t="s">
        <v>351</v>
      </c>
      <c r="H2202" s="1" t="s">
        <v>37</v>
      </c>
      <c r="I2202">
        <v>26858</v>
      </c>
      <c r="J2202" s="3">
        <v>35.11</v>
      </c>
      <c r="K2202" s="3">
        <v>942984.38</v>
      </c>
    </row>
    <row r="2203" spans="1:11" x14ac:dyDescent="0.2">
      <c r="A2203" s="1" t="s">
        <v>3311</v>
      </c>
      <c r="B2203" s="2">
        <v>45520</v>
      </c>
      <c r="C2203" s="1" t="s">
        <v>1053</v>
      </c>
      <c r="D2203" s="1" t="s">
        <v>1054</v>
      </c>
      <c r="E2203" s="1" t="s">
        <v>21</v>
      </c>
      <c r="F2203" s="1" t="s">
        <v>263</v>
      </c>
      <c r="G2203" s="1" t="s">
        <v>264</v>
      </c>
      <c r="H2203" s="1" t="s">
        <v>17</v>
      </c>
      <c r="I2203">
        <v>41655</v>
      </c>
      <c r="J2203" s="3">
        <v>24.16</v>
      </c>
      <c r="K2203" s="3">
        <v>1006384.8</v>
      </c>
    </row>
    <row r="2204" spans="1:11" x14ac:dyDescent="0.2">
      <c r="A2204" s="1" t="s">
        <v>3312</v>
      </c>
      <c r="B2204" s="2">
        <v>45692</v>
      </c>
      <c r="C2204" s="1" t="s">
        <v>835</v>
      </c>
      <c r="D2204" s="1" t="s">
        <v>836</v>
      </c>
      <c r="E2204" s="1" t="s">
        <v>21</v>
      </c>
      <c r="F2204" s="1" t="s">
        <v>22</v>
      </c>
      <c r="G2204" s="1" t="s">
        <v>23</v>
      </c>
      <c r="H2204" s="1" t="s">
        <v>24</v>
      </c>
      <c r="I2204">
        <v>27146</v>
      </c>
      <c r="J2204" s="3">
        <v>30.94</v>
      </c>
      <c r="K2204" s="3">
        <v>839897.24</v>
      </c>
    </row>
    <row r="2205" spans="1:11" x14ac:dyDescent="0.2">
      <c r="A2205" s="1" t="s">
        <v>3313</v>
      </c>
      <c r="B2205" s="2">
        <v>45376</v>
      </c>
      <c r="C2205" s="1" t="s">
        <v>1082</v>
      </c>
      <c r="D2205" s="1" t="s">
        <v>1083</v>
      </c>
      <c r="E2205" s="1" t="s">
        <v>28</v>
      </c>
      <c r="F2205" s="1" t="s">
        <v>406</v>
      </c>
      <c r="G2205" s="1" t="s">
        <v>407</v>
      </c>
      <c r="H2205" s="1" t="s">
        <v>17</v>
      </c>
      <c r="I2205">
        <v>34431</v>
      </c>
      <c r="J2205" s="3">
        <v>29.3</v>
      </c>
      <c r="K2205" s="3">
        <v>1008828.3</v>
      </c>
    </row>
    <row r="2206" spans="1:11" x14ac:dyDescent="0.2">
      <c r="A2206" s="1" t="s">
        <v>3314</v>
      </c>
      <c r="B2206" s="2">
        <v>45419</v>
      </c>
      <c r="C2206" s="1" t="s">
        <v>1520</v>
      </c>
      <c r="D2206" s="1" t="s">
        <v>1521</v>
      </c>
      <c r="E2206" s="1" t="s">
        <v>37</v>
      </c>
      <c r="F2206" s="1" t="s">
        <v>761</v>
      </c>
      <c r="G2206" s="1" t="s">
        <v>762</v>
      </c>
      <c r="H2206" s="1" t="s">
        <v>48</v>
      </c>
      <c r="I2206">
        <v>31676</v>
      </c>
      <c r="J2206" s="3">
        <v>3.88</v>
      </c>
      <c r="K2206" s="3">
        <v>122902.88</v>
      </c>
    </row>
    <row r="2207" spans="1:11" x14ac:dyDescent="0.2">
      <c r="A2207" s="1" t="s">
        <v>3315</v>
      </c>
      <c r="B2207" s="2">
        <v>45883</v>
      </c>
      <c r="C2207" s="1" t="s">
        <v>287</v>
      </c>
      <c r="D2207" s="1" t="s">
        <v>288</v>
      </c>
      <c r="E2207" s="1" t="s">
        <v>21</v>
      </c>
      <c r="F2207" s="1" t="s">
        <v>184</v>
      </c>
      <c r="G2207" s="1" t="s">
        <v>185</v>
      </c>
      <c r="H2207" s="1" t="s">
        <v>17</v>
      </c>
      <c r="I2207">
        <v>96416</v>
      </c>
      <c r="J2207" s="3">
        <v>33.96</v>
      </c>
      <c r="K2207" s="3">
        <v>3274287.36</v>
      </c>
    </row>
    <row r="2208" spans="1:11" x14ac:dyDescent="0.2">
      <c r="A2208" s="1" t="s">
        <v>3316</v>
      </c>
      <c r="B2208" s="2">
        <v>46015</v>
      </c>
      <c r="C2208" s="1" t="s">
        <v>664</v>
      </c>
      <c r="D2208" s="1" t="s">
        <v>665</v>
      </c>
      <c r="E2208" s="1" t="s">
        <v>21</v>
      </c>
      <c r="F2208" s="1" t="s">
        <v>113</v>
      </c>
      <c r="G2208" s="1" t="s">
        <v>114</v>
      </c>
      <c r="H2208" s="1" t="s">
        <v>37</v>
      </c>
      <c r="I2208">
        <v>62757</v>
      </c>
      <c r="J2208" s="3">
        <v>18.09</v>
      </c>
      <c r="K2208" s="3">
        <v>1135274.1299999999</v>
      </c>
    </row>
    <row r="2209" spans="1:11" x14ac:dyDescent="0.2">
      <c r="A2209" s="1" t="s">
        <v>3317</v>
      </c>
      <c r="B2209" s="2">
        <v>45935</v>
      </c>
      <c r="C2209" s="1" t="s">
        <v>779</v>
      </c>
      <c r="D2209" s="1" t="s">
        <v>780</v>
      </c>
      <c r="E2209" s="1" t="s">
        <v>21</v>
      </c>
      <c r="F2209" s="1" t="s">
        <v>76</v>
      </c>
      <c r="G2209" s="1" t="s">
        <v>77</v>
      </c>
      <c r="H2209" s="1" t="s">
        <v>48</v>
      </c>
      <c r="I2209">
        <v>59965</v>
      </c>
      <c r="J2209" s="3">
        <v>25.16</v>
      </c>
      <c r="K2209" s="3">
        <v>1508719.4</v>
      </c>
    </row>
    <row r="2210" spans="1:11" x14ac:dyDescent="0.2">
      <c r="A2210" s="1" t="s">
        <v>3318</v>
      </c>
      <c r="B2210" s="2">
        <v>45853</v>
      </c>
      <c r="C2210" s="1" t="s">
        <v>920</v>
      </c>
      <c r="D2210" s="1" t="s">
        <v>921</v>
      </c>
      <c r="E2210" s="1" t="s">
        <v>14</v>
      </c>
      <c r="F2210" s="1" t="s">
        <v>81</v>
      </c>
      <c r="G2210" s="1" t="s">
        <v>82</v>
      </c>
      <c r="H2210" s="1" t="s">
        <v>72</v>
      </c>
      <c r="I2210">
        <v>32245</v>
      </c>
      <c r="J2210" s="3">
        <v>34.520000000000003</v>
      </c>
      <c r="K2210" s="3">
        <v>1113097.3999999999</v>
      </c>
    </row>
    <row r="2211" spans="1:11" x14ac:dyDescent="0.2">
      <c r="A2211" s="1" t="s">
        <v>3319</v>
      </c>
      <c r="B2211" s="2">
        <v>45345</v>
      </c>
      <c r="C2211" s="1" t="s">
        <v>1535</v>
      </c>
      <c r="D2211" s="1" t="s">
        <v>1536</v>
      </c>
      <c r="E2211" s="1" t="s">
        <v>21</v>
      </c>
      <c r="F2211" s="1" t="s">
        <v>189</v>
      </c>
      <c r="G2211" s="1" t="s">
        <v>190</v>
      </c>
      <c r="H2211" s="1" t="s">
        <v>17</v>
      </c>
      <c r="I2211">
        <v>14867</v>
      </c>
      <c r="J2211" s="3">
        <v>34.58</v>
      </c>
      <c r="K2211" s="3">
        <v>514100.86</v>
      </c>
    </row>
    <row r="2212" spans="1:11" x14ac:dyDescent="0.2">
      <c r="A2212" s="1" t="s">
        <v>3320</v>
      </c>
      <c r="B2212" s="2">
        <v>45334</v>
      </c>
      <c r="C2212" s="1" t="s">
        <v>276</v>
      </c>
      <c r="D2212" s="1" t="s">
        <v>277</v>
      </c>
      <c r="E2212" s="1" t="s">
        <v>34</v>
      </c>
      <c r="F2212" s="1" t="s">
        <v>29</v>
      </c>
      <c r="G2212" s="1" t="s">
        <v>30</v>
      </c>
      <c r="H2212" s="1" t="s">
        <v>24</v>
      </c>
      <c r="I2212">
        <v>82635</v>
      </c>
      <c r="J2212" s="3">
        <v>9.52</v>
      </c>
      <c r="K2212" s="3">
        <v>786685.2</v>
      </c>
    </row>
    <row r="2213" spans="1:11" x14ac:dyDescent="0.2">
      <c r="A2213" s="1" t="s">
        <v>3321</v>
      </c>
      <c r="B2213" s="2">
        <v>45679</v>
      </c>
      <c r="C2213" s="1" t="s">
        <v>698</v>
      </c>
      <c r="D2213" s="1" t="s">
        <v>699</v>
      </c>
      <c r="E2213" s="1" t="s">
        <v>28</v>
      </c>
      <c r="F2213" s="1" t="s">
        <v>203</v>
      </c>
      <c r="G2213" s="1" t="s">
        <v>204</v>
      </c>
      <c r="H2213" s="1" t="s">
        <v>72</v>
      </c>
      <c r="I2213">
        <v>99390</v>
      </c>
      <c r="J2213" s="3">
        <v>8.85</v>
      </c>
      <c r="K2213" s="3">
        <v>879601.5</v>
      </c>
    </row>
    <row r="2214" spans="1:11" x14ac:dyDescent="0.2">
      <c r="A2214" s="1" t="s">
        <v>3322</v>
      </c>
      <c r="B2214" s="2">
        <v>45413</v>
      </c>
      <c r="C2214" s="1" t="s">
        <v>106</v>
      </c>
      <c r="D2214" s="1" t="s">
        <v>107</v>
      </c>
      <c r="E2214" s="1" t="s">
        <v>14</v>
      </c>
      <c r="F2214" s="1" t="s">
        <v>184</v>
      </c>
      <c r="G2214" s="1" t="s">
        <v>185</v>
      </c>
      <c r="H2214" s="1" t="s">
        <v>17</v>
      </c>
      <c r="I2214">
        <v>32114</v>
      </c>
      <c r="J2214" s="3">
        <v>28.21</v>
      </c>
      <c r="K2214" s="3">
        <v>905935.94</v>
      </c>
    </row>
    <row r="2215" spans="1:11" x14ac:dyDescent="0.2">
      <c r="A2215" s="1" t="s">
        <v>3323</v>
      </c>
      <c r="B2215" s="2">
        <v>45310</v>
      </c>
      <c r="C2215" s="1" t="s">
        <v>1337</v>
      </c>
      <c r="D2215" s="1" t="s">
        <v>1338</v>
      </c>
      <c r="E2215" s="1" t="s">
        <v>34</v>
      </c>
      <c r="F2215" s="1" t="s">
        <v>273</v>
      </c>
      <c r="G2215" s="1" t="s">
        <v>274</v>
      </c>
      <c r="H2215" s="1" t="s">
        <v>24</v>
      </c>
      <c r="I2215">
        <v>99716</v>
      </c>
      <c r="J2215" s="3">
        <v>30.18</v>
      </c>
      <c r="K2215" s="3">
        <v>3009428.88</v>
      </c>
    </row>
    <row r="2216" spans="1:11" x14ac:dyDescent="0.2">
      <c r="A2216" s="1" t="s">
        <v>3324</v>
      </c>
      <c r="B2216" s="2">
        <v>45934</v>
      </c>
      <c r="C2216" s="1" t="s">
        <v>353</v>
      </c>
      <c r="D2216" s="1" t="s">
        <v>354</v>
      </c>
      <c r="E2216" s="1" t="s">
        <v>14</v>
      </c>
      <c r="F2216" s="1" t="s">
        <v>41</v>
      </c>
      <c r="G2216" s="1" t="s">
        <v>42</v>
      </c>
      <c r="H2216" s="1" t="s">
        <v>24</v>
      </c>
      <c r="I2216">
        <v>7894</v>
      </c>
      <c r="J2216" s="3">
        <v>24.1</v>
      </c>
      <c r="K2216" s="3">
        <v>190245.4</v>
      </c>
    </row>
    <row r="2217" spans="1:11" x14ac:dyDescent="0.2">
      <c r="A2217" s="1" t="s">
        <v>3325</v>
      </c>
      <c r="B2217" s="2">
        <v>45972</v>
      </c>
      <c r="C2217" s="1" t="s">
        <v>1547</v>
      </c>
      <c r="D2217" s="1" t="s">
        <v>1548</v>
      </c>
      <c r="E2217" s="1" t="s">
        <v>21</v>
      </c>
      <c r="F2217" s="1" t="s">
        <v>98</v>
      </c>
      <c r="G2217" s="1" t="s">
        <v>99</v>
      </c>
      <c r="H2217" s="1" t="s">
        <v>72</v>
      </c>
      <c r="I2217">
        <v>25207</v>
      </c>
      <c r="J2217" s="3">
        <v>3.33</v>
      </c>
      <c r="K2217" s="3">
        <v>83939.31</v>
      </c>
    </row>
    <row r="2218" spans="1:11" x14ac:dyDescent="0.2">
      <c r="A2218" s="1" t="s">
        <v>3326</v>
      </c>
      <c r="B2218" s="2">
        <v>45475</v>
      </c>
      <c r="C2218" s="1" t="s">
        <v>657</v>
      </c>
      <c r="D2218" s="1" t="s">
        <v>658</v>
      </c>
      <c r="E2218" s="1" t="s">
        <v>37</v>
      </c>
      <c r="F2218" s="1" t="s">
        <v>76</v>
      </c>
      <c r="G2218" s="1" t="s">
        <v>77</v>
      </c>
      <c r="H2218" s="1" t="s">
        <v>48</v>
      </c>
      <c r="I2218">
        <v>85859</v>
      </c>
      <c r="J2218" s="3">
        <v>11.67</v>
      </c>
      <c r="K2218" s="3">
        <v>1001974.53</v>
      </c>
    </row>
    <row r="2219" spans="1:11" x14ac:dyDescent="0.2">
      <c r="A2219" s="1" t="s">
        <v>3327</v>
      </c>
      <c r="B2219" s="2">
        <v>45811</v>
      </c>
      <c r="C2219" s="1" t="s">
        <v>2207</v>
      </c>
      <c r="D2219" s="1" t="s">
        <v>2208</v>
      </c>
      <c r="E2219" s="1" t="s">
        <v>37</v>
      </c>
      <c r="F2219" s="1" t="s">
        <v>339</v>
      </c>
      <c r="G2219" s="1" t="s">
        <v>340</v>
      </c>
      <c r="H2219" s="1" t="s">
        <v>24</v>
      </c>
      <c r="I2219">
        <v>55856</v>
      </c>
      <c r="J2219" s="3">
        <v>27.57</v>
      </c>
      <c r="K2219" s="3">
        <v>1539949.92</v>
      </c>
    </row>
    <row r="2220" spans="1:11" x14ac:dyDescent="0.2">
      <c r="A2220" s="1" t="s">
        <v>3328</v>
      </c>
      <c r="B2220" s="2">
        <v>45978</v>
      </c>
      <c r="C2220" s="1" t="s">
        <v>12</v>
      </c>
      <c r="D2220" s="1" t="s">
        <v>13</v>
      </c>
      <c r="E2220" s="1" t="s">
        <v>14</v>
      </c>
      <c r="F2220" s="1" t="s">
        <v>22</v>
      </c>
      <c r="G2220" s="1" t="s">
        <v>23</v>
      </c>
      <c r="H2220" s="1" t="s">
        <v>24</v>
      </c>
      <c r="I2220">
        <v>86753</v>
      </c>
      <c r="J2220" s="3">
        <v>45.58</v>
      </c>
      <c r="K2220" s="3">
        <v>3954201.74</v>
      </c>
    </row>
    <row r="2221" spans="1:11" x14ac:dyDescent="0.2">
      <c r="A2221" s="1" t="s">
        <v>3329</v>
      </c>
      <c r="B2221" s="2">
        <v>45501</v>
      </c>
      <c r="C2221" s="1" t="s">
        <v>2059</v>
      </c>
      <c r="D2221" s="1" t="s">
        <v>2060</v>
      </c>
      <c r="E2221" s="1" t="s">
        <v>21</v>
      </c>
      <c r="F2221" s="1" t="s">
        <v>510</v>
      </c>
      <c r="G2221" s="1" t="s">
        <v>511</v>
      </c>
      <c r="H2221" s="1" t="s">
        <v>17</v>
      </c>
      <c r="I2221">
        <v>24318</v>
      </c>
      <c r="J2221" s="3">
        <v>24.65</v>
      </c>
      <c r="K2221" s="3">
        <v>599438.69999999995</v>
      </c>
    </row>
    <row r="2222" spans="1:11" x14ac:dyDescent="0.2">
      <c r="A2222" s="1" t="s">
        <v>3330</v>
      </c>
      <c r="B2222" s="2">
        <v>45357</v>
      </c>
      <c r="C2222" s="1" t="s">
        <v>633</v>
      </c>
      <c r="D2222" s="1" t="s">
        <v>634</v>
      </c>
      <c r="E2222" s="1" t="s">
        <v>34</v>
      </c>
      <c r="F2222" s="1" t="s">
        <v>157</v>
      </c>
      <c r="G2222" s="1" t="s">
        <v>158</v>
      </c>
      <c r="H2222" s="1" t="s">
        <v>48</v>
      </c>
      <c r="I2222">
        <v>59928</v>
      </c>
      <c r="J2222" s="3">
        <v>22.87</v>
      </c>
      <c r="K2222" s="3">
        <v>1370553.36</v>
      </c>
    </row>
    <row r="2223" spans="1:11" x14ac:dyDescent="0.2">
      <c r="A2223" s="1" t="s">
        <v>3331</v>
      </c>
      <c r="B2223" s="2">
        <v>45528</v>
      </c>
      <c r="C2223" s="1" t="s">
        <v>1201</v>
      </c>
      <c r="D2223" s="1" t="s">
        <v>1202</v>
      </c>
      <c r="E2223" s="1" t="s">
        <v>37</v>
      </c>
      <c r="F2223" s="1" t="s">
        <v>510</v>
      </c>
      <c r="G2223" s="1" t="s">
        <v>511</v>
      </c>
      <c r="H2223" s="1" t="s">
        <v>17</v>
      </c>
      <c r="I2223">
        <v>28738</v>
      </c>
      <c r="J2223" s="3">
        <v>36.9</v>
      </c>
      <c r="K2223" s="3">
        <v>1060432.2</v>
      </c>
    </row>
    <row r="2224" spans="1:11" x14ac:dyDescent="0.2">
      <c r="A2224" s="1" t="s">
        <v>3332</v>
      </c>
      <c r="B2224" s="2">
        <v>45410</v>
      </c>
      <c r="C2224" s="1" t="s">
        <v>44</v>
      </c>
      <c r="D2224" s="1" t="s">
        <v>45</v>
      </c>
      <c r="E2224" s="1" t="s">
        <v>34</v>
      </c>
      <c r="F2224" s="1" t="s">
        <v>761</v>
      </c>
      <c r="G2224" s="1" t="s">
        <v>762</v>
      </c>
      <c r="H2224" s="1" t="s">
        <v>48</v>
      </c>
      <c r="I2224">
        <v>80896</v>
      </c>
      <c r="J2224" s="3">
        <v>47.71</v>
      </c>
      <c r="K2224" s="3">
        <v>3859548.1600000001</v>
      </c>
    </row>
    <row r="2225" spans="1:11" x14ac:dyDescent="0.2">
      <c r="A2225" s="1" t="s">
        <v>3333</v>
      </c>
      <c r="B2225" s="2">
        <v>45894</v>
      </c>
      <c r="C2225" s="1" t="s">
        <v>1781</v>
      </c>
      <c r="D2225" s="1" t="s">
        <v>1782</v>
      </c>
      <c r="E2225" s="1" t="s">
        <v>37</v>
      </c>
      <c r="F2225" s="1" t="s">
        <v>552</v>
      </c>
      <c r="G2225" s="1" t="s">
        <v>553</v>
      </c>
      <c r="H2225" s="1" t="s">
        <v>37</v>
      </c>
      <c r="I2225">
        <v>55610</v>
      </c>
      <c r="J2225" s="3">
        <v>14.69</v>
      </c>
      <c r="K2225" s="3">
        <v>816910.9</v>
      </c>
    </row>
    <row r="2226" spans="1:11" x14ac:dyDescent="0.2">
      <c r="A2226" s="1" t="s">
        <v>3334</v>
      </c>
      <c r="B2226" s="2">
        <v>45629</v>
      </c>
      <c r="C2226" s="1" t="s">
        <v>171</v>
      </c>
      <c r="D2226" s="1" t="s">
        <v>172</v>
      </c>
      <c r="E2226" s="1" t="s">
        <v>28</v>
      </c>
      <c r="F2226" s="1" t="s">
        <v>29</v>
      </c>
      <c r="G2226" s="1" t="s">
        <v>30</v>
      </c>
      <c r="H2226" s="1" t="s">
        <v>24</v>
      </c>
      <c r="I2226">
        <v>99576</v>
      </c>
      <c r="J2226" s="3">
        <v>41.41</v>
      </c>
      <c r="K2226" s="3">
        <v>4123442.16</v>
      </c>
    </row>
    <row r="2227" spans="1:11" x14ac:dyDescent="0.2">
      <c r="A2227" s="1" t="s">
        <v>3335</v>
      </c>
      <c r="B2227" s="2">
        <v>45807</v>
      </c>
      <c r="C2227" s="1" t="s">
        <v>929</v>
      </c>
      <c r="D2227" s="1" t="s">
        <v>930</v>
      </c>
      <c r="E2227" s="1" t="s">
        <v>28</v>
      </c>
      <c r="F2227" s="1" t="s">
        <v>228</v>
      </c>
      <c r="G2227" s="1" t="s">
        <v>229</v>
      </c>
      <c r="H2227" s="1" t="s">
        <v>48</v>
      </c>
      <c r="I2227">
        <v>58156</v>
      </c>
      <c r="J2227" s="3">
        <v>10.52</v>
      </c>
      <c r="K2227" s="3">
        <v>611801.12</v>
      </c>
    </row>
    <row r="2228" spans="1:11" x14ac:dyDescent="0.2">
      <c r="A2228" s="1" t="s">
        <v>3336</v>
      </c>
      <c r="B2228" s="2">
        <v>45669</v>
      </c>
      <c r="C2228" s="1" t="s">
        <v>2270</v>
      </c>
      <c r="D2228" s="1" t="s">
        <v>2271</v>
      </c>
      <c r="E2228" s="1" t="s">
        <v>21</v>
      </c>
      <c r="F2228" s="1" t="s">
        <v>540</v>
      </c>
      <c r="G2228" s="1" t="s">
        <v>541</v>
      </c>
      <c r="H2228" s="1" t="s">
        <v>37</v>
      </c>
      <c r="I2228">
        <v>2958</v>
      </c>
      <c r="J2228" s="3">
        <v>2.63</v>
      </c>
      <c r="K2228" s="3">
        <v>7779.54</v>
      </c>
    </row>
    <row r="2229" spans="1:11" x14ac:dyDescent="0.2">
      <c r="A2229" s="1" t="s">
        <v>3337</v>
      </c>
      <c r="B2229" s="2">
        <v>45601</v>
      </c>
      <c r="C2229" s="1" t="s">
        <v>131</v>
      </c>
      <c r="D2229" s="1" t="s">
        <v>132</v>
      </c>
      <c r="E2229" s="1" t="s">
        <v>37</v>
      </c>
      <c r="F2229" s="1" t="s">
        <v>474</v>
      </c>
      <c r="G2229" s="1" t="s">
        <v>475</v>
      </c>
      <c r="H2229" s="1" t="s">
        <v>48</v>
      </c>
      <c r="I2229">
        <v>8553</v>
      </c>
      <c r="J2229" s="3">
        <v>9.0500000000000007</v>
      </c>
      <c r="K2229" s="3">
        <v>77404.649999999994</v>
      </c>
    </row>
    <row r="2230" spans="1:11" x14ac:dyDescent="0.2">
      <c r="A2230" s="1" t="s">
        <v>3338</v>
      </c>
      <c r="B2230" s="2">
        <v>45380</v>
      </c>
      <c r="C2230" s="1" t="s">
        <v>1288</v>
      </c>
      <c r="D2230" s="1" t="s">
        <v>1289</v>
      </c>
      <c r="E2230" s="1" t="s">
        <v>34</v>
      </c>
      <c r="F2230" s="1" t="s">
        <v>65</v>
      </c>
      <c r="G2230" s="1" t="s">
        <v>66</v>
      </c>
      <c r="H2230" s="1" t="s">
        <v>48</v>
      </c>
      <c r="I2230">
        <v>52821</v>
      </c>
      <c r="J2230" s="3">
        <v>44.3</v>
      </c>
      <c r="K2230" s="3">
        <v>2339970.2999999998</v>
      </c>
    </row>
    <row r="2231" spans="1:11" x14ac:dyDescent="0.2">
      <c r="A2231" s="1" t="s">
        <v>3339</v>
      </c>
      <c r="B2231" s="2">
        <v>45507</v>
      </c>
      <c r="C2231" s="1" t="s">
        <v>2211</v>
      </c>
      <c r="D2231" s="1" t="s">
        <v>2212</v>
      </c>
      <c r="E2231" s="1" t="s">
        <v>21</v>
      </c>
      <c r="F2231" s="1" t="s">
        <v>189</v>
      </c>
      <c r="G2231" s="1" t="s">
        <v>190</v>
      </c>
      <c r="H2231" s="1" t="s">
        <v>17</v>
      </c>
      <c r="I2231">
        <v>47245</v>
      </c>
      <c r="J2231" s="3">
        <v>38.67</v>
      </c>
      <c r="K2231" s="3">
        <v>1826964.15</v>
      </c>
    </row>
    <row r="2232" spans="1:11" x14ac:dyDescent="0.2">
      <c r="A2232" s="1" t="s">
        <v>3340</v>
      </c>
      <c r="B2232" s="2">
        <v>45352</v>
      </c>
      <c r="C2232" s="1" t="s">
        <v>808</v>
      </c>
      <c r="D2232" s="1" t="s">
        <v>809</v>
      </c>
      <c r="E2232" s="1" t="s">
        <v>28</v>
      </c>
      <c r="F2232" s="1" t="s">
        <v>268</v>
      </c>
      <c r="G2232" s="1" t="s">
        <v>269</v>
      </c>
      <c r="H2232" s="1" t="s">
        <v>72</v>
      </c>
      <c r="I2232">
        <v>14254</v>
      </c>
      <c r="J2232" s="3">
        <v>29.32</v>
      </c>
      <c r="K2232" s="3">
        <v>417927.28</v>
      </c>
    </row>
    <row r="2233" spans="1:11" x14ac:dyDescent="0.2">
      <c r="A2233" s="1" t="s">
        <v>3341</v>
      </c>
      <c r="B2233" s="2">
        <v>45605</v>
      </c>
      <c r="C2233" s="1" t="s">
        <v>2121</v>
      </c>
      <c r="D2233" s="1" t="s">
        <v>2122</v>
      </c>
      <c r="E2233" s="1" t="s">
        <v>34</v>
      </c>
      <c r="F2233" s="1" t="s">
        <v>540</v>
      </c>
      <c r="G2233" s="1" t="s">
        <v>541</v>
      </c>
      <c r="H2233" s="1" t="s">
        <v>37</v>
      </c>
      <c r="I2233">
        <v>62819</v>
      </c>
      <c r="J2233" s="3">
        <v>21.97</v>
      </c>
      <c r="K2233" s="3">
        <v>1380133.43</v>
      </c>
    </row>
    <row r="2234" spans="1:11" x14ac:dyDescent="0.2">
      <c r="A2234" s="1" t="s">
        <v>3342</v>
      </c>
      <c r="B2234" s="2">
        <v>45612</v>
      </c>
      <c r="C2234" s="1" t="s">
        <v>969</v>
      </c>
      <c r="D2234" s="1" t="s">
        <v>970</v>
      </c>
      <c r="E2234" s="1" t="s">
        <v>37</v>
      </c>
      <c r="F2234" s="1" t="s">
        <v>176</v>
      </c>
      <c r="G2234" s="1" t="s">
        <v>177</v>
      </c>
      <c r="H2234" s="1" t="s">
        <v>37</v>
      </c>
      <c r="I2234">
        <v>15147</v>
      </c>
      <c r="J2234" s="3">
        <v>39.659999999999997</v>
      </c>
      <c r="K2234" s="3">
        <v>600730.02</v>
      </c>
    </row>
    <row r="2235" spans="1:11" x14ac:dyDescent="0.2">
      <c r="A2235" s="1" t="s">
        <v>3343</v>
      </c>
      <c r="B2235" s="2">
        <v>45901</v>
      </c>
      <c r="C2235" s="1" t="s">
        <v>2211</v>
      </c>
      <c r="D2235" s="1" t="s">
        <v>2212</v>
      </c>
      <c r="E2235" s="1" t="s">
        <v>21</v>
      </c>
      <c r="F2235" s="1" t="s">
        <v>176</v>
      </c>
      <c r="G2235" s="1" t="s">
        <v>177</v>
      </c>
      <c r="H2235" s="1" t="s">
        <v>37</v>
      </c>
      <c r="I2235">
        <v>88783</v>
      </c>
      <c r="J2235" s="3">
        <v>32.4</v>
      </c>
      <c r="K2235" s="3">
        <v>2876569.2</v>
      </c>
    </row>
    <row r="2236" spans="1:11" x14ac:dyDescent="0.2">
      <c r="A2236" s="1" t="s">
        <v>3344</v>
      </c>
      <c r="B2236" s="2">
        <v>46020</v>
      </c>
      <c r="C2236" s="1" t="s">
        <v>1295</v>
      </c>
      <c r="D2236" s="1" t="s">
        <v>1296</v>
      </c>
      <c r="E2236" s="1" t="s">
        <v>21</v>
      </c>
      <c r="F2236" s="1" t="s">
        <v>65</v>
      </c>
      <c r="G2236" s="1" t="s">
        <v>66</v>
      </c>
      <c r="H2236" s="1" t="s">
        <v>48</v>
      </c>
      <c r="I2236">
        <v>26037</v>
      </c>
      <c r="J2236" s="3">
        <v>39.42</v>
      </c>
      <c r="K2236" s="3">
        <v>1026378.54</v>
      </c>
    </row>
    <row r="2237" spans="1:11" x14ac:dyDescent="0.2">
      <c r="A2237" s="1" t="s">
        <v>3345</v>
      </c>
      <c r="B2237" s="2">
        <v>45846</v>
      </c>
      <c r="C2237" s="1" t="s">
        <v>1332</v>
      </c>
      <c r="D2237" s="1" t="s">
        <v>1333</v>
      </c>
      <c r="E2237" s="1" t="s">
        <v>34</v>
      </c>
      <c r="F2237" s="1" t="s">
        <v>412</v>
      </c>
      <c r="G2237" s="1" t="s">
        <v>413</v>
      </c>
      <c r="H2237" s="1" t="s">
        <v>72</v>
      </c>
      <c r="I2237">
        <v>50998</v>
      </c>
      <c r="J2237" s="3">
        <v>37.11</v>
      </c>
      <c r="K2237" s="3">
        <v>1892535.78</v>
      </c>
    </row>
    <row r="2238" spans="1:11" x14ac:dyDescent="0.2">
      <c r="A2238" s="1" t="s">
        <v>3346</v>
      </c>
      <c r="B2238" s="2">
        <v>45350</v>
      </c>
      <c r="C2238" s="1" t="s">
        <v>487</v>
      </c>
      <c r="D2238" s="1" t="s">
        <v>488</v>
      </c>
      <c r="E2238" s="1" t="s">
        <v>28</v>
      </c>
      <c r="F2238" s="1" t="s">
        <v>273</v>
      </c>
      <c r="G2238" s="1" t="s">
        <v>274</v>
      </c>
      <c r="H2238" s="1" t="s">
        <v>24</v>
      </c>
      <c r="I2238">
        <v>20630</v>
      </c>
      <c r="J2238" s="3">
        <v>38.08</v>
      </c>
      <c r="K2238" s="3">
        <v>785590.4</v>
      </c>
    </row>
    <row r="2239" spans="1:11" x14ac:dyDescent="0.2">
      <c r="A2239" s="1" t="s">
        <v>3347</v>
      </c>
      <c r="B2239" s="2">
        <v>45949</v>
      </c>
      <c r="C2239" s="1" t="s">
        <v>1011</v>
      </c>
      <c r="D2239" s="1" t="s">
        <v>1012</v>
      </c>
      <c r="E2239" s="1" t="s">
        <v>21</v>
      </c>
      <c r="F2239" s="1" t="s">
        <v>217</v>
      </c>
      <c r="G2239" s="1" t="s">
        <v>218</v>
      </c>
      <c r="H2239" s="1" t="s">
        <v>72</v>
      </c>
      <c r="I2239">
        <v>30938</v>
      </c>
      <c r="J2239" s="3">
        <v>30.68</v>
      </c>
      <c r="K2239" s="3">
        <v>949177.84</v>
      </c>
    </row>
    <row r="2240" spans="1:11" x14ac:dyDescent="0.2">
      <c r="A2240" s="1" t="s">
        <v>3348</v>
      </c>
      <c r="B2240" s="2">
        <v>45561</v>
      </c>
      <c r="C2240" s="1" t="s">
        <v>576</v>
      </c>
      <c r="D2240" s="1" t="s">
        <v>577</v>
      </c>
      <c r="E2240" s="1" t="s">
        <v>14</v>
      </c>
      <c r="F2240" s="1" t="s">
        <v>152</v>
      </c>
      <c r="G2240" s="1" t="s">
        <v>153</v>
      </c>
      <c r="H2240" s="1" t="s">
        <v>17</v>
      </c>
      <c r="I2240">
        <v>37323</v>
      </c>
      <c r="J2240" s="3">
        <v>29.69</v>
      </c>
      <c r="K2240" s="3">
        <v>1108119.8700000001</v>
      </c>
    </row>
    <row r="2241" spans="1:11" x14ac:dyDescent="0.2">
      <c r="A2241" s="1" t="s">
        <v>3349</v>
      </c>
      <c r="B2241" s="2">
        <v>45954</v>
      </c>
      <c r="C2241" s="1" t="s">
        <v>1068</v>
      </c>
      <c r="D2241" s="1" t="s">
        <v>1069</v>
      </c>
      <c r="E2241" s="1" t="s">
        <v>37</v>
      </c>
      <c r="F2241" s="1" t="s">
        <v>350</v>
      </c>
      <c r="G2241" s="1" t="s">
        <v>351</v>
      </c>
      <c r="H2241" s="1" t="s">
        <v>37</v>
      </c>
      <c r="I2241">
        <v>28982</v>
      </c>
      <c r="J2241" s="3">
        <v>15.28</v>
      </c>
      <c r="K2241" s="3">
        <v>442844.96</v>
      </c>
    </row>
    <row r="2242" spans="1:11" x14ac:dyDescent="0.2">
      <c r="A2242" s="1" t="s">
        <v>3350</v>
      </c>
      <c r="B2242" s="2">
        <v>45590</v>
      </c>
      <c r="C2242" s="1" t="s">
        <v>2363</v>
      </c>
      <c r="D2242" s="1" t="s">
        <v>2364</v>
      </c>
      <c r="E2242" s="1" t="s">
        <v>14</v>
      </c>
      <c r="F2242" s="1" t="s">
        <v>251</v>
      </c>
      <c r="G2242" s="1" t="s">
        <v>252</v>
      </c>
      <c r="H2242" s="1" t="s">
        <v>72</v>
      </c>
      <c r="I2242">
        <v>72103</v>
      </c>
      <c r="J2242" s="3">
        <v>5.03</v>
      </c>
      <c r="K2242" s="3">
        <v>362678.09</v>
      </c>
    </row>
    <row r="2243" spans="1:11" x14ac:dyDescent="0.2">
      <c r="A2243" s="1" t="s">
        <v>3351</v>
      </c>
      <c r="B2243" s="2">
        <v>45660</v>
      </c>
      <c r="C2243" s="1" t="s">
        <v>737</v>
      </c>
      <c r="D2243" s="1" t="s">
        <v>738</v>
      </c>
      <c r="E2243" s="1" t="s">
        <v>37</v>
      </c>
      <c r="F2243" s="1" t="s">
        <v>203</v>
      </c>
      <c r="G2243" s="1" t="s">
        <v>204</v>
      </c>
      <c r="H2243" s="1" t="s">
        <v>72</v>
      </c>
      <c r="I2243">
        <v>85169</v>
      </c>
      <c r="J2243" s="3">
        <v>41.85</v>
      </c>
      <c r="K2243" s="3">
        <v>3564322.65</v>
      </c>
    </row>
    <row r="2244" spans="1:11" x14ac:dyDescent="0.2">
      <c r="A2244" s="1" t="s">
        <v>3352</v>
      </c>
      <c r="B2244" s="2">
        <v>45766</v>
      </c>
      <c r="C2244" s="1" t="s">
        <v>39</v>
      </c>
      <c r="D2244" s="1" t="s">
        <v>40</v>
      </c>
      <c r="E2244" s="1" t="s">
        <v>21</v>
      </c>
      <c r="F2244" s="1" t="s">
        <v>41</v>
      </c>
      <c r="G2244" s="1" t="s">
        <v>42</v>
      </c>
      <c r="H2244" s="1" t="s">
        <v>24</v>
      </c>
      <c r="I2244">
        <v>9549</v>
      </c>
      <c r="J2244" s="3">
        <v>21.95</v>
      </c>
      <c r="K2244" s="3">
        <v>209600.55</v>
      </c>
    </row>
    <row r="2245" spans="1:11" x14ac:dyDescent="0.2">
      <c r="A2245" s="1" t="s">
        <v>3353</v>
      </c>
      <c r="B2245" s="2">
        <v>45759</v>
      </c>
      <c r="C2245" s="1" t="s">
        <v>3354</v>
      </c>
      <c r="D2245" s="1" t="s">
        <v>3355</v>
      </c>
      <c r="E2245" s="1" t="s">
        <v>28</v>
      </c>
      <c r="F2245" s="1" t="s">
        <v>144</v>
      </c>
      <c r="G2245" s="1" t="s">
        <v>145</v>
      </c>
      <c r="H2245" s="1" t="s">
        <v>24</v>
      </c>
      <c r="I2245">
        <v>74622</v>
      </c>
      <c r="J2245" s="3">
        <v>2.89</v>
      </c>
      <c r="K2245" s="3">
        <v>215657.58</v>
      </c>
    </row>
    <row r="2246" spans="1:11" x14ac:dyDescent="0.2">
      <c r="A2246" s="1" t="s">
        <v>3356</v>
      </c>
      <c r="B2246" s="2">
        <v>45629</v>
      </c>
      <c r="C2246" s="1" t="s">
        <v>461</v>
      </c>
      <c r="D2246" s="1" t="s">
        <v>462</v>
      </c>
      <c r="E2246" s="1" t="s">
        <v>28</v>
      </c>
      <c r="F2246" s="1" t="s">
        <v>57</v>
      </c>
      <c r="G2246" s="1" t="s">
        <v>58</v>
      </c>
      <c r="H2246" s="1" t="s">
        <v>48</v>
      </c>
      <c r="I2246">
        <v>88441</v>
      </c>
      <c r="J2246" s="3">
        <v>38.380000000000003</v>
      </c>
      <c r="K2246" s="3">
        <v>3394365.58</v>
      </c>
    </row>
    <row r="2247" spans="1:11" x14ac:dyDescent="0.2">
      <c r="A2247" s="1" t="s">
        <v>3357</v>
      </c>
      <c r="B2247" s="2">
        <v>45896</v>
      </c>
      <c r="C2247" s="1" t="s">
        <v>654</v>
      </c>
      <c r="D2247" s="1" t="s">
        <v>655</v>
      </c>
      <c r="E2247" s="1" t="s">
        <v>14</v>
      </c>
      <c r="F2247" s="1" t="s">
        <v>251</v>
      </c>
      <c r="G2247" s="1" t="s">
        <v>252</v>
      </c>
      <c r="H2247" s="1" t="s">
        <v>72</v>
      </c>
      <c r="I2247">
        <v>12832</v>
      </c>
      <c r="J2247" s="3">
        <v>38.07</v>
      </c>
      <c r="K2247" s="3">
        <v>488514.24</v>
      </c>
    </row>
    <row r="2248" spans="1:11" x14ac:dyDescent="0.2">
      <c r="A2248" s="1" t="s">
        <v>3358</v>
      </c>
      <c r="B2248" s="2">
        <v>46002</v>
      </c>
      <c r="C2248" s="1" t="s">
        <v>1964</v>
      </c>
      <c r="D2248" s="1" t="s">
        <v>1965</v>
      </c>
      <c r="E2248" s="1" t="s">
        <v>21</v>
      </c>
      <c r="F2248" s="1" t="s">
        <v>81</v>
      </c>
      <c r="G2248" s="1" t="s">
        <v>82</v>
      </c>
      <c r="H2248" s="1" t="s">
        <v>72</v>
      </c>
      <c r="I2248">
        <v>88494</v>
      </c>
      <c r="J2248" s="3">
        <v>6.73</v>
      </c>
      <c r="K2248" s="3">
        <v>595564.62</v>
      </c>
    </row>
    <row r="2249" spans="1:11" x14ac:dyDescent="0.2">
      <c r="A2249" s="1" t="s">
        <v>3359</v>
      </c>
      <c r="B2249" s="2">
        <v>45889</v>
      </c>
      <c r="C2249" s="1" t="s">
        <v>1622</v>
      </c>
      <c r="D2249" s="1" t="s">
        <v>1623</v>
      </c>
      <c r="E2249" s="1" t="s">
        <v>21</v>
      </c>
      <c r="F2249" s="1" t="s">
        <v>157</v>
      </c>
      <c r="G2249" s="1" t="s">
        <v>158</v>
      </c>
      <c r="H2249" s="1" t="s">
        <v>48</v>
      </c>
      <c r="I2249">
        <v>75812</v>
      </c>
      <c r="J2249" s="3">
        <v>39.22</v>
      </c>
      <c r="K2249" s="3">
        <v>2973346.64</v>
      </c>
    </row>
    <row r="2250" spans="1:11" x14ac:dyDescent="0.2">
      <c r="A2250" s="1" t="s">
        <v>3360</v>
      </c>
      <c r="B2250" s="2">
        <v>45696</v>
      </c>
      <c r="C2250" s="1" t="s">
        <v>2363</v>
      </c>
      <c r="D2250" s="1" t="s">
        <v>2364</v>
      </c>
      <c r="E2250" s="1" t="s">
        <v>14</v>
      </c>
      <c r="F2250" s="1" t="s">
        <v>324</v>
      </c>
      <c r="G2250" s="1" t="s">
        <v>325</v>
      </c>
      <c r="H2250" s="1" t="s">
        <v>24</v>
      </c>
      <c r="I2250">
        <v>90701</v>
      </c>
      <c r="J2250" s="3">
        <v>21.51</v>
      </c>
      <c r="K2250" s="3">
        <v>1950978.51</v>
      </c>
    </row>
    <row r="2251" spans="1:11" x14ac:dyDescent="0.2">
      <c r="A2251" s="1" t="s">
        <v>3361</v>
      </c>
      <c r="B2251" s="2">
        <v>45953</v>
      </c>
      <c r="C2251" s="1" t="s">
        <v>625</v>
      </c>
      <c r="D2251" s="1" t="s">
        <v>626</v>
      </c>
      <c r="E2251" s="1" t="s">
        <v>34</v>
      </c>
      <c r="F2251" s="1" t="s">
        <v>394</v>
      </c>
      <c r="G2251" s="1" t="s">
        <v>395</v>
      </c>
      <c r="H2251" s="1" t="s">
        <v>48</v>
      </c>
      <c r="I2251">
        <v>52485</v>
      </c>
      <c r="J2251" s="3">
        <v>5.84</v>
      </c>
      <c r="K2251" s="3">
        <v>306512.40000000002</v>
      </c>
    </row>
    <row r="2252" spans="1:11" x14ac:dyDescent="0.2">
      <c r="A2252" s="1" t="s">
        <v>3362</v>
      </c>
      <c r="B2252" s="2">
        <v>45615</v>
      </c>
      <c r="C2252" s="1" t="s">
        <v>2442</v>
      </c>
      <c r="D2252" s="1" t="s">
        <v>2443</v>
      </c>
      <c r="E2252" s="1" t="s">
        <v>34</v>
      </c>
      <c r="F2252" s="1" t="s">
        <v>22</v>
      </c>
      <c r="G2252" s="1" t="s">
        <v>23</v>
      </c>
      <c r="H2252" s="1" t="s">
        <v>24</v>
      </c>
      <c r="I2252">
        <v>8885</v>
      </c>
      <c r="J2252" s="3">
        <v>20.64</v>
      </c>
      <c r="K2252" s="3">
        <v>183386.4</v>
      </c>
    </row>
    <row r="2253" spans="1:11" x14ac:dyDescent="0.2">
      <c r="A2253" s="1" t="s">
        <v>3363</v>
      </c>
      <c r="B2253" s="2">
        <v>45773</v>
      </c>
      <c r="C2253" s="1" t="s">
        <v>808</v>
      </c>
      <c r="D2253" s="1" t="s">
        <v>809</v>
      </c>
      <c r="E2253" s="1" t="s">
        <v>28</v>
      </c>
      <c r="F2253" s="1" t="s">
        <v>268</v>
      </c>
      <c r="G2253" s="1" t="s">
        <v>269</v>
      </c>
      <c r="H2253" s="1" t="s">
        <v>72</v>
      </c>
      <c r="I2253">
        <v>41715</v>
      </c>
      <c r="J2253" s="3">
        <v>45.83</v>
      </c>
      <c r="K2253" s="3">
        <v>1911798.45</v>
      </c>
    </row>
    <row r="2254" spans="1:11" x14ac:dyDescent="0.2">
      <c r="A2254" s="1" t="s">
        <v>3364</v>
      </c>
      <c r="B2254" s="2">
        <v>45680</v>
      </c>
      <c r="C2254" s="1" t="s">
        <v>684</v>
      </c>
      <c r="D2254" s="1" t="s">
        <v>685</v>
      </c>
      <c r="E2254" s="1" t="s">
        <v>37</v>
      </c>
      <c r="F2254" s="1" t="s">
        <v>540</v>
      </c>
      <c r="G2254" s="1" t="s">
        <v>541</v>
      </c>
      <c r="H2254" s="1" t="s">
        <v>37</v>
      </c>
      <c r="I2254">
        <v>64304</v>
      </c>
      <c r="J2254" s="3">
        <v>48.63</v>
      </c>
      <c r="K2254" s="3">
        <v>3127103.52</v>
      </c>
    </row>
    <row r="2255" spans="1:11" x14ac:dyDescent="0.2">
      <c r="A2255" s="1" t="s">
        <v>3365</v>
      </c>
      <c r="B2255" s="2">
        <v>45697</v>
      </c>
      <c r="C2255" s="1" t="s">
        <v>1747</v>
      </c>
      <c r="D2255" s="1" t="s">
        <v>1748</v>
      </c>
      <c r="E2255" s="1" t="s">
        <v>37</v>
      </c>
      <c r="F2255" s="1" t="s">
        <v>284</v>
      </c>
      <c r="G2255" s="1" t="s">
        <v>285</v>
      </c>
      <c r="H2255" s="1" t="s">
        <v>37</v>
      </c>
      <c r="I2255">
        <v>93136</v>
      </c>
      <c r="J2255" s="3">
        <v>42.5</v>
      </c>
      <c r="K2255" s="3">
        <v>3958280</v>
      </c>
    </row>
    <row r="2256" spans="1:11" x14ac:dyDescent="0.2">
      <c r="A2256" s="1" t="s">
        <v>3366</v>
      </c>
      <c r="B2256" s="2">
        <v>45936</v>
      </c>
      <c r="C2256" s="1" t="s">
        <v>1740</v>
      </c>
      <c r="D2256" s="1" t="s">
        <v>1741</v>
      </c>
      <c r="E2256" s="1" t="s">
        <v>21</v>
      </c>
      <c r="F2256" s="1" t="s">
        <v>330</v>
      </c>
      <c r="G2256" s="1" t="s">
        <v>331</v>
      </c>
      <c r="H2256" s="1" t="s">
        <v>72</v>
      </c>
      <c r="I2256">
        <v>93285</v>
      </c>
      <c r="J2256" s="3">
        <v>44.66</v>
      </c>
      <c r="K2256" s="3">
        <v>4166108.1</v>
      </c>
    </row>
    <row r="2257" spans="1:11" x14ac:dyDescent="0.2">
      <c r="A2257" s="1" t="s">
        <v>3367</v>
      </c>
      <c r="B2257" s="2">
        <v>45388</v>
      </c>
      <c r="C2257" s="1" t="s">
        <v>1550</v>
      </c>
      <c r="D2257" s="1" t="s">
        <v>1551</v>
      </c>
      <c r="E2257" s="1" t="s">
        <v>37</v>
      </c>
      <c r="F2257" s="1" t="s">
        <v>228</v>
      </c>
      <c r="G2257" s="1" t="s">
        <v>229</v>
      </c>
      <c r="H2257" s="1" t="s">
        <v>48</v>
      </c>
      <c r="I2257">
        <v>59671</v>
      </c>
      <c r="J2257" s="3">
        <v>19.79</v>
      </c>
      <c r="K2257" s="3">
        <v>1180889.0900000001</v>
      </c>
    </row>
    <row r="2258" spans="1:11" x14ac:dyDescent="0.2">
      <c r="A2258" s="1" t="s">
        <v>3368</v>
      </c>
      <c r="B2258" s="2">
        <v>45555</v>
      </c>
      <c r="C2258" s="1" t="s">
        <v>342</v>
      </c>
      <c r="D2258" s="1" t="s">
        <v>343</v>
      </c>
      <c r="E2258" s="1" t="s">
        <v>37</v>
      </c>
      <c r="F2258" s="1" t="s">
        <v>324</v>
      </c>
      <c r="G2258" s="1" t="s">
        <v>325</v>
      </c>
      <c r="H2258" s="1" t="s">
        <v>24</v>
      </c>
      <c r="I2258">
        <v>40699</v>
      </c>
      <c r="J2258" s="3">
        <v>29.5</v>
      </c>
      <c r="K2258" s="3">
        <v>1200620.5</v>
      </c>
    </row>
    <row r="2259" spans="1:11" x14ac:dyDescent="0.2">
      <c r="A2259" s="1" t="s">
        <v>3369</v>
      </c>
      <c r="B2259" s="2">
        <v>45400</v>
      </c>
      <c r="C2259" s="1" t="s">
        <v>1178</v>
      </c>
      <c r="D2259" s="1" t="s">
        <v>1179</v>
      </c>
      <c r="E2259" s="1" t="s">
        <v>34</v>
      </c>
      <c r="F2259" s="1" t="s">
        <v>65</v>
      </c>
      <c r="G2259" s="1" t="s">
        <v>66</v>
      </c>
      <c r="H2259" s="1" t="s">
        <v>48</v>
      </c>
      <c r="I2259">
        <v>27603</v>
      </c>
      <c r="J2259" s="3">
        <v>42.46</v>
      </c>
      <c r="K2259" s="3">
        <v>1172023.3799999999</v>
      </c>
    </row>
    <row r="2260" spans="1:11" x14ac:dyDescent="0.2">
      <c r="A2260" s="1" t="s">
        <v>3370</v>
      </c>
      <c r="B2260" s="2">
        <v>45913</v>
      </c>
      <c r="C2260" s="1" t="s">
        <v>1903</v>
      </c>
      <c r="D2260" s="1" t="s">
        <v>1904</v>
      </c>
      <c r="E2260" s="1" t="s">
        <v>14</v>
      </c>
      <c r="F2260" s="1" t="s">
        <v>436</v>
      </c>
      <c r="G2260" s="1" t="s">
        <v>437</v>
      </c>
      <c r="H2260" s="1" t="s">
        <v>24</v>
      </c>
      <c r="I2260">
        <v>44547</v>
      </c>
      <c r="J2260" s="3">
        <v>2.21</v>
      </c>
      <c r="K2260" s="3">
        <v>98448.87</v>
      </c>
    </row>
    <row r="2261" spans="1:11" x14ac:dyDescent="0.2">
      <c r="A2261" s="1" t="s">
        <v>3371</v>
      </c>
      <c r="B2261" s="2">
        <v>46012</v>
      </c>
      <c r="C2261" s="1" t="s">
        <v>2196</v>
      </c>
      <c r="D2261" s="1" t="s">
        <v>2197</v>
      </c>
      <c r="E2261" s="1" t="s">
        <v>34</v>
      </c>
      <c r="F2261" s="1" t="s">
        <v>251</v>
      </c>
      <c r="G2261" s="1" t="s">
        <v>252</v>
      </c>
      <c r="H2261" s="1" t="s">
        <v>72</v>
      </c>
      <c r="I2261">
        <v>95567</v>
      </c>
      <c r="J2261" s="3">
        <v>38.590000000000003</v>
      </c>
      <c r="K2261" s="3">
        <v>3687930.53</v>
      </c>
    </row>
    <row r="2262" spans="1:11" x14ac:dyDescent="0.2">
      <c r="A2262" s="1" t="s">
        <v>3372</v>
      </c>
      <c r="B2262" s="2">
        <v>45301</v>
      </c>
      <c r="C2262" s="1" t="s">
        <v>599</v>
      </c>
      <c r="D2262" s="1" t="s">
        <v>600</v>
      </c>
      <c r="E2262" s="1" t="s">
        <v>37</v>
      </c>
      <c r="F2262" s="1" t="s">
        <v>29</v>
      </c>
      <c r="G2262" s="1" t="s">
        <v>30</v>
      </c>
      <c r="H2262" s="1" t="s">
        <v>24</v>
      </c>
      <c r="I2262">
        <v>72989</v>
      </c>
      <c r="J2262" s="3">
        <v>28.15</v>
      </c>
      <c r="K2262" s="3">
        <v>2054640.35</v>
      </c>
    </row>
    <row r="2263" spans="1:11" x14ac:dyDescent="0.2">
      <c r="A2263" s="1" t="s">
        <v>3373</v>
      </c>
      <c r="B2263" s="2">
        <v>45877</v>
      </c>
      <c r="C2263" s="1" t="s">
        <v>817</v>
      </c>
      <c r="D2263" s="1" t="s">
        <v>818</v>
      </c>
      <c r="E2263" s="1" t="s">
        <v>14</v>
      </c>
      <c r="F2263" s="1" t="s">
        <v>29</v>
      </c>
      <c r="G2263" s="1" t="s">
        <v>30</v>
      </c>
      <c r="H2263" s="1" t="s">
        <v>24</v>
      </c>
      <c r="I2263">
        <v>85113</v>
      </c>
      <c r="J2263" s="3">
        <v>47.88</v>
      </c>
      <c r="K2263" s="3">
        <v>4075210.44</v>
      </c>
    </row>
    <row r="2264" spans="1:11" x14ac:dyDescent="0.2">
      <c r="A2264" s="1" t="s">
        <v>3374</v>
      </c>
      <c r="B2264" s="2">
        <v>45493</v>
      </c>
      <c r="C2264" s="1" t="s">
        <v>820</v>
      </c>
      <c r="D2264" s="1" t="s">
        <v>821</v>
      </c>
      <c r="E2264" s="1" t="s">
        <v>28</v>
      </c>
      <c r="F2264" s="1" t="s">
        <v>339</v>
      </c>
      <c r="G2264" s="1" t="s">
        <v>340</v>
      </c>
      <c r="H2264" s="1" t="s">
        <v>24</v>
      </c>
      <c r="I2264">
        <v>34420</v>
      </c>
      <c r="J2264" s="3">
        <v>29.88</v>
      </c>
      <c r="K2264" s="3">
        <v>1028469.6</v>
      </c>
    </row>
    <row r="2265" spans="1:11" x14ac:dyDescent="0.2">
      <c r="A2265" s="1" t="s">
        <v>3375</v>
      </c>
      <c r="B2265" s="2">
        <v>45900</v>
      </c>
      <c r="C2265" s="1" t="s">
        <v>826</v>
      </c>
      <c r="D2265" s="1" t="s">
        <v>827</v>
      </c>
      <c r="E2265" s="1" t="s">
        <v>37</v>
      </c>
      <c r="F2265" s="1" t="s">
        <v>263</v>
      </c>
      <c r="G2265" s="1" t="s">
        <v>264</v>
      </c>
      <c r="H2265" s="1" t="s">
        <v>17</v>
      </c>
      <c r="I2265">
        <v>92746</v>
      </c>
      <c r="J2265" s="3">
        <v>30.5</v>
      </c>
      <c r="K2265" s="3">
        <v>2828753</v>
      </c>
    </row>
    <row r="2266" spans="1:11" x14ac:dyDescent="0.2">
      <c r="A2266" s="1" t="s">
        <v>3376</v>
      </c>
      <c r="B2266" s="2">
        <v>45759</v>
      </c>
      <c r="C2266" s="1" t="s">
        <v>2270</v>
      </c>
      <c r="D2266" s="1" t="s">
        <v>2271</v>
      </c>
      <c r="E2266" s="1" t="s">
        <v>21</v>
      </c>
      <c r="F2266" s="1" t="s">
        <v>29</v>
      </c>
      <c r="G2266" s="1" t="s">
        <v>30</v>
      </c>
      <c r="H2266" s="1" t="s">
        <v>24</v>
      </c>
      <c r="I2266">
        <v>24942</v>
      </c>
      <c r="J2266" s="3">
        <v>30.42</v>
      </c>
      <c r="K2266" s="3">
        <v>758735.64</v>
      </c>
    </row>
    <row r="2267" spans="1:11" x14ac:dyDescent="0.2">
      <c r="A2267" s="1" t="s">
        <v>3377</v>
      </c>
      <c r="B2267" s="2">
        <v>45536</v>
      </c>
      <c r="C2267" s="1" t="s">
        <v>421</v>
      </c>
      <c r="D2267" s="1" t="s">
        <v>422</v>
      </c>
      <c r="E2267" s="1" t="s">
        <v>21</v>
      </c>
      <c r="F2267" s="1" t="s">
        <v>540</v>
      </c>
      <c r="G2267" s="1" t="s">
        <v>541</v>
      </c>
      <c r="H2267" s="1" t="s">
        <v>37</v>
      </c>
      <c r="I2267">
        <v>18482</v>
      </c>
      <c r="J2267" s="3">
        <v>38.630000000000003</v>
      </c>
      <c r="K2267" s="3">
        <v>713959.66</v>
      </c>
    </row>
    <row r="2268" spans="1:11" x14ac:dyDescent="0.2">
      <c r="A2268" s="1" t="s">
        <v>3378</v>
      </c>
      <c r="B2268" s="2">
        <v>45652</v>
      </c>
      <c r="C2268" s="1" t="s">
        <v>1658</v>
      </c>
      <c r="D2268" s="1" t="s">
        <v>1659</v>
      </c>
      <c r="E2268" s="1" t="s">
        <v>28</v>
      </c>
      <c r="F2268" s="1" t="s">
        <v>22</v>
      </c>
      <c r="G2268" s="1" t="s">
        <v>23</v>
      </c>
      <c r="H2268" s="1" t="s">
        <v>24</v>
      </c>
      <c r="I2268">
        <v>97826</v>
      </c>
      <c r="J2268" s="3">
        <v>49.57</v>
      </c>
      <c r="K2268" s="3">
        <v>4849234.82</v>
      </c>
    </row>
    <row r="2269" spans="1:11" x14ac:dyDescent="0.2">
      <c r="A2269" s="1" t="s">
        <v>3379</v>
      </c>
      <c r="B2269" s="2">
        <v>45530</v>
      </c>
      <c r="C2269" s="1" t="s">
        <v>1737</v>
      </c>
      <c r="D2269" s="1" t="s">
        <v>1738</v>
      </c>
      <c r="E2269" s="1" t="s">
        <v>21</v>
      </c>
      <c r="F2269" s="1" t="s">
        <v>228</v>
      </c>
      <c r="G2269" s="1" t="s">
        <v>229</v>
      </c>
      <c r="H2269" s="1" t="s">
        <v>48</v>
      </c>
      <c r="I2269">
        <v>75893</v>
      </c>
      <c r="J2269" s="3">
        <v>45.13</v>
      </c>
      <c r="K2269" s="3">
        <v>3425051.09</v>
      </c>
    </row>
    <row r="2270" spans="1:11" x14ac:dyDescent="0.2">
      <c r="A2270" s="1" t="s">
        <v>3380</v>
      </c>
      <c r="B2270" s="2">
        <v>45709</v>
      </c>
      <c r="C2270" s="1" t="s">
        <v>1053</v>
      </c>
      <c r="D2270" s="1" t="s">
        <v>1054</v>
      </c>
      <c r="E2270" s="1" t="s">
        <v>21</v>
      </c>
      <c r="F2270" s="1" t="s">
        <v>268</v>
      </c>
      <c r="G2270" s="1" t="s">
        <v>269</v>
      </c>
      <c r="H2270" s="1" t="s">
        <v>72</v>
      </c>
      <c r="I2270">
        <v>69476</v>
      </c>
      <c r="J2270" s="3">
        <v>36.07</v>
      </c>
      <c r="K2270" s="3">
        <v>2505999.3199999998</v>
      </c>
    </row>
    <row r="2271" spans="1:11" x14ac:dyDescent="0.2">
      <c r="A2271" s="1" t="s">
        <v>3381</v>
      </c>
      <c r="B2271" s="2">
        <v>45294</v>
      </c>
      <c r="C2271" s="1" t="s">
        <v>2270</v>
      </c>
      <c r="D2271" s="1" t="s">
        <v>2271</v>
      </c>
      <c r="E2271" s="1" t="s">
        <v>21</v>
      </c>
      <c r="F2271" s="1" t="s">
        <v>29</v>
      </c>
      <c r="G2271" s="1" t="s">
        <v>30</v>
      </c>
      <c r="H2271" s="1" t="s">
        <v>24</v>
      </c>
      <c r="I2271">
        <v>63503</v>
      </c>
      <c r="J2271" s="3">
        <v>46.53</v>
      </c>
      <c r="K2271" s="3">
        <v>2954794.59</v>
      </c>
    </row>
    <row r="2272" spans="1:11" x14ac:dyDescent="0.2">
      <c r="A2272" s="1" t="s">
        <v>3382</v>
      </c>
      <c r="B2272" s="2">
        <v>45919</v>
      </c>
      <c r="C2272" s="1" t="s">
        <v>851</v>
      </c>
      <c r="D2272" s="1" t="s">
        <v>852</v>
      </c>
      <c r="E2272" s="1" t="s">
        <v>21</v>
      </c>
      <c r="F2272" s="1" t="s">
        <v>273</v>
      </c>
      <c r="G2272" s="1" t="s">
        <v>274</v>
      </c>
      <c r="H2272" s="1" t="s">
        <v>24</v>
      </c>
      <c r="I2272">
        <v>91677</v>
      </c>
      <c r="J2272" s="3">
        <v>23.56</v>
      </c>
      <c r="K2272" s="3">
        <v>2159910.12</v>
      </c>
    </row>
    <row r="2273" spans="1:11" x14ac:dyDescent="0.2">
      <c r="A2273" s="1" t="s">
        <v>3383</v>
      </c>
      <c r="B2273" s="2">
        <v>45764</v>
      </c>
      <c r="C2273" s="1" t="s">
        <v>1102</v>
      </c>
      <c r="D2273" s="1" t="s">
        <v>1103</v>
      </c>
      <c r="E2273" s="1" t="s">
        <v>21</v>
      </c>
      <c r="F2273" s="1" t="s">
        <v>330</v>
      </c>
      <c r="G2273" s="1" t="s">
        <v>331</v>
      </c>
      <c r="H2273" s="1" t="s">
        <v>72</v>
      </c>
      <c r="I2273">
        <v>98307</v>
      </c>
      <c r="J2273" s="3">
        <v>40.369999999999997</v>
      </c>
      <c r="K2273" s="3">
        <v>3968653.59</v>
      </c>
    </row>
    <row r="2274" spans="1:11" x14ac:dyDescent="0.2">
      <c r="A2274" s="1" t="s">
        <v>3384</v>
      </c>
      <c r="B2274" s="2">
        <v>45334</v>
      </c>
      <c r="C2274" s="1" t="s">
        <v>168</v>
      </c>
      <c r="D2274" s="1" t="s">
        <v>169</v>
      </c>
      <c r="E2274" s="1" t="s">
        <v>21</v>
      </c>
      <c r="F2274" s="1" t="s">
        <v>139</v>
      </c>
      <c r="G2274" s="1" t="s">
        <v>140</v>
      </c>
      <c r="H2274" s="1" t="s">
        <v>24</v>
      </c>
      <c r="I2274">
        <v>45326</v>
      </c>
      <c r="J2274" s="3">
        <v>26.68</v>
      </c>
      <c r="K2274" s="3">
        <v>1209297.68</v>
      </c>
    </row>
    <row r="2275" spans="1:11" x14ac:dyDescent="0.2">
      <c r="A2275" s="1" t="s">
        <v>3385</v>
      </c>
      <c r="B2275" s="2">
        <v>45980</v>
      </c>
      <c r="C2275" s="1" t="s">
        <v>948</v>
      </c>
      <c r="D2275" s="1" t="s">
        <v>949</v>
      </c>
      <c r="E2275" s="1" t="s">
        <v>21</v>
      </c>
      <c r="F2275" s="1" t="s">
        <v>268</v>
      </c>
      <c r="G2275" s="1" t="s">
        <v>269</v>
      </c>
      <c r="H2275" s="1" t="s">
        <v>72</v>
      </c>
      <c r="I2275">
        <v>85564</v>
      </c>
      <c r="J2275" s="3">
        <v>3.42</v>
      </c>
      <c r="K2275" s="3">
        <v>292628.88</v>
      </c>
    </row>
    <row r="2276" spans="1:11" x14ac:dyDescent="0.2">
      <c r="A2276" s="1" t="s">
        <v>3386</v>
      </c>
      <c r="B2276" s="2">
        <v>45491</v>
      </c>
      <c r="C2276" s="1" t="s">
        <v>1227</v>
      </c>
      <c r="D2276" s="1" t="s">
        <v>1228</v>
      </c>
      <c r="E2276" s="1" t="s">
        <v>34</v>
      </c>
      <c r="F2276" s="1" t="s">
        <v>761</v>
      </c>
      <c r="G2276" s="1" t="s">
        <v>762</v>
      </c>
      <c r="H2276" s="1" t="s">
        <v>48</v>
      </c>
      <c r="I2276">
        <v>21448</v>
      </c>
      <c r="J2276" s="3">
        <v>37.79</v>
      </c>
      <c r="K2276" s="3">
        <v>810519.92</v>
      </c>
    </row>
    <row r="2277" spans="1:11" x14ac:dyDescent="0.2">
      <c r="A2277" s="1" t="s">
        <v>3387</v>
      </c>
      <c r="B2277" s="2">
        <v>45824</v>
      </c>
      <c r="C2277" s="1" t="s">
        <v>994</v>
      </c>
      <c r="D2277" s="1" t="s">
        <v>995</v>
      </c>
      <c r="E2277" s="1" t="s">
        <v>21</v>
      </c>
      <c r="F2277" s="1" t="s">
        <v>65</v>
      </c>
      <c r="G2277" s="1" t="s">
        <v>66</v>
      </c>
      <c r="H2277" s="1" t="s">
        <v>48</v>
      </c>
      <c r="I2277">
        <v>35186</v>
      </c>
      <c r="J2277" s="3">
        <v>36.69</v>
      </c>
      <c r="K2277" s="3">
        <v>1290974.3400000001</v>
      </c>
    </row>
    <row r="2278" spans="1:11" x14ac:dyDescent="0.2">
      <c r="A2278" s="1" t="s">
        <v>3388</v>
      </c>
      <c r="B2278" s="2">
        <v>45951</v>
      </c>
      <c r="C2278" s="1" t="s">
        <v>55</v>
      </c>
      <c r="D2278" s="1" t="s">
        <v>56</v>
      </c>
      <c r="E2278" s="1" t="s">
        <v>21</v>
      </c>
      <c r="F2278" s="1" t="s">
        <v>540</v>
      </c>
      <c r="G2278" s="1" t="s">
        <v>541</v>
      </c>
      <c r="H2278" s="1" t="s">
        <v>37</v>
      </c>
      <c r="I2278">
        <v>20944</v>
      </c>
      <c r="J2278" s="3">
        <v>12.18</v>
      </c>
      <c r="K2278" s="3">
        <v>255097.92</v>
      </c>
    </row>
    <row r="2279" spans="1:11" x14ac:dyDescent="0.2">
      <c r="A2279" s="1" t="s">
        <v>3389</v>
      </c>
      <c r="B2279" s="2">
        <v>45333</v>
      </c>
      <c r="C2279" s="1" t="s">
        <v>1591</v>
      </c>
      <c r="D2279" s="1" t="s">
        <v>1592</v>
      </c>
      <c r="E2279" s="1" t="s">
        <v>34</v>
      </c>
      <c r="F2279" s="1" t="s">
        <v>412</v>
      </c>
      <c r="G2279" s="1" t="s">
        <v>413</v>
      </c>
      <c r="H2279" s="1" t="s">
        <v>72</v>
      </c>
      <c r="I2279">
        <v>28830</v>
      </c>
      <c r="J2279" s="3">
        <v>16.77</v>
      </c>
      <c r="K2279" s="3">
        <v>483479.1</v>
      </c>
    </row>
    <row r="2280" spans="1:11" x14ac:dyDescent="0.2">
      <c r="A2280" s="1" t="s">
        <v>3390</v>
      </c>
      <c r="B2280" s="2">
        <v>45398</v>
      </c>
      <c r="C2280" s="1" t="s">
        <v>150</v>
      </c>
      <c r="D2280" s="1" t="s">
        <v>151</v>
      </c>
      <c r="E2280" s="1" t="s">
        <v>14</v>
      </c>
      <c r="F2280" s="1" t="s">
        <v>273</v>
      </c>
      <c r="G2280" s="1" t="s">
        <v>274</v>
      </c>
      <c r="H2280" s="1" t="s">
        <v>24</v>
      </c>
      <c r="I2280">
        <v>87429</v>
      </c>
      <c r="J2280" s="3">
        <v>9.4600000000000009</v>
      </c>
      <c r="K2280" s="3">
        <v>827078.34</v>
      </c>
    </row>
    <row r="2281" spans="1:11" x14ac:dyDescent="0.2">
      <c r="A2281" s="1" t="s">
        <v>3391</v>
      </c>
      <c r="B2281" s="2">
        <v>45839</v>
      </c>
      <c r="C2281" s="1" t="s">
        <v>1085</v>
      </c>
      <c r="D2281" s="1" t="s">
        <v>1086</v>
      </c>
      <c r="E2281" s="1" t="s">
        <v>14</v>
      </c>
      <c r="F2281" s="1" t="s">
        <v>406</v>
      </c>
      <c r="G2281" s="1" t="s">
        <v>407</v>
      </c>
      <c r="H2281" s="1" t="s">
        <v>17</v>
      </c>
      <c r="I2281">
        <v>68739</v>
      </c>
      <c r="J2281" s="3">
        <v>39.76</v>
      </c>
      <c r="K2281" s="3">
        <v>2733062.64</v>
      </c>
    </row>
    <row r="2282" spans="1:11" x14ac:dyDescent="0.2">
      <c r="A2282" s="1" t="s">
        <v>3392</v>
      </c>
      <c r="B2282" s="2">
        <v>45777</v>
      </c>
      <c r="C2282" s="1" t="s">
        <v>1244</v>
      </c>
      <c r="D2282" s="1" t="s">
        <v>1245</v>
      </c>
      <c r="E2282" s="1" t="s">
        <v>28</v>
      </c>
      <c r="F2282" s="1" t="s">
        <v>157</v>
      </c>
      <c r="G2282" s="1" t="s">
        <v>158</v>
      </c>
      <c r="H2282" s="1" t="s">
        <v>48</v>
      </c>
      <c r="I2282">
        <v>93590</v>
      </c>
      <c r="J2282" s="3">
        <v>27.88</v>
      </c>
      <c r="K2282" s="3">
        <v>2609289.2000000002</v>
      </c>
    </row>
    <row r="2283" spans="1:11" x14ac:dyDescent="0.2">
      <c r="A2283" s="1" t="s">
        <v>3393</v>
      </c>
      <c r="B2283" s="2">
        <v>45461</v>
      </c>
      <c r="C2283" s="1" t="s">
        <v>1317</v>
      </c>
      <c r="D2283" s="1" t="s">
        <v>1318</v>
      </c>
      <c r="E2283" s="1" t="s">
        <v>28</v>
      </c>
      <c r="F2283" s="1" t="s">
        <v>157</v>
      </c>
      <c r="G2283" s="1" t="s">
        <v>158</v>
      </c>
      <c r="H2283" s="1" t="s">
        <v>48</v>
      </c>
      <c r="I2283">
        <v>46094</v>
      </c>
      <c r="J2283" s="3">
        <v>11.84</v>
      </c>
      <c r="K2283" s="3">
        <v>545752.96</v>
      </c>
    </row>
    <row r="2284" spans="1:11" x14ac:dyDescent="0.2">
      <c r="A2284" s="1" t="s">
        <v>3394</v>
      </c>
      <c r="B2284" s="2">
        <v>45736</v>
      </c>
      <c r="C2284" s="1" t="s">
        <v>1064</v>
      </c>
      <c r="D2284" s="1" t="s">
        <v>1065</v>
      </c>
      <c r="E2284" s="1" t="s">
        <v>14</v>
      </c>
      <c r="F2284" s="1" t="s">
        <v>237</v>
      </c>
      <c r="G2284" s="1" t="s">
        <v>238</v>
      </c>
      <c r="H2284" s="1" t="s">
        <v>17</v>
      </c>
      <c r="I2284">
        <v>12198</v>
      </c>
      <c r="J2284" s="3">
        <v>46.96</v>
      </c>
      <c r="K2284" s="3">
        <v>572818.07999999996</v>
      </c>
    </row>
    <row r="2285" spans="1:11" x14ac:dyDescent="0.2">
      <c r="A2285" s="1" t="s">
        <v>3395</v>
      </c>
      <c r="B2285" s="2">
        <v>45809</v>
      </c>
      <c r="C2285" s="1" t="s">
        <v>994</v>
      </c>
      <c r="D2285" s="1" t="s">
        <v>995</v>
      </c>
      <c r="E2285" s="1" t="s">
        <v>21</v>
      </c>
      <c r="F2285" s="1" t="s">
        <v>195</v>
      </c>
      <c r="G2285" s="1" t="s">
        <v>196</v>
      </c>
      <c r="H2285" s="1" t="s">
        <v>48</v>
      </c>
      <c r="I2285">
        <v>72821</v>
      </c>
      <c r="J2285" s="3">
        <v>43.02</v>
      </c>
      <c r="K2285" s="3">
        <v>3132759.42</v>
      </c>
    </row>
    <row r="2286" spans="1:11" x14ac:dyDescent="0.2">
      <c r="A2286" s="1" t="s">
        <v>3396</v>
      </c>
      <c r="B2286" s="2">
        <v>45927</v>
      </c>
      <c r="C2286" s="1" t="s">
        <v>179</v>
      </c>
      <c r="D2286" s="1" t="s">
        <v>180</v>
      </c>
      <c r="E2286" s="1" t="s">
        <v>37</v>
      </c>
      <c r="F2286" s="1" t="s">
        <v>35</v>
      </c>
      <c r="G2286" s="1" t="s">
        <v>36</v>
      </c>
      <c r="H2286" s="1" t="s">
        <v>37</v>
      </c>
      <c r="I2286">
        <v>49907</v>
      </c>
      <c r="J2286" s="3">
        <v>26.35</v>
      </c>
      <c r="K2286" s="3">
        <v>1315049.45</v>
      </c>
    </row>
    <row r="2287" spans="1:11" x14ac:dyDescent="0.2">
      <c r="A2287" s="1" t="s">
        <v>3397</v>
      </c>
      <c r="B2287" s="2">
        <v>45378</v>
      </c>
      <c r="C2287" s="1" t="s">
        <v>737</v>
      </c>
      <c r="D2287" s="1" t="s">
        <v>738</v>
      </c>
      <c r="E2287" s="1" t="s">
        <v>37</v>
      </c>
      <c r="F2287" s="1" t="s">
        <v>406</v>
      </c>
      <c r="G2287" s="1" t="s">
        <v>407</v>
      </c>
      <c r="H2287" s="1" t="s">
        <v>17</v>
      </c>
      <c r="I2287">
        <v>1227</v>
      </c>
      <c r="J2287" s="3">
        <v>33.28</v>
      </c>
      <c r="K2287" s="3">
        <v>40834.559999999998</v>
      </c>
    </row>
    <row r="2288" spans="1:11" x14ac:dyDescent="0.2">
      <c r="A2288" s="1" t="s">
        <v>3398</v>
      </c>
      <c r="B2288" s="2">
        <v>45492</v>
      </c>
      <c r="C2288" s="1" t="s">
        <v>2031</v>
      </c>
      <c r="D2288" s="1" t="s">
        <v>2032</v>
      </c>
      <c r="E2288" s="1" t="s">
        <v>14</v>
      </c>
      <c r="F2288" s="1" t="s">
        <v>35</v>
      </c>
      <c r="G2288" s="1" t="s">
        <v>36</v>
      </c>
      <c r="H2288" s="1" t="s">
        <v>37</v>
      </c>
      <c r="I2288">
        <v>94914</v>
      </c>
      <c r="J2288" s="3">
        <v>16.079999999999998</v>
      </c>
      <c r="K2288" s="3">
        <v>1526217.12</v>
      </c>
    </row>
    <row r="2289" spans="1:11" x14ac:dyDescent="0.2">
      <c r="A2289" s="1" t="s">
        <v>3399</v>
      </c>
      <c r="B2289" s="2">
        <v>45470</v>
      </c>
      <c r="C2289" s="1" t="s">
        <v>111</v>
      </c>
      <c r="D2289" s="1" t="s">
        <v>112</v>
      </c>
      <c r="E2289" s="1" t="s">
        <v>14</v>
      </c>
      <c r="F2289" s="1" t="s">
        <v>103</v>
      </c>
      <c r="G2289" s="1" t="s">
        <v>104</v>
      </c>
      <c r="H2289" s="1" t="s">
        <v>37</v>
      </c>
      <c r="I2289">
        <v>17572</v>
      </c>
      <c r="J2289" s="3">
        <v>6.16</v>
      </c>
      <c r="K2289" s="3">
        <v>108243.52</v>
      </c>
    </row>
    <row r="2290" spans="1:11" x14ac:dyDescent="0.2">
      <c r="A2290" s="1" t="s">
        <v>3400</v>
      </c>
      <c r="B2290" s="2">
        <v>46019</v>
      </c>
      <c r="C2290" s="1" t="s">
        <v>1061</v>
      </c>
      <c r="D2290" s="1" t="s">
        <v>1062</v>
      </c>
      <c r="E2290" s="1" t="s">
        <v>14</v>
      </c>
      <c r="F2290" s="1" t="s">
        <v>228</v>
      </c>
      <c r="G2290" s="1" t="s">
        <v>229</v>
      </c>
      <c r="H2290" s="1" t="s">
        <v>48</v>
      </c>
      <c r="I2290">
        <v>30344</v>
      </c>
      <c r="J2290" s="3">
        <v>38.11</v>
      </c>
      <c r="K2290" s="3">
        <v>1156409.8400000001</v>
      </c>
    </row>
    <row r="2291" spans="1:11" x14ac:dyDescent="0.2">
      <c r="A2291" s="1" t="s">
        <v>3401</v>
      </c>
      <c r="B2291" s="2">
        <v>45859</v>
      </c>
      <c r="C2291" s="1" t="s">
        <v>44</v>
      </c>
      <c r="D2291" s="1" t="s">
        <v>45</v>
      </c>
      <c r="E2291" s="1" t="s">
        <v>34</v>
      </c>
      <c r="F2291" s="1" t="s">
        <v>22</v>
      </c>
      <c r="G2291" s="1" t="s">
        <v>23</v>
      </c>
      <c r="H2291" s="1" t="s">
        <v>24</v>
      </c>
      <c r="I2291">
        <v>13905</v>
      </c>
      <c r="J2291" s="3">
        <v>16.13</v>
      </c>
      <c r="K2291" s="3">
        <v>224287.65</v>
      </c>
    </row>
    <row r="2292" spans="1:11" x14ac:dyDescent="0.2">
      <c r="A2292" s="1" t="s">
        <v>3402</v>
      </c>
      <c r="B2292" s="2">
        <v>45547</v>
      </c>
      <c r="C2292" s="1" t="s">
        <v>142</v>
      </c>
      <c r="D2292" s="1" t="s">
        <v>143</v>
      </c>
      <c r="E2292" s="1" t="s">
        <v>37</v>
      </c>
      <c r="F2292" s="1" t="s">
        <v>144</v>
      </c>
      <c r="G2292" s="1" t="s">
        <v>145</v>
      </c>
      <c r="H2292" s="1" t="s">
        <v>24</v>
      </c>
      <c r="I2292">
        <v>93411</v>
      </c>
      <c r="J2292" s="3">
        <v>2.64</v>
      </c>
      <c r="K2292" s="3">
        <v>246605.04</v>
      </c>
    </row>
    <row r="2293" spans="1:11" x14ac:dyDescent="0.2">
      <c r="A2293" s="1" t="s">
        <v>3403</v>
      </c>
      <c r="B2293" s="2">
        <v>45550</v>
      </c>
      <c r="C2293" s="1" t="s">
        <v>2242</v>
      </c>
      <c r="D2293" s="1" t="s">
        <v>2243</v>
      </c>
      <c r="E2293" s="1" t="s">
        <v>34</v>
      </c>
      <c r="F2293" s="1" t="s">
        <v>184</v>
      </c>
      <c r="G2293" s="1" t="s">
        <v>185</v>
      </c>
      <c r="H2293" s="1" t="s">
        <v>17</v>
      </c>
      <c r="I2293">
        <v>57176</v>
      </c>
      <c r="J2293" s="3">
        <v>32.54</v>
      </c>
      <c r="K2293" s="3">
        <v>1860507.04</v>
      </c>
    </row>
    <row r="2294" spans="1:11" x14ac:dyDescent="0.2">
      <c r="A2294" s="1" t="s">
        <v>3404</v>
      </c>
      <c r="B2294" s="2">
        <v>45857</v>
      </c>
      <c r="C2294" s="1" t="s">
        <v>657</v>
      </c>
      <c r="D2294" s="1" t="s">
        <v>658</v>
      </c>
      <c r="E2294" s="1" t="s">
        <v>37</v>
      </c>
      <c r="F2294" s="1" t="s">
        <v>98</v>
      </c>
      <c r="G2294" s="1" t="s">
        <v>99</v>
      </c>
      <c r="H2294" s="1" t="s">
        <v>72</v>
      </c>
      <c r="I2294">
        <v>47894</v>
      </c>
      <c r="J2294" s="3">
        <v>24.87</v>
      </c>
      <c r="K2294" s="3">
        <v>1191123.78</v>
      </c>
    </row>
    <row r="2295" spans="1:11" x14ac:dyDescent="0.2">
      <c r="A2295" s="1" t="s">
        <v>3405</v>
      </c>
      <c r="B2295" s="2">
        <v>45550</v>
      </c>
      <c r="C2295" s="1" t="s">
        <v>300</v>
      </c>
      <c r="D2295" s="1" t="s">
        <v>301</v>
      </c>
      <c r="E2295" s="1" t="s">
        <v>14</v>
      </c>
      <c r="F2295" s="1" t="s">
        <v>228</v>
      </c>
      <c r="G2295" s="1" t="s">
        <v>229</v>
      </c>
      <c r="H2295" s="1" t="s">
        <v>48</v>
      </c>
      <c r="I2295">
        <v>56432</v>
      </c>
      <c r="J2295" s="3">
        <v>13.64</v>
      </c>
      <c r="K2295" s="3">
        <v>769732.48</v>
      </c>
    </row>
    <row r="2296" spans="1:11" x14ac:dyDescent="0.2">
      <c r="A2296" s="1" t="s">
        <v>3406</v>
      </c>
      <c r="B2296" s="2">
        <v>45619</v>
      </c>
      <c r="C2296" s="1" t="s">
        <v>313</v>
      </c>
      <c r="D2296" s="1" t="s">
        <v>314</v>
      </c>
      <c r="E2296" s="1" t="s">
        <v>37</v>
      </c>
      <c r="F2296" s="1" t="s">
        <v>237</v>
      </c>
      <c r="G2296" s="1" t="s">
        <v>238</v>
      </c>
      <c r="H2296" s="1" t="s">
        <v>17</v>
      </c>
      <c r="I2296">
        <v>8216</v>
      </c>
      <c r="J2296" s="3">
        <v>5.83</v>
      </c>
      <c r="K2296" s="3">
        <v>47899.28</v>
      </c>
    </row>
    <row r="2297" spans="1:11" x14ac:dyDescent="0.2">
      <c r="A2297" s="1" t="s">
        <v>3407</v>
      </c>
      <c r="B2297" s="2">
        <v>45964</v>
      </c>
      <c r="C2297" s="1" t="s">
        <v>240</v>
      </c>
      <c r="D2297" s="1" t="s">
        <v>241</v>
      </c>
      <c r="E2297" s="1" t="s">
        <v>28</v>
      </c>
      <c r="F2297" s="1" t="s">
        <v>41</v>
      </c>
      <c r="G2297" s="1" t="s">
        <v>42</v>
      </c>
      <c r="H2297" s="1" t="s">
        <v>24</v>
      </c>
      <c r="I2297">
        <v>23177</v>
      </c>
      <c r="J2297" s="3">
        <v>16.87</v>
      </c>
      <c r="K2297" s="3">
        <v>390995.99</v>
      </c>
    </row>
    <row r="2298" spans="1:11" x14ac:dyDescent="0.2">
      <c r="A2298" s="1" t="s">
        <v>3408</v>
      </c>
      <c r="B2298" s="2">
        <v>45641</v>
      </c>
      <c r="C2298" s="1" t="s">
        <v>101</v>
      </c>
      <c r="D2298" s="1" t="s">
        <v>102</v>
      </c>
      <c r="E2298" s="1" t="s">
        <v>37</v>
      </c>
      <c r="F2298" s="1" t="s">
        <v>339</v>
      </c>
      <c r="G2298" s="1" t="s">
        <v>340</v>
      </c>
      <c r="H2298" s="1" t="s">
        <v>24</v>
      </c>
      <c r="I2298">
        <v>80464</v>
      </c>
      <c r="J2298" s="3">
        <v>43.62</v>
      </c>
      <c r="K2298" s="3">
        <v>3509839.68</v>
      </c>
    </row>
    <row r="2299" spans="1:11" x14ac:dyDescent="0.2">
      <c r="A2299" s="1" t="s">
        <v>3409</v>
      </c>
      <c r="B2299" s="2">
        <v>45754</v>
      </c>
      <c r="C2299" s="1" t="s">
        <v>628</v>
      </c>
      <c r="D2299" s="1" t="s">
        <v>629</v>
      </c>
      <c r="E2299" s="1" t="s">
        <v>14</v>
      </c>
      <c r="F2299" s="1" t="s">
        <v>46</v>
      </c>
      <c r="G2299" s="1" t="s">
        <v>47</v>
      </c>
      <c r="H2299" s="1" t="s">
        <v>48</v>
      </c>
      <c r="I2299">
        <v>44467</v>
      </c>
      <c r="J2299" s="3">
        <v>8.01</v>
      </c>
      <c r="K2299" s="3">
        <v>356180.67</v>
      </c>
    </row>
    <row r="2300" spans="1:11" x14ac:dyDescent="0.2">
      <c r="A2300" s="1" t="s">
        <v>3410</v>
      </c>
      <c r="B2300" s="2">
        <v>45655</v>
      </c>
      <c r="C2300" s="1" t="s">
        <v>445</v>
      </c>
      <c r="D2300" s="1" t="s">
        <v>446</v>
      </c>
      <c r="E2300" s="1" t="s">
        <v>34</v>
      </c>
      <c r="F2300" s="1" t="s">
        <v>184</v>
      </c>
      <c r="G2300" s="1" t="s">
        <v>185</v>
      </c>
      <c r="H2300" s="1" t="s">
        <v>17</v>
      </c>
      <c r="I2300">
        <v>22039</v>
      </c>
      <c r="J2300" s="3">
        <v>17.12</v>
      </c>
      <c r="K2300" s="3">
        <v>377307.68</v>
      </c>
    </row>
    <row r="2301" spans="1:11" x14ac:dyDescent="0.2">
      <c r="A2301" s="1" t="s">
        <v>3411</v>
      </c>
      <c r="B2301" s="2">
        <v>45780</v>
      </c>
      <c r="C2301" s="1" t="s">
        <v>2445</v>
      </c>
      <c r="D2301" s="1" t="s">
        <v>2446</v>
      </c>
      <c r="E2301" s="1" t="s">
        <v>34</v>
      </c>
      <c r="F2301" s="1" t="s">
        <v>195</v>
      </c>
      <c r="G2301" s="1" t="s">
        <v>196</v>
      </c>
      <c r="H2301" s="1" t="s">
        <v>48</v>
      </c>
      <c r="I2301">
        <v>86179</v>
      </c>
      <c r="J2301" s="3">
        <v>28.69</v>
      </c>
      <c r="K2301" s="3">
        <v>2472475.5099999998</v>
      </c>
    </row>
    <row r="2302" spans="1:11" x14ac:dyDescent="0.2">
      <c r="A2302" s="1" t="s">
        <v>3412</v>
      </c>
      <c r="B2302" s="2">
        <v>45963</v>
      </c>
      <c r="C2302" s="1" t="s">
        <v>1137</v>
      </c>
      <c r="D2302" s="1" t="s">
        <v>1138</v>
      </c>
      <c r="E2302" s="1" t="s">
        <v>21</v>
      </c>
      <c r="F2302" s="1" t="s">
        <v>189</v>
      </c>
      <c r="G2302" s="1" t="s">
        <v>190</v>
      </c>
      <c r="H2302" s="1" t="s">
        <v>17</v>
      </c>
      <c r="I2302">
        <v>4811</v>
      </c>
      <c r="J2302" s="3">
        <v>27.77</v>
      </c>
      <c r="K2302" s="3">
        <v>133601.47</v>
      </c>
    </row>
    <row r="2303" spans="1:11" x14ac:dyDescent="0.2">
      <c r="A2303" s="1" t="s">
        <v>3413</v>
      </c>
      <c r="B2303" s="2">
        <v>45955</v>
      </c>
      <c r="C2303" s="1" t="s">
        <v>1149</v>
      </c>
      <c r="D2303" s="1" t="s">
        <v>1150</v>
      </c>
      <c r="E2303" s="1" t="s">
        <v>14</v>
      </c>
      <c r="F2303" s="1" t="s">
        <v>251</v>
      </c>
      <c r="G2303" s="1" t="s">
        <v>252</v>
      </c>
      <c r="H2303" s="1" t="s">
        <v>72</v>
      </c>
      <c r="I2303">
        <v>33462</v>
      </c>
      <c r="J2303" s="3">
        <v>47.69</v>
      </c>
      <c r="K2303" s="3">
        <v>1595802.78</v>
      </c>
    </row>
    <row r="2304" spans="1:11" x14ac:dyDescent="0.2">
      <c r="A2304" s="1" t="s">
        <v>3414</v>
      </c>
      <c r="B2304" s="2">
        <v>45554</v>
      </c>
      <c r="C2304" s="1" t="s">
        <v>1302</v>
      </c>
      <c r="D2304" s="1" t="s">
        <v>1303</v>
      </c>
      <c r="E2304" s="1" t="s">
        <v>37</v>
      </c>
      <c r="F2304" s="1" t="s">
        <v>217</v>
      </c>
      <c r="G2304" s="1" t="s">
        <v>218</v>
      </c>
      <c r="H2304" s="1" t="s">
        <v>72</v>
      </c>
      <c r="I2304">
        <v>21450</v>
      </c>
      <c r="J2304" s="3">
        <v>46.65</v>
      </c>
      <c r="K2304" s="3">
        <v>1000642.5</v>
      </c>
    </row>
    <row r="2305" spans="1:11" x14ac:dyDescent="0.2">
      <c r="A2305" s="1" t="s">
        <v>3415</v>
      </c>
      <c r="B2305" s="2">
        <v>45739</v>
      </c>
      <c r="C2305" s="1" t="s">
        <v>1178</v>
      </c>
      <c r="D2305" s="1" t="s">
        <v>1179</v>
      </c>
      <c r="E2305" s="1" t="s">
        <v>34</v>
      </c>
      <c r="F2305" s="1" t="s">
        <v>552</v>
      </c>
      <c r="G2305" s="1" t="s">
        <v>553</v>
      </c>
      <c r="H2305" s="1" t="s">
        <v>37</v>
      </c>
      <c r="I2305">
        <v>44772</v>
      </c>
      <c r="J2305" s="3">
        <v>4.3</v>
      </c>
      <c r="K2305" s="3">
        <v>192519.6</v>
      </c>
    </row>
    <row r="2306" spans="1:11" x14ac:dyDescent="0.2">
      <c r="A2306" s="1" t="s">
        <v>3416</v>
      </c>
      <c r="B2306" s="2">
        <v>45730</v>
      </c>
      <c r="C2306" s="1" t="s">
        <v>1810</v>
      </c>
      <c r="D2306" s="1" t="s">
        <v>1811</v>
      </c>
      <c r="E2306" s="1" t="s">
        <v>21</v>
      </c>
      <c r="F2306" s="1" t="s">
        <v>324</v>
      </c>
      <c r="G2306" s="1" t="s">
        <v>325</v>
      </c>
      <c r="H2306" s="1" t="s">
        <v>24</v>
      </c>
      <c r="I2306">
        <v>65283</v>
      </c>
      <c r="J2306" s="3">
        <v>16.97</v>
      </c>
      <c r="K2306" s="3">
        <v>1107852.51</v>
      </c>
    </row>
    <row r="2307" spans="1:11" x14ac:dyDescent="0.2">
      <c r="A2307" s="1" t="s">
        <v>3417</v>
      </c>
      <c r="B2307" s="2">
        <v>45338</v>
      </c>
      <c r="C2307" s="1" t="s">
        <v>442</v>
      </c>
      <c r="D2307" s="1" t="s">
        <v>443</v>
      </c>
      <c r="E2307" s="1" t="s">
        <v>34</v>
      </c>
      <c r="F2307" s="1" t="s">
        <v>195</v>
      </c>
      <c r="G2307" s="1" t="s">
        <v>196</v>
      </c>
      <c r="H2307" s="1" t="s">
        <v>48</v>
      </c>
      <c r="I2307">
        <v>13791</v>
      </c>
      <c r="J2307" s="3">
        <v>48.49</v>
      </c>
      <c r="K2307" s="3">
        <v>668725.59</v>
      </c>
    </row>
    <row r="2308" spans="1:11" x14ac:dyDescent="0.2">
      <c r="A2308" s="1" t="s">
        <v>3418</v>
      </c>
      <c r="B2308" s="2">
        <v>45731</v>
      </c>
      <c r="C2308" s="1" t="s">
        <v>201</v>
      </c>
      <c r="D2308" s="1" t="s">
        <v>202</v>
      </c>
      <c r="E2308" s="1" t="s">
        <v>14</v>
      </c>
      <c r="F2308" s="1" t="s">
        <v>103</v>
      </c>
      <c r="G2308" s="1" t="s">
        <v>104</v>
      </c>
      <c r="H2308" s="1" t="s">
        <v>37</v>
      </c>
      <c r="I2308">
        <v>13442</v>
      </c>
      <c r="J2308" s="3">
        <v>3.54</v>
      </c>
      <c r="K2308" s="3">
        <v>47584.68</v>
      </c>
    </row>
    <row r="2309" spans="1:11" x14ac:dyDescent="0.2">
      <c r="A2309" s="1" t="s">
        <v>3419</v>
      </c>
      <c r="B2309" s="2">
        <v>45753</v>
      </c>
      <c r="C2309" s="1" t="s">
        <v>2319</v>
      </c>
      <c r="D2309" s="1" t="s">
        <v>2320</v>
      </c>
      <c r="E2309" s="1" t="s">
        <v>21</v>
      </c>
      <c r="F2309" s="1" t="s">
        <v>152</v>
      </c>
      <c r="G2309" s="1" t="s">
        <v>153</v>
      </c>
      <c r="H2309" s="1" t="s">
        <v>17</v>
      </c>
      <c r="I2309">
        <v>58683</v>
      </c>
      <c r="J2309" s="3">
        <v>23.41</v>
      </c>
      <c r="K2309" s="3">
        <v>1373769.03</v>
      </c>
    </row>
    <row r="2310" spans="1:11" x14ac:dyDescent="0.2">
      <c r="A2310" s="1" t="s">
        <v>3420</v>
      </c>
      <c r="B2310" s="2">
        <v>45687</v>
      </c>
      <c r="C2310" s="1" t="s">
        <v>672</v>
      </c>
      <c r="D2310" s="1" t="s">
        <v>673</v>
      </c>
      <c r="E2310" s="1" t="s">
        <v>21</v>
      </c>
      <c r="F2310" s="1" t="s">
        <v>761</v>
      </c>
      <c r="G2310" s="1" t="s">
        <v>762</v>
      </c>
      <c r="H2310" s="1" t="s">
        <v>48</v>
      </c>
      <c r="I2310">
        <v>81372</v>
      </c>
      <c r="J2310" s="3">
        <v>11.35</v>
      </c>
      <c r="K2310" s="3">
        <v>923572.2</v>
      </c>
    </row>
    <row r="2311" spans="1:11" x14ac:dyDescent="0.2">
      <c r="A2311" s="1" t="s">
        <v>3421</v>
      </c>
      <c r="B2311" s="2">
        <v>45450</v>
      </c>
      <c r="C2311" s="1" t="s">
        <v>1261</v>
      </c>
      <c r="D2311" s="1" t="s">
        <v>1262</v>
      </c>
      <c r="E2311" s="1" t="s">
        <v>28</v>
      </c>
      <c r="F2311" s="1" t="s">
        <v>540</v>
      </c>
      <c r="G2311" s="1" t="s">
        <v>541</v>
      </c>
      <c r="H2311" s="1" t="s">
        <v>37</v>
      </c>
      <c r="I2311">
        <v>55322</v>
      </c>
      <c r="J2311" s="3">
        <v>8.02</v>
      </c>
      <c r="K2311" s="3">
        <v>443682.44</v>
      </c>
    </row>
    <row r="2312" spans="1:11" x14ac:dyDescent="0.2">
      <c r="A2312" s="1" t="s">
        <v>3422</v>
      </c>
      <c r="B2312" s="2">
        <v>45414</v>
      </c>
      <c r="C2312" s="1" t="s">
        <v>1953</v>
      </c>
      <c r="D2312" s="1" t="s">
        <v>1954</v>
      </c>
      <c r="E2312" s="1" t="s">
        <v>34</v>
      </c>
      <c r="F2312" s="1" t="s">
        <v>22</v>
      </c>
      <c r="G2312" s="1" t="s">
        <v>23</v>
      </c>
      <c r="H2312" s="1" t="s">
        <v>24</v>
      </c>
      <c r="I2312">
        <v>19280</v>
      </c>
      <c r="J2312" s="3">
        <v>35.68</v>
      </c>
      <c r="K2312" s="3">
        <v>687910.40000000002</v>
      </c>
    </row>
    <row r="2313" spans="1:11" x14ac:dyDescent="0.2">
      <c r="A2313" s="1" t="s">
        <v>3423</v>
      </c>
      <c r="B2313" s="2">
        <v>45476</v>
      </c>
      <c r="C2313" s="1" t="s">
        <v>424</v>
      </c>
      <c r="D2313" s="1" t="s">
        <v>425</v>
      </c>
      <c r="E2313" s="1" t="s">
        <v>28</v>
      </c>
      <c r="F2313" s="1" t="s">
        <v>76</v>
      </c>
      <c r="G2313" s="1" t="s">
        <v>77</v>
      </c>
      <c r="H2313" s="1" t="s">
        <v>48</v>
      </c>
      <c r="I2313">
        <v>17989</v>
      </c>
      <c r="J2313" s="3">
        <v>45.15</v>
      </c>
      <c r="K2313" s="3">
        <v>812203.35</v>
      </c>
    </row>
    <row r="2314" spans="1:11" x14ac:dyDescent="0.2">
      <c r="A2314" s="1" t="s">
        <v>3424</v>
      </c>
      <c r="B2314" s="2">
        <v>45365</v>
      </c>
      <c r="C2314" s="1" t="s">
        <v>798</v>
      </c>
      <c r="D2314" s="1" t="s">
        <v>799</v>
      </c>
      <c r="E2314" s="1" t="s">
        <v>34</v>
      </c>
      <c r="F2314" s="1" t="s">
        <v>228</v>
      </c>
      <c r="G2314" s="1" t="s">
        <v>229</v>
      </c>
      <c r="H2314" s="1" t="s">
        <v>48</v>
      </c>
      <c r="I2314">
        <v>95463</v>
      </c>
      <c r="J2314" s="3">
        <v>8.6999999999999993</v>
      </c>
      <c r="K2314" s="3">
        <v>830528.1</v>
      </c>
    </row>
    <row r="2315" spans="1:11" x14ac:dyDescent="0.2">
      <c r="A2315" s="1" t="s">
        <v>3425</v>
      </c>
      <c r="B2315" s="2">
        <v>45934</v>
      </c>
      <c r="C2315" s="1" t="s">
        <v>1402</v>
      </c>
      <c r="D2315" s="1" t="s">
        <v>1403</v>
      </c>
      <c r="E2315" s="1" t="s">
        <v>34</v>
      </c>
      <c r="F2315" s="1" t="s">
        <v>324</v>
      </c>
      <c r="G2315" s="1" t="s">
        <v>325</v>
      </c>
      <c r="H2315" s="1" t="s">
        <v>24</v>
      </c>
      <c r="I2315">
        <v>29144</v>
      </c>
      <c r="J2315" s="3">
        <v>15.77</v>
      </c>
      <c r="K2315" s="3">
        <v>459600.88</v>
      </c>
    </row>
    <row r="2316" spans="1:11" x14ac:dyDescent="0.2">
      <c r="A2316" s="1" t="s">
        <v>3426</v>
      </c>
      <c r="B2316" s="2">
        <v>45681</v>
      </c>
      <c r="C2316" s="1" t="s">
        <v>923</v>
      </c>
      <c r="D2316" s="1" t="s">
        <v>924</v>
      </c>
      <c r="E2316" s="1" t="s">
        <v>37</v>
      </c>
      <c r="F2316" s="1" t="s">
        <v>217</v>
      </c>
      <c r="G2316" s="1" t="s">
        <v>218</v>
      </c>
      <c r="H2316" s="1" t="s">
        <v>72</v>
      </c>
      <c r="I2316">
        <v>29916</v>
      </c>
      <c r="J2316" s="3">
        <v>43.09</v>
      </c>
      <c r="K2316" s="3">
        <v>1289080.44</v>
      </c>
    </row>
    <row r="2317" spans="1:11" x14ac:dyDescent="0.2">
      <c r="A2317" s="1" t="s">
        <v>3427</v>
      </c>
      <c r="B2317" s="2">
        <v>45922</v>
      </c>
      <c r="C2317" s="1" t="s">
        <v>119</v>
      </c>
      <c r="D2317" s="1" t="s">
        <v>120</v>
      </c>
      <c r="E2317" s="1" t="s">
        <v>28</v>
      </c>
      <c r="F2317" s="1" t="s">
        <v>458</v>
      </c>
      <c r="G2317" s="1" t="s">
        <v>459</v>
      </c>
      <c r="H2317" s="1" t="s">
        <v>72</v>
      </c>
      <c r="I2317">
        <v>2846</v>
      </c>
      <c r="J2317" s="3">
        <v>8.1300000000000008</v>
      </c>
      <c r="K2317" s="3">
        <v>23137.98</v>
      </c>
    </row>
    <row r="2318" spans="1:11" x14ac:dyDescent="0.2">
      <c r="A2318" s="1" t="s">
        <v>3428</v>
      </c>
      <c r="B2318" s="2">
        <v>45645</v>
      </c>
      <c r="C2318" s="1" t="s">
        <v>1964</v>
      </c>
      <c r="D2318" s="1" t="s">
        <v>1965</v>
      </c>
      <c r="E2318" s="1" t="s">
        <v>21</v>
      </c>
      <c r="F2318" s="1" t="s">
        <v>237</v>
      </c>
      <c r="G2318" s="1" t="s">
        <v>238</v>
      </c>
      <c r="H2318" s="1" t="s">
        <v>17</v>
      </c>
      <c r="I2318">
        <v>49185</v>
      </c>
      <c r="J2318" s="3">
        <v>9.01</v>
      </c>
      <c r="K2318" s="3">
        <v>443156.85</v>
      </c>
    </row>
    <row r="2319" spans="1:11" x14ac:dyDescent="0.2">
      <c r="A2319" s="1" t="s">
        <v>3429</v>
      </c>
      <c r="B2319" s="2">
        <v>45429</v>
      </c>
      <c r="C2319" s="1" t="s">
        <v>1591</v>
      </c>
      <c r="D2319" s="1" t="s">
        <v>1592</v>
      </c>
      <c r="E2319" s="1" t="s">
        <v>34</v>
      </c>
      <c r="F2319" s="1" t="s">
        <v>208</v>
      </c>
      <c r="G2319" s="1" t="s">
        <v>209</v>
      </c>
      <c r="H2319" s="1" t="s">
        <v>17</v>
      </c>
      <c r="I2319">
        <v>56412</v>
      </c>
      <c r="J2319" s="3">
        <v>20.72</v>
      </c>
      <c r="K2319" s="3">
        <v>1168856.6399999999</v>
      </c>
    </row>
    <row r="2320" spans="1:11" x14ac:dyDescent="0.2">
      <c r="A2320" s="1" t="s">
        <v>3430</v>
      </c>
      <c r="B2320" s="2">
        <v>45836</v>
      </c>
      <c r="C2320" s="1" t="s">
        <v>431</v>
      </c>
      <c r="D2320" s="1" t="s">
        <v>432</v>
      </c>
      <c r="E2320" s="1" t="s">
        <v>14</v>
      </c>
      <c r="F2320" s="1" t="s">
        <v>228</v>
      </c>
      <c r="G2320" s="1" t="s">
        <v>229</v>
      </c>
      <c r="H2320" s="1" t="s">
        <v>48</v>
      </c>
      <c r="I2320">
        <v>94102</v>
      </c>
      <c r="J2320" s="3">
        <v>47.44</v>
      </c>
      <c r="K2320" s="3">
        <v>4464198.88</v>
      </c>
    </row>
    <row r="2321" spans="1:11" x14ac:dyDescent="0.2">
      <c r="A2321" s="1" t="s">
        <v>3431</v>
      </c>
      <c r="B2321" s="2">
        <v>45474</v>
      </c>
      <c r="C2321" s="1" t="s">
        <v>1909</v>
      </c>
      <c r="D2321" s="1" t="s">
        <v>1910</v>
      </c>
      <c r="E2321" s="1" t="s">
        <v>37</v>
      </c>
      <c r="F2321" s="1" t="s">
        <v>251</v>
      </c>
      <c r="G2321" s="1" t="s">
        <v>252</v>
      </c>
      <c r="H2321" s="1" t="s">
        <v>72</v>
      </c>
      <c r="I2321">
        <v>50127</v>
      </c>
      <c r="J2321" s="3">
        <v>47.61</v>
      </c>
      <c r="K2321" s="3">
        <v>2386546.4700000002</v>
      </c>
    </row>
    <row r="2322" spans="1:11" x14ac:dyDescent="0.2">
      <c r="A2322" s="1" t="s">
        <v>3432</v>
      </c>
      <c r="B2322" s="2">
        <v>45889</v>
      </c>
      <c r="C2322" s="1" t="s">
        <v>2571</v>
      </c>
      <c r="D2322" s="1" t="s">
        <v>2572</v>
      </c>
      <c r="E2322" s="1" t="s">
        <v>34</v>
      </c>
      <c r="F2322" s="1" t="s">
        <v>176</v>
      </c>
      <c r="G2322" s="1" t="s">
        <v>177</v>
      </c>
      <c r="H2322" s="1" t="s">
        <v>37</v>
      </c>
      <c r="I2322">
        <v>29309</v>
      </c>
      <c r="J2322" s="3">
        <v>7.15</v>
      </c>
      <c r="K2322" s="3">
        <v>209559.35</v>
      </c>
    </row>
    <row r="2323" spans="1:11" x14ac:dyDescent="0.2">
      <c r="A2323" s="1" t="s">
        <v>3433</v>
      </c>
      <c r="B2323" s="2">
        <v>45571</v>
      </c>
      <c r="C2323" s="1" t="s">
        <v>2207</v>
      </c>
      <c r="D2323" s="1" t="s">
        <v>2208</v>
      </c>
      <c r="E2323" s="1" t="s">
        <v>37</v>
      </c>
      <c r="F2323" s="1" t="s">
        <v>189</v>
      </c>
      <c r="G2323" s="1" t="s">
        <v>190</v>
      </c>
      <c r="H2323" s="1" t="s">
        <v>17</v>
      </c>
      <c r="I2323">
        <v>31302</v>
      </c>
      <c r="J2323" s="3">
        <v>41.52</v>
      </c>
      <c r="K2323" s="3">
        <v>1299659.04</v>
      </c>
    </row>
    <row r="2324" spans="1:11" x14ac:dyDescent="0.2">
      <c r="A2324" s="1" t="s">
        <v>3434</v>
      </c>
      <c r="B2324" s="2">
        <v>45645</v>
      </c>
      <c r="C2324" s="1" t="s">
        <v>1575</v>
      </c>
      <c r="D2324" s="1" t="s">
        <v>1576</v>
      </c>
      <c r="E2324" s="1" t="s">
        <v>14</v>
      </c>
      <c r="F2324" s="1" t="s">
        <v>237</v>
      </c>
      <c r="G2324" s="1" t="s">
        <v>238</v>
      </c>
      <c r="H2324" s="1" t="s">
        <v>17</v>
      </c>
      <c r="I2324">
        <v>43010</v>
      </c>
      <c r="J2324" s="3">
        <v>23.38</v>
      </c>
      <c r="K2324" s="3">
        <v>1005573.8</v>
      </c>
    </row>
    <row r="2325" spans="1:11" x14ac:dyDescent="0.2">
      <c r="A2325" s="1" t="s">
        <v>3435</v>
      </c>
      <c r="B2325" s="2">
        <v>45655</v>
      </c>
      <c r="C2325" s="1" t="s">
        <v>804</v>
      </c>
      <c r="D2325" s="1" t="s">
        <v>805</v>
      </c>
      <c r="E2325" s="1" t="s">
        <v>34</v>
      </c>
      <c r="F2325" s="1" t="s">
        <v>57</v>
      </c>
      <c r="G2325" s="1" t="s">
        <v>58</v>
      </c>
      <c r="H2325" s="1" t="s">
        <v>48</v>
      </c>
      <c r="I2325">
        <v>67655</v>
      </c>
      <c r="J2325" s="3">
        <v>46.15</v>
      </c>
      <c r="K2325" s="3">
        <v>3122278.25</v>
      </c>
    </row>
    <row r="2326" spans="1:11" x14ac:dyDescent="0.2">
      <c r="A2326" s="1" t="s">
        <v>3436</v>
      </c>
      <c r="B2326" s="2">
        <v>45741</v>
      </c>
      <c r="C2326" s="1" t="s">
        <v>260</v>
      </c>
      <c r="D2326" s="1" t="s">
        <v>261</v>
      </c>
      <c r="E2326" s="1" t="s">
        <v>34</v>
      </c>
      <c r="F2326" s="1" t="s">
        <v>176</v>
      </c>
      <c r="G2326" s="1" t="s">
        <v>177</v>
      </c>
      <c r="H2326" s="1" t="s">
        <v>37</v>
      </c>
      <c r="I2326">
        <v>19877</v>
      </c>
      <c r="J2326" s="3">
        <v>45.81</v>
      </c>
      <c r="K2326" s="3">
        <v>910565.37</v>
      </c>
    </row>
    <row r="2327" spans="1:11" x14ac:dyDescent="0.2">
      <c r="A2327" s="1" t="s">
        <v>3437</v>
      </c>
      <c r="B2327" s="2">
        <v>45441</v>
      </c>
      <c r="C2327" s="1" t="s">
        <v>2050</v>
      </c>
      <c r="D2327" s="1" t="s">
        <v>2051</v>
      </c>
      <c r="E2327" s="1" t="s">
        <v>14</v>
      </c>
      <c r="F2327" s="1" t="s">
        <v>184</v>
      </c>
      <c r="G2327" s="1" t="s">
        <v>185</v>
      </c>
      <c r="H2327" s="1" t="s">
        <v>17</v>
      </c>
      <c r="I2327">
        <v>11528</v>
      </c>
      <c r="J2327" s="3">
        <v>18.239999999999998</v>
      </c>
      <c r="K2327" s="3">
        <v>210270.72</v>
      </c>
    </row>
    <row r="2328" spans="1:11" x14ac:dyDescent="0.2">
      <c r="A2328" s="1" t="s">
        <v>3438</v>
      </c>
      <c r="B2328" s="2">
        <v>45299</v>
      </c>
      <c r="C2328" s="1" t="s">
        <v>835</v>
      </c>
      <c r="D2328" s="1" t="s">
        <v>836</v>
      </c>
      <c r="E2328" s="1" t="s">
        <v>21</v>
      </c>
      <c r="F2328" s="1" t="s">
        <v>436</v>
      </c>
      <c r="G2328" s="1" t="s">
        <v>437</v>
      </c>
      <c r="H2328" s="1" t="s">
        <v>24</v>
      </c>
      <c r="I2328">
        <v>13169</v>
      </c>
      <c r="J2328" s="3">
        <v>3.77</v>
      </c>
      <c r="K2328" s="3">
        <v>49647.13</v>
      </c>
    </row>
    <row r="2329" spans="1:11" x14ac:dyDescent="0.2">
      <c r="A2329" s="1" t="s">
        <v>3439</v>
      </c>
      <c r="B2329" s="2">
        <v>45806</v>
      </c>
      <c r="C2329" s="1" t="s">
        <v>134</v>
      </c>
      <c r="D2329" s="1" t="s">
        <v>135</v>
      </c>
      <c r="E2329" s="1" t="s">
        <v>14</v>
      </c>
      <c r="F2329" s="1" t="s">
        <v>108</v>
      </c>
      <c r="G2329" s="1" t="s">
        <v>109</v>
      </c>
      <c r="H2329" s="1" t="s">
        <v>37</v>
      </c>
      <c r="I2329">
        <v>84014</v>
      </c>
      <c r="J2329" s="3">
        <v>32.229999999999997</v>
      </c>
      <c r="K2329" s="3">
        <v>2707771.22</v>
      </c>
    </row>
    <row r="2330" spans="1:11" x14ac:dyDescent="0.2">
      <c r="A2330" s="1" t="s">
        <v>3440</v>
      </c>
      <c r="B2330" s="2">
        <v>45794</v>
      </c>
      <c r="C2330" s="1" t="s">
        <v>1747</v>
      </c>
      <c r="D2330" s="1" t="s">
        <v>1748</v>
      </c>
      <c r="E2330" s="1" t="s">
        <v>37</v>
      </c>
      <c r="F2330" s="1" t="s">
        <v>157</v>
      </c>
      <c r="G2330" s="1" t="s">
        <v>158</v>
      </c>
      <c r="H2330" s="1" t="s">
        <v>48</v>
      </c>
      <c r="I2330">
        <v>25195</v>
      </c>
      <c r="J2330" s="3">
        <v>22.91</v>
      </c>
      <c r="K2330" s="3">
        <v>577217.44999999995</v>
      </c>
    </row>
    <row r="2331" spans="1:11" x14ac:dyDescent="0.2">
      <c r="A2331" s="1" t="s">
        <v>3441</v>
      </c>
      <c r="B2331" s="2">
        <v>45470</v>
      </c>
      <c r="C2331" s="1" t="s">
        <v>160</v>
      </c>
      <c r="D2331" s="1" t="s">
        <v>161</v>
      </c>
      <c r="E2331" s="1" t="s">
        <v>21</v>
      </c>
      <c r="F2331" s="1" t="s">
        <v>761</v>
      </c>
      <c r="G2331" s="1" t="s">
        <v>762</v>
      </c>
      <c r="H2331" s="1" t="s">
        <v>48</v>
      </c>
      <c r="I2331">
        <v>21010</v>
      </c>
      <c r="J2331" s="3">
        <v>15.23</v>
      </c>
      <c r="K2331" s="3">
        <v>319982.3</v>
      </c>
    </row>
    <row r="2332" spans="1:11" x14ac:dyDescent="0.2">
      <c r="A2332" s="1" t="s">
        <v>3442</v>
      </c>
      <c r="B2332" s="2">
        <v>45800</v>
      </c>
      <c r="C2332" s="1" t="s">
        <v>871</v>
      </c>
      <c r="D2332" s="1" t="s">
        <v>872</v>
      </c>
      <c r="E2332" s="1" t="s">
        <v>14</v>
      </c>
      <c r="F2332" s="1" t="s">
        <v>394</v>
      </c>
      <c r="G2332" s="1" t="s">
        <v>395</v>
      </c>
      <c r="H2332" s="1" t="s">
        <v>48</v>
      </c>
      <c r="I2332">
        <v>12215</v>
      </c>
      <c r="J2332" s="3">
        <v>49.18</v>
      </c>
      <c r="K2332" s="3">
        <v>600733.69999999995</v>
      </c>
    </row>
    <row r="2333" spans="1:11" x14ac:dyDescent="0.2">
      <c r="A2333" s="1" t="s">
        <v>3443</v>
      </c>
      <c r="B2333" s="2">
        <v>45905</v>
      </c>
      <c r="C2333" s="1" t="s">
        <v>1230</v>
      </c>
      <c r="D2333" s="1" t="s">
        <v>1231</v>
      </c>
      <c r="E2333" s="1" t="s">
        <v>21</v>
      </c>
      <c r="F2333" s="1" t="s">
        <v>436</v>
      </c>
      <c r="G2333" s="1" t="s">
        <v>437</v>
      </c>
      <c r="H2333" s="1" t="s">
        <v>24</v>
      </c>
      <c r="I2333">
        <v>50714</v>
      </c>
      <c r="J2333" s="3">
        <v>24.26</v>
      </c>
      <c r="K2333" s="3">
        <v>1230321.6399999999</v>
      </c>
    </row>
    <row r="2334" spans="1:11" x14ac:dyDescent="0.2">
      <c r="A2334" s="1" t="s">
        <v>3444</v>
      </c>
      <c r="B2334" s="2">
        <v>45982</v>
      </c>
      <c r="C2334" s="1" t="s">
        <v>1885</v>
      </c>
      <c r="D2334" s="1" t="s">
        <v>1886</v>
      </c>
      <c r="E2334" s="1" t="s">
        <v>28</v>
      </c>
      <c r="F2334" s="1" t="s">
        <v>57</v>
      </c>
      <c r="G2334" s="1" t="s">
        <v>58</v>
      </c>
      <c r="H2334" s="1" t="s">
        <v>48</v>
      </c>
      <c r="I2334">
        <v>31114</v>
      </c>
      <c r="J2334" s="3">
        <v>6.21</v>
      </c>
      <c r="K2334" s="3">
        <v>193217.94</v>
      </c>
    </row>
    <row r="2335" spans="1:11" x14ac:dyDescent="0.2">
      <c r="A2335" s="1" t="s">
        <v>3445</v>
      </c>
      <c r="B2335" s="2">
        <v>45420</v>
      </c>
      <c r="C2335" s="1" t="s">
        <v>96</v>
      </c>
      <c r="D2335" s="1" t="s">
        <v>97</v>
      </c>
      <c r="E2335" s="1" t="s">
        <v>21</v>
      </c>
      <c r="F2335" s="1" t="s">
        <v>436</v>
      </c>
      <c r="G2335" s="1" t="s">
        <v>437</v>
      </c>
      <c r="H2335" s="1" t="s">
        <v>24</v>
      </c>
      <c r="I2335">
        <v>76208</v>
      </c>
      <c r="J2335" s="3">
        <v>17.13</v>
      </c>
      <c r="K2335" s="3">
        <v>1305443.04</v>
      </c>
    </row>
    <row r="2336" spans="1:11" x14ac:dyDescent="0.2">
      <c r="A2336" s="1" t="s">
        <v>3446</v>
      </c>
      <c r="B2336" s="2">
        <v>45363</v>
      </c>
      <c r="C2336" s="1" t="s">
        <v>926</v>
      </c>
      <c r="D2336" s="1" t="s">
        <v>927</v>
      </c>
      <c r="E2336" s="1" t="s">
        <v>28</v>
      </c>
      <c r="F2336" s="1" t="s">
        <v>412</v>
      </c>
      <c r="G2336" s="1" t="s">
        <v>413</v>
      </c>
      <c r="H2336" s="1" t="s">
        <v>72</v>
      </c>
      <c r="I2336">
        <v>36684</v>
      </c>
      <c r="J2336" s="3">
        <v>17.16</v>
      </c>
      <c r="K2336" s="3">
        <v>629497.43999999994</v>
      </c>
    </row>
    <row r="2337" spans="1:11" x14ac:dyDescent="0.2">
      <c r="A2337" s="1" t="s">
        <v>3447</v>
      </c>
      <c r="B2337" s="2">
        <v>46010</v>
      </c>
      <c r="C2337" s="1" t="s">
        <v>559</v>
      </c>
      <c r="D2337" s="1" t="s">
        <v>560</v>
      </c>
      <c r="E2337" s="1" t="s">
        <v>14</v>
      </c>
      <c r="F2337" s="1" t="s">
        <v>350</v>
      </c>
      <c r="G2337" s="1" t="s">
        <v>351</v>
      </c>
      <c r="H2337" s="1" t="s">
        <v>37</v>
      </c>
      <c r="I2337">
        <v>20916</v>
      </c>
      <c r="J2337" s="3">
        <v>16.41</v>
      </c>
      <c r="K2337" s="3">
        <v>343231.56</v>
      </c>
    </row>
    <row r="2338" spans="1:11" x14ac:dyDescent="0.2">
      <c r="A2338" s="1" t="s">
        <v>3448</v>
      </c>
      <c r="B2338" s="2">
        <v>45744</v>
      </c>
      <c r="C2338" s="1" t="s">
        <v>456</v>
      </c>
      <c r="D2338" s="1" t="s">
        <v>457</v>
      </c>
      <c r="E2338" s="1" t="s">
        <v>37</v>
      </c>
      <c r="F2338" s="1" t="s">
        <v>761</v>
      </c>
      <c r="G2338" s="1" t="s">
        <v>762</v>
      </c>
      <c r="H2338" s="1" t="s">
        <v>48</v>
      </c>
      <c r="I2338">
        <v>51119</v>
      </c>
      <c r="J2338" s="3">
        <v>15.14</v>
      </c>
      <c r="K2338" s="3">
        <v>773941.66</v>
      </c>
    </row>
    <row r="2339" spans="1:11" x14ac:dyDescent="0.2">
      <c r="A2339" s="1" t="s">
        <v>3449</v>
      </c>
      <c r="B2339" s="2">
        <v>45555</v>
      </c>
      <c r="C2339" s="1" t="s">
        <v>1454</v>
      </c>
      <c r="D2339" s="1" t="s">
        <v>1455</v>
      </c>
      <c r="E2339" s="1" t="s">
        <v>37</v>
      </c>
      <c r="F2339" s="1" t="s">
        <v>330</v>
      </c>
      <c r="G2339" s="1" t="s">
        <v>331</v>
      </c>
      <c r="H2339" s="1" t="s">
        <v>72</v>
      </c>
      <c r="I2339">
        <v>39442</v>
      </c>
      <c r="J2339" s="3">
        <v>13.63</v>
      </c>
      <c r="K2339" s="3">
        <v>537594.46</v>
      </c>
    </row>
    <row r="2340" spans="1:11" x14ac:dyDescent="0.2">
      <c r="A2340" s="1" t="s">
        <v>3450</v>
      </c>
      <c r="B2340" s="2">
        <v>45866</v>
      </c>
      <c r="C2340" s="1" t="s">
        <v>44</v>
      </c>
      <c r="D2340" s="1" t="s">
        <v>45</v>
      </c>
      <c r="E2340" s="1" t="s">
        <v>34</v>
      </c>
      <c r="F2340" s="1" t="s">
        <v>339</v>
      </c>
      <c r="G2340" s="1" t="s">
        <v>340</v>
      </c>
      <c r="H2340" s="1" t="s">
        <v>24</v>
      </c>
      <c r="I2340">
        <v>73558</v>
      </c>
      <c r="J2340" s="3">
        <v>17.57</v>
      </c>
      <c r="K2340" s="3">
        <v>1292414.06</v>
      </c>
    </row>
    <row r="2341" spans="1:11" x14ac:dyDescent="0.2">
      <c r="A2341" s="1" t="s">
        <v>3451</v>
      </c>
      <c r="B2341" s="2">
        <v>45695</v>
      </c>
      <c r="C2341" s="1" t="s">
        <v>593</v>
      </c>
      <c r="D2341" s="1" t="s">
        <v>594</v>
      </c>
      <c r="E2341" s="1" t="s">
        <v>37</v>
      </c>
      <c r="F2341" s="1" t="s">
        <v>98</v>
      </c>
      <c r="G2341" s="1" t="s">
        <v>99</v>
      </c>
      <c r="H2341" s="1" t="s">
        <v>72</v>
      </c>
      <c r="I2341">
        <v>88629</v>
      </c>
      <c r="J2341" s="3">
        <v>16.059999999999999</v>
      </c>
      <c r="K2341" s="3">
        <v>1423381.74</v>
      </c>
    </row>
    <row r="2342" spans="1:11" x14ac:dyDescent="0.2">
      <c r="A2342" s="1" t="s">
        <v>3452</v>
      </c>
      <c r="B2342" s="2">
        <v>45944</v>
      </c>
      <c r="C2342" s="1" t="s">
        <v>698</v>
      </c>
      <c r="D2342" s="1" t="s">
        <v>699</v>
      </c>
      <c r="E2342" s="1" t="s">
        <v>28</v>
      </c>
      <c r="F2342" s="1" t="s">
        <v>284</v>
      </c>
      <c r="G2342" s="1" t="s">
        <v>285</v>
      </c>
      <c r="H2342" s="1" t="s">
        <v>37</v>
      </c>
      <c r="I2342">
        <v>61046</v>
      </c>
      <c r="J2342" s="3">
        <v>5.59</v>
      </c>
      <c r="K2342" s="3">
        <v>341247.14</v>
      </c>
    </row>
    <row r="2343" spans="1:11" x14ac:dyDescent="0.2">
      <c r="A2343" s="1" t="s">
        <v>3453</v>
      </c>
      <c r="B2343" s="2">
        <v>45657</v>
      </c>
      <c r="C2343" s="1" t="s">
        <v>820</v>
      </c>
      <c r="D2343" s="1" t="s">
        <v>821</v>
      </c>
      <c r="E2343" s="1" t="s">
        <v>28</v>
      </c>
      <c r="F2343" s="1" t="s">
        <v>144</v>
      </c>
      <c r="G2343" s="1" t="s">
        <v>145</v>
      </c>
      <c r="H2343" s="1" t="s">
        <v>24</v>
      </c>
      <c r="I2343">
        <v>6373</v>
      </c>
      <c r="J2343" s="3">
        <v>25.79</v>
      </c>
      <c r="K2343" s="3">
        <v>164359.67000000001</v>
      </c>
    </row>
    <row r="2344" spans="1:11" x14ac:dyDescent="0.2">
      <c r="A2344" s="1" t="s">
        <v>3454</v>
      </c>
      <c r="B2344" s="2">
        <v>45688</v>
      </c>
      <c r="C2344" s="1" t="s">
        <v>1113</v>
      </c>
      <c r="D2344" s="1" t="s">
        <v>1114</v>
      </c>
      <c r="E2344" s="1" t="s">
        <v>14</v>
      </c>
      <c r="F2344" s="1" t="s">
        <v>57</v>
      </c>
      <c r="G2344" s="1" t="s">
        <v>58</v>
      </c>
      <c r="H2344" s="1" t="s">
        <v>48</v>
      </c>
      <c r="I2344">
        <v>25183</v>
      </c>
      <c r="J2344" s="3">
        <v>47.4</v>
      </c>
      <c r="K2344" s="3">
        <v>1193674.2</v>
      </c>
    </row>
    <row r="2345" spans="1:11" x14ac:dyDescent="0.2">
      <c r="A2345" s="1" t="s">
        <v>3455</v>
      </c>
      <c r="B2345" s="2">
        <v>45357</v>
      </c>
      <c r="C2345" s="1" t="s">
        <v>639</v>
      </c>
      <c r="D2345" s="1" t="s">
        <v>640</v>
      </c>
      <c r="E2345" s="1" t="s">
        <v>28</v>
      </c>
      <c r="F2345" s="1" t="s">
        <v>165</v>
      </c>
      <c r="G2345" s="1" t="s">
        <v>166</v>
      </c>
      <c r="H2345" s="1" t="s">
        <v>24</v>
      </c>
      <c r="I2345">
        <v>50181</v>
      </c>
      <c r="J2345" s="3">
        <v>14.68</v>
      </c>
      <c r="K2345" s="3">
        <v>736657.08</v>
      </c>
    </row>
    <row r="2346" spans="1:11" x14ac:dyDescent="0.2">
      <c r="A2346" s="1" t="s">
        <v>3456</v>
      </c>
      <c r="B2346" s="2">
        <v>45420</v>
      </c>
      <c r="C2346" s="1" t="s">
        <v>929</v>
      </c>
      <c r="D2346" s="1" t="s">
        <v>930</v>
      </c>
      <c r="E2346" s="1" t="s">
        <v>28</v>
      </c>
      <c r="F2346" s="1" t="s">
        <v>208</v>
      </c>
      <c r="G2346" s="1" t="s">
        <v>209</v>
      </c>
      <c r="H2346" s="1" t="s">
        <v>17</v>
      </c>
      <c r="I2346">
        <v>76131</v>
      </c>
      <c r="J2346" s="3">
        <v>36.229999999999997</v>
      </c>
      <c r="K2346" s="3">
        <v>2758226.13</v>
      </c>
    </row>
    <row r="2347" spans="1:11" x14ac:dyDescent="0.2">
      <c r="A2347" s="1" t="s">
        <v>3457</v>
      </c>
      <c r="B2347" s="2">
        <v>45847</v>
      </c>
      <c r="C2347" s="1" t="s">
        <v>555</v>
      </c>
      <c r="D2347" s="1" t="s">
        <v>556</v>
      </c>
      <c r="E2347" s="1" t="s">
        <v>21</v>
      </c>
      <c r="F2347" s="1" t="s">
        <v>540</v>
      </c>
      <c r="G2347" s="1" t="s">
        <v>541</v>
      </c>
      <c r="H2347" s="1" t="s">
        <v>37</v>
      </c>
      <c r="I2347">
        <v>93339</v>
      </c>
      <c r="J2347" s="3">
        <v>40.93</v>
      </c>
      <c r="K2347" s="3">
        <v>3820365.27</v>
      </c>
    </row>
    <row r="2348" spans="1:11" x14ac:dyDescent="0.2">
      <c r="A2348" s="1" t="s">
        <v>3458</v>
      </c>
      <c r="B2348" s="2">
        <v>45648</v>
      </c>
      <c r="C2348" s="1" t="s">
        <v>942</v>
      </c>
      <c r="D2348" s="1" t="s">
        <v>943</v>
      </c>
      <c r="E2348" s="1" t="s">
        <v>28</v>
      </c>
      <c r="F2348" s="1" t="s">
        <v>98</v>
      </c>
      <c r="G2348" s="1" t="s">
        <v>99</v>
      </c>
      <c r="H2348" s="1" t="s">
        <v>72</v>
      </c>
      <c r="I2348">
        <v>76584</v>
      </c>
      <c r="J2348" s="3">
        <v>43.21</v>
      </c>
      <c r="K2348" s="3">
        <v>3309194.64</v>
      </c>
    </row>
    <row r="2349" spans="1:11" x14ac:dyDescent="0.2">
      <c r="A2349" s="1" t="s">
        <v>3459</v>
      </c>
      <c r="B2349" s="2">
        <v>45447</v>
      </c>
      <c r="C2349" s="1" t="s">
        <v>580</v>
      </c>
      <c r="D2349" s="1" t="s">
        <v>581</v>
      </c>
      <c r="E2349" s="1" t="s">
        <v>21</v>
      </c>
      <c r="F2349" s="1" t="s">
        <v>184</v>
      </c>
      <c r="G2349" s="1" t="s">
        <v>185</v>
      </c>
      <c r="H2349" s="1" t="s">
        <v>17</v>
      </c>
      <c r="I2349">
        <v>23419</v>
      </c>
      <c r="J2349" s="3">
        <v>45.99</v>
      </c>
      <c r="K2349" s="3">
        <v>1077039.81</v>
      </c>
    </row>
    <row r="2350" spans="1:11" x14ac:dyDescent="0.2">
      <c r="A2350" s="1" t="s">
        <v>3460</v>
      </c>
      <c r="B2350" s="2">
        <v>45554</v>
      </c>
      <c r="C2350" s="1" t="s">
        <v>63</v>
      </c>
      <c r="D2350" s="1" t="s">
        <v>64</v>
      </c>
      <c r="E2350" s="1" t="s">
        <v>37</v>
      </c>
      <c r="F2350" s="1" t="s">
        <v>474</v>
      </c>
      <c r="G2350" s="1" t="s">
        <v>475</v>
      </c>
      <c r="H2350" s="1" t="s">
        <v>48</v>
      </c>
      <c r="I2350">
        <v>37559</v>
      </c>
      <c r="J2350" s="3">
        <v>13.11</v>
      </c>
      <c r="K2350" s="3">
        <v>492398.49</v>
      </c>
    </row>
    <row r="2351" spans="1:11" x14ac:dyDescent="0.2">
      <c r="A2351" s="1" t="s">
        <v>3461</v>
      </c>
      <c r="B2351" s="2">
        <v>45989</v>
      </c>
      <c r="C2351" s="1" t="s">
        <v>1058</v>
      </c>
      <c r="D2351" s="1" t="s">
        <v>1059</v>
      </c>
      <c r="E2351" s="1" t="s">
        <v>14</v>
      </c>
      <c r="F2351" s="1" t="s">
        <v>228</v>
      </c>
      <c r="G2351" s="1" t="s">
        <v>229</v>
      </c>
      <c r="H2351" s="1" t="s">
        <v>48</v>
      </c>
      <c r="I2351">
        <v>71893</v>
      </c>
      <c r="J2351" s="3">
        <v>10.44</v>
      </c>
      <c r="K2351" s="3">
        <v>750562.92</v>
      </c>
    </row>
    <row r="2352" spans="1:11" x14ac:dyDescent="0.2">
      <c r="A2352" s="1" t="s">
        <v>3462</v>
      </c>
      <c r="B2352" s="2">
        <v>45529</v>
      </c>
      <c r="C2352" s="1" t="s">
        <v>1268</v>
      </c>
      <c r="D2352" s="1" t="s">
        <v>1269</v>
      </c>
      <c r="E2352" s="1" t="s">
        <v>34</v>
      </c>
      <c r="F2352" s="1" t="s">
        <v>761</v>
      </c>
      <c r="G2352" s="1" t="s">
        <v>762</v>
      </c>
      <c r="H2352" s="1" t="s">
        <v>48</v>
      </c>
      <c r="I2352">
        <v>60234</v>
      </c>
      <c r="J2352" s="3">
        <v>27.19</v>
      </c>
      <c r="K2352" s="3">
        <v>1637762.46</v>
      </c>
    </row>
    <row r="2353" spans="1:11" x14ac:dyDescent="0.2">
      <c r="A2353" s="1" t="s">
        <v>3463</v>
      </c>
      <c r="B2353" s="2">
        <v>45541</v>
      </c>
      <c r="C2353" s="1" t="s">
        <v>727</v>
      </c>
      <c r="D2353" s="1" t="s">
        <v>728</v>
      </c>
      <c r="E2353" s="1" t="s">
        <v>37</v>
      </c>
      <c r="F2353" s="1" t="s">
        <v>113</v>
      </c>
      <c r="G2353" s="1" t="s">
        <v>114</v>
      </c>
      <c r="H2353" s="1" t="s">
        <v>37</v>
      </c>
      <c r="I2353">
        <v>47005</v>
      </c>
      <c r="J2353" s="3">
        <v>39.42</v>
      </c>
      <c r="K2353" s="3">
        <v>1852937.1</v>
      </c>
    </row>
    <row r="2354" spans="1:11" x14ac:dyDescent="0.2">
      <c r="A2354" s="1" t="s">
        <v>3464</v>
      </c>
      <c r="B2354" s="2">
        <v>45304</v>
      </c>
      <c r="C2354" s="1" t="s">
        <v>1412</v>
      </c>
      <c r="D2354" s="1" t="s">
        <v>1413</v>
      </c>
      <c r="E2354" s="1" t="s">
        <v>37</v>
      </c>
      <c r="F2354" s="1" t="s">
        <v>76</v>
      </c>
      <c r="G2354" s="1" t="s">
        <v>77</v>
      </c>
      <c r="H2354" s="1" t="s">
        <v>48</v>
      </c>
      <c r="I2354">
        <v>1770</v>
      </c>
      <c r="J2354" s="3">
        <v>32.39</v>
      </c>
      <c r="K2354" s="3">
        <v>57330.3</v>
      </c>
    </row>
    <row r="2355" spans="1:11" x14ac:dyDescent="0.2">
      <c r="A2355" s="1" t="s">
        <v>3465</v>
      </c>
      <c r="B2355" s="2">
        <v>45729</v>
      </c>
      <c r="C2355" s="1" t="s">
        <v>1698</v>
      </c>
      <c r="D2355" s="1" t="s">
        <v>1699</v>
      </c>
      <c r="E2355" s="1" t="s">
        <v>14</v>
      </c>
      <c r="F2355" s="1" t="s">
        <v>70</v>
      </c>
      <c r="G2355" s="1" t="s">
        <v>71</v>
      </c>
      <c r="H2355" s="1" t="s">
        <v>72</v>
      </c>
      <c r="I2355">
        <v>65051</v>
      </c>
      <c r="J2355" s="3">
        <v>42.76</v>
      </c>
      <c r="K2355" s="3">
        <v>2781580.76</v>
      </c>
    </row>
    <row r="2356" spans="1:11" x14ac:dyDescent="0.2">
      <c r="A2356" s="1" t="s">
        <v>3466</v>
      </c>
      <c r="B2356" s="2">
        <v>45637</v>
      </c>
      <c r="C2356" s="1" t="s">
        <v>39</v>
      </c>
      <c r="D2356" s="1" t="s">
        <v>40</v>
      </c>
      <c r="E2356" s="1" t="s">
        <v>21</v>
      </c>
      <c r="F2356" s="1" t="s">
        <v>189</v>
      </c>
      <c r="G2356" s="1" t="s">
        <v>190</v>
      </c>
      <c r="H2356" s="1" t="s">
        <v>17</v>
      </c>
      <c r="I2356">
        <v>75336</v>
      </c>
      <c r="J2356" s="3">
        <v>37.9</v>
      </c>
      <c r="K2356" s="3">
        <v>2855234.4</v>
      </c>
    </row>
    <row r="2357" spans="1:11" x14ac:dyDescent="0.2">
      <c r="A2357" s="1" t="s">
        <v>3467</v>
      </c>
      <c r="B2357" s="2">
        <v>45577</v>
      </c>
      <c r="C2357" s="1" t="s">
        <v>271</v>
      </c>
      <c r="D2357" s="1" t="s">
        <v>272</v>
      </c>
      <c r="E2357" s="1" t="s">
        <v>37</v>
      </c>
      <c r="F2357" s="1" t="s">
        <v>184</v>
      </c>
      <c r="G2357" s="1" t="s">
        <v>185</v>
      </c>
      <c r="H2357" s="1" t="s">
        <v>17</v>
      </c>
      <c r="I2357">
        <v>24954</v>
      </c>
      <c r="J2357" s="3">
        <v>41.28</v>
      </c>
      <c r="K2357" s="3">
        <v>1030101.12</v>
      </c>
    </row>
    <row r="2358" spans="1:11" x14ac:dyDescent="0.2">
      <c r="A2358" s="1" t="s">
        <v>3468</v>
      </c>
      <c r="B2358" s="2">
        <v>45630</v>
      </c>
      <c r="C2358" s="1" t="s">
        <v>1626</v>
      </c>
      <c r="D2358" s="1" t="s">
        <v>1627</v>
      </c>
      <c r="E2358" s="1" t="s">
        <v>34</v>
      </c>
      <c r="F2358" s="1" t="s">
        <v>552</v>
      </c>
      <c r="G2358" s="1" t="s">
        <v>553</v>
      </c>
      <c r="H2358" s="1" t="s">
        <v>37</v>
      </c>
      <c r="I2358">
        <v>50803</v>
      </c>
      <c r="J2358" s="3">
        <v>27.57</v>
      </c>
      <c r="K2358" s="3">
        <v>1400638.71</v>
      </c>
    </row>
    <row r="2359" spans="1:11" x14ac:dyDescent="0.2">
      <c r="A2359" s="1" t="s">
        <v>3469</v>
      </c>
      <c r="B2359" s="2">
        <v>45335</v>
      </c>
      <c r="C2359" s="1" t="s">
        <v>1191</v>
      </c>
      <c r="D2359" s="1" t="s">
        <v>1192</v>
      </c>
      <c r="E2359" s="1" t="s">
        <v>21</v>
      </c>
      <c r="F2359" s="1" t="s">
        <v>41</v>
      </c>
      <c r="G2359" s="1" t="s">
        <v>42</v>
      </c>
      <c r="H2359" s="1" t="s">
        <v>24</v>
      </c>
      <c r="I2359">
        <v>41085</v>
      </c>
      <c r="J2359" s="3">
        <v>44.97</v>
      </c>
      <c r="K2359" s="3">
        <v>1847592.45</v>
      </c>
    </row>
    <row r="2360" spans="1:11" x14ac:dyDescent="0.2">
      <c r="A2360" s="1" t="s">
        <v>3470</v>
      </c>
      <c r="B2360" s="2">
        <v>45526</v>
      </c>
      <c r="C2360" s="1" t="s">
        <v>602</v>
      </c>
      <c r="D2360" s="1" t="s">
        <v>603</v>
      </c>
      <c r="E2360" s="1" t="s">
        <v>28</v>
      </c>
      <c r="F2360" s="1" t="s">
        <v>195</v>
      </c>
      <c r="G2360" s="1" t="s">
        <v>196</v>
      </c>
      <c r="H2360" s="1" t="s">
        <v>48</v>
      </c>
      <c r="I2360">
        <v>97251</v>
      </c>
      <c r="J2360" s="3">
        <v>38.770000000000003</v>
      </c>
      <c r="K2360" s="3">
        <v>3770421.27</v>
      </c>
    </row>
    <row r="2361" spans="1:11" x14ac:dyDescent="0.2">
      <c r="A2361" s="1" t="s">
        <v>3471</v>
      </c>
      <c r="B2361" s="2">
        <v>45316</v>
      </c>
      <c r="C2361" s="1" t="s">
        <v>481</v>
      </c>
      <c r="D2361" s="1" t="s">
        <v>482</v>
      </c>
      <c r="E2361" s="1" t="s">
        <v>34</v>
      </c>
      <c r="F2361" s="1" t="s">
        <v>189</v>
      </c>
      <c r="G2361" s="1" t="s">
        <v>190</v>
      </c>
      <c r="H2361" s="1" t="s">
        <v>17</v>
      </c>
      <c r="I2361">
        <v>63221</v>
      </c>
      <c r="J2361" s="3">
        <v>45.07</v>
      </c>
      <c r="K2361" s="3">
        <v>2849370.47</v>
      </c>
    </row>
    <row r="2362" spans="1:11" x14ac:dyDescent="0.2">
      <c r="A2362" s="1" t="s">
        <v>3472</v>
      </c>
      <c r="B2362" s="2">
        <v>45766</v>
      </c>
      <c r="C2362" s="1" t="s">
        <v>1781</v>
      </c>
      <c r="D2362" s="1" t="s">
        <v>1782</v>
      </c>
      <c r="E2362" s="1" t="s">
        <v>37</v>
      </c>
      <c r="F2362" s="1" t="s">
        <v>52</v>
      </c>
      <c r="G2362" s="1" t="s">
        <v>53</v>
      </c>
      <c r="H2362" s="1" t="s">
        <v>17</v>
      </c>
      <c r="I2362">
        <v>90700</v>
      </c>
      <c r="J2362" s="3">
        <v>26.92</v>
      </c>
      <c r="K2362" s="3">
        <v>2441644</v>
      </c>
    </row>
    <row r="2363" spans="1:11" x14ac:dyDescent="0.2">
      <c r="A2363" s="1" t="s">
        <v>3473</v>
      </c>
      <c r="B2363" s="2">
        <v>45548</v>
      </c>
      <c r="C2363" s="1" t="s">
        <v>2418</v>
      </c>
      <c r="D2363" s="1" t="s">
        <v>2419</v>
      </c>
      <c r="E2363" s="1" t="s">
        <v>37</v>
      </c>
      <c r="F2363" s="1" t="s">
        <v>324</v>
      </c>
      <c r="G2363" s="1" t="s">
        <v>325</v>
      </c>
      <c r="H2363" s="1" t="s">
        <v>24</v>
      </c>
      <c r="I2363">
        <v>46966</v>
      </c>
      <c r="J2363" s="3">
        <v>23.5</v>
      </c>
      <c r="K2363" s="3">
        <v>1103701</v>
      </c>
    </row>
    <row r="2364" spans="1:11" x14ac:dyDescent="0.2">
      <c r="A2364" s="1" t="s">
        <v>3474</v>
      </c>
      <c r="B2364" s="2">
        <v>45490</v>
      </c>
      <c r="C2364" s="1" t="s">
        <v>716</v>
      </c>
      <c r="D2364" s="1" t="s">
        <v>717</v>
      </c>
      <c r="E2364" s="1" t="s">
        <v>34</v>
      </c>
      <c r="F2364" s="1" t="s">
        <v>35</v>
      </c>
      <c r="G2364" s="1" t="s">
        <v>36</v>
      </c>
      <c r="H2364" s="1" t="s">
        <v>37</v>
      </c>
      <c r="I2364">
        <v>69536</v>
      </c>
      <c r="J2364" s="3">
        <v>32.43</v>
      </c>
      <c r="K2364" s="3">
        <v>2255052.48</v>
      </c>
    </row>
    <row r="2365" spans="1:11" x14ac:dyDescent="0.2">
      <c r="A2365" s="1" t="s">
        <v>3475</v>
      </c>
      <c r="B2365" s="2">
        <v>45623</v>
      </c>
      <c r="C2365" s="1" t="s">
        <v>657</v>
      </c>
      <c r="D2365" s="1" t="s">
        <v>658</v>
      </c>
      <c r="E2365" s="1" t="s">
        <v>37</v>
      </c>
      <c r="F2365" s="1" t="s">
        <v>70</v>
      </c>
      <c r="G2365" s="1" t="s">
        <v>71</v>
      </c>
      <c r="H2365" s="1" t="s">
        <v>72</v>
      </c>
      <c r="I2365">
        <v>70514</v>
      </c>
      <c r="J2365" s="3">
        <v>44.04</v>
      </c>
      <c r="K2365" s="3">
        <v>3105436.56</v>
      </c>
    </row>
    <row r="2366" spans="1:11" x14ac:dyDescent="0.2">
      <c r="A2366" s="1" t="s">
        <v>3476</v>
      </c>
      <c r="B2366" s="2">
        <v>45772</v>
      </c>
      <c r="C2366" s="1" t="s">
        <v>1207</v>
      </c>
      <c r="D2366" s="1" t="s">
        <v>1208</v>
      </c>
      <c r="E2366" s="1" t="s">
        <v>37</v>
      </c>
      <c r="F2366" s="1" t="s">
        <v>394</v>
      </c>
      <c r="G2366" s="1" t="s">
        <v>395</v>
      </c>
      <c r="H2366" s="1" t="s">
        <v>48</v>
      </c>
      <c r="I2366">
        <v>4255</v>
      </c>
      <c r="J2366" s="3">
        <v>40.07</v>
      </c>
      <c r="K2366" s="3">
        <v>170497.85</v>
      </c>
    </row>
    <row r="2367" spans="1:11" x14ac:dyDescent="0.2">
      <c r="A2367" s="1" t="s">
        <v>3477</v>
      </c>
      <c r="B2367" s="2">
        <v>45650</v>
      </c>
      <c r="C2367" s="1" t="s">
        <v>147</v>
      </c>
      <c r="D2367" s="1" t="s">
        <v>148</v>
      </c>
      <c r="E2367" s="1" t="s">
        <v>37</v>
      </c>
      <c r="F2367" s="1" t="s">
        <v>103</v>
      </c>
      <c r="G2367" s="1" t="s">
        <v>104</v>
      </c>
      <c r="H2367" s="1" t="s">
        <v>37</v>
      </c>
      <c r="I2367">
        <v>97192</v>
      </c>
      <c r="J2367" s="3">
        <v>39.19</v>
      </c>
      <c r="K2367" s="3">
        <v>3808954.48</v>
      </c>
    </row>
    <row r="2368" spans="1:11" x14ac:dyDescent="0.2">
      <c r="A2368" s="1" t="s">
        <v>3478</v>
      </c>
      <c r="B2368" s="2">
        <v>45353</v>
      </c>
      <c r="C2368" s="1" t="s">
        <v>746</v>
      </c>
      <c r="D2368" s="1" t="s">
        <v>747</v>
      </c>
      <c r="E2368" s="1" t="s">
        <v>37</v>
      </c>
      <c r="F2368" s="1" t="s">
        <v>761</v>
      </c>
      <c r="G2368" s="1" t="s">
        <v>762</v>
      </c>
      <c r="H2368" s="1" t="s">
        <v>48</v>
      </c>
      <c r="I2368">
        <v>65264</v>
      </c>
      <c r="J2368" s="3">
        <v>31.94</v>
      </c>
      <c r="K2368" s="3">
        <v>2084532.16</v>
      </c>
    </row>
    <row r="2369" spans="1:11" x14ac:dyDescent="0.2">
      <c r="A2369" s="1" t="s">
        <v>3479</v>
      </c>
      <c r="B2369" s="2">
        <v>45711</v>
      </c>
      <c r="C2369" s="1" t="s">
        <v>333</v>
      </c>
      <c r="D2369" s="1" t="s">
        <v>334</v>
      </c>
      <c r="E2369" s="1" t="s">
        <v>21</v>
      </c>
      <c r="F2369" s="1" t="s">
        <v>113</v>
      </c>
      <c r="G2369" s="1" t="s">
        <v>114</v>
      </c>
      <c r="H2369" s="1" t="s">
        <v>37</v>
      </c>
      <c r="I2369">
        <v>80255</v>
      </c>
      <c r="J2369" s="3">
        <v>27.96</v>
      </c>
      <c r="K2369" s="3">
        <v>2243929.7999999998</v>
      </c>
    </row>
    <row r="2370" spans="1:11" x14ac:dyDescent="0.2">
      <c r="A2370" s="1" t="s">
        <v>3480</v>
      </c>
      <c r="B2370" s="2">
        <v>45482</v>
      </c>
      <c r="C2370" s="1" t="s">
        <v>1061</v>
      </c>
      <c r="D2370" s="1" t="s">
        <v>1062</v>
      </c>
      <c r="E2370" s="1" t="s">
        <v>14</v>
      </c>
      <c r="F2370" s="1" t="s">
        <v>251</v>
      </c>
      <c r="G2370" s="1" t="s">
        <v>252</v>
      </c>
      <c r="H2370" s="1" t="s">
        <v>72</v>
      </c>
      <c r="I2370">
        <v>14509</v>
      </c>
      <c r="J2370" s="3">
        <v>15.21</v>
      </c>
      <c r="K2370" s="3">
        <v>220681.89</v>
      </c>
    </row>
    <row r="2371" spans="1:11" x14ac:dyDescent="0.2">
      <c r="A2371" s="1" t="s">
        <v>3481</v>
      </c>
      <c r="B2371" s="2">
        <v>45438</v>
      </c>
      <c r="C2371" s="1" t="s">
        <v>1789</v>
      </c>
      <c r="D2371" s="1" t="s">
        <v>1790</v>
      </c>
      <c r="E2371" s="1" t="s">
        <v>21</v>
      </c>
      <c r="F2371" s="1" t="s">
        <v>251</v>
      </c>
      <c r="G2371" s="1" t="s">
        <v>252</v>
      </c>
      <c r="H2371" s="1" t="s">
        <v>72</v>
      </c>
      <c r="I2371">
        <v>98962</v>
      </c>
      <c r="J2371" s="3">
        <v>22.21</v>
      </c>
      <c r="K2371" s="3">
        <v>2197946.02</v>
      </c>
    </row>
    <row r="2372" spans="1:11" x14ac:dyDescent="0.2">
      <c r="A2372" s="1" t="s">
        <v>3482</v>
      </c>
      <c r="B2372" s="2">
        <v>45457</v>
      </c>
      <c r="C2372" s="1" t="s">
        <v>910</v>
      </c>
      <c r="D2372" s="1" t="s">
        <v>911</v>
      </c>
      <c r="E2372" s="1" t="s">
        <v>28</v>
      </c>
      <c r="F2372" s="1" t="s">
        <v>406</v>
      </c>
      <c r="G2372" s="1" t="s">
        <v>407</v>
      </c>
      <c r="H2372" s="1" t="s">
        <v>17</v>
      </c>
      <c r="I2372">
        <v>33442</v>
      </c>
      <c r="J2372" s="3">
        <v>34.22</v>
      </c>
      <c r="K2372" s="3">
        <v>1144385.24</v>
      </c>
    </row>
    <row r="2373" spans="1:11" x14ac:dyDescent="0.2">
      <c r="A2373" s="1" t="s">
        <v>3483</v>
      </c>
      <c r="B2373" s="2">
        <v>45718</v>
      </c>
      <c r="C2373" s="1" t="s">
        <v>2011</v>
      </c>
      <c r="D2373" s="1" t="s">
        <v>2012</v>
      </c>
      <c r="E2373" s="1" t="s">
        <v>37</v>
      </c>
      <c r="F2373" s="1" t="s">
        <v>324</v>
      </c>
      <c r="G2373" s="1" t="s">
        <v>325</v>
      </c>
      <c r="H2373" s="1" t="s">
        <v>24</v>
      </c>
      <c r="I2373">
        <v>71049</v>
      </c>
      <c r="J2373" s="3">
        <v>5.46</v>
      </c>
      <c r="K2373" s="3">
        <v>387927.54</v>
      </c>
    </row>
    <row r="2374" spans="1:11" x14ac:dyDescent="0.2">
      <c r="A2374" s="1" t="s">
        <v>3484</v>
      </c>
      <c r="B2374" s="2">
        <v>45825</v>
      </c>
      <c r="C2374" s="1" t="s">
        <v>2273</v>
      </c>
      <c r="D2374" s="1" t="s">
        <v>2274</v>
      </c>
      <c r="E2374" s="1" t="s">
        <v>28</v>
      </c>
      <c r="F2374" s="1" t="s">
        <v>394</v>
      </c>
      <c r="G2374" s="1" t="s">
        <v>395</v>
      </c>
      <c r="H2374" s="1" t="s">
        <v>48</v>
      </c>
      <c r="I2374">
        <v>23713</v>
      </c>
      <c r="J2374" s="3">
        <v>44.7</v>
      </c>
      <c r="K2374" s="3">
        <v>1059971.1000000001</v>
      </c>
    </row>
    <row r="2375" spans="1:11" x14ac:dyDescent="0.2">
      <c r="A2375" s="1" t="s">
        <v>3485</v>
      </c>
      <c r="B2375" s="2">
        <v>45787</v>
      </c>
      <c r="C2375" s="1" t="s">
        <v>1001</v>
      </c>
      <c r="D2375" s="1" t="s">
        <v>1002</v>
      </c>
      <c r="E2375" s="1" t="s">
        <v>37</v>
      </c>
      <c r="F2375" s="1" t="s">
        <v>284</v>
      </c>
      <c r="G2375" s="1" t="s">
        <v>285</v>
      </c>
      <c r="H2375" s="1" t="s">
        <v>37</v>
      </c>
      <c r="I2375">
        <v>83253</v>
      </c>
      <c r="J2375" s="3">
        <v>33.96</v>
      </c>
      <c r="K2375" s="3">
        <v>2827271.88</v>
      </c>
    </row>
    <row r="2376" spans="1:11" x14ac:dyDescent="0.2">
      <c r="A2376" s="1" t="s">
        <v>3486</v>
      </c>
      <c r="B2376" s="2">
        <v>45723</v>
      </c>
      <c r="C2376" s="1" t="s">
        <v>1454</v>
      </c>
      <c r="D2376" s="1" t="s">
        <v>1455</v>
      </c>
      <c r="E2376" s="1" t="s">
        <v>37</v>
      </c>
      <c r="F2376" s="1" t="s">
        <v>237</v>
      </c>
      <c r="G2376" s="1" t="s">
        <v>238</v>
      </c>
      <c r="H2376" s="1" t="s">
        <v>17</v>
      </c>
      <c r="I2376">
        <v>15733</v>
      </c>
      <c r="J2376" s="3">
        <v>47.29</v>
      </c>
      <c r="K2376" s="3">
        <v>744013.57</v>
      </c>
    </row>
    <row r="2377" spans="1:11" x14ac:dyDescent="0.2">
      <c r="A2377" s="1" t="s">
        <v>3487</v>
      </c>
      <c r="B2377" s="2">
        <v>45426</v>
      </c>
      <c r="C2377" s="1" t="s">
        <v>1340</v>
      </c>
      <c r="D2377" s="1" t="s">
        <v>1341</v>
      </c>
      <c r="E2377" s="1" t="s">
        <v>28</v>
      </c>
      <c r="F2377" s="1" t="s">
        <v>46</v>
      </c>
      <c r="G2377" s="1" t="s">
        <v>47</v>
      </c>
      <c r="H2377" s="1" t="s">
        <v>48</v>
      </c>
      <c r="I2377">
        <v>44667</v>
      </c>
      <c r="J2377" s="3">
        <v>23.66</v>
      </c>
      <c r="K2377" s="3">
        <v>1056821.22</v>
      </c>
    </row>
    <row r="2378" spans="1:11" x14ac:dyDescent="0.2">
      <c r="A2378" s="1" t="s">
        <v>3488</v>
      </c>
      <c r="B2378" s="2">
        <v>45609</v>
      </c>
      <c r="C2378" s="1" t="s">
        <v>1658</v>
      </c>
      <c r="D2378" s="1" t="s">
        <v>1659</v>
      </c>
      <c r="E2378" s="1" t="s">
        <v>28</v>
      </c>
      <c r="F2378" s="1" t="s">
        <v>228</v>
      </c>
      <c r="G2378" s="1" t="s">
        <v>229</v>
      </c>
      <c r="H2378" s="1" t="s">
        <v>48</v>
      </c>
      <c r="I2378">
        <v>85123</v>
      </c>
      <c r="J2378" s="3">
        <v>43.55</v>
      </c>
      <c r="K2378" s="3">
        <v>3707106.65</v>
      </c>
    </row>
    <row r="2379" spans="1:11" x14ac:dyDescent="0.2">
      <c r="A2379" s="1" t="s">
        <v>3489</v>
      </c>
      <c r="B2379" s="2">
        <v>45582</v>
      </c>
      <c r="C2379" s="1" t="s">
        <v>472</v>
      </c>
      <c r="D2379" s="1" t="s">
        <v>473</v>
      </c>
      <c r="E2379" s="1" t="s">
        <v>14</v>
      </c>
      <c r="F2379" s="1" t="s">
        <v>22</v>
      </c>
      <c r="G2379" s="1" t="s">
        <v>23</v>
      </c>
      <c r="H2379" s="1" t="s">
        <v>24</v>
      </c>
      <c r="I2379">
        <v>38263</v>
      </c>
      <c r="J2379" s="3">
        <v>11.92</v>
      </c>
      <c r="K2379" s="3">
        <v>456094.96</v>
      </c>
    </row>
    <row r="2380" spans="1:11" x14ac:dyDescent="0.2">
      <c r="A2380" s="1" t="s">
        <v>3490</v>
      </c>
      <c r="B2380" s="2">
        <v>45327</v>
      </c>
      <c r="C2380" s="1" t="s">
        <v>1157</v>
      </c>
      <c r="D2380" s="1" t="s">
        <v>1158</v>
      </c>
      <c r="E2380" s="1" t="s">
        <v>28</v>
      </c>
      <c r="F2380" s="1" t="s">
        <v>474</v>
      </c>
      <c r="G2380" s="1" t="s">
        <v>475</v>
      </c>
      <c r="H2380" s="1" t="s">
        <v>48</v>
      </c>
      <c r="I2380">
        <v>72153</v>
      </c>
      <c r="J2380" s="3">
        <v>3.87</v>
      </c>
      <c r="K2380" s="3">
        <v>279232.11</v>
      </c>
    </row>
    <row r="2381" spans="1:11" x14ac:dyDescent="0.2">
      <c r="A2381" s="1" t="s">
        <v>3491</v>
      </c>
      <c r="B2381" s="2">
        <v>45979</v>
      </c>
      <c r="C2381" s="1" t="s">
        <v>1757</v>
      </c>
      <c r="D2381" s="1" t="s">
        <v>1758</v>
      </c>
      <c r="E2381" s="1" t="s">
        <v>37</v>
      </c>
      <c r="F2381" s="1" t="s">
        <v>103</v>
      </c>
      <c r="G2381" s="1" t="s">
        <v>104</v>
      </c>
      <c r="H2381" s="1" t="s">
        <v>37</v>
      </c>
      <c r="I2381">
        <v>75028</v>
      </c>
      <c r="J2381" s="3">
        <v>17.47</v>
      </c>
      <c r="K2381" s="3">
        <v>1310739.1599999999</v>
      </c>
    </row>
    <row r="2382" spans="1:11" x14ac:dyDescent="0.2">
      <c r="A2382" s="1" t="s">
        <v>3492</v>
      </c>
      <c r="B2382" s="2">
        <v>45378</v>
      </c>
      <c r="C2382" s="1" t="s">
        <v>142</v>
      </c>
      <c r="D2382" s="1" t="s">
        <v>143</v>
      </c>
      <c r="E2382" s="1" t="s">
        <v>37</v>
      </c>
      <c r="F2382" s="1" t="s">
        <v>208</v>
      </c>
      <c r="G2382" s="1" t="s">
        <v>209</v>
      </c>
      <c r="H2382" s="1" t="s">
        <v>17</v>
      </c>
      <c r="I2382">
        <v>12185</v>
      </c>
      <c r="J2382" s="3">
        <v>26.04</v>
      </c>
      <c r="K2382" s="3">
        <v>317297.40000000002</v>
      </c>
    </row>
    <row r="2383" spans="1:11" x14ac:dyDescent="0.2">
      <c r="A2383" s="1" t="s">
        <v>3493</v>
      </c>
      <c r="B2383" s="2">
        <v>45383</v>
      </c>
      <c r="C2383" s="1" t="s">
        <v>814</v>
      </c>
      <c r="D2383" s="1" t="s">
        <v>815</v>
      </c>
      <c r="E2383" s="1" t="s">
        <v>14</v>
      </c>
      <c r="F2383" s="1" t="s">
        <v>176</v>
      </c>
      <c r="G2383" s="1" t="s">
        <v>177</v>
      </c>
      <c r="H2383" s="1" t="s">
        <v>37</v>
      </c>
      <c r="I2383">
        <v>51391</v>
      </c>
      <c r="J2383" s="3">
        <v>21.44</v>
      </c>
      <c r="K2383" s="3">
        <v>1101823.04</v>
      </c>
    </row>
    <row r="2384" spans="1:11" x14ac:dyDescent="0.2">
      <c r="A2384" s="1" t="s">
        <v>3494</v>
      </c>
      <c r="B2384" s="2">
        <v>45833</v>
      </c>
      <c r="C2384" s="1" t="s">
        <v>580</v>
      </c>
      <c r="D2384" s="1" t="s">
        <v>581</v>
      </c>
      <c r="E2384" s="1" t="s">
        <v>21</v>
      </c>
      <c r="F2384" s="1" t="s">
        <v>157</v>
      </c>
      <c r="G2384" s="1" t="s">
        <v>158</v>
      </c>
      <c r="H2384" s="1" t="s">
        <v>48</v>
      </c>
      <c r="I2384">
        <v>13794</v>
      </c>
      <c r="J2384" s="3">
        <v>37.67</v>
      </c>
      <c r="K2384" s="3">
        <v>519619.98</v>
      </c>
    </row>
    <row r="2385" spans="1:11" x14ac:dyDescent="0.2">
      <c r="A2385" s="1" t="s">
        <v>3495</v>
      </c>
      <c r="B2385" s="2">
        <v>45480</v>
      </c>
      <c r="C2385" s="1" t="s">
        <v>2771</v>
      </c>
      <c r="D2385" s="1" t="s">
        <v>2772</v>
      </c>
      <c r="E2385" s="1" t="s">
        <v>37</v>
      </c>
      <c r="F2385" s="1" t="s">
        <v>463</v>
      </c>
      <c r="G2385" s="1" t="s">
        <v>464</v>
      </c>
      <c r="H2385" s="1" t="s">
        <v>37</v>
      </c>
      <c r="I2385">
        <v>28760</v>
      </c>
      <c r="J2385" s="3">
        <v>34.46</v>
      </c>
      <c r="K2385" s="3">
        <v>991069.6</v>
      </c>
    </row>
    <row r="2386" spans="1:11" x14ac:dyDescent="0.2">
      <c r="A2386" s="1" t="s">
        <v>3496</v>
      </c>
      <c r="B2386" s="2">
        <v>45658</v>
      </c>
      <c r="C2386" s="1" t="s">
        <v>1483</v>
      </c>
      <c r="D2386" s="1" t="s">
        <v>1484</v>
      </c>
      <c r="E2386" s="1" t="s">
        <v>21</v>
      </c>
      <c r="F2386" s="1" t="s">
        <v>406</v>
      </c>
      <c r="G2386" s="1" t="s">
        <v>407</v>
      </c>
      <c r="H2386" s="1" t="s">
        <v>17</v>
      </c>
      <c r="I2386">
        <v>20206</v>
      </c>
      <c r="J2386" s="3">
        <v>34.35</v>
      </c>
      <c r="K2386" s="3">
        <v>694076.1</v>
      </c>
    </row>
    <row r="2387" spans="1:11" x14ac:dyDescent="0.2">
      <c r="A2387" s="1" t="s">
        <v>3497</v>
      </c>
      <c r="B2387" s="2">
        <v>45660</v>
      </c>
      <c r="C2387" s="1" t="s">
        <v>820</v>
      </c>
      <c r="D2387" s="1" t="s">
        <v>821</v>
      </c>
      <c r="E2387" s="1" t="s">
        <v>28</v>
      </c>
      <c r="F2387" s="1" t="s">
        <v>176</v>
      </c>
      <c r="G2387" s="1" t="s">
        <v>177</v>
      </c>
      <c r="H2387" s="1" t="s">
        <v>37</v>
      </c>
      <c r="I2387">
        <v>69981</v>
      </c>
      <c r="J2387" s="3">
        <v>15.12</v>
      </c>
      <c r="K2387" s="3">
        <v>1058112.72</v>
      </c>
    </row>
    <row r="2388" spans="1:11" x14ac:dyDescent="0.2">
      <c r="A2388" s="1" t="s">
        <v>3498</v>
      </c>
      <c r="B2388" s="2">
        <v>45824</v>
      </c>
      <c r="C2388" s="1" t="s">
        <v>1099</v>
      </c>
      <c r="D2388" s="1" t="s">
        <v>1100</v>
      </c>
      <c r="E2388" s="1" t="s">
        <v>34</v>
      </c>
      <c r="F2388" s="1" t="s">
        <v>237</v>
      </c>
      <c r="G2388" s="1" t="s">
        <v>238</v>
      </c>
      <c r="H2388" s="1" t="s">
        <v>17</v>
      </c>
      <c r="I2388">
        <v>85023</v>
      </c>
      <c r="J2388" s="3">
        <v>34.94</v>
      </c>
      <c r="K2388" s="3">
        <v>2970703.62</v>
      </c>
    </row>
    <row r="2389" spans="1:11" x14ac:dyDescent="0.2">
      <c r="A2389" s="1" t="s">
        <v>3499</v>
      </c>
      <c r="B2389" s="2">
        <v>45842</v>
      </c>
      <c r="C2389" s="1" t="s">
        <v>2059</v>
      </c>
      <c r="D2389" s="1" t="s">
        <v>2060</v>
      </c>
      <c r="E2389" s="1" t="s">
        <v>21</v>
      </c>
      <c r="F2389" s="1" t="s">
        <v>458</v>
      </c>
      <c r="G2389" s="1" t="s">
        <v>459</v>
      </c>
      <c r="H2389" s="1" t="s">
        <v>72</v>
      </c>
      <c r="I2389">
        <v>17769</v>
      </c>
      <c r="J2389" s="3">
        <v>19.010000000000002</v>
      </c>
      <c r="K2389" s="3">
        <v>337788.69</v>
      </c>
    </row>
    <row r="2390" spans="1:11" x14ac:dyDescent="0.2">
      <c r="A2390" s="1" t="s">
        <v>3500</v>
      </c>
      <c r="B2390" s="2">
        <v>45871</v>
      </c>
      <c r="C2390" s="1" t="s">
        <v>672</v>
      </c>
      <c r="D2390" s="1" t="s">
        <v>673</v>
      </c>
      <c r="E2390" s="1" t="s">
        <v>21</v>
      </c>
      <c r="F2390" s="1" t="s">
        <v>176</v>
      </c>
      <c r="G2390" s="1" t="s">
        <v>177</v>
      </c>
      <c r="H2390" s="1" t="s">
        <v>37</v>
      </c>
      <c r="I2390">
        <v>60097</v>
      </c>
      <c r="J2390" s="3">
        <v>22.46</v>
      </c>
      <c r="K2390" s="3">
        <v>1349778.62</v>
      </c>
    </row>
    <row r="2391" spans="1:11" x14ac:dyDescent="0.2">
      <c r="A2391" s="1" t="s">
        <v>3501</v>
      </c>
      <c r="B2391" s="2">
        <v>45341</v>
      </c>
      <c r="C2391" s="1" t="s">
        <v>409</v>
      </c>
      <c r="D2391" s="1" t="s">
        <v>410</v>
      </c>
      <c r="E2391" s="1" t="s">
        <v>14</v>
      </c>
      <c r="F2391" s="1" t="s">
        <v>144</v>
      </c>
      <c r="G2391" s="1" t="s">
        <v>145</v>
      </c>
      <c r="H2391" s="1" t="s">
        <v>24</v>
      </c>
      <c r="I2391">
        <v>10616</v>
      </c>
      <c r="J2391" s="3">
        <v>6.35</v>
      </c>
      <c r="K2391" s="3">
        <v>67411.600000000006</v>
      </c>
    </row>
    <row r="2392" spans="1:11" x14ac:dyDescent="0.2">
      <c r="A2392" s="1" t="s">
        <v>3502</v>
      </c>
      <c r="B2392" s="2">
        <v>45989</v>
      </c>
      <c r="C2392" s="1" t="s">
        <v>2181</v>
      </c>
      <c r="D2392" s="1" t="s">
        <v>2182</v>
      </c>
      <c r="E2392" s="1" t="s">
        <v>14</v>
      </c>
      <c r="F2392" s="1" t="s">
        <v>761</v>
      </c>
      <c r="G2392" s="1" t="s">
        <v>762</v>
      </c>
      <c r="H2392" s="1" t="s">
        <v>48</v>
      </c>
      <c r="I2392">
        <v>3601</v>
      </c>
      <c r="J2392" s="3">
        <v>27.69</v>
      </c>
      <c r="K2392" s="3">
        <v>99711.69</v>
      </c>
    </row>
    <row r="2393" spans="1:11" x14ac:dyDescent="0.2">
      <c r="A2393" s="1" t="s">
        <v>3503</v>
      </c>
      <c r="B2393" s="2">
        <v>45372</v>
      </c>
      <c r="C2393" s="1" t="s">
        <v>461</v>
      </c>
      <c r="D2393" s="1" t="s">
        <v>462</v>
      </c>
      <c r="E2393" s="1" t="s">
        <v>28</v>
      </c>
      <c r="F2393" s="1" t="s">
        <v>217</v>
      </c>
      <c r="G2393" s="1" t="s">
        <v>218</v>
      </c>
      <c r="H2393" s="1" t="s">
        <v>72</v>
      </c>
      <c r="I2393">
        <v>32065</v>
      </c>
      <c r="J2393" s="3">
        <v>7.3</v>
      </c>
      <c r="K2393" s="3">
        <v>234074.5</v>
      </c>
    </row>
    <row r="2394" spans="1:11" x14ac:dyDescent="0.2">
      <c r="A2394" s="1" t="s">
        <v>3504</v>
      </c>
      <c r="B2394" s="2">
        <v>45295</v>
      </c>
      <c r="C2394" s="1" t="s">
        <v>451</v>
      </c>
      <c r="D2394" s="1" t="s">
        <v>452</v>
      </c>
      <c r="E2394" s="1" t="s">
        <v>28</v>
      </c>
      <c r="F2394" s="1" t="s">
        <v>144</v>
      </c>
      <c r="G2394" s="1" t="s">
        <v>145</v>
      </c>
      <c r="H2394" s="1" t="s">
        <v>24</v>
      </c>
      <c r="I2394">
        <v>26075</v>
      </c>
      <c r="J2394" s="3">
        <v>49.28</v>
      </c>
      <c r="K2394" s="3">
        <v>1284976</v>
      </c>
    </row>
    <row r="2395" spans="1:11" x14ac:dyDescent="0.2">
      <c r="A2395" s="1" t="s">
        <v>3505</v>
      </c>
      <c r="B2395" s="2">
        <v>45608</v>
      </c>
      <c r="C2395" s="1" t="s">
        <v>1563</v>
      </c>
      <c r="D2395" s="1" t="s">
        <v>1564</v>
      </c>
      <c r="E2395" s="1" t="s">
        <v>14</v>
      </c>
      <c r="F2395" s="1" t="s">
        <v>157</v>
      </c>
      <c r="G2395" s="1" t="s">
        <v>158</v>
      </c>
      <c r="H2395" s="1" t="s">
        <v>48</v>
      </c>
      <c r="I2395">
        <v>61268</v>
      </c>
      <c r="J2395" s="3">
        <v>27.6</v>
      </c>
      <c r="K2395" s="3">
        <v>1690996.8</v>
      </c>
    </row>
    <row r="2396" spans="1:11" x14ac:dyDescent="0.2">
      <c r="A2396" s="1" t="s">
        <v>3506</v>
      </c>
      <c r="B2396" s="2">
        <v>45746</v>
      </c>
      <c r="C2396" s="1" t="s">
        <v>590</v>
      </c>
      <c r="D2396" s="1" t="s">
        <v>591</v>
      </c>
      <c r="E2396" s="1" t="s">
        <v>37</v>
      </c>
      <c r="F2396" s="1" t="s">
        <v>251</v>
      </c>
      <c r="G2396" s="1" t="s">
        <v>252</v>
      </c>
      <c r="H2396" s="1" t="s">
        <v>72</v>
      </c>
      <c r="I2396">
        <v>14109</v>
      </c>
      <c r="J2396" s="3">
        <v>24.38</v>
      </c>
      <c r="K2396" s="3">
        <v>343977.42</v>
      </c>
    </row>
    <row r="2397" spans="1:11" x14ac:dyDescent="0.2">
      <c r="A2397" s="1" t="s">
        <v>3507</v>
      </c>
      <c r="B2397" s="2">
        <v>45632</v>
      </c>
      <c r="C2397" s="1" t="s">
        <v>563</v>
      </c>
      <c r="D2397" s="1" t="s">
        <v>564</v>
      </c>
      <c r="E2397" s="1" t="s">
        <v>37</v>
      </c>
      <c r="F2397" s="1" t="s">
        <v>273</v>
      </c>
      <c r="G2397" s="1" t="s">
        <v>274</v>
      </c>
      <c r="H2397" s="1" t="s">
        <v>24</v>
      </c>
      <c r="I2397">
        <v>37521</v>
      </c>
      <c r="J2397" s="3">
        <v>42.76</v>
      </c>
      <c r="K2397" s="3">
        <v>1604397.96</v>
      </c>
    </row>
    <row r="2398" spans="1:11" x14ac:dyDescent="0.2">
      <c r="A2398" s="1" t="s">
        <v>3508</v>
      </c>
      <c r="B2398" s="2">
        <v>45820</v>
      </c>
      <c r="C2398" s="1" t="s">
        <v>2766</v>
      </c>
      <c r="D2398" s="1" t="s">
        <v>2767</v>
      </c>
      <c r="E2398" s="1" t="s">
        <v>37</v>
      </c>
      <c r="F2398" s="1" t="s">
        <v>284</v>
      </c>
      <c r="G2398" s="1" t="s">
        <v>285</v>
      </c>
      <c r="H2398" s="1" t="s">
        <v>37</v>
      </c>
      <c r="I2398">
        <v>83360</v>
      </c>
      <c r="J2398" s="3">
        <v>44</v>
      </c>
      <c r="K2398" s="3">
        <v>3667840</v>
      </c>
    </row>
    <row r="2399" spans="1:11" x14ac:dyDescent="0.2">
      <c r="A2399" s="1" t="s">
        <v>3509</v>
      </c>
      <c r="B2399" s="2">
        <v>45760</v>
      </c>
      <c r="C2399" s="1" t="s">
        <v>1085</v>
      </c>
      <c r="D2399" s="1" t="s">
        <v>1086</v>
      </c>
      <c r="E2399" s="1" t="s">
        <v>14</v>
      </c>
      <c r="F2399" s="1" t="s">
        <v>29</v>
      </c>
      <c r="G2399" s="1" t="s">
        <v>30</v>
      </c>
      <c r="H2399" s="1" t="s">
        <v>24</v>
      </c>
      <c r="I2399">
        <v>29537</v>
      </c>
      <c r="J2399" s="3">
        <v>10.48</v>
      </c>
      <c r="K2399" s="3">
        <v>309547.76</v>
      </c>
    </row>
    <row r="2400" spans="1:11" x14ac:dyDescent="0.2">
      <c r="A2400" s="1" t="s">
        <v>3510</v>
      </c>
      <c r="B2400" s="2">
        <v>45583</v>
      </c>
      <c r="C2400" s="1" t="s">
        <v>779</v>
      </c>
      <c r="D2400" s="1" t="s">
        <v>780</v>
      </c>
      <c r="E2400" s="1" t="s">
        <v>21</v>
      </c>
      <c r="F2400" s="1" t="s">
        <v>139</v>
      </c>
      <c r="G2400" s="1" t="s">
        <v>140</v>
      </c>
      <c r="H2400" s="1" t="s">
        <v>24</v>
      </c>
      <c r="I2400">
        <v>79405</v>
      </c>
      <c r="J2400" s="3">
        <v>11.29</v>
      </c>
      <c r="K2400" s="3">
        <v>896482.45</v>
      </c>
    </row>
    <row r="2401" spans="1:11" x14ac:dyDescent="0.2">
      <c r="A2401" s="1" t="s">
        <v>3511</v>
      </c>
      <c r="B2401" s="2">
        <v>45866</v>
      </c>
      <c r="C2401" s="1" t="s">
        <v>223</v>
      </c>
      <c r="D2401" s="1" t="s">
        <v>224</v>
      </c>
      <c r="E2401" s="1" t="s">
        <v>28</v>
      </c>
      <c r="F2401" s="1" t="s">
        <v>203</v>
      </c>
      <c r="G2401" s="1" t="s">
        <v>204</v>
      </c>
      <c r="H2401" s="1" t="s">
        <v>72</v>
      </c>
      <c r="I2401">
        <v>82773</v>
      </c>
      <c r="J2401" s="3">
        <v>40.880000000000003</v>
      </c>
      <c r="K2401" s="3">
        <v>3383760.24</v>
      </c>
    </row>
    <row r="2402" spans="1:11" x14ac:dyDescent="0.2">
      <c r="A2402" s="1" t="s">
        <v>3512</v>
      </c>
      <c r="B2402" s="2">
        <v>45737</v>
      </c>
      <c r="C2402" s="1" t="s">
        <v>535</v>
      </c>
      <c r="D2402" s="1" t="s">
        <v>536</v>
      </c>
      <c r="E2402" s="1" t="s">
        <v>28</v>
      </c>
      <c r="F2402" s="1" t="s">
        <v>195</v>
      </c>
      <c r="G2402" s="1" t="s">
        <v>196</v>
      </c>
      <c r="H2402" s="1" t="s">
        <v>48</v>
      </c>
      <c r="I2402">
        <v>55912</v>
      </c>
      <c r="J2402" s="3">
        <v>15.85</v>
      </c>
      <c r="K2402" s="3">
        <v>886205.2</v>
      </c>
    </row>
    <row r="2403" spans="1:11" x14ac:dyDescent="0.2">
      <c r="A2403" s="1" t="s">
        <v>3513</v>
      </c>
      <c r="B2403" s="2">
        <v>45395</v>
      </c>
      <c r="C2403" s="1" t="s">
        <v>2145</v>
      </c>
      <c r="D2403" s="1" t="s">
        <v>2146</v>
      </c>
      <c r="E2403" s="1" t="s">
        <v>37</v>
      </c>
      <c r="F2403" s="1" t="s">
        <v>406</v>
      </c>
      <c r="G2403" s="1" t="s">
        <v>407</v>
      </c>
      <c r="H2403" s="1" t="s">
        <v>17</v>
      </c>
      <c r="I2403">
        <v>97973</v>
      </c>
      <c r="J2403" s="3">
        <v>46.86</v>
      </c>
      <c r="K2403" s="3">
        <v>4591014.78</v>
      </c>
    </row>
    <row r="2404" spans="1:11" x14ac:dyDescent="0.2">
      <c r="A2404" s="1" t="s">
        <v>3514</v>
      </c>
      <c r="B2404" s="2">
        <v>45478</v>
      </c>
      <c r="C2404" s="1" t="s">
        <v>1891</v>
      </c>
      <c r="D2404" s="1" t="s">
        <v>1892</v>
      </c>
      <c r="E2404" s="1" t="s">
        <v>14</v>
      </c>
      <c r="F2404" s="1" t="s">
        <v>552</v>
      </c>
      <c r="G2404" s="1" t="s">
        <v>553</v>
      </c>
      <c r="H2404" s="1" t="s">
        <v>37</v>
      </c>
      <c r="I2404">
        <v>29081</v>
      </c>
      <c r="J2404" s="3">
        <v>2.92</v>
      </c>
      <c r="K2404" s="3">
        <v>84916.52</v>
      </c>
    </row>
    <row r="2405" spans="1:11" x14ac:dyDescent="0.2">
      <c r="A2405" s="1" t="s">
        <v>3515</v>
      </c>
      <c r="B2405" s="2">
        <v>45527</v>
      </c>
      <c r="C2405" s="1" t="s">
        <v>2128</v>
      </c>
      <c r="D2405" s="1" t="s">
        <v>2129</v>
      </c>
      <c r="E2405" s="1" t="s">
        <v>37</v>
      </c>
      <c r="F2405" s="1" t="s">
        <v>22</v>
      </c>
      <c r="G2405" s="1" t="s">
        <v>23</v>
      </c>
      <c r="H2405" s="1" t="s">
        <v>24</v>
      </c>
      <c r="I2405">
        <v>41694</v>
      </c>
      <c r="J2405" s="3">
        <v>22.8</v>
      </c>
      <c r="K2405" s="3">
        <v>950623.2</v>
      </c>
    </row>
    <row r="2406" spans="1:11" x14ac:dyDescent="0.2">
      <c r="A2406" s="1" t="s">
        <v>3516</v>
      </c>
      <c r="B2406" s="2">
        <v>45530</v>
      </c>
      <c r="C2406" s="1" t="s">
        <v>327</v>
      </c>
      <c r="D2406" s="1" t="s">
        <v>328</v>
      </c>
      <c r="E2406" s="1" t="s">
        <v>21</v>
      </c>
      <c r="F2406" s="1" t="s">
        <v>108</v>
      </c>
      <c r="G2406" s="1" t="s">
        <v>109</v>
      </c>
      <c r="H2406" s="1" t="s">
        <v>37</v>
      </c>
      <c r="I2406">
        <v>84719</v>
      </c>
      <c r="J2406" s="3">
        <v>22.08</v>
      </c>
      <c r="K2406" s="3">
        <v>1870595.52</v>
      </c>
    </row>
    <row r="2407" spans="1:11" x14ac:dyDescent="0.2">
      <c r="A2407" s="1" t="s">
        <v>3517</v>
      </c>
      <c r="B2407" s="2">
        <v>46017</v>
      </c>
      <c r="C2407" s="1" t="s">
        <v>400</v>
      </c>
      <c r="D2407" s="1" t="s">
        <v>401</v>
      </c>
      <c r="E2407" s="1" t="s">
        <v>21</v>
      </c>
      <c r="F2407" s="1" t="s">
        <v>176</v>
      </c>
      <c r="G2407" s="1" t="s">
        <v>177</v>
      </c>
      <c r="H2407" s="1" t="s">
        <v>37</v>
      </c>
      <c r="I2407">
        <v>94723</v>
      </c>
      <c r="J2407" s="3">
        <v>26.65</v>
      </c>
      <c r="K2407" s="3">
        <v>2524367.9500000002</v>
      </c>
    </row>
    <row r="2408" spans="1:11" x14ac:dyDescent="0.2">
      <c r="A2408" s="1" t="s">
        <v>3518</v>
      </c>
      <c r="B2408" s="2">
        <v>45381</v>
      </c>
      <c r="C2408" s="1" t="s">
        <v>1421</v>
      </c>
      <c r="D2408" s="1" t="s">
        <v>1422</v>
      </c>
      <c r="E2408" s="1" t="s">
        <v>21</v>
      </c>
      <c r="F2408" s="1" t="s">
        <v>176</v>
      </c>
      <c r="G2408" s="1" t="s">
        <v>177</v>
      </c>
      <c r="H2408" s="1" t="s">
        <v>37</v>
      </c>
      <c r="I2408">
        <v>76265</v>
      </c>
      <c r="J2408" s="3">
        <v>24.37</v>
      </c>
      <c r="K2408" s="3">
        <v>1858578.05</v>
      </c>
    </row>
    <row r="2409" spans="1:11" x14ac:dyDescent="0.2">
      <c r="A2409" s="1" t="s">
        <v>3519</v>
      </c>
      <c r="B2409" s="2">
        <v>45873</v>
      </c>
      <c r="C2409" s="1" t="s">
        <v>3086</v>
      </c>
      <c r="D2409" s="1" t="s">
        <v>3087</v>
      </c>
      <c r="E2409" s="1" t="s">
        <v>28</v>
      </c>
      <c r="F2409" s="1" t="s">
        <v>157</v>
      </c>
      <c r="G2409" s="1" t="s">
        <v>158</v>
      </c>
      <c r="H2409" s="1" t="s">
        <v>48</v>
      </c>
      <c r="I2409">
        <v>48647</v>
      </c>
      <c r="J2409" s="3">
        <v>45.91</v>
      </c>
      <c r="K2409" s="3">
        <v>2233383.77</v>
      </c>
    </row>
    <row r="2410" spans="1:11" x14ac:dyDescent="0.2">
      <c r="A2410" s="1" t="s">
        <v>3520</v>
      </c>
      <c r="B2410" s="2">
        <v>45589</v>
      </c>
      <c r="C2410" s="1" t="s">
        <v>684</v>
      </c>
      <c r="D2410" s="1" t="s">
        <v>685</v>
      </c>
      <c r="E2410" s="1" t="s">
        <v>37</v>
      </c>
      <c r="F2410" s="1" t="s">
        <v>339</v>
      </c>
      <c r="G2410" s="1" t="s">
        <v>340</v>
      </c>
      <c r="H2410" s="1" t="s">
        <v>24</v>
      </c>
      <c r="I2410">
        <v>7603</v>
      </c>
      <c r="J2410" s="3">
        <v>26.1</v>
      </c>
      <c r="K2410" s="3">
        <v>198438.3</v>
      </c>
    </row>
    <row r="2411" spans="1:11" x14ac:dyDescent="0.2">
      <c r="A2411" s="1" t="s">
        <v>3521</v>
      </c>
      <c r="B2411" s="2">
        <v>45880</v>
      </c>
      <c r="C2411" s="1" t="s">
        <v>368</v>
      </c>
      <c r="D2411" s="1" t="s">
        <v>369</v>
      </c>
      <c r="E2411" s="1" t="s">
        <v>37</v>
      </c>
      <c r="F2411" s="1" t="s">
        <v>52</v>
      </c>
      <c r="G2411" s="1" t="s">
        <v>53</v>
      </c>
      <c r="H2411" s="1" t="s">
        <v>17</v>
      </c>
      <c r="I2411">
        <v>90532</v>
      </c>
      <c r="J2411" s="3">
        <v>31.54</v>
      </c>
      <c r="K2411" s="3">
        <v>2855379.28</v>
      </c>
    </row>
    <row r="2412" spans="1:11" x14ac:dyDescent="0.2">
      <c r="A2412" s="1" t="s">
        <v>3522</v>
      </c>
      <c r="B2412" s="2">
        <v>45547</v>
      </c>
      <c r="C2412" s="1" t="s">
        <v>1698</v>
      </c>
      <c r="D2412" s="1" t="s">
        <v>1699</v>
      </c>
      <c r="E2412" s="1" t="s">
        <v>14</v>
      </c>
      <c r="F2412" s="1" t="s">
        <v>217</v>
      </c>
      <c r="G2412" s="1" t="s">
        <v>218</v>
      </c>
      <c r="H2412" s="1" t="s">
        <v>72</v>
      </c>
      <c r="I2412">
        <v>34254</v>
      </c>
      <c r="J2412" s="3">
        <v>17.920000000000002</v>
      </c>
      <c r="K2412" s="3">
        <v>613831.68000000005</v>
      </c>
    </row>
    <row r="2413" spans="1:11" x14ac:dyDescent="0.2">
      <c r="A2413" s="1" t="s">
        <v>3523</v>
      </c>
      <c r="B2413" s="2">
        <v>45354</v>
      </c>
      <c r="C2413" s="1" t="s">
        <v>1860</v>
      </c>
      <c r="D2413" s="1" t="s">
        <v>1861</v>
      </c>
      <c r="E2413" s="1" t="s">
        <v>21</v>
      </c>
      <c r="F2413" s="1" t="s">
        <v>412</v>
      </c>
      <c r="G2413" s="1" t="s">
        <v>413</v>
      </c>
      <c r="H2413" s="1" t="s">
        <v>72</v>
      </c>
      <c r="I2413">
        <v>42649</v>
      </c>
      <c r="J2413" s="3">
        <v>7.98</v>
      </c>
      <c r="K2413" s="3">
        <v>340339.02</v>
      </c>
    </row>
    <row r="2414" spans="1:11" x14ac:dyDescent="0.2">
      <c r="A2414" s="1" t="s">
        <v>3524</v>
      </c>
      <c r="B2414" s="2">
        <v>46011</v>
      </c>
      <c r="C2414" s="1" t="s">
        <v>307</v>
      </c>
      <c r="D2414" s="1" t="s">
        <v>308</v>
      </c>
      <c r="E2414" s="1" t="s">
        <v>14</v>
      </c>
      <c r="F2414" s="1" t="s">
        <v>203</v>
      </c>
      <c r="G2414" s="1" t="s">
        <v>204</v>
      </c>
      <c r="H2414" s="1" t="s">
        <v>72</v>
      </c>
      <c r="I2414">
        <v>50786</v>
      </c>
      <c r="J2414" s="3">
        <v>37.090000000000003</v>
      </c>
      <c r="K2414" s="3">
        <v>1883652.74</v>
      </c>
    </row>
    <row r="2415" spans="1:11" x14ac:dyDescent="0.2">
      <c r="A2415" s="1" t="s">
        <v>3525</v>
      </c>
      <c r="B2415" s="2">
        <v>45971</v>
      </c>
      <c r="C2415" s="1" t="s">
        <v>844</v>
      </c>
      <c r="D2415" s="1" t="s">
        <v>845</v>
      </c>
      <c r="E2415" s="1" t="s">
        <v>37</v>
      </c>
      <c r="F2415" s="1" t="s">
        <v>228</v>
      </c>
      <c r="G2415" s="1" t="s">
        <v>229</v>
      </c>
      <c r="H2415" s="1" t="s">
        <v>48</v>
      </c>
      <c r="I2415">
        <v>44810</v>
      </c>
      <c r="J2415" s="3">
        <v>27.43</v>
      </c>
      <c r="K2415" s="3">
        <v>1229138.3</v>
      </c>
    </row>
    <row r="2416" spans="1:11" x14ac:dyDescent="0.2">
      <c r="A2416" s="1" t="s">
        <v>3526</v>
      </c>
      <c r="B2416" s="2">
        <v>45474</v>
      </c>
      <c r="C2416" s="1" t="s">
        <v>756</v>
      </c>
      <c r="D2416" s="1" t="s">
        <v>757</v>
      </c>
      <c r="E2416" s="1" t="s">
        <v>34</v>
      </c>
      <c r="F2416" s="1" t="s">
        <v>15</v>
      </c>
      <c r="G2416" s="1" t="s">
        <v>16</v>
      </c>
      <c r="H2416" s="1" t="s">
        <v>17</v>
      </c>
      <c r="I2416">
        <v>76518</v>
      </c>
      <c r="J2416" s="3">
        <v>4.62</v>
      </c>
      <c r="K2416" s="3">
        <v>353513.16</v>
      </c>
    </row>
    <row r="2417" spans="1:11" x14ac:dyDescent="0.2">
      <c r="A2417" s="1" t="s">
        <v>3527</v>
      </c>
      <c r="B2417" s="2">
        <v>45887</v>
      </c>
      <c r="C2417" s="1" t="s">
        <v>1814</v>
      </c>
      <c r="D2417" s="1" t="s">
        <v>1815</v>
      </c>
      <c r="E2417" s="1" t="s">
        <v>14</v>
      </c>
      <c r="F2417" s="1" t="s">
        <v>761</v>
      </c>
      <c r="G2417" s="1" t="s">
        <v>762</v>
      </c>
      <c r="H2417" s="1" t="s">
        <v>48</v>
      </c>
      <c r="I2417">
        <v>77056</v>
      </c>
      <c r="J2417" s="3">
        <v>23.43</v>
      </c>
      <c r="K2417" s="3">
        <v>1805422.08</v>
      </c>
    </row>
    <row r="2418" spans="1:11" x14ac:dyDescent="0.2">
      <c r="A2418" s="1" t="s">
        <v>3528</v>
      </c>
      <c r="B2418" s="2">
        <v>46022</v>
      </c>
      <c r="C2418" s="1" t="s">
        <v>1460</v>
      </c>
      <c r="D2418" s="1" t="s">
        <v>1461</v>
      </c>
      <c r="E2418" s="1" t="s">
        <v>37</v>
      </c>
      <c r="F2418" s="1" t="s">
        <v>406</v>
      </c>
      <c r="G2418" s="1" t="s">
        <v>407</v>
      </c>
      <c r="H2418" s="1" t="s">
        <v>17</v>
      </c>
      <c r="I2418">
        <v>36713</v>
      </c>
      <c r="J2418" s="3">
        <v>4.87</v>
      </c>
      <c r="K2418" s="3">
        <v>178792.31</v>
      </c>
    </row>
    <row r="2419" spans="1:11" x14ac:dyDescent="0.2">
      <c r="A2419" s="1" t="s">
        <v>3529</v>
      </c>
      <c r="B2419" s="2">
        <v>45800</v>
      </c>
      <c r="C2419" s="1" t="s">
        <v>2293</v>
      </c>
      <c r="D2419" s="1" t="s">
        <v>2294</v>
      </c>
      <c r="E2419" s="1" t="s">
        <v>34</v>
      </c>
      <c r="F2419" s="1" t="s">
        <v>152</v>
      </c>
      <c r="G2419" s="1" t="s">
        <v>153</v>
      </c>
      <c r="H2419" s="1" t="s">
        <v>17</v>
      </c>
      <c r="I2419">
        <v>9940</v>
      </c>
      <c r="J2419" s="3">
        <v>17.579999999999998</v>
      </c>
      <c r="K2419" s="3">
        <v>174745.2</v>
      </c>
    </row>
    <row r="2420" spans="1:11" x14ac:dyDescent="0.2">
      <c r="A2420" s="1" t="s">
        <v>3530</v>
      </c>
      <c r="B2420" s="2">
        <v>45988</v>
      </c>
      <c r="C2420" s="1" t="s">
        <v>901</v>
      </c>
      <c r="D2420" s="1" t="s">
        <v>902</v>
      </c>
      <c r="E2420" s="1" t="s">
        <v>21</v>
      </c>
      <c r="F2420" s="1" t="s">
        <v>113</v>
      </c>
      <c r="G2420" s="1" t="s">
        <v>114</v>
      </c>
      <c r="H2420" s="1" t="s">
        <v>37</v>
      </c>
      <c r="I2420">
        <v>27414</v>
      </c>
      <c r="J2420" s="3">
        <v>19.47</v>
      </c>
      <c r="K2420" s="3">
        <v>533750.57999999996</v>
      </c>
    </row>
    <row r="2421" spans="1:11" x14ac:dyDescent="0.2">
      <c r="A2421" s="1" t="s">
        <v>3531</v>
      </c>
      <c r="B2421" s="2">
        <v>45939</v>
      </c>
      <c r="C2421" s="1" t="s">
        <v>538</v>
      </c>
      <c r="D2421" s="1" t="s">
        <v>539</v>
      </c>
      <c r="E2421" s="1" t="s">
        <v>21</v>
      </c>
      <c r="F2421" s="1" t="s">
        <v>15</v>
      </c>
      <c r="G2421" s="1" t="s">
        <v>16</v>
      </c>
      <c r="H2421" s="1" t="s">
        <v>17</v>
      </c>
      <c r="I2421">
        <v>28192</v>
      </c>
      <c r="J2421" s="3">
        <v>34.020000000000003</v>
      </c>
      <c r="K2421" s="3">
        <v>959091.84</v>
      </c>
    </row>
    <row r="2422" spans="1:11" x14ac:dyDescent="0.2">
      <c r="A2422" s="1" t="s">
        <v>3532</v>
      </c>
      <c r="B2422" s="2">
        <v>45939</v>
      </c>
      <c r="C2422" s="1" t="s">
        <v>883</v>
      </c>
      <c r="D2422" s="1" t="s">
        <v>884</v>
      </c>
      <c r="E2422" s="1" t="s">
        <v>37</v>
      </c>
      <c r="F2422" s="1" t="s">
        <v>103</v>
      </c>
      <c r="G2422" s="1" t="s">
        <v>104</v>
      </c>
      <c r="H2422" s="1" t="s">
        <v>37</v>
      </c>
      <c r="I2422">
        <v>8622</v>
      </c>
      <c r="J2422" s="3">
        <v>27.2</v>
      </c>
      <c r="K2422" s="3">
        <v>234518.39999999999</v>
      </c>
    </row>
    <row r="2423" spans="1:11" x14ac:dyDescent="0.2">
      <c r="A2423" s="1" t="s">
        <v>3533</v>
      </c>
      <c r="B2423" s="2">
        <v>45893</v>
      </c>
      <c r="C2423" s="1" t="s">
        <v>975</v>
      </c>
      <c r="D2423" s="1" t="s">
        <v>976</v>
      </c>
      <c r="E2423" s="1" t="s">
        <v>28</v>
      </c>
      <c r="F2423" s="1" t="s">
        <v>510</v>
      </c>
      <c r="G2423" s="1" t="s">
        <v>511</v>
      </c>
      <c r="H2423" s="1" t="s">
        <v>17</v>
      </c>
      <c r="I2423">
        <v>31489</v>
      </c>
      <c r="J2423" s="3">
        <v>38.83</v>
      </c>
      <c r="K2423" s="3">
        <v>1222717.8700000001</v>
      </c>
    </row>
    <row r="2424" spans="1:11" x14ac:dyDescent="0.2">
      <c r="A2424" s="1" t="s">
        <v>3534</v>
      </c>
      <c r="B2424" s="2">
        <v>45349</v>
      </c>
      <c r="C2424" s="1" t="s">
        <v>1368</v>
      </c>
      <c r="D2424" s="1" t="s">
        <v>1369</v>
      </c>
      <c r="E2424" s="1" t="s">
        <v>28</v>
      </c>
      <c r="F2424" s="1" t="s">
        <v>41</v>
      </c>
      <c r="G2424" s="1" t="s">
        <v>42</v>
      </c>
      <c r="H2424" s="1" t="s">
        <v>24</v>
      </c>
      <c r="I2424">
        <v>51712</v>
      </c>
      <c r="J2424" s="3">
        <v>36.56</v>
      </c>
      <c r="K2424" s="3">
        <v>1890590.72</v>
      </c>
    </row>
    <row r="2425" spans="1:11" x14ac:dyDescent="0.2">
      <c r="A2425" s="1" t="s">
        <v>3535</v>
      </c>
      <c r="B2425" s="2">
        <v>45936</v>
      </c>
      <c r="C2425" s="1" t="s">
        <v>2100</v>
      </c>
      <c r="D2425" s="1" t="s">
        <v>2101</v>
      </c>
      <c r="E2425" s="1" t="s">
        <v>37</v>
      </c>
      <c r="F2425" s="1" t="s">
        <v>176</v>
      </c>
      <c r="G2425" s="1" t="s">
        <v>177</v>
      </c>
      <c r="H2425" s="1" t="s">
        <v>37</v>
      </c>
      <c r="I2425">
        <v>58575</v>
      </c>
      <c r="J2425" s="3">
        <v>21.34</v>
      </c>
      <c r="K2425" s="3">
        <v>1249990.5</v>
      </c>
    </row>
    <row r="2426" spans="1:11" x14ac:dyDescent="0.2">
      <c r="A2426" s="1" t="s">
        <v>3536</v>
      </c>
      <c r="B2426" s="2">
        <v>45652</v>
      </c>
      <c r="C2426" s="1" t="s">
        <v>672</v>
      </c>
      <c r="D2426" s="1" t="s">
        <v>673</v>
      </c>
      <c r="E2426" s="1" t="s">
        <v>21</v>
      </c>
      <c r="F2426" s="1" t="s">
        <v>463</v>
      </c>
      <c r="G2426" s="1" t="s">
        <v>464</v>
      </c>
      <c r="H2426" s="1" t="s">
        <v>37</v>
      </c>
      <c r="I2426">
        <v>95493</v>
      </c>
      <c r="J2426" s="3">
        <v>13.5</v>
      </c>
      <c r="K2426" s="3">
        <v>1289155.5</v>
      </c>
    </row>
    <row r="2427" spans="1:11" x14ac:dyDescent="0.2">
      <c r="A2427" s="1" t="s">
        <v>3537</v>
      </c>
      <c r="B2427" s="2">
        <v>45491</v>
      </c>
      <c r="C2427" s="1" t="s">
        <v>1191</v>
      </c>
      <c r="D2427" s="1" t="s">
        <v>1192</v>
      </c>
      <c r="E2427" s="1" t="s">
        <v>21</v>
      </c>
      <c r="F2427" s="1" t="s">
        <v>273</v>
      </c>
      <c r="G2427" s="1" t="s">
        <v>274</v>
      </c>
      <c r="H2427" s="1" t="s">
        <v>24</v>
      </c>
      <c r="I2427">
        <v>72734</v>
      </c>
      <c r="J2427" s="3">
        <v>12.13</v>
      </c>
      <c r="K2427" s="3">
        <v>882263.42</v>
      </c>
    </row>
    <row r="2428" spans="1:11" x14ac:dyDescent="0.2">
      <c r="A2428" s="1" t="s">
        <v>3538</v>
      </c>
      <c r="B2428" s="2">
        <v>45755</v>
      </c>
      <c r="C2428" s="1" t="s">
        <v>2771</v>
      </c>
      <c r="D2428" s="1" t="s">
        <v>2772</v>
      </c>
      <c r="E2428" s="1" t="s">
        <v>37</v>
      </c>
      <c r="F2428" s="1" t="s">
        <v>46</v>
      </c>
      <c r="G2428" s="1" t="s">
        <v>47</v>
      </c>
      <c r="H2428" s="1" t="s">
        <v>48</v>
      </c>
      <c r="I2428">
        <v>6152</v>
      </c>
      <c r="J2428" s="3">
        <v>43.16</v>
      </c>
      <c r="K2428" s="3">
        <v>265520.32</v>
      </c>
    </row>
    <row r="2429" spans="1:11" x14ac:dyDescent="0.2">
      <c r="A2429" s="1" t="s">
        <v>3539</v>
      </c>
      <c r="B2429" s="2">
        <v>45793</v>
      </c>
      <c r="C2429" s="1" t="s">
        <v>1854</v>
      </c>
      <c r="D2429" s="1" t="s">
        <v>1855</v>
      </c>
      <c r="E2429" s="1" t="s">
        <v>37</v>
      </c>
      <c r="F2429" s="1" t="s">
        <v>76</v>
      </c>
      <c r="G2429" s="1" t="s">
        <v>77</v>
      </c>
      <c r="H2429" s="1" t="s">
        <v>48</v>
      </c>
      <c r="I2429">
        <v>44428</v>
      </c>
      <c r="J2429" s="3">
        <v>27.27</v>
      </c>
      <c r="K2429" s="3">
        <v>1211551.56</v>
      </c>
    </row>
    <row r="2430" spans="1:11" x14ac:dyDescent="0.2">
      <c r="A2430" s="1" t="s">
        <v>3540</v>
      </c>
      <c r="B2430" s="2">
        <v>45839</v>
      </c>
      <c r="C2430" s="1" t="s">
        <v>1637</v>
      </c>
      <c r="D2430" s="1" t="s">
        <v>1638</v>
      </c>
      <c r="E2430" s="1" t="s">
        <v>34</v>
      </c>
      <c r="F2430" s="1" t="s">
        <v>324</v>
      </c>
      <c r="G2430" s="1" t="s">
        <v>325</v>
      </c>
      <c r="H2430" s="1" t="s">
        <v>24</v>
      </c>
      <c r="I2430">
        <v>94682</v>
      </c>
      <c r="J2430" s="3">
        <v>30.18</v>
      </c>
      <c r="K2430" s="3">
        <v>2857502.76</v>
      </c>
    </row>
    <row r="2431" spans="1:11" x14ac:dyDescent="0.2">
      <c r="A2431" s="1" t="s">
        <v>3541</v>
      </c>
      <c r="B2431" s="2">
        <v>45467</v>
      </c>
      <c r="C2431" s="1" t="s">
        <v>740</v>
      </c>
      <c r="D2431" s="1" t="s">
        <v>741</v>
      </c>
      <c r="E2431" s="1" t="s">
        <v>14</v>
      </c>
      <c r="F2431" s="1" t="s">
        <v>203</v>
      </c>
      <c r="G2431" s="1" t="s">
        <v>204</v>
      </c>
      <c r="H2431" s="1" t="s">
        <v>72</v>
      </c>
      <c r="I2431">
        <v>13655</v>
      </c>
      <c r="J2431" s="3">
        <v>35.53</v>
      </c>
      <c r="K2431" s="3">
        <v>485162.15</v>
      </c>
    </row>
    <row r="2432" spans="1:11" x14ac:dyDescent="0.2">
      <c r="A2432" s="1" t="s">
        <v>3542</v>
      </c>
      <c r="B2432" s="2">
        <v>45298</v>
      </c>
      <c r="C2432" s="1" t="s">
        <v>1426</v>
      </c>
      <c r="D2432" s="1" t="s">
        <v>1427</v>
      </c>
      <c r="E2432" s="1" t="s">
        <v>28</v>
      </c>
      <c r="F2432" s="1" t="s">
        <v>195</v>
      </c>
      <c r="G2432" s="1" t="s">
        <v>196</v>
      </c>
      <c r="H2432" s="1" t="s">
        <v>48</v>
      </c>
      <c r="I2432">
        <v>64563</v>
      </c>
      <c r="J2432" s="3">
        <v>12.98</v>
      </c>
      <c r="K2432" s="3">
        <v>838027.74</v>
      </c>
    </row>
    <row r="2433" spans="1:11" x14ac:dyDescent="0.2">
      <c r="A2433" s="1" t="s">
        <v>3543</v>
      </c>
      <c r="B2433" s="2">
        <v>45477</v>
      </c>
      <c r="C2433" s="1" t="s">
        <v>1157</v>
      </c>
      <c r="D2433" s="1" t="s">
        <v>1158</v>
      </c>
      <c r="E2433" s="1" t="s">
        <v>28</v>
      </c>
      <c r="F2433" s="1" t="s">
        <v>29</v>
      </c>
      <c r="G2433" s="1" t="s">
        <v>30</v>
      </c>
      <c r="H2433" s="1" t="s">
        <v>24</v>
      </c>
      <c r="I2433">
        <v>43934</v>
      </c>
      <c r="J2433" s="3">
        <v>41.35</v>
      </c>
      <c r="K2433" s="3">
        <v>1816670.9</v>
      </c>
    </row>
    <row r="2434" spans="1:11" x14ac:dyDescent="0.2">
      <c r="A2434" s="1" t="s">
        <v>3544</v>
      </c>
      <c r="B2434" s="2">
        <v>45498</v>
      </c>
      <c r="C2434" s="1" t="s">
        <v>844</v>
      </c>
      <c r="D2434" s="1" t="s">
        <v>845</v>
      </c>
      <c r="E2434" s="1" t="s">
        <v>37</v>
      </c>
      <c r="F2434" s="1" t="s">
        <v>474</v>
      </c>
      <c r="G2434" s="1" t="s">
        <v>475</v>
      </c>
      <c r="H2434" s="1" t="s">
        <v>48</v>
      </c>
      <c r="I2434">
        <v>15979</v>
      </c>
      <c r="J2434" s="3">
        <v>11</v>
      </c>
      <c r="K2434" s="3">
        <v>175769</v>
      </c>
    </row>
    <row r="2435" spans="1:11" x14ac:dyDescent="0.2">
      <c r="A2435" s="1" t="s">
        <v>3545</v>
      </c>
      <c r="B2435" s="2">
        <v>45723</v>
      </c>
      <c r="C2435" s="1" t="s">
        <v>2242</v>
      </c>
      <c r="D2435" s="1" t="s">
        <v>2243</v>
      </c>
      <c r="E2435" s="1" t="s">
        <v>34</v>
      </c>
      <c r="F2435" s="1" t="s">
        <v>46</v>
      </c>
      <c r="G2435" s="1" t="s">
        <v>47</v>
      </c>
      <c r="H2435" s="1" t="s">
        <v>48</v>
      </c>
      <c r="I2435">
        <v>3983</v>
      </c>
      <c r="J2435" s="3">
        <v>35.159999999999997</v>
      </c>
      <c r="K2435" s="3">
        <v>140042.28</v>
      </c>
    </row>
    <row r="2436" spans="1:11" x14ac:dyDescent="0.2">
      <c r="A2436" s="1" t="s">
        <v>3546</v>
      </c>
      <c r="B2436" s="2">
        <v>45562</v>
      </c>
      <c r="C2436" s="1" t="s">
        <v>226</v>
      </c>
      <c r="D2436" s="1" t="s">
        <v>227</v>
      </c>
      <c r="E2436" s="1" t="s">
        <v>34</v>
      </c>
      <c r="F2436" s="1" t="s">
        <v>113</v>
      </c>
      <c r="G2436" s="1" t="s">
        <v>114</v>
      </c>
      <c r="H2436" s="1" t="s">
        <v>37</v>
      </c>
      <c r="I2436">
        <v>72386</v>
      </c>
      <c r="J2436" s="3">
        <v>37.08</v>
      </c>
      <c r="K2436" s="3">
        <v>2684072.88</v>
      </c>
    </row>
    <row r="2437" spans="1:11" x14ac:dyDescent="0.2">
      <c r="A2437" s="1" t="s">
        <v>3547</v>
      </c>
      <c r="B2437" s="2">
        <v>46005</v>
      </c>
      <c r="C2437" s="1" t="s">
        <v>424</v>
      </c>
      <c r="D2437" s="1" t="s">
        <v>425</v>
      </c>
      <c r="E2437" s="1" t="s">
        <v>28</v>
      </c>
      <c r="F2437" s="1" t="s">
        <v>208</v>
      </c>
      <c r="G2437" s="1" t="s">
        <v>209</v>
      </c>
      <c r="H2437" s="1" t="s">
        <v>17</v>
      </c>
      <c r="I2437">
        <v>27402</v>
      </c>
      <c r="J2437" s="3">
        <v>6.45</v>
      </c>
      <c r="K2437" s="3">
        <v>176742.9</v>
      </c>
    </row>
    <row r="2438" spans="1:11" x14ac:dyDescent="0.2">
      <c r="A2438" s="1" t="s">
        <v>3548</v>
      </c>
      <c r="B2438" s="2">
        <v>45327</v>
      </c>
      <c r="C2438" s="1" t="s">
        <v>1953</v>
      </c>
      <c r="D2438" s="1" t="s">
        <v>1954</v>
      </c>
      <c r="E2438" s="1" t="s">
        <v>34</v>
      </c>
      <c r="F2438" s="1" t="s">
        <v>81</v>
      </c>
      <c r="G2438" s="1" t="s">
        <v>82</v>
      </c>
      <c r="H2438" s="1" t="s">
        <v>72</v>
      </c>
      <c r="I2438">
        <v>23386</v>
      </c>
      <c r="J2438" s="3">
        <v>17.850000000000001</v>
      </c>
      <c r="K2438" s="3">
        <v>417440.1</v>
      </c>
    </row>
    <row r="2439" spans="1:11" x14ac:dyDescent="0.2">
      <c r="A2439" s="1" t="s">
        <v>3549</v>
      </c>
      <c r="B2439" s="2">
        <v>45429</v>
      </c>
      <c r="C2439" s="1" t="s">
        <v>633</v>
      </c>
      <c r="D2439" s="1" t="s">
        <v>634</v>
      </c>
      <c r="E2439" s="1" t="s">
        <v>34</v>
      </c>
      <c r="F2439" s="1" t="s">
        <v>761</v>
      </c>
      <c r="G2439" s="1" t="s">
        <v>762</v>
      </c>
      <c r="H2439" s="1" t="s">
        <v>48</v>
      </c>
      <c r="I2439">
        <v>90027</v>
      </c>
      <c r="J2439" s="3">
        <v>32.4</v>
      </c>
      <c r="K2439" s="3">
        <v>2916874.8</v>
      </c>
    </row>
    <row r="2440" spans="1:11" x14ac:dyDescent="0.2">
      <c r="A2440" s="1" t="s">
        <v>3550</v>
      </c>
      <c r="B2440" s="2">
        <v>45422</v>
      </c>
      <c r="C2440" s="1" t="s">
        <v>1102</v>
      </c>
      <c r="D2440" s="1" t="s">
        <v>1103</v>
      </c>
      <c r="E2440" s="1" t="s">
        <v>21</v>
      </c>
      <c r="F2440" s="1" t="s">
        <v>217</v>
      </c>
      <c r="G2440" s="1" t="s">
        <v>218</v>
      </c>
      <c r="H2440" s="1" t="s">
        <v>72</v>
      </c>
      <c r="I2440">
        <v>26643</v>
      </c>
      <c r="J2440" s="3">
        <v>40.82</v>
      </c>
      <c r="K2440" s="3">
        <v>1087567.26</v>
      </c>
    </row>
    <row r="2441" spans="1:11" x14ac:dyDescent="0.2">
      <c r="A2441" s="1" t="s">
        <v>3551</v>
      </c>
      <c r="B2441" s="2">
        <v>46018</v>
      </c>
      <c r="C2441" s="1" t="s">
        <v>2293</v>
      </c>
      <c r="D2441" s="1" t="s">
        <v>2294</v>
      </c>
      <c r="E2441" s="1" t="s">
        <v>34</v>
      </c>
      <c r="F2441" s="1" t="s">
        <v>57</v>
      </c>
      <c r="G2441" s="1" t="s">
        <v>58</v>
      </c>
      <c r="H2441" s="1" t="s">
        <v>48</v>
      </c>
      <c r="I2441">
        <v>98137</v>
      </c>
      <c r="J2441" s="3">
        <v>20.91</v>
      </c>
      <c r="K2441" s="3">
        <v>2052044.67</v>
      </c>
    </row>
    <row r="2442" spans="1:11" x14ac:dyDescent="0.2">
      <c r="A2442" s="1" t="s">
        <v>3552</v>
      </c>
      <c r="B2442" s="2">
        <v>45457</v>
      </c>
      <c r="C2442" s="1" t="s">
        <v>951</v>
      </c>
      <c r="D2442" s="1" t="s">
        <v>952</v>
      </c>
      <c r="E2442" s="1" t="s">
        <v>14</v>
      </c>
      <c r="F2442" s="1" t="s">
        <v>144</v>
      </c>
      <c r="G2442" s="1" t="s">
        <v>145</v>
      </c>
      <c r="H2442" s="1" t="s">
        <v>24</v>
      </c>
      <c r="I2442">
        <v>7662</v>
      </c>
      <c r="J2442" s="3">
        <v>34.11</v>
      </c>
      <c r="K2442" s="3">
        <v>261350.82</v>
      </c>
    </row>
    <row r="2443" spans="1:11" x14ac:dyDescent="0.2">
      <c r="A2443" s="1" t="s">
        <v>3553</v>
      </c>
      <c r="B2443" s="2">
        <v>45923</v>
      </c>
      <c r="C2443" s="1" t="s">
        <v>920</v>
      </c>
      <c r="D2443" s="1" t="s">
        <v>921</v>
      </c>
      <c r="E2443" s="1" t="s">
        <v>14</v>
      </c>
      <c r="F2443" s="1" t="s">
        <v>195</v>
      </c>
      <c r="G2443" s="1" t="s">
        <v>196</v>
      </c>
      <c r="H2443" s="1" t="s">
        <v>48</v>
      </c>
      <c r="I2443">
        <v>59983</v>
      </c>
      <c r="J2443" s="3">
        <v>19.95</v>
      </c>
      <c r="K2443" s="3">
        <v>1196660.8500000001</v>
      </c>
    </row>
    <row r="2444" spans="1:11" x14ac:dyDescent="0.2">
      <c r="A2444" s="1" t="s">
        <v>3554</v>
      </c>
      <c r="B2444" s="2">
        <v>45767</v>
      </c>
      <c r="C2444" s="1" t="s">
        <v>2169</v>
      </c>
      <c r="D2444" s="1" t="s">
        <v>2170</v>
      </c>
      <c r="E2444" s="1" t="s">
        <v>28</v>
      </c>
      <c r="F2444" s="1" t="s">
        <v>324</v>
      </c>
      <c r="G2444" s="1" t="s">
        <v>325</v>
      </c>
      <c r="H2444" s="1" t="s">
        <v>24</v>
      </c>
      <c r="I2444">
        <v>70406</v>
      </c>
      <c r="J2444" s="3">
        <v>14.39</v>
      </c>
      <c r="K2444" s="3">
        <v>1013142.34</v>
      </c>
    </row>
    <row r="2445" spans="1:11" x14ac:dyDescent="0.2">
      <c r="A2445" s="1" t="s">
        <v>3555</v>
      </c>
      <c r="B2445" s="2">
        <v>45574</v>
      </c>
      <c r="C2445" s="1" t="s">
        <v>636</v>
      </c>
      <c r="D2445" s="1" t="s">
        <v>637</v>
      </c>
      <c r="E2445" s="1" t="s">
        <v>21</v>
      </c>
      <c r="F2445" s="1" t="s">
        <v>761</v>
      </c>
      <c r="G2445" s="1" t="s">
        <v>762</v>
      </c>
      <c r="H2445" s="1" t="s">
        <v>48</v>
      </c>
      <c r="I2445">
        <v>91089</v>
      </c>
      <c r="J2445" s="3">
        <v>30.89</v>
      </c>
      <c r="K2445" s="3">
        <v>2813739.21</v>
      </c>
    </row>
    <row r="2446" spans="1:11" x14ac:dyDescent="0.2">
      <c r="A2446" s="1" t="s">
        <v>3556</v>
      </c>
      <c r="B2446" s="2">
        <v>45536</v>
      </c>
      <c r="C2446" s="1" t="s">
        <v>316</v>
      </c>
      <c r="D2446" s="1" t="s">
        <v>317</v>
      </c>
      <c r="E2446" s="1" t="s">
        <v>14</v>
      </c>
      <c r="F2446" s="1" t="s">
        <v>108</v>
      </c>
      <c r="G2446" s="1" t="s">
        <v>109</v>
      </c>
      <c r="H2446" s="1" t="s">
        <v>37</v>
      </c>
      <c r="I2446">
        <v>49083</v>
      </c>
      <c r="J2446" s="3">
        <v>21.76</v>
      </c>
      <c r="K2446" s="3">
        <v>1068046.08</v>
      </c>
    </row>
    <row r="2447" spans="1:11" x14ac:dyDescent="0.2">
      <c r="A2447" s="1" t="s">
        <v>3557</v>
      </c>
      <c r="B2447" s="2">
        <v>45772</v>
      </c>
      <c r="C2447" s="1" t="s">
        <v>1194</v>
      </c>
      <c r="D2447" s="1" t="s">
        <v>1195</v>
      </c>
      <c r="E2447" s="1" t="s">
        <v>28</v>
      </c>
      <c r="F2447" s="1" t="s">
        <v>251</v>
      </c>
      <c r="G2447" s="1" t="s">
        <v>252</v>
      </c>
      <c r="H2447" s="1" t="s">
        <v>72</v>
      </c>
      <c r="I2447">
        <v>47564</v>
      </c>
      <c r="J2447" s="3">
        <v>18.41</v>
      </c>
      <c r="K2447" s="3">
        <v>875653.24</v>
      </c>
    </row>
    <row r="2448" spans="1:11" x14ac:dyDescent="0.2">
      <c r="A2448" s="1" t="s">
        <v>3558</v>
      </c>
      <c r="B2448" s="2">
        <v>45768</v>
      </c>
      <c r="C2448" s="1" t="s">
        <v>520</v>
      </c>
      <c r="D2448" s="1" t="s">
        <v>521</v>
      </c>
      <c r="E2448" s="1" t="s">
        <v>37</v>
      </c>
      <c r="F2448" s="1" t="s">
        <v>237</v>
      </c>
      <c r="G2448" s="1" t="s">
        <v>238</v>
      </c>
      <c r="H2448" s="1" t="s">
        <v>17</v>
      </c>
      <c r="I2448">
        <v>85030</v>
      </c>
      <c r="J2448" s="3">
        <v>46.16</v>
      </c>
      <c r="K2448" s="3">
        <v>3924984.8</v>
      </c>
    </row>
    <row r="2449" spans="1:11" x14ac:dyDescent="0.2">
      <c r="A2449" s="1" t="s">
        <v>3559</v>
      </c>
      <c r="B2449" s="2">
        <v>45479</v>
      </c>
      <c r="C2449" s="1" t="s">
        <v>353</v>
      </c>
      <c r="D2449" s="1" t="s">
        <v>354</v>
      </c>
      <c r="E2449" s="1" t="s">
        <v>14</v>
      </c>
      <c r="F2449" s="1" t="s">
        <v>436</v>
      </c>
      <c r="G2449" s="1" t="s">
        <v>437</v>
      </c>
      <c r="H2449" s="1" t="s">
        <v>24</v>
      </c>
      <c r="I2449">
        <v>62467</v>
      </c>
      <c r="J2449" s="3">
        <v>19.809999999999999</v>
      </c>
      <c r="K2449" s="3">
        <v>1237471.27</v>
      </c>
    </row>
    <row r="2450" spans="1:11" x14ac:dyDescent="0.2">
      <c r="A2450" s="1" t="s">
        <v>3560</v>
      </c>
      <c r="B2450" s="2">
        <v>45424</v>
      </c>
      <c r="C2450" s="1" t="s">
        <v>84</v>
      </c>
      <c r="D2450" s="1" t="s">
        <v>85</v>
      </c>
      <c r="E2450" s="1" t="s">
        <v>28</v>
      </c>
      <c r="F2450" s="1" t="s">
        <v>81</v>
      </c>
      <c r="G2450" s="1" t="s">
        <v>82</v>
      </c>
      <c r="H2450" s="1" t="s">
        <v>72</v>
      </c>
      <c r="I2450">
        <v>76256</v>
      </c>
      <c r="J2450" s="3">
        <v>27.82</v>
      </c>
      <c r="K2450" s="3">
        <v>2121441.92</v>
      </c>
    </row>
    <row r="2451" spans="1:11" x14ac:dyDescent="0.2">
      <c r="A2451" s="1" t="s">
        <v>3561</v>
      </c>
      <c r="B2451" s="2">
        <v>45922</v>
      </c>
      <c r="C2451" s="1" t="s">
        <v>187</v>
      </c>
      <c r="D2451" s="1" t="s">
        <v>188</v>
      </c>
      <c r="E2451" s="1" t="s">
        <v>34</v>
      </c>
      <c r="F2451" s="1" t="s">
        <v>458</v>
      </c>
      <c r="G2451" s="1" t="s">
        <v>459</v>
      </c>
      <c r="H2451" s="1" t="s">
        <v>72</v>
      </c>
      <c r="I2451">
        <v>19644</v>
      </c>
      <c r="J2451" s="3">
        <v>32.58</v>
      </c>
      <c r="K2451" s="3">
        <v>640001.52</v>
      </c>
    </row>
    <row r="2452" spans="1:11" x14ac:dyDescent="0.2">
      <c r="A2452" s="1" t="s">
        <v>3562</v>
      </c>
      <c r="B2452" s="2">
        <v>45844</v>
      </c>
      <c r="C2452" s="1" t="s">
        <v>1567</v>
      </c>
      <c r="D2452" s="1" t="s">
        <v>1568</v>
      </c>
      <c r="E2452" s="1" t="s">
        <v>34</v>
      </c>
      <c r="F2452" s="1" t="s">
        <v>76</v>
      </c>
      <c r="G2452" s="1" t="s">
        <v>77</v>
      </c>
      <c r="H2452" s="1" t="s">
        <v>48</v>
      </c>
      <c r="I2452">
        <v>23976</v>
      </c>
      <c r="J2452" s="3">
        <v>49.13</v>
      </c>
      <c r="K2452" s="3">
        <v>1177940.8799999999</v>
      </c>
    </row>
    <row r="2453" spans="1:11" x14ac:dyDescent="0.2">
      <c r="A2453" s="1" t="s">
        <v>3563</v>
      </c>
      <c r="B2453" s="2">
        <v>45816</v>
      </c>
      <c r="C2453" s="1" t="s">
        <v>648</v>
      </c>
      <c r="D2453" s="1" t="s">
        <v>649</v>
      </c>
      <c r="E2453" s="1" t="s">
        <v>28</v>
      </c>
      <c r="F2453" s="1" t="s">
        <v>81</v>
      </c>
      <c r="G2453" s="1" t="s">
        <v>82</v>
      </c>
      <c r="H2453" s="1" t="s">
        <v>72</v>
      </c>
      <c r="I2453">
        <v>62923</v>
      </c>
      <c r="J2453" s="3">
        <v>35.950000000000003</v>
      </c>
      <c r="K2453" s="3">
        <v>2262081.85</v>
      </c>
    </row>
    <row r="2454" spans="1:11" x14ac:dyDescent="0.2">
      <c r="A2454" s="1" t="s">
        <v>3564</v>
      </c>
      <c r="B2454" s="2">
        <v>45341</v>
      </c>
      <c r="C2454" s="1" t="s">
        <v>287</v>
      </c>
      <c r="D2454" s="1" t="s">
        <v>288</v>
      </c>
      <c r="E2454" s="1" t="s">
        <v>21</v>
      </c>
      <c r="F2454" s="1" t="s">
        <v>195</v>
      </c>
      <c r="G2454" s="1" t="s">
        <v>196</v>
      </c>
      <c r="H2454" s="1" t="s">
        <v>48</v>
      </c>
      <c r="I2454">
        <v>55249</v>
      </c>
      <c r="J2454" s="3">
        <v>8.42</v>
      </c>
      <c r="K2454" s="3">
        <v>465196.58</v>
      </c>
    </row>
    <row r="2455" spans="1:11" x14ac:dyDescent="0.2">
      <c r="A2455" s="1" t="s">
        <v>3565</v>
      </c>
      <c r="B2455" s="2">
        <v>45819</v>
      </c>
      <c r="C2455" s="1" t="s">
        <v>1261</v>
      </c>
      <c r="D2455" s="1" t="s">
        <v>1262</v>
      </c>
      <c r="E2455" s="1" t="s">
        <v>28</v>
      </c>
      <c r="F2455" s="1" t="s">
        <v>152</v>
      </c>
      <c r="G2455" s="1" t="s">
        <v>153</v>
      </c>
      <c r="H2455" s="1" t="s">
        <v>17</v>
      </c>
      <c r="I2455">
        <v>84434</v>
      </c>
      <c r="J2455" s="3">
        <v>28.67</v>
      </c>
      <c r="K2455" s="3">
        <v>2420722.7799999998</v>
      </c>
    </row>
    <row r="2456" spans="1:11" x14ac:dyDescent="0.2">
      <c r="A2456" s="1" t="s">
        <v>3566</v>
      </c>
      <c r="B2456" s="2">
        <v>45760</v>
      </c>
      <c r="C2456" s="1" t="s">
        <v>327</v>
      </c>
      <c r="D2456" s="1" t="s">
        <v>328</v>
      </c>
      <c r="E2456" s="1" t="s">
        <v>21</v>
      </c>
      <c r="F2456" s="1" t="s">
        <v>284</v>
      </c>
      <c r="G2456" s="1" t="s">
        <v>285</v>
      </c>
      <c r="H2456" s="1" t="s">
        <v>37</v>
      </c>
      <c r="I2456">
        <v>12939</v>
      </c>
      <c r="J2456" s="3">
        <v>13.91</v>
      </c>
      <c r="K2456" s="3">
        <v>179981.49</v>
      </c>
    </row>
    <row r="2457" spans="1:11" x14ac:dyDescent="0.2">
      <c r="A2457" s="1" t="s">
        <v>3567</v>
      </c>
      <c r="B2457" s="2">
        <v>45429</v>
      </c>
      <c r="C2457" s="1" t="s">
        <v>1368</v>
      </c>
      <c r="D2457" s="1" t="s">
        <v>1369</v>
      </c>
      <c r="E2457" s="1" t="s">
        <v>28</v>
      </c>
      <c r="F2457" s="1" t="s">
        <v>458</v>
      </c>
      <c r="G2457" s="1" t="s">
        <v>459</v>
      </c>
      <c r="H2457" s="1" t="s">
        <v>72</v>
      </c>
      <c r="I2457">
        <v>38604</v>
      </c>
      <c r="J2457" s="3">
        <v>42.45</v>
      </c>
      <c r="K2457" s="3">
        <v>1638739.8</v>
      </c>
    </row>
    <row r="2458" spans="1:11" x14ac:dyDescent="0.2">
      <c r="A2458" s="1" t="s">
        <v>3568</v>
      </c>
      <c r="B2458" s="2">
        <v>45606</v>
      </c>
      <c r="C2458" s="1" t="s">
        <v>32</v>
      </c>
      <c r="D2458" s="1" t="s">
        <v>33</v>
      </c>
      <c r="E2458" s="1" t="s">
        <v>34</v>
      </c>
      <c r="F2458" s="1" t="s">
        <v>324</v>
      </c>
      <c r="G2458" s="1" t="s">
        <v>325</v>
      </c>
      <c r="H2458" s="1" t="s">
        <v>24</v>
      </c>
      <c r="I2458">
        <v>65203</v>
      </c>
      <c r="J2458" s="3">
        <v>21.27</v>
      </c>
      <c r="K2458" s="3">
        <v>1386867.81</v>
      </c>
    </row>
    <row r="2459" spans="1:11" x14ac:dyDescent="0.2">
      <c r="A2459" s="1" t="s">
        <v>3569</v>
      </c>
      <c r="B2459" s="2">
        <v>45666</v>
      </c>
      <c r="C2459" s="1" t="s">
        <v>2233</v>
      </c>
      <c r="D2459" s="1" t="s">
        <v>2234</v>
      </c>
      <c r="E2459" s="1" t="s">
        <v>37</v>
      </c>
      <c r="F2459" s="1" t="s">
        <v>203</v>
      </c>
      <c r="G2459" s="1" t="s">
        <v>204</v>
      </c>
      <c r="H2459" s="1" t="s">
        <v>72</v>
      </c>
      <c r="I2459">
        <v>92205</v>
      </c>
      <c r="J2459" s="3">
        <v>8.18</v>
      </c>
      <c r="K2459" s="3">
        <v>754236.9</v>
      </c>
    </row>
    <row r="2460" spans="1:11" x14ac:dyDescent="0.2">
      <c r="A2460" s="1" t="s">
        <v>3570</v>
      </c>
      <c r="B2460" s="2">
        <v>45556</v>
      </c>
      <c r="C2460" s="1" t="s">
        <v>128</v>
      </c>
      <c r="D2460" s="1" t="s">
        <v>129</v>
      </c>
      <c r="E2460" s="1" t="s">
        <v>28</v>
      </c>
      <c r="F2460" s="1" t="s">
        <v>339</v>
      </c>
      <c r="G2460" s="1" t="s">
        <v>340</v>
      </c>
      <c r="H2460" s="1" t="s">
        <v>24</v>
      </c>
      <c r="I2460">
        <v>93407</v>
      </c>
      <c r="J2460" s="3">
        <v>41.89</v>
      </c>
      <c r="K2460" s="3">
        <v>3912819.23</v>
      </c>
    </row>
    <row r="2461" spans="1:11" x14ac:dyDescent="0.2">
      <c r="A2461" s="1" t="s">
        <v>3571</v>
      </c>
      <c r="B2461" s="2">
        <v>45676</v>
      </c>
      <c r="C2461" s="1" t="s">
        <v>774</v>
      </c>
      <c r="D2461" s="1" t="s">
        <v>775</v>
      </c>
      <c r="E2461" s="1" t="s">
        <v>37</v>
      </c>
      <c r="F2461" s="1" t="s">
        <v>324</v>
      </c>
      <c r="G2461" s="1" t="s">
        <v>325</v>
      </c>
      <c r="H2461" s="1" t="s">
        <v>24</v>
      </c>
      <c r="I2461">
        <v>47792</v>
      </c>
      <c r="J2461" s="3">
        <v>24.19</v>
      </c>
      <c r="K2461" s="3">
        <v>1156088.48</v>
      </c>
    </row>
    <row r="2462" spans="1:11" x14ac:dyDescent="0.2">
      <c r="A2462" s="1" t="s">
        <v>3572</v>
      </c>
      <c r="B2462" s="2">
        <v>45679</v>
      </c>
      <c r="C2462" s="1" t="s">
        <v>254</v>
      </c>
      <c r="D2462" s="1" t="s">
        <v>255</v>
      </c>
      <c r="E2462" s="1" t="s">
        <v>14</v>
      </c>
      <c r="F2462" s="1" t="s">
        <v>176</v>
      </c>
      <c r="G2462" s="1" t="s">
        <v>177</v>
      </c>
      <c r="H2462" s="1" t="s">
        <v>37</v>
      </c>
      <c r="I2462">
        <v>40888</v>
      </c>
      <c r="J2462" s="3">
        <v>14.82</v>
      </c>
      <c r="K2462" s="3">
        <v>605960.16</v>
      </c>
    </row>
    <row r="2463" spans="1:11" x14ac:dyDescent="0.2">
      <c r="A2463" s="1" t="s">
        <v>3573</v>
      </c>
      <c r="B2463" s="2">
        <v>45524</v>
      </c>
      <c r="C2463" s="1" t="s">
        <v>1082</v>
      </c>
      <c r="D2463" s="1" t="s">
        <v>1083</v>
      </c>
      <c r="E2463" s="1" t="s">
        <v>28</v>
      </c>
      <c r="F2463" s="1" t="s">
        <v>217</v>
      </c>
      <c r="G2463" s="1" t="s">
        <v>218</v>
      </c>
      <c r="H2463" s="1" t="s">
        <v>72</v>
      </c>
      <c r="I2463">
        <v>48447</v>
      </c>
      <c r="J2463" s="3">
        <v>17.190000000000001</v>
      </c>
      <c r="K2463" s="3">
        <v>832803.93</v>
      </c>
    </row>
    <row r="2464" spans="1:11" x14ac:dyDescent="0.2">
      <c r="A2464" s="1" t="s">
        <v>3574</v>
      </c>
      <c r="B2464" s="2">
        <v>45710</v>
      </c>
      <c r="C2464" s="1" t="s">
        <v>2467</v>
      </c>
      <c r="D2464" s="1" t="s">
        <v>2468</v>
      </c>
      <c r="E2464" s="1" t="s">
        <v>37</v>
      </c>
      <c r="F2464" s="1" t="s">
        <v>540</v>
      </c>
      <c r="G2464" s="1" t="s">
        <v>541</v>
      </c>
      <c r="H2464" s="1" t="s">
        <v>37</v>
      </c>
      <c r="I2464">
        <v>2285</v>
      </c>
      <c r="J2464" s="3">
        <v>38.21</v>
      </c>
      <c r="K2464" s="3">
        <v>87309.85</v>
      </c>
    </row>
    <row r="2465" spans="1:11" x14ac:dyDescent="0.2">
      <c r="A2465" s="1" t="s">
        <v>3575</v>
      </c>
      <c r="B2465" s="2">
        <v>45474</v>
      </c>
      <c r="C2465" s="1" t="s">
        <v>1885</v>
      </c>
      <c r="D2465" s="1" t="s">
        <v>1886</v>
      </c>
      <c r="E2465" s="1" t="s">
        <v>28</v>
      </c>
      <c r="F2465" s="1" t="s">
        <v>217</v>
      </c>
      <c r="G2465" s="1" t="s">
        <v>218</v>
      </c>
      <c r="H2465" s="1" t="s">
        <v>72</v>
      </c>
      <c r="I2465">
        <v>7666</v>
      </c>
      <c r="J2465" s="3">
        <v>11.65</v>
      </c>
      <c r="K2465" s="3">
        <v>89308.9</v>
      </c>
    </row>
    <row r="2466" spans="1:11" x14ac:dyDescent="0.2">
      <c r="A2466" s="1" t="s">
        <v>3576</v>
      </c>
      <c r="B2466" s="2">
        <v>45316</v>
      </c>
      <c r="C2466" s="1" t="s">
        <v>857</v>
      </c>
      <c r="D2466" s="1" t="s">
        <v>858</v>
      </c>
      <c r="E2466" s="1" t="s">
        <v>34</v>
      </c>
      <c r="F2466" s="1" t="s">
        <v>176</v>
      </c>
      <c r="G2466" s="1" t="s">
        <v>177</v>
      </c>
      <c r="H2466" s="1" t="s">
        <v>37</v>
      </c>
      <c r="I2466">
        <v>79533</v>
      </c>
      <c r="J2466" s="3">
        <v>19.649999999999999</v>
      </c>
      <c r="K2466" s="3">
        <v>1562823.45</v>
      </c>
    </row>
    <row r="2467" spans="1:11" x14ac:dyDescent="0.2">
      <c r="A2467" s="1" t="s">
        <v>3577</v>
      </c>
      <c r="B2467" s="2">
        <v>45930</v>
      </c>
      <c r="C2467" s="1" t="s">
        <v>391</v>
      </c>
      <c r="D2467" s="1" t="s">
        <v>392</v>
      </c>
      <c r="E2467" s="1" t="s">
        <v>37</v>
      </c>
      <c r="F2467" s="1" t="s">
        <v>52</v>
      </c>
      <c r="G2467" s="1" t="s">
        <v>53</v>
      </c>
      <c r="H2467" s="1" t="s">
        <v>17</v>
      </c>
      <c r="I2467">
        <v>92045</v>
      </c>
      <c r="J2467" s="3">
        <v>33.770000000000003</v>
      </c>
      <c r="K2467" s="3">
        <v>3108359.65</v>
      </c>
    </row>
    <row r="2468" spans="1:11" x14ac:dyDescent="0.2">
      <c r="A2468" s="1" t="s">
        <v>3578</v>
      </c>
      <c r="B2468" s="2">
        <v>45701</v>
      </c>
      <c r="C2468" s="1" t="s">
        <v>979</v>
      </c>
      <c r="D2468" s="1" t="s">
        <v>980</v>
      </c>
      <c r="E2468" s="1" t="s">
        <v>37</v>
      </c>
      <c r="F2468" s="1" t="s">
        <v>761</v>
      </c>
      <c r="G2468" s="1" t="s">
        <v>762</v>
      </c>
      <c r="H2468" s="1" t="s">
        <v>48</v>
      </c>
      <c r="I2468">
        <v>65071</v>
      </c>
      <c r="J2468" s="3">
        <v>13.01</v>
      </c>
      <c r="K2468" s="3">
        <v>846573.71</v>
      </c>
    </row>
    <row r="2469" spans="1:11" x14ac:dyDescent="0.2">
      <c r="A2469" s="1" t="s">
        <v>3579</v>
      </c>
      <c r="B2469" s="2">
        <v>45639</v>
      </c>
      <c r="C2469" s="1" t="s">
        <v>1417</v>
      </c>
      <c r="D2469" s="1" t="s">
        <v>1418</v>
      </c>
      <c r="E2469" s="1" t="s">
        <v>34</v>
      </c>
      <c r="F2469" s="1" t="s">
        <v>22</v>
      </c>
      <c r="G2469" s="1" t="s">
        <v>23</v>
      </c>
      <c r="H2469" s="1" t="s">
        <v>24</v>
      </c>
      <c r="I2469">
        <v>53713</v>
      </c>
      <c r="J2469" s="3">
        <v>20.98</v>
      </c>
      <c r="K2469" s="3">
        <v>1126898.74</v>
      </c>
    </row>
    <row r="2470" spans="1:11" x14ac:dyDescent="0.2">
      <c r="A2470" s="1" t="s">
        <v>3580</v>
      </c>
      <c r="B2470" s="2">
        <v>45934</v>
      </c>
      <c r="C2470" s="1" t="s">
        <v>617</v>
      </c>
      <c r="D2470" s="1" t="s">
        <v>618</v>
      </c>
      <c r="E2470" s="1" t="s">
        <v>37</v>
      </c>
      <c r="F2470" s="1" t="s">
        <v>103</v>
      </c>
      <c r="G2470" s="1" t="s">
        <v>104</v>
      </c>
      <c r="H2470" s="1" t="s">
        <v>37</v>
      </c>
      <c r="I2470">
        <v>96662</v>
      </c>
      <c r="J2470" s="3">
        <v>4.58</v>
      </c>
      <c r="K2470" s="3">
        <v>442711.96</v>
      </c>
    </row>
    <row r="2471" spans="1:11" x14ac:dyDescent="0.2">
      <c r="A2471" s="1" t="s">
        <v>3581</v>
      </c>
      <c r="B2471" s="2">
        <v>45597</v>
      </c>
      <c r="C2471" s="1" t="s">
        <v>570</v>
      </c>
      <c r="D2471" s="1" t="s">
        <v>571</v>
      </c>
      <c r="E2471" s="1" t="s">
        <v>28</v>
      </c>
      <c r="F2471" s="1" t="s">
        <v>15</v>
      </c>
      <c r="G2471" s="1" t="s">
        <v>16</v>
      </c>
      <c r="H2471" s="1" t="s">
        <v>17</v>
      </c>
      <c r="I2471">
        <v>52975</v>
      </c>
      <c r="J2471" s="3">
        <v>33.729999999999997</v>
      </c>
      <c r="K2471" s="3">
        <v>1786846.75</v>
      </c>
    </row>
    <row r="2472" spans="1:11" x14ac:dyDescent="0.2">
      <c r="A2472" s="1" t="s">
        <v>3582</v>
      </c>
      <c r="B2472" s="2">
        <v>45961</v>
      </c>
      <c r="C2472" s="1" t="s">
        <v>84</v>
      </c>
      <c r="D2472" s="1" t="s">
        <v>85</v>
      </c>
      <c r="E2472" s="1" t="s">
        <v>28</v>
      </c>
      <c r="F2472" s="1" t="s">
        <v>273</v>
      </c>
      <c r="G2472" s="1" t="s">
        <v>274</v>
      </c>
      <c r="H2472" s="1" t="s">
        <v>24</v>
      </c>
      <c r="I2472">
        <v>25956</v>
      </c>
      <c r="J2472" s="3">
        <v>15.86</v>
      </c>
      <c r="K2472" s="3">
        <v>411662.16</v>
      </c>
    </row>
    <row r="2473" spans="1:11" x14ac:dyDescent="0.2">
      <c r="A2473" s="1" t="s">
        <v>3583</v>
      </c>
      <c r="B2473" s="2">
        <v>45465</v>
      </c>
      <c r="C2473" s="1" t="s">
        <v>972</v>
      </c>
      <c r="D2473" s="1" t="s">
        <v>973</v>
      </c>
      <c r="E2473" s="1" t="s">
        <v>34</v>
      </c>
      <c r="F2473" s="1" t="s">
        <v>761</v>
      </c>
      <c r="G2473" s="1" t="s">
        <v>762</v>
      </c>
      <c r="H2473" s="1" t="s">
        <v>48</v>
      </c>
      <c r="I2473">
        <v>13649</v>
      </c>
      <c r="J2473" s="3">
        <v>46.92</v>
      </c>
      <c r="K2473" s="3">
        <v>640411.07999999996</v>
      </c>
    </row>
    <row r="2474" spans="1:11" x14ac:dyDescent="0.2">
      <c r="A2474" s="1" t="s">
        <v>3584</v>
      </c>
      <c r="B2474" s="2">
        <v>45504</v>
      </c>
      <c r="C2474" s="1" t="s">
        <v>84</v>
      </c>
      <c r="D2474" s="1" t="s">
        <v>85</v>
      </c>
      <c r="E2474" s="1" t="s">
        <v>28</v>
      </c>
      <c r="F2474" s="1" t="s">
        <v>41</v>
      </c>
      <c r="G2474" s="1" t="s">
        <v>42</v>
      </c>
      <c r="H2474" s="1" t="s">
        <v>24</v>
      </c>
      <c r="I2474">
        <v>94930</v>
      </c>
      <c r="J2474" s="3">
        <v>11.34</v>
      </c>
      <c r="K2474" s="3">
        <v>1076506.2</v>
      </c>
    </row>
    <row r="2475" spans="1:11" x14ac:dyDescent="0.2">
      <c r="A2475" s="1" t="s">
        <v>3585</v>
      </c>
      <c r="B2475" s="2">
        <v>45886</v>
      </c>
      <c r="C2475" s="1" t="s">
        <v>90</v>
      </c>
      <c r="D2475" s="1" t="s">
        <v>91</v>
      </c>
      <c r="E2475" s="1" t="s">
        <v>28</v>
      </c>
      <c r="F2475" s="1" t="s">
        <v>108</v>
      </c>
      <c r="G2475" s="1" t="s">
        <v>109</v>
      </c>
      <c r="H2475" s="1" t="s">
        <v>37</v>
      </c>
      <c r="I2475">
        <v>73279</v>
      </c>
      <c r="J2475" s="3">
        <v>13.79</v>
      </c>
      <c r="K2475" s="3">
        <v>1010517.41</v>
      </c>
    </row>
    <row r="2476" spans="1:11" x14ac:dyDescent="0.2">
      <c r="A2476" s="1" t="s">
        <v>3586</v>
      </c>
      <c r="B2476" s="2">
        <v>45369</v>
      </c>
      <c r="C2476" s="1" t="s">
        <v>1426</v>
      </c>
      <c r="D2476" s="1" t="s">
        <v>1427</v>
      </c>
      <c r="E2476" s="1" t="s">
        <v>28</v>
      </c>
      <c r="F2476" s="1" t="s">
        <v>195</v>
      </c>
      <c r="G2476" s="1" t="s">
        <v>196</v>
      </c>
      <c r="H2476" s="1" t="s">
        <v>48</v>
      </c>
      <c r="I2476">
        <v>66084</v>
      </c>
      <c r="J2476" s="3">
        <v>5.0199999999999996</v>
      </c>
      <c r="K2476" s="3">
        <v>331741.68</v>
      </c>
    </row>
    <row r="2477" spans="1:11" x14ac:dyDescent="0.2">
      <c r="A2477" s="1" t="s">
        <v>3587</v>
      </c>
      <c r="B2477" s="2">
        <v>45482</v>
      </c>
      <c r="C2477" s="1" t="s">
        <v>1064</v>
      </c>
      <c r="D2477" s="1" t="s">
        <v>1065</v>
      </c>
      <c r="E2477" s="1" t="s">
        <v>14</v>
      </c>
      <c r="F2477" s="1" t="s">
        <v>761</v>
      </c>
      <c r="G2477" s="1" t="s">
        <v>762</v>
      </c>
      <c r="H2477" s="1" t="s">
        <v>48</v>
      </c>
      <c r="I2477">
        <v>10083</v>
      </c>
      <c r="J2477" s="3">
        <v>48.8</v>
      </c>
      <c r="K2477" s="3">
        <v>492050.4</v>
      </c>
    </row>
    <row r="2478" spans="1:11" x14ac:dyDescent="0.2">
      <c r="A2478" s="1" t="s">
        <v>3588</v>
      </c>
      <c r="B2478" s="2">
        <v>45750</v>
      </c>
      <c r="C2478" s="1" t="s">
        <v>2100</v>
      </c>
      <c r="D2478" s="1" t="s">
        <v>2101</v>
      </c>
      <c r="E2478" s="1" t="s">
        <v>37</v>
      </c>
      <c r="F2478" s="1" t="s">
        <v>184</v>
      </c>
      <c r="G2478" s="1" t="s">
        <v>185</v>
      </c>
      <c r="H2478" s="1" t="s">
        <v>17</v>
      </c>
      <c r="I2478">
        <v>3888</v>
      </c>
      <c r="J2478" s="3">
        <v>46.53</v>
      </c>
      <c r="K2478" s="3">
        <v>180908.64</v>
      </c>
    </row>
    <row r="2479" spans="1:11" x14ac:dyDescent="0.2">
      <c r="A2479" s="1" t="s">
        <v>3589</v>
      </c>
      <c r="B2479" s="2">
        <v>45683</v>
      </c>
      <c r="C2479" s="1" t="s">
        <v>669</v>
      </c>
      <c r="D2479" s="1" t="s">
        <v>670</v>
      </c>
      <c r="E2479" s="1" t="s">
        <v>34</v>
      </c>
      <c r="F2479" s="1" t="s">
        <v>474</v>
      </c>
      <c r="G2479" s="1" t="s">
        <v>475</v>
      </c>
      <c r="H2479" s="1" t="s">
        <v>48</v>
      </c>
      <c r="I2479">
        <v>37272</v>
      </c>
      <c r="J2479" s="3">
        <v>6.76</v>
      </c>
      <c r="K2479" s="3">
        <v>251958.72</v>
      </c>
    </row>
    <row r="2480" spans="1:11" x14ac:dyDescent="0.2">
      <c r="A2480" s="1" t="s">
        <v>3590</v>
      </c>
      <c r="B2480" s="2">
        <v>45500</v>
      </c>
      <c r="C2480" s="1" t="s">
        <v>1171</v>
      </c>
      <c r="D2480" s="1" t="s">
        <v>1172</v>
      </c>
      <c r="E2480" s="1" t="s">
        <v>34</v>
      </c>
      <c r="F2480" s="1" t="s">
        <v>15</v>
      </c>
      <c r="G2480" s="1" t="s">
        <v>16</v>
      </c>
      <c r="H2480" s="1" t="s">
        <v>17</v>
      </c>
      <c r="I2480">
        <v>75295</v>
      </c>
      <c r="J2480" s="3">
        <v>24.74</v>
      </c>
      <c r="K2480" s="3">
        <v>1862798.3</v>
      </c>
    </row>
    <row r="2481" spans="1:11" x14ac:dyDescent="0.2">
      <c r="A2481" s="1" t="s">
        <v>3591</v>
      </c>
      <c r="B2481" s="2">
        <v>45733</v>
      </c>
      <c r="C2481" s="1" t="s">
        <v>2319</v>
      </c>
      <c r="D2481" s="1" t="s">
        <v>2320</v>
      </c>
      <c r="E2481" s="1" t="s">
        <v>21</v>
      </c>
      <c r="F2481" s="1" t="s">
        <v>350</v>
      </c>
      <c r="G2481" s="1" t="s">
        <v>351</v>
      </c>
      <c r="H2481" s="1" t="s">
        <v>37</v>
      </c>
      <c r="I2481">
        <v>87741</v>
      </c>
      <c r="J2481" s="3">
        <v>13.78</v>
      </c>
      <c r="K2481" s="3">
        <v>1209070.98</v>
      </c>
    </row>
    <row r="2482" spans="1:11" x14ac:dyDescent="0.2">
      <c r="A2482" s="1" t="s">
        <v>3592</v>
      </c>
      <c r="B2482" s="2">
        <v>45818</v>
      </c>
      <c r="C2482" s="1" t="s">
        <v>1881</v>
      </c>
      <c r="D2482" s="1" t="s">
        <v>1882</v>
      </c>
      <c r="E2482" s="1" t="s">
        <v>34</v>
      </c>
      <c r="F2482" s="1" t="s">
        <v>761</v>
      </c>
      <c r="G2482" s="1" t="s">
        <v>762</v>
      </c>
      <c r="H2482" s="1" t="s">
        <v>48</v>
      </c>
      <c r="I2482">
        <v>84287</v>
      </c>
      <c r="J2482" s="3">
        <v>44.17</v>
      </c>
      <c r="K2482" s="3">
        <v>3722956.79</v>
      </c>
    </row>
    <row r="2483" spans="1:11" x14ac:dyDescent="0.2">
      <c r="A2483" s="1" t="s">
        <v>3593</v>
      </c>
      <c r="B2483" s="2">
        <v>45936</v>
      </c>
      <c r="C2483" s="1" t="s">
        <v>832</v>
      </c>
      <c r="D2483" s="1" t="s">
        <v>833</v>
      </c>
      <c r="E2483" s="1" t="s">
        <v>28</v>
      </c>
      <c r="F2483" s="1" t="s">
        <v>81</v>
      </c>
      <c r="G2483" s="1" t="s">
        <v>82</v>
      </c>
      <c r="H2483" s="1" t="s">
        <v>72</v>
      </c>
      <c r="I2483">
        <v>92216</v>
      </c>
      <c r="J2483" s="3">
        <v>44.9</v>
      </c>
      <c r="K2483" s="3">
        <v>4140498.4</v>
      </c>
    </row>
    <row r="2484" spans="1:11" x14ac:dyDescent="0.2">
      <c r="A2484" s="1" t="s">
        <v>3594</v>
      </c>
      <c r="B2484" s="2">
        <v>45318</v>
      </c>
      <c r="C2484" s="1" t="s">
        <v>1402</v>
      </c>
      <c r="D2484" s="1" t="s">
        <v>1403</v>
      </c>
      <c r="E2484" s="1" t="s">
        <v>34</v>
      </c>
      <c r="F2484" s="1" t="s">
        <v>189</v>
      </c>
      <c r="G2484" s="1" t="s">
        <v>190</v>
      </c>
      <c r="H2484" s="1" t="s">
        <v>17</v>
      </c>
      <c r="I2484">
        <v>94063</v>
      </c>
      <c r="J2484" s="3">
        <v>36</v>
      </c>
      <c r="K2484" s="3">
        <v>3386268</v>
      </c>
    </row>
    <row r="2485" spans="1:11" x14ac:dyDescent="0.2">
      <c r="A2485" s="1" t="s">
        <v>3595</v>
      </c>
      <c r="B2485" s="2">
        <v>45779</v>
      </c>
      <c r="C2485" s="1" t="s">
        <v>2991</v>
      </c>
      <c r="D2485" s="1" t="s">
        <v>2992</v>
      </c>
      <c r="E2485" s="1" t="s">
        <v>37</v>
      </c>
      <c r="F2485" s="1" t="s">
        <v>406</v>
      </c>
      <c r="G2485" s="1" t="s">
        <v>407</v>
      </c>
      <c r="H2485" s="1" t="s">
        <v>17</v>
      </c>
      <c r="I2485">
        <v>77007</v>
      </c>
      <c r="J2485" s="3">
        <v>16.489999999999998</v>
      </c>
      <c r="K2485" s="3">
        <v>1269845.43</v>
      </c>
    </row>
    <row r="2486" spans="1:11" x14ac:dyDescent="0.2">
      <c r="A2486" s="1" t="s">
        <v>3596</v>
      </c>
      <c r="B2486" s="2">
        <v>45495</v>
      </c>
      <c r="C2486" s="1" t="s">
        <v>55</v>
      </c>
      <c r="D2486" s="1" t="s">
        <v>56</v>
      </c>
      <c r="E2486" s="1" t="s">
        <v>21</v>
      </c>
      <c r="F2486" s="1" t="s">
        <v>474</v>
      </c>
      <c r="G2486" s="1" t="s">
        <v>475</v>
      </c>
      <c r="H2486" s="1" t="s">
        <v>48</v>
      </c>
      <c r="I2486">
        <v>2759</v>
      </c>
      <c r="J2486" s="3">
        <v>5.29</v>
      </c>
      <c r="K2486" s="3">
        <v>14595.11</v>
      </c>
    </row>
    <row r="2487" spans="1:11" x14ac:dyDescent="0.2">
      <c r="A2487" s="1" t="s">
        <v>3597</v>
      </c>
      <c r="B2487" s="2">
        <v>45923</v>
      </c>
      <c r="C2487" s="1" t="s">
        <v>282</v>
      </c>
      <c r="D2487" s="1" t="s">
        <v>283</v>
      </c>
      <c r="E2487" s="1" t="s">
        <v>21</v>
      </c>
      <c r="F2487" s="1" t="s">
        <v>203</v>
      </c>
      <c r="G2487" s="1" t="s">
        <v>204</v>
      </c>
      <c r="H2487" s="1" t="s">
        <v>72</v>
      </c>
      <c r="I2487">
        <v>40103</v>
      </c>
      <c r="J2487" s="3">
        <v>48.05</v>
      </c>
      <c r="K2487" s="3">
        <v>1926949.15</v>
      </c>
    </row>
    <row r="2488" spans="1:11" x14ac:dyDescent="0.2">
      <c r="A2488" s="1" t="s">
        <v>3598</v>
      </c>
      <c r="B2488" s="2">
        <v>45421</v>
      </c>
      <c r="C2488" s="1" t="s">
        <v>382</v>
      </c>
      <c r="D2488" s="1" t="s">
        <v>383</v>
      </c>
      <c r="E2488" s="1" t="s">
        <v>34</v>
      </c>
      <c r="F2488" s="1" t="s">
        <v>217</v>
      </c>
      <c r="G2488" s="1" t="s">
        <v>218</v>
      </c>
      <c r="H2488" s="1" t="s">
        <v>72</v>
      </c>
      <c r="I2488">
        <v>32737</v>
      </c>
      <c r="J2488" s="3">
        <v>4.91</v>
      </c>
      <c r="K2488" s="3">
        <v>160738.67000000001</v>
      </c>
    </row>
    <row r="2489" spans="1:11" x14ac:dyDescent="0.2">
      <c r="A2489" s="1" t="s">
        <v>3599</v>
      </c>
      <c r="B2489" s="2">
        <v>45867</v>
      </c>
      <c r="C2489" s="1" t="s">
        <v>1211</v>
      </c>
      <c r="D2489" s="1" t="s">
        <v>1212</v>
      </c>
      <c r="E2489" s="1" t="s">
        <v>37</v>
      </c>
      <c r="F2489" s="1" t="s">
        <v>339</v>
      </c>
      <c r="G2489" s="1" t="s">
        <v>340</v>
      </c>
      <c r="H2489" s="1" t="s">
        <v>24</v>
      </c>
      <c r="I2489">
        <v>32185</v>
      </c>
      <c r="J2489" s="3">
        <v>20.29</v>
      </c>
      <c r="K2489" s="3">
        <v>653033.65</v>
      </c>
    </row>
    <row r="2490" spans="1:11" x14ac:dyDescent="0.2">
      <c r="A2490" s="1" t="s">
        <v>3600</v>
      </c>
      <c r="B2490" s="2">
        <v>45487</v>
      </c>
      <c r="C2490" s="1" t="s">
        <v>424</v>
      </c>
      <c r="D2490" s="1" t="s">
        <v>425</v>
      </c>
      <c r="E2490" s="1" t="s">
        <v>28</v>
      </c>
      <c r="F2490" s="1" t="s">
        <v>70</v>
      </c>
      <c r="G2490" s="1" t="s">
        <v>71</v>
      </c>
      <c r="H2490" s="1" t="s">
        <v>72</v>
      </c>
      <c r="I2490">
        <v>17819</v>
      </c>
      <c r="J2490" s="3">
        <v>28.25</v>
      </c>
      <c r="K2490" s="3">
        <v>503386.75</v>
      </c>
    </row>
    <row r="2491" spans="1:11" x14ac:dyDescent="0.2">
      <c r="A2491" s="1" t="s">
        <v>3601</v>
      </c>
      <c r="B2491" s="2">
        <v>45572</v>
      </c>
      <c r="C2491" s="1" t="s">
        <v>2991</v>
      </c>
      <c r="D2491" s="1" t="s">
        <v>2992</v>
      </c>
      <c r="E2491" s="1" t="s">
        <v>37</v>
      </c>
      <c r="F2491" s="1" t="s">
        <v>57</v>
      </c>
      <c r="G2491" s="1" t="s">
        <v>58</v>
      </c>
      <c r="H2491" s="1" t="s">
        <v>48</v>
      </c>
      <c r="I2491">
        <v>65191</v>
      </c>
      <c r="J2491" s="3">
        <v>21.52</v>
      </c>
      <c r="K2491" s="3">
        <v>1402910.32</v>
      </c>
    </row>
    <row r="2492" spans="1:11" x14ac:dyDescent="0.2">
      <c r="A2492" s="1" t="s">
        <v>3602</v>
      </c>
      <c r="B2492" s="2">
        <v>45652</v>
      </c>
      <c r="C2492" s="1" t="s">
        <v>602</v>
      </c>
      <c r="D2492" s="1" t="s">
        <v>603</v>
      </c>
      <c r="E2492" s="1" t="s">
        <v>28</v>
      </c>
      <c r="F2492" s="1" t="s">
        <v>330</v>
      </c>
      <c r="G2492" s="1" t="s">
        <v>331</v>
      </c>
      <c r="H2492" s="1" t="s">
        <v>72</v>
      </c>
      <c r="I2492">
        <v>6648</v>
      </c>
      <c r="J2492" s="3">
        <v>40.17</v>
      </c>
      <c r="K2492" s="3">
        <v>267050.15999999997</v>
      </c>
    </row>
    <row r="2493" spans="1:11" x14ac:dyDescent="0.2">
      <c r="A2493" s="1" t="s">
        <v>3603</v>
      </c>
      <c r="B2493" s="2">
        <v>45592</v>
      </c>
      <c r="C2493" s="1" t="s">
        <v>913</v>
      </c>
      <c r="D2493" s="1" t="s">
        <v>914</v>
      </c>
      <c r="E2493" s="1" t="s">
        <v>37</v>
      </c>
      <c r="F2493" s="1" t="s">
        <v>339</v>
      </c>
      <c r="G2493" s="1" t="s">
        <v>340</v>
      </c>
      <c r="H2493" s="1" t="s">
        <v>24</v>
      </c>
      <c r="I2493">
        <v>74889</v>
      </c>
      <c r="J2493" s="3">
        <v>14.5</v>
      </c>
      <c r="K2493" s="3">
        <v>1085890.5</v>
      </c>
    </row>
    <row r="2494" spans="1:11" x14ac:dyDescent="0.2">
      <c r="A2494" s="1" t="s">
        <v>3604</v>
      </c>
      <c r="B2494" s="2">
        <v>45296</v>
      </c>
      <c r="C2494" s="1" t="s">
        <v>1302</v>
      </c>
      <c r="D2494" s="1" t="s">
        <v>1303</v>
      </c>
      <c r="E2494" s="1" t="s">
        <v>37</v>
      </c>
      <c r="F2494" s="1" t="s">
        <v>98</v>
      </c>
      <c r="G2494" s="1" t="s">
        <v>99</v>
      </c>
      <c r="H2494" s="1" t="s">
        <v>72</v>
      </c>
      <c r="I2494">
        <v>95671</v>
      </c>
      <c r="J2494" s="3">
        <v>31.71</v>
      </c>
      <c r="K2494" s="3">
        <v>3033727.41</v>
      </c>
    </row>
    <row r="2495" spans="1:11" x14ac:dyDescent="0.2">
      <c r="A2495" s="1" t="s">
        <v>3605</v>
      </c>
      <c r="B2495" s="2">
        <v>45424</v>
      </c>
      <c r="C2495" s="1" t="s">
        <v>2064</v>
      </c>
      <c r="D2495" s="1" t="s">
        <v>2065</v>
      </c>
      <c r="E2495" s="1" t="s">
        <v>14</v>
      </c>
      <c r="F2495" s="1" t="s">
        <v>35</v>
      </c>
      <c r="G2495" s="1" t="s">
        <v>36</v>
      </c>
      <c r="H2495" s="1" t="s">
        <v>37</v>
      </c>
      <c r="I2495">
        <v>4211</v>
      </c>
      <c r="J2495" s="3">
        <v>8.18</v>
      </c>
      <c r="K2495" s="3">
        <v>34445.980000000003</v>
      </c>
    </row>
    <row r="2496" spans="1:11" x14ac:dyDescent="0.2">
      <c r="A2496" s="1" t="s">
        <v>3606</v>
      </c>
      <c r="B2496" s="2">
        <v>45751</v>
      </c>
      <c r="C2496" s="1" t="s">
        <v>688</v>
      </c>
      <c r="D2496" s="1" t="s">
        <v>689</v>
      </c>
      <c r="E2496" s="1" t="s">
        <v>37</v>
      </c>
      <c r="F2496" s="1" t="s">
        <v>228</v>
      </c>
      <c r="G2496" s="1" t="s">
        <v>229</v>
      </c>
      <c r="H2496" s="1" t="s">
        <v>48</v>
      </c>
      <c r="I2496">
        <v>59701</v>
      </c>
      <c r="J2496" s="3">
        <v>43.76</v>
      </c>
      <c r="K2496" s="3">
        <v>2612515.7599999998</v>
      </c>
    </row>
    <row r="2497" spans="1:11" x14ac:dyDescent="0.2">
      <c r="A2497" s="1" t="s">
        <v>3607</v>
      </c>
      <c r="B2497" s="2">
        <v>45692</v>
      </c>
      <c r="C2497" s="1" t="s">
        <v>427</v>
      </c>
      <c r="D2497" s="1" t="s">
        <v>428</v>
      </c>
      <c r="E2497" s="1" t="s">
        <v>21</v>
      </c>
      <c r="F2497" s="1" t="s">
        <v>152</v>
      </c>
      <c r="G2497" s="1" t="s">
        <v>153</v>
      </c>
      <c r="H2497" s="1" t="s">
        <v>17</v>
      </c>
      <c r="I2497">
        <v>79867</v>
      </c>
      <c r="J2497" s="3">
        <v>18.23</v>
      </c>
      <c r="K2497" s="3">
        <v>1455975.41</v>
      </c>
    </row>
    <row r="2498" spans="1:11" x14ac:dyDescent="0.2">
      <c r="A2498" s="1" t="s">
        <v>3608</v>
      </c>
      <c r="B2498" s="2">
        <v>45934</v>
      </c>
      <c r="C2498" s="1" t="s">
        <v>794</v>
      </c>
      <c r="D2498" s="1" t="s">
        <v>795</v>
      </c>
      <c r="E2498" s="1" t="s">
        <v>28</v>
      </c>
      <c r="F2498" s="1" t="s">
        <v>76</v>
      </c>
      <c r="G2498" s="1" t="s">
        <v>77</v>
      </c>
      <c r="H2498" s="1" t="s">
        <v>48</v>
      </c>
      <c r="I2498">
        <v>23656</v>
      </c>
      <c r="J2498" s="3">
        <v>7.84</v>
      </c>
      <c r="K2498" s="3">
        <v>185463.04000000001</v>
      </c>
    </row>
    <row r="2499" spans="1:11" x14ac:dyDescent="0.2">
      <c r="A2499" s="1" t="s">
        <v>3609</v>
      </c>
      <c r="B2499" s="2">
        <v>45947</v>
      </c>
      <c r="C2499" s="1" t="s">
        <v>559</v>
      </c>
      <c r="D2499" s="1" t="s">
        <v>560</v>
      </c>
      <c r="E2499" s="1" t="s">
        <v>14</v>
      </c>
      <c r="F2499" s="1" t="s">
        <v>761</v>
      </c>
      <c r="G2499" s="1" t="s">
        <v>762</v>
      </c>
      <c r="H2499" s="1" t="s">
        <v>48</v>
      </c>
      <c r="I2499">
        <v>31521</v>
      </c>
      <c r="J2499" s="3">
        <v>42.22</v>
      </c>
      <c r="K2499" s="3">
        <v>1330816.6200000001</v>
      </c>
    </row>
    <row r="2500" spans="1:11" x14ac:dyDescent="0.2">
      <c r="A2500" s="1" t="s">
        <v>3610</v>
      </c>
      <c r="B2500" s="2">
        <v>45693</v>
      </c>
      <c r="C2500" s="1" t="s">
        <v>955</v>
      </c>
      <c r="D2500" s="1" t="s">
        <v>956</v>
      </c>
      <c r="E2500" s="1" t="s">
        <v>28</v>
      </c>
      <c r="F2500" s="1" t="s">
        <v>76</v>
      </c>
      <c r="G2500" s="1" t="s">
        <v>77</v>
      </c>
      <c r="H2500" s="1" t="s">
        <v>48</v>
      </c>
      <c r="I2500">
        <v>32898</v>
      </c>
      <c r="J2500" s="3">
        <v>5.01</v>
      </c>
      <c r="K2500" s="3">
        <v>164818.98000000001</v>
      </c>
    </row>
    <row r="2501" spans="1:11" x14ac:dyDescent="0.2">
      <c r="A2501" s="1" t="s">
        <v>3611</v>
      </c>
      <c r="B2501" s="2">
        <v>45441</v>
      </c>
      <c r="C2501" s="1" t="s">
        <v>3064</v>
      </c>
      <c r="D2501" s="1" t="s">
        <v>3065</v>
      </c>
      <c r="E2501" s="1" t="s">
        <v>37</v>
      </c>
      <c r="F2501" s="1" t="s">
        <v>22</v>
      </c>
      <c r="G2501" s="1" t="s">
        <v>23</v>
      </c>
      <c r="H2501" s="1" t="s">
        <v>24</v>
      </c>
      <c r="I2501">
        <v>47621</v>
      </c>
      <c r="J2501" s="3">
        <v>9.36</v>
      </c>
      <c r="K2501" s="3">
        <v>445732.56</v>
      </c>
    </row>
    <row r="2502" spans="1:11" x14ac:dyDescent="0.2">
      <c r="A2502" s="1" t="s">
        <v>3612</v>
      </c>
      <c r="B2502" s="2">
        <v>45859</v>
      </c>
      <c r="C2502" s="1" t="s">
        <v>2273</v>
      </c>
      <c r="D2502" s="1" t="s">
        <v>2274</v>
      </c>
      <c r="E2502" s="1" t="s">
        <v>28</v>
      </c>
      <c r="F2502" s="1" t="s">
        <v>273</v>
      </c>
      <c r="G2502" s="1" t="s">
        <v>274</v>
      </c>
      <c r="H2502" s="1" t="s">
        <v>24</v>
      </c>
      <c r="I2502">
        <v>76478</v>
      </c>
      <c r="J2502" s="3">
        <v>29.98</v>
      </c>
      <c r="K2502" s="3">
        <v>2292810.44</v>
      </c>
    </row>
    <row r="2503" spans="1:11" x14ac:dyDescent="0.2">
      <c r="A2503" s="1" t="s">
        <v>3613</v>
      </c>
      <c r="B2503" s="2">
        <v>45621</v>
      </c>
      <c r="C2503" s="1" t="s">
        <v>651</v>
      </c>
      <c r="D2503" s="1" t="s">
        <v>652</v>
      </c>
      <c r="E2503" s="1" t="s">
        <v>28</v>
      </c>
      <c r="F2503" s="1" t="s">
        <v>144</v>
      </c>
      <c r="G2503" s="1" t="s">
        <v>145</v>
      </c>
      <c r="H2503" s="1" t="s">
        <v>24</v>
      </c>
      <c r="I2503">
        <v>91590</v>
      </c>
      <c r="J2503" s="3">
        <v>9.19</v>
      </c>
      <c r="K2503" s="3">
        <v>841712.1</v>
      </c>
    </row>
    <row r="2504" spans="1:11" x14ac:dyDescent="0.2">
      <c r="A2504" s="1" t="s">
        <v>3614</v>
      </c>
      <c r="B2504" s="2">
        <v>45908</v>
      </c>
      <c r="C2504" s="1" t="s">
        <v>1516</v>
      </c>
      <c r="D2504" s="1" t="s">
        <v>1517</v>
      </c>
      <c r="E2504" s="1" t="s">
        <v>21</v>
      </c>
      <c r="F2504" s="1" t="s">
        <v>540</v>
      </c>
      <c r="G2504" s="1" t="s">
        <v>541</v>
      </c>
      <c r="H2504" s="1" t="s">
        <v>37</v>
      </c>
      <c r="I2504">
        <v>28468</v>
      </c>
      <c r="J2504" s="3">
        <v>39.53</v>
      </c>
      <c r="K2504" s="3">
        <v>1125340.04</v>
      </c>
    </row>
    <row r="2505" spans="1:11" x14ac:dyDescent="0.2">
      <c r="A2505" s="1" t="s">
        <v>3615</v>
      </c>
      <c r="B2505" s="2">
        <v>45761</v>
      </c>
      <c r="C2505" s="1" t="s">
        <v>1276</v>
      </c>
      <c r="D2505" s="1" t="s">
        <v>1277</v>
      </c>
      <c r="E2505" s="1" t="s">
        <v>37</v>
      </c>
      <c r="F2505" s="1" t="s">
        <v>458</v>
      </c>
      <c r="G2505" s="1" t="s">
        <v>459</v>
      </c>
      <c r="H2505" s="1" t="s">
        <v>72</v>
      </c>
      <c r="I2505">
        <v>54835</v>
      </c>
      <c r="J2505" s="3">
        <v>44.58</v>
      </c>
      <c r="K2505" s="3">
        <v>2444544.2999999998</v>
      </c>
    </row>
    <row r="2506" spans="1:11" x14ac:dyDescent="0.2">
      <c r="A2506" s="1" t="s">
        <v>3616</v>
      </c>
      <c r="B2506" s="2">
        <v>45919</v>
      </c>
      <c r="C2506" s="1" t="s">
        <v>1178</v>
      </c>
      <c r="D2506" s="1" t="s">
        <v>1179</v>
      </c>
      <c r="E2506" s="1" t="s">
        <v>34</v>
      </c>
      <c r="F2506" s="1" t="s">
        <v>176</v>
      </c>
      <c r="G2506" s="1" t="s">
        <v>177</v>
      </c>
      <c r="H2506" s="1" t="s">
        <v>37</v>
      </c>
      <c r="I2506">
        <v>94809</v>
      </c>
      <c r="J2506" s="3">
        <v>21.12</v>
      </c>
      <c r="K2506" s="3">
        <v>2002366.08</v>
      </c>
    </row>
    <row r="2507" spans="1:11" x14ac:dyDescent="0.2">
      <c r="A2507" s="1" t="s">
        <v>3617</v>
      </c>
      <c r="B2507" s="2">
        <v>45295</v>
      </c>
      <c r="C2507" s="1" t="s">
        <v>1201</v>
      </c>
      <c r="D2507" s="1" t="s">
        <v>1202</v>
      </c>
      <c r="E2507" s="1" t="s">
        <v>37</v>
      </c>
      <c r="F2507" s="1" t="s">
        <v>203</v>
      </c>
      <c r="G2507" s="1" t="s">
        <v>204</v>
      </c>
      <c r="H2507" s="1" t="s">
        <v>72</v>
      </c>
      <c r="I2507">
        <v>16253</v>
      </c>
      <c r="J2507" s="3">
        <v>9.41</v>
      </c>
      <c r="K2507" s="3">
        <v>152940.73000000001</v>
      </c>
    </row>
    <row r="2508" spans="1:11" x14ac:dyDescent="0.2">
      <c r="A2508" s="1" t="s">
        <v>3618</v>
      </c>
      <c r="B2508" s="2">
        <v>45947</v>
      </c>
      <c r="C2508" s="1" t="s">
        <v>951</v>
      </c>
      <c r="D2508" s="1" t="s">
        <v>952</v>
      </c>
      <c r="E2508" s="1" t="s">
        <v>14</v>
      </c>
      <c r="F2508" s="1" t="s">
        <v>176</v>
      </c>
      <c r="G2508" s="1" t="s">
        <v>177</v>
      </c>
      <c r="H2508" s="1" t="s">
        <v>37</v>
      </c>
      <c r="I2508">
        <v>61954</v>
      </c>
      <c r="J2508" s="3">
        <v>9.84</v>
      </c>
      <c r="K2508" s="3">
        <v>609627.36</v>
      </c>
    </row>
    <row r="2509" spans="1:11" x14ac:dyDescent="0.2">
      <c r="A2509" s="1" t="s">
        <v>3619</v>
      </c>
      <c r="B2509" s="2">
        <v>45926</v>
      </c>
      <c r="C2509" s="1" t="s">
        <v>838</v>
      </c>
      <c r="D2509" s="1" t="s">
        <v>839</v>
      </c>
      <c r="E2509" s="1" t="s">
        <v>28</v>
      </c>
      <c r="F2509" s="1" t="s">
        <v>152</v>
      </c>
      <c r="G2509" s="1" t="s">
        <v>153</v>
      </c>
      <c r="H2509" s="1" t="s">
        <v>17</v>
      </c>
      <c r="I2509">
        <v>72504</v>
      </c>
      <c r="J2509" s="3">
        <v>16.309999999999999</v>
      </c>
      <c r="K2509" s="3">
        <v>1182540.24</v>
      </c>
    </row>
    <row r="2510" spans="1:11" x14ac:dyDescent="0.2">
      <c r="A2510" s="1" t="s">
        <v>3620</v>
      </c>
      <c r="B2510" s="2">
        <v>45813</v>
      </c>
      <c r="C2510" s="1" t="s">
        <v>291</v>
      </c>
      <c r="D2510" s="1" t="s">
        <v>292</v>
      </c>
      <c r="E2510" s="1" t="s">
        <v>14</v>
      </c>
      <c r="F2510" s="1" t="s">
        <v>406</v>
      </c>
      <c r="G2510" s="1" t="s">
        <v>407</v>
      </c>
      <c r="H2510" s="1" t="s">
        <v>17</v>
      </c>
      <c r="I2510">
        <v>2223</v>
      </c>
      <c r="J2510" s="3">
        <v>41.38</v>
      </c>
      <c r="K2510" s="3">
        <v>91987.74</v>
      </c>
    </row>
    <row r="2511" spans="1:11" x14ac:dyDescent="0.2">
      <c r="A2511" s="1" t="s">
        <v>3621</v>
      </c>
      <c r="B2511" s="2">
        <v>45793</v>
      </c>
      <c r="C2511" s="1" t="s">
        <v>1233</v>
      </c>
      <c r="D2511" s="1" t="s">
        <v>1234</v>
      </c>
      <c r="E2511" s="1" t="s">
        <v>14</v>
      </c>
      <c r="F2511" s="1" t="s">
        <v>144</v>
      </c>
      <c r="G2511" s="1" t="s">
        <v>145</v>
      </c>
      <c r="H2511" s="1" t="s">
        <v>24</v>
      </c>
      <c r="I2511">
        <v>95394</v>
      </c>
      <c r="J2511" s="3">
        <v>45.17</v>
      </c>
      <c r="K2511" s="3">
        <v>4308946.9800000004</v>
      </c>
    </row>
    <row r="2512" spans="1:11" x14ac:dyDescent="0.2">
      <c r="A2512" s="1" t="s">
        <v>3622</v>
      </c>
      <c r="B2512" s="2">
        <v>45846</v>
      </c>
      <c r="C2512" s="1" t="s">
        <v>456</v>
      </c>
      <c r="D2512" s="1" t="s">
        <v>457</v>
      </c>
      <c r="E2512" s="1" t="s">
        <v>37</v>
      </c>
      <c r="F2512" s="1" t="s">
        <v>52</v>
      </c>
      <c r="G2512" s="1" t="s">
        <v>53</v>
      </c>
      <c r="H2512" s="1" t="s">
        <v>17</v>
      </c>
      <c r="I2512">
        <v>58963</v>
      </c>
      <c r="J2512" s="3">
        <v>35.729999999999997</v>
      </c>
      <c r="K2512" s="3">
        <v>2106747.9900000002</v>
      </c>
    </row>
    <row r="2513" spans="1:11" x14ac:dyDescent="0.2">
      <c r="A2513" s="1" t="s">
        <v>3623</v>
      </c>
      <c r="B2513" s="2">
        <v>45949</v>
      </c>
      <c r="C2513" s="1" t="s">
        <v>984</v>
      </c>
      <c r="D2513" s="1" t="s">
        <v>985</v>
      </c>
      <c r="E2513" s="1" t="s">
        <v>14</v>
      </c>
      <c r="F2513" s="1" t="s">
        <v>474</v>
      </c>
      <c r="G2513" s="1" t="s">
        <v>475</v>
      </c>
      <c r="H2513" s="1" t="s">
        <v>48</v>
      </c>
      <c r="I2513">
        <v>75486</v>
      </c>
      <c r="J2513" s="3">
        <v>36.14</v>
      </c>
      <c r="K2513" s="3">
        <v>2728064.04</v>
      </c>
    </row>
    <row r="2514" spans="1:11" x14ac:dyDescent="0.2">
      <c r="A2514" s="1" t="s">
        <v>3624</v>
      </c>
      <c r="B2514" s="2">
        <v>45697</v>
      </c>
      <c r="C2514" s="1" t="s">
        <v>322</v>
      </c>
      <c r="D2514" s="1" t="s">
        <v>323</v>
      </c>
      <c r="E2514" s="1" t="s">
        <v>14</v>
      </c>
      <c r="F2514" s="1" t="s">
        <v>208</v>
      </c>
      <c r="G2514" s="1" t="s">
        <v>209</v>
      </c>
      <c r="H2514" s="1" t="s">
        <v>17</v>
      </c>
      <c r="I2514">
        <v>92898</v>
      </c>
      <c r="J2514" s="3">
        <v>27.71</v>
      </c>
      <c r="K2514" s="3">
        <v>2574203.58</v>
      </c>
    </row>
    <row r="2515" spans="1:11" x14ac:dyDescent="0.2">
      <c r="A2515" s="1" t="s">
        <v>3625</v>
      </c>
      <c r="B2515" s="2">
        <v>45621</v>
      </c>
      <c r="C2515" s="1" t="s">
        <v>492</v>
      </c>
      <c r="D2515" s="1" t="s">
        <v>493</v>
      </c>
      <c r="E2515" s="1" t="s">
        <v>37</v>
      </c>
      <c r="F2515" s="1" t="s">
        <v>263</v>
      </c>
      <c r="G2515" s="1" t="s">
        <v>264</v>
      </c>
      <c r="H2515" s="1" t="s">
        <v>17</v>
      </c>
      <c r="I2515">
        <v>9958</v>
      </c>
      <c r="J2515" s="3">
        <v>41.77</v>
      </c>
      <c r="K2515" s="3">
        <v>415945.66</v>
      </c>
    </row>
    <row r="2516" spans="1:11" x14ac:dyDescent="0.2">
      <c r="A2516" s="1" t="s">
        <v>3626</v>
      </c>
      <c r="B2516" s="2">
        <v>45340</v>
      </c>
      <c r="C2516" s="1" t="s">
        <v>3301</v>
      </c>
      <c r="D2516" s="1" t="s">
        <v>3302</v>
      </c>
      <c r="E2516" s="1" t="s">
        <v>28</v>
      </c>
      <c r="F2516" s="1" t="s">
        <v>406</v>
      </c>
      <c r="G2516" s="1" t="s">
        <v>407</v>
      </c>
      <c r="H2516" s="1" t="s">
        <v>17</v>
      </c>
      <c r="I2516">
        <v>22973</v>
      </c>
      <c r="J2516" s="3">
        <v>31.13</v>
      </c>
      <c r="K2516" s="3">
        <v>715149.49</v>
      </c>
    </row>
    <row r="2517" spans="1:11" x14ac:dyDescent="0.2">
      <c r="A2517" s="1" t="s">
        <v>3627</v>
      </c>
      <c r="B2517" s="2">
        <v>45404</v>
      </c>
      <c r="C2517" s="1" t="s">
        <v>128</v>
      </c>
      <c r="D2517" s="1" t="s">
        <v>129</v>
      </c>
      <c r="E2517" s="1" t="s">
        <v>28</v>
      </c>
      <c r="F2517" s="1" t="s">
        <v>284</v>
      </c>
      <c r="G2517" s="1" t="s">
        <v>285</v>
      </c>
      <c r="H2517" s="1" t="s">
        <v>37</v>
      </c>
      <c r="I2517">
        <v>13992</v>
      </c>
      <c r="J2517" s="3">
        <v>34.96</v>
      </c>
      <c r="K2517" s="3">
        <v>489160.32</v>
      </c>
    </row>
    <row r="2518" spans="1:11" x14ac:dyDescent="0.2">
      <c r="A2518" s="1" t="s">
        <v>3628</v>
      </c>
      <c r="B2518" s="2">
        <v>45929</v>
      </c>
      <c r="C2518" s="1" t="s">
        <v>1288</v>
      </c>
      <c r="D2518" s="1" t="s">
        <v>1289</v>
      </c>
      <c r="E2518" s="1" t="s">
        <v>34</v>
      </c>
      <c r="F2518" s="1" t="s">
        <v>189</v>
      </c>
      <c r="G2518" s="1" t="s">
        <v>190</v>
      </c>
      <c r="H2518" s="1" t="s">
        <v>17</v>
      </c>
      <c r="I2518">
        <v>31307</v>
      </c>
      <c r="J2518" s="3">
        <v>17.93</v>
      </c>
      <c r="K2518" s="3">
        <v>561334.51</v>
      </c>
    </row>
    <row r="2519" spans="1:11" x14ac:dyDescent="0.2">
      <c r="A2519" s="1" t="s">
        <v>3629</v>
      </c>
      <c r="B2519" s="2">
        <v>45942</v>
      </c>
      <c r="C2519" s="1" t="s">
        <v>1449</v>
      </c>
      <c r="D2519" s="1" t="s">
        <v>1450</v>
      </c>
      <c r="E2519" s="1" t="s">
        <v>28</v>
      </c>
      <c r="F2519" s="1" t="s">
        <v>157</v>
      </c>
      <c r="G2519" s="1" t="s">
        <v>158</v>
      </c>
      <c r="H2519" s="1" t="s">
        <v>48</v>
      </c>
      <c r="I2519">
        <v>30086</v>
      </c>
      <c r="J2519" s="3">
        <v>33.450000000000003</v>
      </c>
      <c r="K2519" s="3">
        <v>1006376.7</v>
      </c>
    </row>
    <row r="2520" spans="1:11" x14ac:dyDescent="0.2">
      <c r="A2520" s="1" t="s">
        <v>3630</v>
      </c>
      <c r="B2520" s="2">
        <v>45962</v>
      </c>
      <c r="C2520" s="1" t="s">
        <v>767</v>
      </c>
      <c r="D2520" s="1" t="s">
        <v>768</v>
      </c>
      <c r="E2520" s="1" t="s">
        <v>28</v>
      </c>
      <c r="F2520" s="1" t="s">
        <v>176</v>
      </c>
      <c r="G2520" s="1" t="s">
        <v>177</v>
      </c>
      <c r="H2520" s="1" t="s">
        <v>37</v>
      </c>
      <c r="I2520">
        <v>95659</v>
      </c>
      <c r="J2520" s="3">
        <v>14.26</v>
      </c>
      <c r="K2520" s="3">
        <v>1364097.34</v>
      </c>
    </row>
    <row r="2521" spans="1:11" x14ac:dyDescent="0.2">
      <c r="A2521" s="1" t="s">
        <v>3631</v>
      </c>
      <c r="B2521" s="2">
        <v>45598</v>
      </c>
      <c r="C2521" s="1" t="s">
        <v>327</v>
      </c>
      <c r="D2521" s="1" t="s">
        <v>328</v>
      </c>
      <c r="E2521" s="1" t="s">
        <v>21</v>
      </c>
      <c r="F2521" s="1" t="s">
        <v>330</v>
      </c>
      <c r="G2521" s="1" t="s">
        <v>331</v>
      </c>
      <c r="H2521" s="1" t="s">
        <v>72</v>
      </c>
      <c r="I2521">
        <v>1694</v>
      </c>
      <c r="J2521" s="3">
        <v>28.95</v>
      </c>
      <c r="K2521" s="3">
        <v>49041.3</v>
      </c>
    </row>
    <row r="2522" spans="1:11" x14ac:dyDescent="0.2">
      <c r="A2522" s="1" t="s">
        <v>3632</v>
      </c>
      <c r="B2522" s="2">
        <v>45381</v>
      </c>
      <c r="C2522" s="1" t="s">
        <v>1793</v>
      </c>
      <c r="D2522" s="1" t="s">
        <v>1794</v>
      </c>
      <c r="E2522" s="1" t="s">
        <v>37</v>
      </c>
      <c r="F2522" s="1" t="s">
        <v>35</v>
      </c>
      <c r="G2522" s="1" t="s">
        <v>36</v>
      </c>
      <c r="H2522" s="1" t="s">
        <v>37</v>
      </c>
      <c r="I2522">
        <v>67459</v>
      </c>
      <c r="J2522" s="3">
        <v>34.630000000000003</v>
      </c>
      <c r="K2522" s="3">
        <v>2336105.17</v>
      </c>
    </row>
    <row r="2523" spans="1:11" x14ac:dyDescent="0.2">
      <c r="A2523" s="1" t="s">
        <v>3633</v>
      </c>
      <c r="B2523" s="2">
        <v>45501</v>
      </c>
      <c r="C2523" s="1" t="s">
        <v>2260</v>
      </c>
      <c r="D2523" s="1" t="s">
        <v>2261</v>
      </c>
      <c r="E2523" s="1" t="s">
        <v>14</v>
      </c>
      <c r="F2523" s="1" t="s">
        <v>41</v>
      </c>
      <c r="G2523" s="1" t="s">
        <v>42</v>
      </c>
      <c r="H2523" s="1" t="s">
        <v>24</v>
      </c>
      <c r="I2523">
        <v>5277</v>
      </c>
      <c r="J2523" s="3">
        <v>14.12</v>
      </c>
      <c r="K2523" s="3">
        <v>74511.240000000005</v>
      </c>
    </row>
    <row r="2524" spans="1:11" x14ac:dyDescent="0.2">
      <c r="A2524" s="1" t="s">
        <v>3634</v>
      </c>
      <c r="B2524" s="2">
        <v>45852</v>
      </c>
      <c r="C2524" s="1" t="s">
        <v>1154</v>
      </c>
      <c r="D2524" s="1" t="s">
        <v>1155</v>
      </c>
      <c r="E2524" s="1" t="s">
        <v>37</v>
      </c>
      <c r="F2524" s="1" t="s">
        <v>176</v>
      </c>
      <c r="G2524" s="1" t="s">
        <v>177</v>
      </c>
      <c r="H2524" s="1" t="s">
        <v>37</v>
      </c>
      <c r="I2524">
        <v>30782</v>
      </c>
      <c r="J2524" s="3">
        <v>26.43</v>
      </c>
      <c r="K2524" s="3">
        <v>813568.26</v>
      </c>
    </row>
    <row r="2525" spans="1:11" x14ac:dyDescent="0.2">
      <c r="A2525" s="1" t="s">
        <v>3635</v>
      </c>
      <c r="B2525" s="2">
        <v>45434</v>
      </c>
      <c r="C2525" s="1" t="s">
        <v>2100</v>
      </c>
      <c r="D2525" s="1" t="s">
        <v>2101</v>
      </c>
      <c r="E2525" s="1" t="s">
        <v>37</v>
      </c>
      <c r="F2525" s="1" t="s">
        <v>184</v>
      </c>
      <c r="G2525" s="1" t="s">
        <v>185</v>
      </c>
      <c r="H2525" s="1" t="s">
        <v>17</v>
      </c>
      <c r="I2525">
        <v>2712</v>
      </c>
      <c r="J2525" s="3">
        <v>11.07</v>
      </c>
      <c r="K2525" s="3">
        <v>30021.84</v>
      </c>
    </row>
    <row r="2526" spans="1:11" x14ac:dyDescent="0.2">
      <c r="A2526" s="1" t="s">
        <v>3636</v>
      </c>
      <c r="B2526" s="2">
        <v>45986</v>
      </c>
      <c r="C2526" s="1" t="s">
        <v>131</v>
      </c>
      <c r="D2526" s="1" t="s">
        <v>132</v>
      </c>
      <c r="E2526" s="1" t="s">
        <v>37</v>
      </c>
      <c r="F2526" s="1" t="s">
        <v>284</v>
      </c>
      <c r="G2526" s="1" t="s">
        <v>285</v>
      </c>
      <c r="H2526" s="1" t="s">
        <v>37</v>
      </c>
      <c r="I2526">
        <v>2668</v>
      </c>
      <c r="J2526" s="3">
        <v>40.53</v>
      </c>
      <c r="K2526" s="3">
        <v>108134.04</v>
      </c>
    </row>
    <row r="2527" spans="1:11" x14ac:dyDescent="0.2">
      <c r="A2527" s="1" t="s">
        <v>3637</v>
      </c>
      <c r="B2527" s="2">
        <v>45319</v>
      </c>
      <c r="C2527" s="1" t="s">
        <v>660</v>
      </c>
      <c r="D2527" s="1" t="s">
        <v>661</v>
      </c>
      <c r="E2527" s="1" t="s">
        <v>34</v>
      </c>
      <c r="F2527" s="1" t="s">
        <v>189</v>
      </c>
      <c r="G2527" s="1" t="s">
        <v>190</v>
      </c>
      <c r="H2527" s="1" t="s">
        <v>17</v>
      </c>
      <c r="I2527">
        <v>80591</v>
      </c>
      <c r="J2527" s="3">
        <v>13.06</v>
      </c>
      <c r="K2527" s="3">
        <v>1052518.46</v>
      </c>
    </row>
    <row r="2528" spans="1:11" x14ac:dyDescent="0.2">
      <c r="A2528" s="1" t="s">
        <v>3638</v>
      </c>
      <c r="B2528" s="2">
        <v>45475</v>
      </c>
      <c r="C2528" s="1" t="s">
        <v>385</v>
      </c>
      <c r="D2528" s="1" t="s">
        <v>386</v>
      </c>
      <c r="E2528" s="1" t="s">
        <v>34</v>
      </c>
      <c r="F2528" s="1" t="s">
        <v>98</v>
      </c>
      <c r="G2528" s="1" t="s">
        <v>99</v>
      </c>
      <c r="H2528" s="1" t="s">
        <v>72</v>
      </c>
      <c r="I2528">
        <v>9336</v>
      </c>
      <c r="J2528" s="3">
        <v>29.02</v>
      </c>
      <c r="K2528" s="3">
        <v>270930.71999999997</v>
      </c>
    </row>
    <row r="2529" spans="1:11" x14ac:dyDescent="0.2">
      <c r="A2529" s="1" t="s">
        <v>3639</v>
      </c>
      <c r="B2529" s="2">
        <v>45341</v>
      </c>
      <c r="C2529" s="1" t="s">
        <v>1317</v>
      </c>
      <c r="D2529" s="1" t="s">
        <v>1318</v>
      </c>
      <c r="E2529" s="1" t="s">
        <v>28</v>
      </c>
      <c r="F2529" s="1" t="s">
        <v>394</v>
      </c>
      <c r="G2529" s="1" t="s">
        <v>395</v>
      </c>
      <c r="H2529" s="1" t="s">
        <v>48</v>
      </c>
      <c r="I2529">
        <v>95276</v>
      </c>
      <c r="J2529" s="3">
        <v>9.01</v>
      </c>
      <c r="K2529" s="3">
        <v>858436.76</v>
      </c>
    </row>
    <row r="2530" spans="1:11" x14ac:dyDescent="0.2">
      <c r="A2530" s="1" t="s">
        <v>3640</v>
      </c>
      <c r="B2530" s="2">
        <v>46014</v>
      </c>
      <c r="C2530" s="1" t="s">
        <v>505</v>
      </c>
      <c r="D2530" s="1" t="s">
        <v>506</v>
      </c>
      <c r="E2530" s="1" t="s">
        <v>21</v>
      </c>
      <c r="F2530" s="1" t="s">
        <v>176</v>
      </c>
      <c r="G2530" s="1" t="s">
        <v>177</v>
      </c>
      <c r="H2530" s="1" t="s">
        <v>37</v>
      </c>
      <c r="I2530">
        <v>92867</v>
      </c>
      <c r="J2530" s="3">
        <v>47.75</v>
      </c>
      <c r="K2530" s="3">
        <v>4434399.25</v>
      </c>
    </row>
    <row r="2531" spans="1:11" x14ac:dyDescent="0.2">
      <c r="A2531" s="1" t="s">
        <v>3641</v>
      </c>
      <c r="B2531" s="2">
        <v>45710</v>
      </c>
      <c r="C2531" s="1" t="s">
        <v>1598</v>
      </c>
      <c r="D2531" s="1" t="s">
        <v>1599</v>
      </c>
      <c r="E2531" s="1" t="s">
        <v>34</v>
      </c>
      <c r="F2531" s="1" t="s">
        <v>263</v>
      </c>
      <c r="G2531" s="1" t="s">
        <v>264</v>
      </c>
      <c r="H2531" s="1" t="s">
        <v>17</v>
      </c>
      <c r="I2531">
        <v>1332</v>
      </c>
      <c r="J2531" s="3">
        <v>37.56</v>
      </c>
      <c r="K2531" s="3">
        <v>50029.919999999998</v>
      </c>
    </row>
    <row r="2532" spans="1:11" x14ac:dyDescent="0.2">
      <c r="A2532" s="1" t="s">
        <v>3642</v>
      </c>
      <c r="B2532" s="2">
        <v>45849</v>
      </c>
      <c r="C2532" s="1" t="s">
        <v>39</v>
      </c>
      <c r="D2532" s="1" t="s">
        <v>40</v>
      </c>
      <c r="E2532" s="1" t="s">
        <v>21</v>
      </c>
      <c r="F2532" s="1" t="s">
        <v>41</v>
      </c>
      <c r="G2532" s="1" t="s">
        <v>42</v>
      </c>
      <c r="H2532" s="1" t="s">
        <v>24</v>
      </c>
      <c r="I2532">
        <v>65016</v>
      </c>
      <c r="J2532" s="3">
        <v>44.58</v>
      </c>
      <c r="K2532" s="3">
        <v>2898413.28</v>
      </c>
    </row>
    <row r="2533" spans="1:11" x14ac:dyDescent="0.2">
      <c r="A2533" s="1" t="s">
        <v>3643</v>
      </c>
      <c r="B2533" s="2">
        <v>45963</v>
      </c>
      <c r="C2533" s="1" t="s">
        <v>1011</v>
      </c>
      <c r="D2533" s="1" t="s">
        <v>1012</v>
      </c>
      <c r="E2533" s="1" t="s">
        <v>21</v>
      </c>
      <c r="F2533" s="1" t="s">
        <v>463</v>
      </c>
      <c r="G2533" s="1" t="s">
        <v>464</v>
      </c>
      <c r="H2533" s="1" t="s">
        <v>37</v>
      </c>
      <c r="I2533">
        <v>98774</v>
      </c>
      <c r="J2533" s="3">
        <v>19.18</v>
      </c>
      <c r="K2533" s="3">
        <v>1894485.32</v>
      </c>
    </row>
    <row r="2534" spans="1:11" x14ac:dyDescent="0.2">
      <c r="A2534" s="1" t="s">
        <v>3644</v>
      </c>
      <c r="B2534" s="2">
        <v>45509</v>
      </c>
      <c r="C2534" s="1" t="s">
        <v>2121</v>
      </c>
      <c r="D2534" s="1" t="s">
        <v>2122</v>
      </c>
      <c r="E2534" s="1" t="s">
        <v>34</v>
      </c>
      <c r="F2534" s="1" t="s">
        <v>412</v>
      </c>
      <c r="G2534" s="1" t="s">
        <v>413</v>
      </c>
      <c r="H2534" s="1" t="s">
        <v>72</v>
      </c>
      <c r="I2534">
        <v>37937</v>
      </c>
      <c r="J2534" s="3">
        <v>22.65</v>
      </c>
      <c r="K2534" s="3">
        <v>859273.05</v>
      </c>
    </row>
    <row r="2535" spans="1:11" x14ac:dyDescent="0.2">
      <c r="A2535" s="1" t="s">
        <v>3645</v>
      </c>
      <c r="B2535" s="2">
        <v>45306</v>
      </c>
      <c r="C2535" s="1" t="s">
        <v>1662</v>
      </c>
      <c r="D2535" s="1" t="s">
        <v>1663</v>
      </c>
      <c r="E2535" s="1" t="s">
        <v>37</v>
      </c>
      <c r="F2535" s="1" t="s">
        <v>208</v>
      </c>
      <c r="G2535" s="1" t="s">
        <v>209</v>
      </c>
      <c r="H2535" s="1" t="s">
        <v>17</v>
      </c>
      <c r="I2535">
        <v>4414</v>
      </c>
      <c r="J2535" s="3">
        <v>39.880000000000003</v>
      </c>
      <c r="K2535" s="3">
        <v>176030.32</v>
      </c>
    </row>
    <row r="2536" spans="1:11" x14ac:dyDescent="0.2">
      <c r="A2536" s="1" t="s">
        <v>3646</v>
      </c>
      <c r="B2536" s="2">
        <v>45340</v>
      </c>
      <c r="C2536" s="1" t="s">
        <v>266</v>
      </c>
      <c r="D2536" s="1" t="s">
        <v>267</v>
      </c>
      <c r="E2536" s="1" t="s">
        <v>14</v>
      </c>
      <c r="F2536" s="1" t="s">
        <v>35</v>
      </c>
      <c r="G2536" s="1" t="s">
        <v>36</v>
      </c>
      <c r="H2536" s="1" t="s">
        <v>37</v>
      </c>
      <c r="I2536">
        <v>47505</v>
      </c>
      <c r="J2536" s="3">
        <v>23.74</v>
      </c>
      <c r="K2536" s="3">
        <v>1127768.7</v>
      </c>
    </row>
    <row r="2537" spans="1:11" x14ac:dyDescent="0.2">
      <c r="A2537" s="1" t="s">
        <v>3647</v>
      </c>
      <c r="B2537" s="2">
        <v>45314</v>
      </c>
      <c r="C2537" s="1" t="s">
        <v>336</v>
      </c>
      <c r="D2537" s="1" t="s">
        <v>337</v>
      </c>
      <c r="E2537" s="1" t="s">
        <v>21</v>
      </c>
      <c r="F2537" s="1" t="s">
        <v>29</v>
      </c>
      <c r="G2537" s="1" t="s">
        <v>30</v>
      </c>
      <c r="H2537" s="1" t="s">
        <v>24</v>
      </c>
      <c r="I2537">
        <v>15242</v>
      </c>
      <c r="J2537" s="3">
        <v>4.5199999999999996</v>
      </c>
      <c r="K2537" s="3">
        <v>68893.84</v>
      </c>
    </row>
    <row r="2538" spans="1:11" x14ac:dyDescent="0.2">
      <c r="A2538" s="1" t="s">
        <v>3648</v>
      </c>
      <c r="B2538" s="2">
        <v>45612</v>
      </c>
      <c r="C2538" s="1" t="s">
        <v>722</v>
      </c>
      <c r="D2538" s="1" t="s">
        <v>723</v>
      </c>
      <c r="E2538" s="1" t="s">
        <v>21</v>
      </c>
      <c r="F2538" s="1" t="s">
        <v>761</v>
      </c>
      <c r="G2538" s="1" t="s">
        <v>762</v>
      </c>
      <c r="H2538" s="1" t="s">
        <v>48</v>
      </c>
      <c r="I2538">
        <v>57753</v>
      </c>
      <c r="J2538" s="3">
        <v>16.93</v>
      </c>
      <c r="K2538" s="3">
        <v>977758.29</v>
      </c>
    </row>
    <row r="2539" spans="1:11" x14ac:dyDescent="0.2">
      <c r="A2539" s="1" t="s">
        <v>3649</v>
      </c>
      <c r="B2539" s="2">
        <v>45445</v>
      </c>
      <c r="C2539" s="1" t="s">
        <v>1073</v>
      </c>
      <c r="D2539" s="1" t="s">
        <v>1074</v>
      </c>
      <c r="E2539" s="1" t="s">
        <v>34</v>
      </c>
      <c r="F2539" s="1" t="s">
        <v>268</v>
      </c>
      <c r="G2539" s="1" t="s">
        <v>269</v>
      </c>
      <c r="H2539" s="1" t="s">
        <v>72</v>
      </c>
      <c r="I2539">
        <v>71090</v>
      </c>
      <c r="J2539" s="3">
        <v>49.22</v>
      </c>
      <c r="K2539" s="3">
        <v>3499049.8</v>
      </c>
    </row>
    <row r="2540" spans="1:11" x14ac:dyDescent="0.2">
      <c r="A2540" s="1" t="s">
        <v>3650</v>
      </c>
      <c r="B2540" s="2">
        <v>45709</v>
      </c>
      <c r="C2540" s="1" t="s">
        <v>1014</v>
      </c>
      <c r="D2540" s="1" t="s">
        <v>1015</v>
      </c>
      <c r="E2540" s="1" t="s">
        <v>34</v>
      </c>
      <c r="F2540" s="1" t="s">
        <v>157</v>
      </c>
      <c r="G2540" s="1" t="s">
        <v>158</v>
      </c>
      <c r="H2540" s="1" t="s">
        <v>48</v>
      </c>
      <c r="I2540">
        <v>1563</v>
      </c>
      <c r="J2540" s="3">
        <v>23.64</v>
      </c>
      <c r="K2540" s="3">
        <v>36949.32</v>
      </c>
    </row>
    <row r="2541" spans="1:11" x14ac:dyDescent="0.2">
      <c r="A2541" s="1" t="s">
        <v>3651</v>
      </c>
      <c r="B2541" s="2">
        <v>45327</v>
      </c>
      <c r="C2541" s="1" t="s">
        <v>1216</v>
      </c>
      <c r="D2541" s="1" t="s">
        <v>1217</v>
      </c>
      <c r="E2541" s="1" t="s">
        <v>37</v>
      </c>
      <c r="F2541" s="1" t="s">
        <v>144</v>
      </c>
      <c r="G2541" s="1" t="s">
        <v>145</v>
      </c>
      <c r="H2541" s="1" t="s">
        <v>24</v>
      </c>
      <c r="I2541">
        <v>80360</v>
      </c>
      <c r="J2541" s="3">
        <v>30.94</v>
      </c>
      <c r="K2541" s="3">
        <v>2486338.4</v>
      </c>
    </row>
    <row r="2542" spans="1:11" x14ac:dyDescent="0.2">
      <c r="A2542" s="1" t="s">
        <v>3652</v>
      </c>
      <c r="B2542" s="2">
        <v>45767</v>
      </c>
      <c r="C2542" s="1" t="s">
        <v>602</v>
      </c>
      <c r="D2542" s="1" t="s">
        <v>603</v>
      </c>
      <c r="E2542" s="1" t="s">
        <v>28</v>
      </c>
      <c r="F2542" s="1" t="s">
        <v>157</v>
      </c>
      <c r="G2542" s="1" t="s">
        <v>158</v>
      </c>
      <c r="H2542" s="1" t="s">
        <v>48</v>
      </c>
      <c r="I2542">
        <v>76388</v>
      </c>
      <c r="J2542" s="3">
        <v>28.94</v>
      </c>
      <c r="K2542" s="3">
        <v>2210668.7200000002</v>
      </c>
    </row>
    <row r="2543" spans="1:11" x14ac:dyDescent="0.2">
      <c r="A2543" s="1" t="s">
        <v>3653</v>
      </c>
      <c r="B2543" s="2">
        <v>45649</v>
      </c>
      <c r="C2543" s="1" t="s">
        <v>1615</v>
      </c>
      <c r="D2543" s="1" t="s">
        <v>1616</v>
      </c>
      <c r="E2543" s="1" t="s">
        <v>37</v>
      </c>
      <c r="F2543" s="1" t="s">
        <v>412</v>
      </c>
      <c r="G2543" s="1" t="s">
        <v>413</v>
      </c>
      <c r="H2543" s="1" t="s">
        <v>72</v>
      </c>
      <c r="I2543">
        <v>91033</v>
      </c>
      <c r="J2543" s="3">
        <v>47.26</v>
      </c>
      <c r="K2543" s="3">
        <v>4302219.58</v>
      </c>
    </row>
    <row r="2544" spans="1:11" x14ac:dyDescent="0.2">
      <c r="A2544" s="1" t="s">
        <v>3654</v>
      </c>
      <c r="B2544" s="2">
        <v>45911</v>
      </c>
      <c r="C2544" s="1" t="s">
        <v>2273</v>
      </c>
      <c r="D2544" s="1" t="s">
        <v>2274</v>
      </c>
      <c r="E2544" s="1" t="s">
        <v>28</v>
      </c>
      <c r="F2544" s="1" t="s">
        <v>176</v>
      </c>
      <c r="G2544" s="1" t="s">
        <v>177</v>
      </c>
      <c r="H2544" s="1" t="s">
        <v>37</v>
      </c>
      <c r="I2544">
        <v>15641</v>
      </c>
      <c r="J2544" s="3">
        <v>16.12</v>
      </c>
      <c r="K2544" s="3">
        <v>252132.92</v>
      </c>
    </row>
    <row r="2545" spans="1:11" x14ac:dyDescent="0.2">
      <c r="A2545" s="1" t="s">
        <v>3655</v>
      </c>
      <c r="B2545" s="2">
        <v>45810</v>
      </c>
      <c r="C2545" s="1" t="s">
        <v>1652</v>
      </c>
      <c r="D2545" s="1" t="s">
        <v>1653</v>
      </c>
      <c r="E2545" s="1" t="s">
        <v>28</v>
      </c>
      <c r="F2545" s="1" t="s">
        <v>152</v>
      </c>
      <c r="G2545" s="1" t="s">
        <v>153</v>
      </c>
      <c r="H2545" s="1" t="s">
        <v>17</v>
      </c>
      <c r="I2545">
        <v>79475</v>
      </c>
      <c r="J2545" s="3">
        <v>34.06</v>
      </c>
      <c r="K2545" s="3">
        <v>2706918.5</v>
      </c>
    </row>
    <row r="2546" spans="1:11" x14ac:dyDescent="0.2">
      <c r="A2546" s="1" t="s">
        <v>3656</v>
      </c>
      <c r="B2546" s="2">
        <v>45808</v>
      </c>
      <c r="C2546" s="1" t="s">
        <v>1412</v>
      </c>
      <c r="D2546" s="1" t="s">
        <v>1413</v>
      </c>
      <c r="E2546" s="1" t="s">
        <v>37</v>
      </c>
      <c r="F2546" s="1" t="s">
        <v>70</v>
      </c>
      <c r="G2546" s="1" t="s">
        <v>71</v>
      </c>
      <c r="H2546" s="1" t="s">
        <v>72</v>
      </c>
      <c r="I2546">
        <v>49484</v>
      </c>
      <c r="J2546" s="3">
        <v>11.83</v>
      </c>
      <c r="K2546" s="3">
        <v>585395.72</v>
      </c>
    </row>
    <row r="2547" spans="1:11" x14ac:dyDescent="0.2">
      <c r="A2547" s="1" t="s">
        <v>3657</v>
      </c>
      <c r="B2547" s="2">
        <v>45533</v>
      </c>
      <c r="C2547" s="1" t="s">
        <v>271</v>
      </c>
      <c r="D2547" s="1" t="s">
        <v>272</v>
      </c>
      <c r="E2547" s="1" t="s">
        <v>37</v>
      </c>
      <c r="F2547" s="1" t="s">
        <v>139</v>
      </c>
      <c r="G2547" s="1" t="s">
        <v>140</v>
      </c>
      <c r="H2547" s="1" t="s">
        <v>24</v>
      </c>
      <c r="I2547">
        <v>44904</v>
      </c>
      <c r="J2547" s="3">
        <v>21.59</v>
      </c>
      <c r="K2547" s="3">
        <v>969477.36</v>
      </c>
    </row>
    <row r="2548" spans="1:11" x14ac:dyDescent="0.2">
      <c r="A2548" s="1" t="s">
        <v>3658</v>
      </c>
      <c r="B2548" s="2">
        <v>45726</v>
      </c>
      <c r="C2548" s="1" t="s">
        <v>2534</v>
      </c>
      <c r="D2548" s="1" t="s">
        <v>2535</v>
      </c>
      <c r="E2548" s="1" t="s">
        <v>14</v>
      </c>
      <c r="F2548" s="1" t="s">
        <v>165</v>
      </c>
      <c r="G2548" s="1" t="s">
        <v>166</v>
      </c>
      <c r="H2548" s="1" t="s">
        <v>24</v>
      </c>
      <c r="I2548">
        <v>43997</v>
      </c>
      <c r="J2548" s="3">
        <v>13.37</v>
      </c>
      <c r="K2548" s="3">
        <v>588239.89</v>
      </c>
    </row>
    <row r="2549" spans="1:11" x14ac:dyDescent="0.2">
      <c r="A2549" s="1" t="s">
        <v>3659</v>
      </c>
      <c r="B2549" s="2">
        <v>45673</v>
      </c>
      <c r="C2549" s="1" t="s">
        <v>628</v>
      </c>
      <c r="D2549" s="1" t="s">
        <v>629</v>
      </c>
      <c r="E2549" s="1" t="s">
        <v>14</v>
      </c>
      <c r="F2549" s="1" t="s">
        <v>284</v>
      </c>
      <c r="G2549" s="1" t="s">
        <v>285</v>
      </c>
      <c r="H2549" s="1" t="s">
        <v>37</v>
      </c>
      <c r="I2549">
        <v>18739</v>
      </c>
      <c r="J2549" s="3">
        <v>33.19</v>
      </c>
      <c r="K2549" s="3">
        <v>621947.41</v>
      </c>
    </row>
    <row r="2550" spans="1:11" x14ac:dyDescent="0.2">
      <c r="A2550" s="1" t="s">
        <v>3660</v>
      </c>
      <c r="B2550" s="2">
        <v>45309</v>
      </c>
      <c r="C2550" s="1" t="s">
        <v>1194</v>
      </c>
      <c r="D2550" s="1" t="s">
        <v>1195</v>
      </c>
      <c r="E2550" s="1" t="s">
        <v>28</v>
      </c>
      <c r="F2550" s="1" t="s">
        <v>98</v>
      </c>
      <c r="G2550" s="1" t="s">
        <v>99</v>
      </c>
      <c r="H2550" s="1" t="s">
        <v>72</v>
      </c>
      <c r="I2550">
        <v>60261</v>
      </c>
      <c r="J2550" s="3">
        <v>25.75</v>
      </c>
      <c r="K2550" s="3">
        <v>1551720.75</v>
      </c>
    </row>
    <row r="2551" spans="1:11" x14ac:dyDescent="0.2">
      <c r="A2551" s="1" t="s">
        <v>3661</v>
      </c>
      <c r="B2551" s="2">
        <v>45760</v>
      </c>
      <c r="C2551" s="1" t="s">
        <v>1324</v>
      </c>
      <c r="D2551" s="1" t="s">
        <v>1325</v>
      </c>
      <c r="E2551" s="1" t="s">
        <v>34</v>
      </c>
      <c r="F2551" s="1" t="s">
        <v>176</v>
      </c>
      <c r="G2551" s="1" t="s">
        <v>177</v>
      </c>
      <c r="H2551" s="1" t="s">
        <v>37</v>
      </c>
      <c r="I2551">
        <v>33543</v>
      </c>
      <c r="J2551" s="3">
        <v>23.56</v>
      </c>
      <c r="K2551" s="3">
        <v>790273.08</v>
      </c>
    </row>
    <row r="2552" spans="1:11" x14ac:dyDescent="0.2">
      <c r="A2552" s="1" t="s">
        <v>3662</v>
      </c>
      <c r="B2552" s="2">
        <v>45306</v>
      </c>
      <c r="C2552" s="1" t="s">
        <v>424</v>
      </c>
      <c r="D2552" s="1" t="s">
        <v>425</v>
      </c>
      <c r="E2552" s="1" t="s">
        <v>28</v>
      </c>
      <c r="F2552" s="1" t="s">
        <v>458</v>
      </c>
      <c r="G2552" s="1" t="s">
        <v>459</v>
      </c>
      <c r="H2552" s="1" t="s">
        <v>72</v>
      </c>
      <c r="I2552">
        <v>74575</v>
      </c>
      <c r="J2552" s="3">
        <v>7</v>
      </c>
      <c r="K2552" s="3">
        <v>522025</v>
      </c>
    </row>
    <row r="2553" spans="1:11" x14ac:dyDescent="0.2">
      <c r="A2553" s="1" t="s">
        <v>3663</v>
      </c>
      <c r="B2553" s="2">
        <v>45526</v>
      </c>
      <c r="C2553" s="1" t="s">
        <v>90</v>
      </c>
      <c r="D2553" s="1" t="s">
        <v>91</v>
      </c>
      <c r="E2553" s="1" t="s">
        <v>28</v>
      </c>
      <c r="F2553" s="1" t="s">
        <v>406</v>
      </c>
      <c r="G2553" s="1" t="s">
        <v>407</v>
      </c>
      <c r="H2553" s="1" t="s">
        <v>17</v>
      </c>
      <c r="I2553">
        <v>32371</v>
      </c>
      <c r="J2553" s="3">
        <v>4.71</v>
      </c>
      <c r="K2553" s="3">
        <v>152467.41</v>
      </c>
    </row>
    <row r="2554" spans="1:11" x14ac:dyDescent="0.2">
      <c r="A2554" s="1" t="s">
        <v>3664</v>
      </c>
      <c r="B2554" s="2">
        <v>45600</v>
      </c>
      <c r="C2554" s="1" t="s">
        <v>851</v>
      </c>
      <c r="D2554" s="1" t="s">
        <v>852</v>
      </c>
      <c r="E2554" s="1" t="s">
        <v>21</v>
      </c>
      <c r="F2554" s="1" t="s">
        <v>412</v>
      </c>
      <c r="G2554" s="1" t="s">
        <v>413</v>
      </c>
      <c r="H2554" s="1" t="s">
        <v>72</v>
      </c>
      <c r="I2554">
        <v>52947</v>
      </c>
      <c r="J2554" s="3">
        <v>29.64</v>
      </c>
      <c r="K2554" s="3">
        <v>1569349.08</v>
      </c>
    </row>
    <row r="2555" spans="1:11" x14ac:dyDescent="0.2">
      <c r="A2555" s="1" t="s">
        <v>3665</v>
      </c>
      <c r="B2555" s="2">
        <v>45568</v>
      </c>
      <c r="C2555" s="1" t="s">
        <v>1972</v>
      </c>
      <c r="D2555" s="1" t="s">
        <v>1973</v>
      </c>
      <c r="E2555" s="1" t="s">
        <v>28</v>
      </c>
      <c r="F2555" s="1" t="s">
        <v>52</v>
      </c>
      <c r="G2555" s="1" t="s">
        <v>53</v>
      </c>
      <c r="H2555" s="1" t="s">
        <v>17</v>
      </c>
      <c r="I2555">
        <v>30540</v>
      </c>
      <c r="J2555" s="3">
        <v>29.18</v>
      </c>
      <c r="K2555" s="3">
        <v>891157.2</v>
      </c>
    </row>
    <row r="2556" spans="1:11" x14ac:dyDescent="0.2">
      <c r="A2556" s="1" t="s">
        <v>3666</v>
      </c>
      <c r="B2556" s="2">
        <v>45870</v>
      </c>
      <c r="C2556" s="1" t="s">
        <v>2050</v>
      </c>
      <c r="D2556" s="1" t="s">
        <v>2051</v>
      </c>
      <c r="E2556" s="1" t="s">
        <v>14</v>
      </c>
      <c r="F2556" s="1" t="s">
        <v>35</v>
      </c>
      <c r="G2556" s="1" t="s">
        <v>36</v>
      </c>
      <c r="H2556" s="1" t="s">
        <v>37</v>
      </c>
      <c r="I2556">
        <v>93516</v>
      </c>
      <c r="J2556" s="3">
        <v>29.13</v>
      </c>
      <c r="K2556" s="3">
        <v>2724121.08</v>
      </c>
    </row>
    <row r="2557" spans="1:11" x14ac:dyDescent="0.2">
      <c r="A2557" s="1" t="s">
        <v>3667</v>
      </c>
      <c r="B2557" s="2">
        <v>45336</v>
      </c>
      <c r="C2557" s="1" t="s">
        <v>3064</v>
      </c>
      <c r="D2557" s="1" t="s">
        <v>3065</v>
      </c>
      <c r="E2557" s="1" t="s">
        <v>37</v>
      </c>
      <c r="F2557" s="1" t="s">
        <v>394</v>
      </c>
      <c r="G2557" s="1" t="s">
        <v>395</v>
      </c>
      <c r="H2557" s="1" t="s">
        <v>48</v>
      </c>
      <c r="I2557">
        <v>82923</v>
      </c>
      <c r="J2557" s="3">
        <v>46.55</v>
      </c>
      <c r="K2557" s="3">
        <v>3860065.65</v>
      </c>
    </row>
    <row r="2558" spans="1:11" x14ac:dyDescent="0.2">
      <c r="A2558" s="1" t="s">
        <v>3668</v>
      </c>
      <c r="B2558" s="2">
        <v>45781</v>
      </c>
      <c r="C2558" s="1" t="s">
        <v>1520</v>
      </c>
      <c r="D2558" s="1" t="s">
        <v>1521</v>
      </c>
      <c r="E2558" s="1" t="s">
        <v>37</v>
      </c>
      <c r="F2558" s="1" t="s">
        <v>152</v>
      </c>
      <c r="G2558" s="1" t="s">
        <v>153</v>
      </c>
      <c r="H2558" s="1" t="s">
        <v>17</v>
      </c>
      <c r="I2558">
        <v>56248</v>
      </c>
      <c r="J2558" s="3">
        <v>12.8</v>
      </c>
      <c r="K2558" s="3">
        <v>719974.40000000002</v>
      </c>
    </row>
    <row r="2559" spans="1:11" x14ac:dyDescent="0.2">
      <c r="A2559" s="1" t="s">
        <v>3669</v>
      </c>
      <c r="B2559" s="2">
        <v>45559</v>
      </c>
      <c r="C2559" s="1" t="s">
        <v>1011</v>
      </c>
      <c r="D2559" s="1" t="s">
        <v>1012</v>
      </c>
      <c r="E2559" s="1" t="s">
        <v>21</v>
      </c>
      <c r="F2559" s="1" t="s">
        <v>251</v>
      </c>
      <c r="G2559" s="1" t="s">
        <v>252</v>
      </c>
      <c r="H2559" s="1" t="s">
        <v>72</v>
      </c>
      <c r="I2559">
        <v>63463</v>
      </c>
      <c r="J2559" s="3">
        <v>28.33</v>
      </c>
      <c r="K2559" s="3">
        <v>1797906.79</v>
      </c>
    </row>
    <row r="2560" spans="1:11" x14ac:dyDescent="0.2">
      <c r="A2560" s="1" t="s">
        <v>3670</v>
      </c>
      <c r="B2560" s="2">
        <v>45805</v>
      </c>
      <c r="C2560" s="1" t="s">
        <v>1393</v>
      </c>
      <c r="D2560" s="1" t="s">
        <v>1394</v>
      </c>
      <c r="E2560" s="1" t="s">
        <v>28</v>
      </c>
      <c r="F2560" s="1" t="s">
        <v>406</v>
      </c>
      <c r="G2560" s="1" t="s">
        <v>407</v>
      </c>
      <c r="H2560" s="1" t="s">
        <v>17</v>
      </c>
      <c r="I2560">
        <v>48291</v>
      </c>
      <c r="J2560" s="3">
        <v>49.5</v>
      </c>
      <c r="K2560" s="3">
        <v>2390404.5</v>
      </c>
    </row>
    <row r="2561" spans="1:11" x14ac:dyDescent="0.2">
      <c r="A2561" s="1" t="s">
        <v>3671</v>
      </c>
      <c r="B2561" s="2">
        <v>45875</v>
      </c>
      <c r="C2561" s="1" t="s">
        <v>1099</v>
      </c>
      <c r="D2561" s="1" t="s">
        <v>1100</v>
      </c>
      <c r="E2561" s="1" t="s">
        <v>34</v>
      </c>
      <c r="F2561" s="1" t="s">
        <v>57</v>
      </c>
      <c r="G2561" s="1" t="s">
        <v>58</v>
      </c>
      <c r="H2561" s="1" t="s">
        <v>48</v>
      </c>
      <c r="I2561">
        <v>5111</v>
      </c>
      <c r="J2561" s="3">
        <v>41.07</v>
      </c>
      <c r="K2561" s="3">
        <v>209908.77</v>
      </c>
    </row>
    <row r="2562" spans="1:11" x14ac:dyDescent="0.2">
      <c r="A2562" s="1" t="s">
        <v>3672</v>
      </c>
      <c r="B2562" s="2">
        <v>45398</v>
      </c>
      <c r="C2562" s="1" t="s">
        <v>951</v>
      </c>
      <c r="D2562" s="1" t="s">
        <v>952</v>
      </c>
      <c r="E2562" s="1" t="s">
        <v>14</v>
      </c>
      <c r="F2562" s="1" t="s">
        <v>540</v>
      </c>
      <c r="G2562" s="1" t="s">
        <v>541</v>
      </c>
      <c r="H2562" s="1" t="s">
        <v>37</v>
      </c>
      <c r="I2562">
        <v>22730</v>
      </c>
      <c r="J2562" s="3">
        <v>4.74</v>
      </c>
      <c r="K2562" s="3">
        <v>107740.2</v>
      </c>
    </row>
    <row r="2563" spans="1:11" x14ac:dyDescent="0.2">
      <c r="A2563" s="1" t="s">
        <v>3673</v>
      </c>
      <c r="B2563" s="2">
        <v>45920</v>
      </c>
      <c r="C2563" s="1" t="s">
        <v>779</v>
      </c>
      <c r="D2563" s="1" t="s">
        <v>780</v>
      </c>
      <c r="E2563" s="1" t="s">
        <v>21</v>
      </c>
      <c r="F2563" s="1" t="s">
        <v>474</v>
      </c>
      <c r="G2563" s="1" t="s">
        <v>475</v>
      </c>
      <c r="H2563" s="1" t="s">
        <v>48</v>
      </c>
      <c r="I2563">
        <v>85363</v>
      </c>
      <c r="J2563" s="3">
        <v>42.39</v>
      </c>
      <c r="K2563" s="3">
        <v>3618537.57</v>
      </c>
    </row>
    <row r="2564" spans="1:11" x14ac:dyDescent="0.2">
      <c r="A2564" s="1" t="s">
        <v>3674</v>
      </c>
      <c r="B2564" s="2">
        <v>45737</v>
      </c>
      <c r="C2564" s="1" t="s">
        <v>695</v>
      </c>
      <c r="D2564" s="1" t="s">
        <v>696</v>
      </c>
      <c r="E2564" s="1" t="s">
        <v>14</v>
      </c>
      <c r="F2564" s="1" t="s">
        <v>228</v>
      </c>
      <c r="G2564" s="1" t="s">
        <v>229</v>
      </c>
      <c r="H2564" s="1" t="s">
        <v>48</v>
      </c>
      <c r="I2564">
        <v>94342</v>
      </c>
      <c r="J2564" s="3">
        <v>46.72</v>
      </c>
      <c r="K2564" s="3">
        <v>4407658.24</v>
      </c>
    </row>
    <row r="2565" spans="1:11" x14ac:dyDescent="0.2">
      <c r="A2565" s="1" t="s">
        <v>3675</v>
      </c>
      <c r="B2565" s="2">
        <v>45958</v>
      </c>
      <c r="C2565" s="1" t="s">
        <v>1032</v>
      </c>
      <c r="D2565" s="1" t="s">
        <v>1033</v>
      </c>
      <c r="E2565" s="1" t="s">
        <v>34</v>
      </c>
      <c r="F2565" s="1" t="s">
        <v>761</v>
      </c>
      <c r="G2565" s="1" t="s">
        <v>762</v>
      </c>
      <c r="H2565" s="1" t="s">
        <v>48</v>
      </c>
      <c r="I2565">
        <v>58173</v>
      </c>
      <c r="J2565" s="3">
        <v>17.170000000000002</v>
      </c>
      <c r="K2565" s="3">
        <v>998830.41</v>
      </c>
    </row>
    <row r="2566" spans="1:11" x14ac:dyDescent="0.2">
      <c r="A2566" s="1" t="s">
        <v>3676</v>
      </c>
      <c r="B2566" s="2">
        <v>45754</v>
      </c>
      <c r="C2566" s="1" t="s">
        <v>451</v>
      </c>
      <c r="D2566" s="1" t="s">
        <v>452</v>
      </c>
      <c r="E2566" s="1" t="s">
        <v>28</v>
      </c>
      <c r="F2566" s="1" t="s">
        <v>324</v>
      </c>
      <c r="G2566" s="1" t="s">
        <v>325</v>
      </c>
      <c r="H2566" s="1" t="s">
        <v>24</v>
      </c>
      <c r="I2566">
        <v>77028</v>
      </c>
      <c r="J2566" s="3">
        <v>20.149999999999999</v>
      </c>
      <c r="K2566" s="3">
        <v>1552114.2</v>
      </c>
    </row>
    <row r="2567" spans="1:11" x14ac:dyDescent="0.2">
      <c r="A2567" s="1" t="s">
        <v>3677</v>
      </c>
      <c r="B2567" s="2">
        <v>45415</v>
      </c>
      <c r="C2567" s="1" t="s">
        <v>243</v>
      </c>
      <c r="D2567" s="1" t="s">
        <v>244</v>
      </c>
      <c r="E2567" s="1" t="s">
        <v>21</v>
      </c>
      <c r="F2567" s="1" t="s">
        <v>510</v>
      </c>
      <c r="G2567" s="1" t="s">
        <v>511</v>
      </c>
      <c r="H2567" s="1" t="s">
        <v>17</v>
      </c>
      <c r="I2567">
        <v>50453</v>
      </c>
      <c r="J2567" s="3">
        <v>15.36</v>
      </c>
      <c r="K2567" s="3">
        <v>774958.07999999996</v>
      </c>
    </row>
    <row r="2568" spans="1:11" x14ac:dyDescent="0.2">
      <c r="A2568" s="1" t="s">
        <v>3678</v>
      </c>
      <c r="B2568" s="2">
        <v>45624</v>
      </c>
      <c r="C2568" s="1" t="s">
        <v>1740</v>
      </c>
      <c r="D2568" s="1" t="s">
        <v>1741</v>
      </c>
      <c r="E2568" s="1" t="s">
        <v>21</v>
      </c>
      <c r="F2568" s="1" t="s">
        <v>46</v>
      </c>
      <c r="G2568" s="1" t="s">
        <v>47</v>
      </c>
      <c r="H2568" s="1" t="s">
        <v>48</v>
      </c>
      <c r="I2568">
        <v>35888</v>
      </c>
      <c r="J2568" s="3">
        <v>9.6999999999999993</v>
      </c>
      <c r="K2568" s="3">
        <v>348113.6</v>
      </c>
    </row>
    <row r="2569" spans="1:11" x14ac:dyDescent="0.2">
      <c r="A2569" s="1" t="s">
        <v>3679</v>
      </c>
      <c r="B2569" s="2">
        <v>45500</v>
      </c>
      <c r="C2569" s="1" t="s">
        <v>2207</v>
      </c>
      <c r="D2569" s="1" t="s">
        <v>2208</v>
      </c>
      <c r="E2569" s="1" t="s">
        <v>37</v>
      </c>
      <c r="F2569" s="1" t="s">
        <v>165</v>
      </c>
      <c r="G2569" s="1" t="s">
        <v>166</v>
      </c>
      <c r="H2569" s="1" t="s">
        <v>24</v>
      </c>
      <c r="I2569">
        <v>98404</v>
      </c>
      <c r="J2569" s="3">
        <v>48.06</v>
      </c>
      <c r="K2569" s="3">
        <v>4729296.24</v>
      </c>
    </row>
    <row r="2570" spans="1:11" x14ac:dyDescent="0.2">
      <c r="A2570" s="1" t="s">
        <v>3680</v>
      </c>
      <c r="B2570" s="2">
        <v>45667</v>
      </c>
      <c r="C2570" s="1" t="s">
        <v>1718</v>
      </c>
      <c r="D2570" s="1" t="s">
        <v>1719</v>
      </c>
      <c r="E2570" s="1" t="s">
        <v>21</v>
      </c>
      <c r="F2570" s="1" t="s">
        <v>52</v>
      </c>
      <c r="G2570" s="1" t="s">
        <v>53</v>
      </c>
      <c r="H2570" s="1" t="s">
        <v>17</v>
      </c>
      <c r="I2570">
        <v>9789</v>
      </c>
      <c r="J2570" s="3">
        <v>23.18</v>
      </c>
      <c r="K2570" s="3">
        <v>226909.02</v>
      </c>
    </row>
    <row r="2571" spans="1:11" x14ac:dyDescent="0.2">
      <c r="A2571" s="1" t="s">
        <v>3681</v>
      </c>
      <c r="B2571" s="2">
        <v>45586</v>
      </c>
      <c r="C2571" s="1" t="s">
        <v>240</v>
      </c>
      <c r="D2571" s="1" t="s">
        <v>241</v>
      </c>
      <c r="E2571" s="1" t="s">
        <v>28</v>
      </c>
      <c r="F2571" s="1" t="s">
        <v>263</v>
      </c>
      <c r="G2571" s="1" t="s">
        <v>264</v>
      </c>
      <c r="H2571" s="1" t="s">
        <v>17</v>
      </c>
      <c r="I2571">
        <v>17339</v>
      </c>
      <c r="J2571" s="3">
        <v>49.44</v>
      </c>
      <c r="K2571" s="3">
        <v>857240.16</v>
      </c>
    </row>
    <row r="2572" spans="1:11" x14ac:dyDescent="0.2">
      <c r="A2572" s="1" t="s">
        <v>3682</v>
      </c>
      <c r="B2572" s="2">
        <v>45400</v>
      </c>
      <c r="C2572" s="1" t="s">
        <v>1092</v>
      </c>
      <c r="D2572" s="1" t="s">
        <v>1093</v>
      </c>
      <c r="E2572" s="1" t="s">
        <v>34</v>
      </c>
      <c r="F2572" s="1" t="s">
        <v>761</v>
      </c>
      <c r="G2572" s="1" t="s">
        <v>762</v>
      </c>
      <c r="H2572" s="1" t="s">
        <v>48</v>
      </c>
      <c r="I2572">
        <v>37045</v>
      </c>
      <c r="J2572" s="3">
        <v>14.9</v>
      </c>
      <c r="K2572" s="3">
        <v>551970.5</v>
      </c>
    </row>
    <row r="2573" spans="1:11" x14ac:dyDescent="0.2">
      <c r="A2573" s="1" t="s">
        <v>3683</v>
      </c>
      <c r="B2573" s="2">
        <v>45767</v>
      </c>
      <c r="C2573" s="1" t="s">
        <v>1591</v>
      </c>
      <c r="D2573" s="1" t="s">
        <v>1592</v>
      </c>
      <c r="E2573" s="1" t="s">
        <v>34</v>
      </c>
      <c r="F2573" s="1" t="s">
        <v>263</v>
      </c>
      <c r="G2573" s="1" t="s">
        <v>264</v>
      </c>
      <c r="H2573" s="1" t="s">
        <v>17</v>
      </c>
      <c r="I2573">
        <v>20894</v>
      </c>
      <c r="J2573" s="3">
        <v>29.36</v>
      </c>
      <c r="K2573" s="3">
        <v>613447.84</v>
      </c>
    </row>
    <row r="2574" spans="1:11" x14ac:dyDescent="0.2">
      <c r="A2574" s="1" t="s">
        <v>3684</v>
      </c>
      <c r="B2574" s="2">
        <v>45705</v>
      </c>
      <c r="C2574" s="1" t="s">
        <v>1357</v>
      </c>
      <c r="D2574" s="1" t="s">
        <v>1358</v>
      </c>
      <c r="E2574" s="1" t="s">
        <v>37</v>
      </c>
      <c r="F2574" s="1" t="s">
        <v>22</v>
      </c>
      <c r="G2574" s="1" t="s">
        <v>23</v>
      </c>
      <c r="H2574" s="1" t="s">
        <v>24</v>
      </c>
      <c r="I2574">
        <v>21139</v>
      </c>
      <c r="J2574" s="3">
        <v>31.66</v>
      </c>
      <c r="K2574" s="3">
        <v>669260.74</v>
      </c>
    </row>
    <row r="2575" spans="1:11" x14ac:dyDescent="0.2">
      <c r="A2575" s="1" t="s">
        <v>3685</v>
      </c>
      <c r="B2575" s="2">
        <v>45524</v>
      </c>
      <c r="C2575" s="1" t="s">
        <v>461</v>
      </c>
      <c r="D2575" s="1" t="s">
        <v>462</v>
      </c>
      <c r="E2575" s="1" t="s">
        <v>28</v>
      </c>
      <c r="F2575" s="1" t="s">
        <v>412</v>
      </c>
      <c r="G2575" s="1" t="s">
        <v>413</v>
      </c>
      <c r="H2575" s="1" t="s">
        <v>72</v>
      </c>
      <c r="I2575">
        <v>4314</v>
      </c>
      <c r="J2575" s="3">
        <v>22.69</v>
      </c>
      <c r="K2575" s="3">
        <v>97884.66</v>
      </c>
    </row>
    <row r="2576" spans="1:11" x14ac:dyDescent="0.2">
      <c r="A2576" s="1" t="s">
        <v>3686</v>
      </c>
      <c r="B2576" s="2">
        <v>45730</v>
      </c>
      <c r="C2576" s="1" t="s">
        <v>316</v>
      </c>
      <c r="D2576" s="1" t="s">
        <v>317</v>
      </c>
      <c r="E2576" s="1" t="s">
        <v>14</v>
      </c>
      <c r="F2576" s="1" t="s">
        <v>46</v>
      </c>
      <c r="G2576" s="1" t="s">
        <v>47</v>
      </c>
      <c r="H2576" s="1" t="s">
        <v>48</v>
      </c>
      <c r="I2576">
        <v>87977</v>
      </c>
      <c r="J2576" s="3">
        <v>26.54</v>
      </c>
      <c r="K2576" s="3">
        <v>2334909.58</v>
      </c>
    </row>
    <row r="2577" spans="1:11" x14ac:dyDescent="0.2">
      <c r="A2577" s="1" t="s">
        <v>3687</v>
      </c>
      <c r="B2577" s="2">
        <v>45752</v>
      </c>
      <c r="C2577" s="1" t="s">
        <v>920</v>
      </c>
      <c r="D2577" s="1" t="s">
        <v>921</v>
      </c>
      <c r="E2577" s="1" t="s">
        <v>14</v>
      </c>
      <c r="F2577" s="1" t="s">
        <v>263</v>
      </c>
      <c r="G2577" s="1" t="s">
        <v>264</v>
      </c>
      <c r="H2577" s="1" t="s">
        <v>17</v>
      </c>
      <c r="I2577">
        <v>5895</v>
      </c>
      <c r="J2577" s="3">
        <v>9.16</v>
      </c>
      <c r="K2577" s="3">
        <v>53998.2</v>
      </c>
    </row>
    <row r="2578" spans="1:11" x14ac:dyDescent="0.2">
      <c r="A2578" s="1" t="s">
        <v>3688</v>
      </c>
      <c r="B2578" s="2">
        <v>45539</v>
      </c>
      <c r="C2578" s="1" t="s">
        <v>313</v>
      </c>
      <c r="D2578" s="1" t="s">
        <v>314</v>
      </c>
      <c r="E2578" s="1" t="s">
        <v>37</v>
      </c>
      <c r="F2578" s="1" t="s">
        <v>324</v>
      </c>
      <c r="G2578" s="1" t="s">
        <v>325</v>
      </c>
      <c r="H2578" s="1" t="s">
        <v>24</v>
      </c>
      <c r="I2578">
        <v>4884</v>
      </c>
      <c r="J2578" s="3">
        <v>22.44</v>
      </c>
      <c r="K2578" s="3">
        <v>109596.96</v>
      </c>
    </row>
    <row r="2579" spans="1:11" x14ac:dyDescent="0.2">
      <c r="A2579" s="1" t="s">
        <v>3689</v>
      </c>
      <c r="B2579" s="2">
        <v>45319</v>
      </c>
      <c r="C2579" s="1" t="s">
        <v>1076</v>
      </c>
      <c r="D2579" s="1" t="s">
        <v>1077</v>
      </c>
      <c r="E2579" s="1" t="s">
        <v>34</v>
      </c>
      <c r="F2579" s="1" t="s">
        <v>540</v>
      </c>
      <c r="G2579" s="1" t="s">
        <v>541</v>
      </c>
      <c r="H2579" s="1" t="s">
        <v>37</v>
      </c>
      <c r="I2579">
        <v>23287</v>
      </c>
      <c r="J2579" s="3">
        <v>36.659999999999997</v>
      </c>
      <c r="K2579" s="3">
        <v>853701.42</v>
      </c>
    </row>
    <row r="2580" spans="1:11" x14ac:dyDescent="0.2">
      <c r="A2580" s="1" t="s">
        <v>3690</v>
      </c>
      <c r="B2580" s="2">
        <v>45603</v>
      </c>
      <c r="C2580" s="1" t="s">
        <v>734</v>
      </c>
      <c r="D2580" s="1" t="s">
        <v>735</v>
      </c>
      <c r="E2580" s="1" t="s">
        <v>28</v>
      </c>
      <c r="F2580" s="1" t="s">
        <v>552</v>
      </c>
      <c r="G2580" s="1" t="s">
        <v>553</v>
      </c>
      <c r="H2580" s="1" t="s">
        <v>37</v>
      </c>
      <c r="I2580">
        <v>47829</v>
      </c>
      <c r="J2580" s="3">
        <v>21.97</v>
      </c>
      <c r="K2580" s="3">
        <v>1050803.1299999999</v>
      </c>
    </row>
    <row r="2581" spans="1:11" x14ac:dyDescent="0.2">
      <c r="A2581" s="1" t="s">
        <v>3691</v>
      </c>
      <c r="B2581" s="2">
        <v>45502</v>
      </c>
      <c r="C2581" s="1" t="s">
        <v>1007</v>
      </c>
      <c r="D2581" s="1" t="s">
        <v>1008</v>
      </c>
      <c r="E2581" s="1" t="s">
        <v>37</v>
      </c>
      <c r="F2581" s="1" t="s">
        <v>394</v>
      </c>
      <c r="G2581" s="1" t="s">
        <v>395</v>
      </c>
      <c r="H2581" s="1" t="s">
        <v>48</v>
      </c>
      <c r="I2581">
        <v>94836</v>
      </c>
      <c r="J2581" s="3">
        <v>24.11</v>
      </c>
      <c r="K2581" s="3">
        <v>2286495.96</v>
      </c>
    </row>
    <row r="2582" spans="1:11" x14ac:dyDescent="0.2">
      <c r="A2582" s="1" t="s">
        <v>3692</v>
      </c>
      <c r="B2582" s="2">
        <v>45661</v>
      </c>
      <c r="C2582" s="1" t="s">
        <v>198</v>
      </c>
      <c r="D2582" s="1" t="s">
        <v>199</v>
      </c>
      <c r="E2582" s="1" t="s">
        <v>21</v>
      </c>
      <c r="F2582" s="1" t="s">
        <v>510</v>
      </c>
      <c r="G2582" s="1" t="s">
        <v>511</v>
      </c>
      <c r="H2582" s="1" t="s">
        <v>17</v>
      </c>
      <c r="I2582">
        <v>74571</v>
      </c>
      <c r="J2582" s="3">
        <v>2.2400000000000002</v>
      </c>
      <c r="K2582" s="3">
        <v>167039.04000000001</v>
      </c>
    </row>
    <row r="2583" spans="1:11" x14ac:dyDescent="0.2">
      <c r="A2583" s="1" t="s">
        <v>3693</v>
      </c>
      <c r="B2583" s="2">
        <v>45501</v>
      </c>
      <c r="C2583" s="1" t="s">
        <v>1113</v>
      </c>
      <c r="D2583" s="1" t="s">
        <v>1114</v>
      </c>
      <c r="E2583" s="1" t="s">
        <v>14</v>
      </c>
      <c r="F2583" s="1" t="s">
        <v>189</v>
      </c>
      <c r="G2583" s="1" t="s">
        <v>190</v>
      </c>
      <c r="H2583" s="1" t="s">
        <v>17</v>
      </c>
      <c r="I2583">
        <v>8763</v>
      </c>
      <c r="J2583" s="3">
        <v>39.93</v>
      </c>
      <c r="K2583" s="3">
        <v>349906.59</v>
      </c>
    </row>
    <row r="2584" spans="1:11" x14ac:dyDescent="0.2">
      <c r="A2584" s="1" t="s">
        <v>3694</v>
      </c>
      <c r="B2584" s="2">
        <v>45839</v>
      </c>
      <c r="C2584" s="1" t="s">
        <v>1894</v>
      </c>
      <c r="D2584" s="1" t="s">
        <v>1895</v>
      </c>
      <c r="E2584" s="1" t="s">
        <v>28</v>
      </c>
      <c r="F2584" s="1" t="s">
        <v>552</v>
      </c>
      <c r="G2584" s="1" t="s">
        <v>553</v>
      </c>
      <c r="H2584" s="1" t="s">
        <v>37</v>
      </c>
      <c r="I2584">
        <v>88578</v>
      </c>
      <c r="J2584" s="3">
        <v>8.7799999999999994</v>
      </c>
      <c r="K2584" s="3">
        <v>777714.84</v>
      </c>
    </row>
    <row r="2585" spans="1:11" x14ac:dyDescent="0.2">
      <c r="A2585" s="1" t="s">
        <v>3695</v>
      </c>
      <c r="B2585" s="2">
        <v>45847</v>
      </c>
      <c r="C2585" s="1" t="s">
        <v>886</v>
      </c>
      <c r="D2585" s="1" t="s">
        <v>887</v>
      </c>
      <c r="E2585" s="1" t="s">
        <v>21</v>
      </c>
      <c r="F2585" s="1" t="s">
        <v>203</v>
      </c>
      <c r="G2585" s="1" t="s">
        <v>204</v>
      </c>
      <c r="H2585" s="1" t="s">
        <v>72</v>
      </c>
      <c r="I2585">
        <v>15595</v>
      </c>
      <c r="J2585" s="3">
        <v>34.049999999999997</v>
      </c>
      <c r="K2585" s="3">
        <v>531009.75</v>
      </c>
    </row>
    <row r="2586" spans="1:11" x14ac:dyDescent="0.2">
      <c r="A2586" s="1" t="s">
        <v>3696</v>
      </c>
      <c r="B2586" s="2">
        <v>45849</v>
      </c>
      <c r="C2586" s="1" t="s">
        <v>1053</v>
      </c>
      <c r="D2586" s="1" t="s">
        <v>1054</v>
      </c>
      <c r="E2586" s="1" t="s">
        <v>21</v>
      </c>
      <c r="F2586" s="1" t="s">
        <v>189</v>
      </c>
      <c r="G2586" s="1" t="s">
        <v>190</v>
      </c>
      <c r="H2586" s="1" t="s">
        <v>17</v>
      </c>
      <c r="I2586">
        <v>21711</v>
      </c>
      <c r="J2586" s="3">
        <v>9.7200000000000006</v>
      </c>
      <c r="K2586" s="3">
        <v>211030.92</v>
      </c>
    </row>
    <row r="2587" spans="1:11" x14ac:dyDescent="0.2">
      <c r="A2587" s="1" t="s">
        <v>3697</v>
      </c>
      <c r="B2587" s="2">
        <v>45366</v>
      </c>
      <c r="C2587" s="1" t="s">
        <v>174</v>
      </c>
      <c r="D2587" s="1" t="s">
        <v>175</v>
      </c>
      <c r="E2587" s="1" t="s">
        <v>37</v>
      </c>
      <c r="F2587" s="1" t="s">
        <v>70</v>
      </c>
      <c r="G2587" s="1" t="s">
        <v>71</v>
      </c>
      <c r="H2587" s="1" t="s">
        <v>72</v>
      </c>
      <c r="I2587">
        <v>10204</v>
      </c>
      <c r="J2587" s="3">
        <v>16.98</v>
      </c>
      <c r="K2587" s="3">
        <v>173263.92</v>
      </c>
    </row>
    <row r="2588" spans="1:11" x14ac:dyDescent="0.2">
      <c r="A2588" s="1" t="s">
        <v>3698</v>
      </c>
      <c r="B2588" s="2">
        <v>45878</v>
      </c>
      <c r="C2588" s="1" t="s">
        <v>254</v>
      </c>
      <c r="D2588" s="1" t="s">
        <v>255</v>
      </c>
      <c r="E2588" s="1" t="s">
        <v>14</v>
      </c>
      <c r="F2588" s="1" t="s">
        <v>22</v>
      </c>
      <c r="G2588" s="1" t="s">
        <v>23</v>
      </c>
      <c r="H2588" s="1" t="s">
        <v>24</v>
      </c>
      <c r="I2588">
        <v>93169</v>
      </c>
      <c r="J2588" s="3">
        <v>15.49</v>
      </c>
      <c r="K2588" s="3">
        <v>1443187.81</v>
      </c>
    </row>
    <row r="2589" spans="1:11" x14ac:dyDescent="0.2">
      <c r="A2589" s="1" t="s">
        <v>3699</v>
      </c>
      <c r="B2589" s="2">
        <v>45870</v>
      </c>
      <c r="C2589" s="1" t="s">
        <v>2785</v>
      </c>
      <c r="D2589" s="1" t="s">
        <v>2786</v>
      </c>
      <c r="E2589" s="1" t="s">
        <v>14</v>
      </c>
      <c r="F2589" s="1" t="s">
        <v>463</v>
      </c>
      <c r="G2589" s="1" t="s">
        <v>464</v>
      </c>
      <c r="H2589" s="1" t="s">
        <v>37</v>
      </c>
      <c r="I2589">
        <v>95720</v>
      </c>
      <c r="J2589" s="3">
        <v>39.979999999999997</v>
      </c>
      <c r="K2589" s="3">
        <v>3826885.6</v>
      </c>
    </row>
    <row r="2590" spans="1:11" x14ac:dyDescent="0.2">
      <c r="A2590" s="1" t="s">
        <v>3700</v>
      </c>
      <c r="B2590" s="2">
        <v>45447</v>
      </c>
      <c r="C2590" s="1" t="s">
        <v>910</v>
      </c>
      <c r="D2590" s="1" t="s">
        <v>911</v>
      </c>
      <c r="E2590" s="1" t="s">
        <v>28</v>
      </c>
      <c r="F2590" s="1" t="s">
        <v>152</v>
      </c>
      <c r="G2590" s="1" t="s">
        <v>153</v>
      </c>
      <c r="H2590" s="1" t="s">
        <v>17</v>
      </c>
      <c r="I2590">
        <v>69015</v>
      </c>
      <c r="J2590" s="3">
        <v>25.05</v>
      </c>
      <c r="K2590" s="3">
        <v>1728825.75</v>
      </c>
    </row>
    <row r="2591" spans="1:11" x14ac:dyDescent="0.2">
      <c r="A2591" s="1" t="s">
        <v>3701</v>
      </c>
      <c r="B2591" s="2">
        <v>45949</v>
      </c>
      <c r="C2591" s="1" t="s">
        <v>1701</v>
      </c>
      <c r="D2591" s="1" t="s">
        <v>1702</v>
      </c>
      <c r="E2591" s="1" t="s">
        <v>34</v>
      </c>
      <c r="F2591" s="1" t="s">
        <v>29</v>
      </c>
      <c r="G2591" s="1" t="s">
        <v>30</v>
      </c>
      <c r="H2591" s="1" t="s">
        <v>24</v>
      </c>
      <c r="I2591">
        <v>76248</v>
      </c>
      <c r="J2591" s="3">
        <v>19.5</v>
      </c>
      <c r="K2591" s="3">
        <v>1486836</v>
      </c>
    </row>
    <row r="2592" spans="1:11" x14ac:dyDescent="0.2">
      <c r="A2592" s="1" t="s">
        <v>3702</v>
      </c>
      <c r="B2592" s="2">
        <v>45496</v>
      </c>
      <c r="C2592" s="1" t="s">
        <v>863</v>
      </c>
      <c r="D2592" s="1" t="s">
        <v>864</v>
      </c>
      <c r="E2592" s="1" t="s">
        <v>37</v>
      </c>
      <c r="F2592" s="1" t="s">
        <v>29</v>
      </c>
      <c r="G2592" s="1" t="s">
        <v>30</v>
      </c>
      <c r="H2592" s="1" t="s">
        <v>24</v>
      </c>
      <c r="I2592">
        <v>87702</v>
      </c>
      <c r="J2592" s="3">
        <v>23.18</v>
      </c>
      <c r="K2592" s="3">
        <v>2032932.36</v>
      </c>
    </row>
    <row r="2593" spans="1:11" x14ac:dyDescent="0.2">
      <c r="A2593" s="1" t="s">
        <v>3703</v>
      </c>
      <c r="B2593" s="2">
        <v>45607</v>
      </c>
      <c r="C2593" s="1" t="s">
        <v>901</v>
      </c>
      <c r="D2593" s="1" t="s">
        <v>902</v>
      </c>
      <c r="E2593" s="1" t="s">
        <v>21</v>
      </c>
      <c r="F2593" s="1" t="s">
        <v>65</v>
      </c>
      <c r="G2593" s="1" t="s">
        <v>66</v>
      </c>
      <c r="H2593" s="1" t="s">
        <v>48</v>
      </c>
      <c r="I2593">
        <v>34090</v>
      </c>
      <c r="J2593" s="3">
        <v>4.1399999999999997</v>
      </c>
      <c r="K2593" s="3">
        <v>141132.6</v>
      </c>
    </row>
    <row r="2594" spans="1:11" x14ac:dyDescent="0.2">
      <c r="A2594" s="1" t="s">
        <v>3704</v>
      </c>
      <c r="B2594" s="2">
        <v>45421</v>
      </c>
      <c r="C2594" s="1" t="s">
        <v>559</v>
      </c>
      <c r="D2594" s="1" t="s">
        <v>560</v>
      </c>
      <c r="E2594" s="1" t="s">
        <v>14</v>
      </c>
      <c r="F2594" s="1" t="s">
        <v>176</v>
      </c>
      <c r="G2594" s="1" t="s">
        <v>177</v>
      </c>
      <c r="H2594" s="1" t="s">
        <v>37</v>
      </c>
      <c r="I2594">
        <v>57429</v>
      </c>
      <c r="J2594" s="3">
        <v>45.57</v>
      </c>
      <c r="K2594" s="3">
        <v>2617039.5299999998</v>
      </c>
    </row>
    <row r="2595" spans="1:11" x14ac:dyDescent="0.2">
      <c r="A2595" s="1" t="s">
        <v>3705</v>
      </c>
      <c r="B2595" s="2">
        <v>45541</v>
      </c>
      <c r="C2595" s="1" t="s">
        <v>310</v>
      </c>
      <c r="D2595" s="1" t="s">
        <v>311</v>
      </c>
      <c r="E2595" s="1" t="s">
        <v>37</v>
      </c>
      <c r="F2595" s="1" t="s">
        <v>228</v>
      </c>
      <c r="G2595" s="1" t="s">
        <v>229</v>
      </c>
      <c r="H2595" s="1" t="s">
        <v>48</v>
      </c>
      <c r="I2595">
        <v>90945</v>
      </c>
      <c r="J2595" s="3">
        <v>15.29</v>
      </c>
      <c r="K2595" s="3">
        <v>1390549.05</v>
      </c>
    </row>
    <row r="2596" spans="1:11" x14ac:dyDescent="0.2">
      <c r="A2596" s="1" t="s">
        <v>3706</v>
      </c>
      <c r="B2596" s="2">
        <v>45717</v>
      </c>
      <c r="C2596" s="1" t="s">
        <v>400</v>
      </c>
      <c r="D2596" s="1" t="s">
        <v>401</v>
      </c>
      <c r="E2596" s="1" t="s">
        <v>21</v>
      </c>
      <c r="F2596" s="1" t="s">
        <v>268</v>
      </c>
      <c r="G2596" s="1" t="s">
        <v>269</v>
      </c>
      <c r="H2596" s="1" t="s">
        <v>72</v>
      </c>
      <c r="I2596">
        <v>4622</v>
      </c>
      <c r="J2596" s="3">
        <v>27.28</v>
      </c>
      <c r="K2596" s="3">
        <v>126088.16</v>
      </c>
    </row>
    <row r="2597" spans="1:11" x14ac:dyDescent="0.2">
      <c r="A2597" s="1" t="s">
        <v>3707</v>
      </c>
      <c r="B2597" s="2">
        <v>45866</v>
      </c>
      <c r="C2597" s="1" t="s">
        <v>628</v>
      </c>
      <c r="D2597" s="1" t="s">
        <v>629</v>
      </c>
      <c r="E2597" s="1" t="s">
        <v>14</v>
      </c>
      <c r="F2597" s="1" t="s">
        <v>394</v>
      </c>
      <c r="G2597" s="1" t="s">
        <v>395</v>
      </c>
      <c r="H2597" s="1" t="s">
        <v>48</v>
      </c>
      <c r="I2597">
        <v>92191</v>
      </c>
      <c r="J2597" s="3">
        <v>21.22</v>
      </c>
      <c r="K2597" s="3">
        <v>1956293.02</v>
      </c>
    </row>
    <row r="2598" spans="1:11" x14ac:dyDescent="0.2">
      <c r="A2598" s="1" t="s">
        <v>3708</v>
      </c>
      <c r="B2598" s="2">
        <v>45910</v>
      </c>
      <c r="C2598" s="1" t="s">
        <v>226</v>
      </c>
      <c r="D2598" s="1" t="s">
        <v>227</v>
      </c>
      <c r="E2598" s="1" t="s">
        <v>34</v>
      </c>
      <c r="F2598" s="1" t="s">
        <v>330</v>
      </c>
      <c r="G2598" s="1" t="s">
        <v>331</v>
      </c>
      <c r="H2598" s="1" t="s">
        <v>72</v>
      </c>
      <c r="I2598">
        <v>52548</v>
      </c>
      <c r="J2598" s="3">
        <v>10.029999999999999</v>
      </c>
      <c r="K2598" s="3">
        <v>527056.43999999994</v>
      </c>
    </row>
    <row r="2599" spans="1:11" x14ac:dyDescent="0.2">
      <c r="A2599" s="1" t="s">
        <v>3709</v>
      </c>
      <c r="B2599" s="2">
        <v>45788</v>
      </c>
      <c r="C2599" s="1" t="s">
        <v>142</v>
      </c>
      <c r="D2599" s="1" t="s">
        <v>143</v>
      </c>
      <c r="E2599" s="1" t="s">
        <v>37</v>
      </c>
      <c r="F2599" s="1" t="s">
        <v>157</v>
      </c>
      <c r="G2599" s="1" t="s">
        <v>158</v>
      </c>
      <c r="H2599" s="1" t="s">
        <v>48</v>
      </c>
      <c r="I2599">
        <v>17762</v>
      </c>
      <c r="J2599" s="3">
        <v>37.25</v>
      </c>
      <c r="K2599" s="3">
        <v>661634.5</v>
      </c>
    </row>
    <row r="2600" spans="1:11" x14ac:dyDescent="0.2">
      <c r="A2600" s="1" t="s">
        <v>3710</v>
      </c>
      <c r="B2600" s="2">
        <v>45422</v>
      </c>
      <c r="C2600" s="1" t="s">
        <v>1454</v>
      </c>
      <c r="D2600" s="1" t="s">
        <v>1455</v>
      </c>
      <c r="E2600" s="1" t="s">
        <v>37</v>
      </c>
      <c r="F2600" s="1" t="s">
        <v>510</v>
      </c>
      <c r="G2600" s="1" t="s">
        <v>511</v>
      </c>
      <c r="H2600" s="1" t="s">
        <v>17</v>
      </c>
      <c r="I2600">
        <v>54524</v>
      </c>
      <c r="J2600" s="3">
        <v>16.89</v>
      </c>
      <c r="K2600" s="3">
        <v>920910.36</v>
      </c>
    </row>
    <row r="2601" spans="1:11" x14ac:dyDescent="0.2">
      <c r="A2601" s="1" t="s">
        <v>3711</v>
      </c>
      <c r="B2601" s="2">
        <v>45988</v>
      </c>
      <c r="C2601" s="1" t="s">
        <v>424</v>
      </c>
      <c r="D2601" s="1" t="s">
        <v>425</v>
      </c>
      <c r="E2601" s="1" t="s">
        <v>28</v>
      </c>
      <c r="F2601" s="1" t="s">
        <v>412</v>
      </c>
      <c r="G2601" s="1" t="s">
        <v>413</v>
      </c>
      <c r="H2601" s="1" t="s">
        <v>72</v>
      </c>
      <c r="I2601">
        <v>69024</v>
      </c>
      <c r="J2601" s="3">
        <v>37.94</v>
      </c>
      <c r="K2601" s="3">
        <v>2618770.56</v>
      </c>
    </row>
    <row r="2602" spans="1:11" x14ac:dyDescent="0.2">
      <c r="A2602" s="1" t="s">
        <v>3712</v>
      </c>
      <c r="B2602" s="2">
        <v>45901</v>
      </c>
      <c r="C2602" s="1" t="s">
        <v>3301</v>
      </c>
      <c r="D2602" s="1" t="s">
        <v>3302</v>
      </c>
      <c r="E2602" s="1" t="s">
        <v>28</v>
      </c>
      <c r="F2602" s="1" t="s">
        <v>184</v>
      </c>
      <c r="G2602" s="1" t="s">
        <v>185</v>
      </c>
      <c r="H2602" s="1" t="s">
        <v>17</v>
      </c>
      <c r="I2602">
        <v>77014</v>
      </c>
      <c r="J2602" s="3">
        <v>22</v>
      </c>
      <c r="K2602" s="3">
        <v>1694308</v>
      </c>
    </row>
    <row r="2603" spans="1:11" x14ac:dyDescent="0.2">
      <c r="A2603" s="1" t="s">
        <v>3713</v>
      </c>
      <c r="B2603" s="2">
        <v>45979</v>
      </c>
      <c r="C2603" s="1" t="s">
        <v>596</v>
      </c>
      <c r="D2603" s="1" t="s">
        <v>597</v>
      </c>
      <c r="E2603" s="1" t="s">
        <v>37</v>
      </c>
      <c r="F2603" s="1" t="s">
        <v>251</v>
      </c>
      <c r="G2603" s="1" t="s">
        <v>252</v>
      </c>
      <c r="H2603" s="1" t="s">
        <v>72</v>
      </c>
      <c r="I2603">
        <v>87350</v>
      </c>
      <c r="J2603" s="3">
        <v>14.73</v>
      </c>
      <c r="K2603" s="3">
        <v>1286665.5</v>
      </c>
    </row>
    <row r="2604" spans="1:11" x14ac:dyDescent="0.2">
      <c r="A2604" s="1" t="s">
        <v>3714</v>
      </c>
      <c r="B2604" s="2">
        <v>45803</v>
      </c>
      <c r="C2604" s="1" t="s">
        <v>481</v>
      </c>
      <c r="D2604" s="1" t="s">
        <v>482</v>
      </c>
      <c r="E2604" s="1" t="s">
        <v>34</v>
      </c>
      <c r="F2604" s="1" t="s">
        <v>152</v>
      </c>
      <c r="G2604" s="1" t="s">
        <v>153</v>
      </c>
      <c r="H2604" s="1" t="s">
        <v>17</v>
      </c>
      <c r="I2604">
        <v>52750</v>
      </c>
      <c r="J2604" s="3">
        <v>35.700000000000003</v>
      </c>
      <c r="K2604" s="3">
        <v>1883175</v>
      </c>
    </row>
    <row r="2605" spans="1:11" x14ac:dyDescent="0.2">
      <c r="A2605" s="1" t="s">
        <v>3715</v>
      </c>
      <c r="B2605" s="2">
        <v>45660</v>
      </c>
      <c r="C2605" s="1" t="s">
        <v>1507</v>
      </c>
      <c r="D2605" s="1" t="s">
        <v>1508</v>
      </c>
      <c r="E2605" s="1" t="s">
        <v>37</v>
      </c>
      <c r="F2605" s="1" t="s">
        <v>208</v>
      </c>
      <c r="G2605" s="1" t="s">
        <v>209</v>
      </c>
      <c r="H2605" s="1" t="s">
        <v>17</v>
      </c>
      <c r="I2605">
        <v>98500</v>
      </c>
      <c r="J2605" s="3">
        <v>5.45</v>
      </c>
      <c r="K2605" s="3">
        <v>536825</v>
      </c>
    </row>
    <row r="2606" spans="1:11" x14ac:dyDescent="0.2">
      <c r="A2606" s="1" t="s">
        <v>3716</v>
      </c>
      <c r="B2606" s="2">
        <v>45458</v>
      </c>
      <c r="C2606" s="1" t="s">
        <v>559</v>
      </c>
      <c r="D2606" s="1" t="s">
        <v>560</v>
      </c>
      <c r="E2606" s="1" t="s">
        <v>14</v>
      </c>
      <c r="F2606" s="1" t="s">
        <v>139</v>
      </c>
      <c r="G2606" s="1" t="s">
        <v>140</v>
      </c>
      <c r="H2606" s="1" t="s">
        <v>24</v>
      </c>
      <c r="I2606">
        <v>64270</v>
      </c>
      <c r="J2606" s="3">
        <v>25.06</v>
      </c>
      <c r="K2606" s="3">
        <v>1610606.2</v>
      </c>
    </row>
    <row r="2607" spans="1:11" x14ac:dyDescent="0.2">
      <c r="A2607" s="1" t="s">
        <v>3717</v>
      </c>
      <c r="B2607" s="2">
        <v>45990</v>
      </c>
      <c r="C2607" s="1" t="s">
        <v>1076</v>
      </c>
      <c r="D2607" s="1" t="s">
        <v>1077</v>
      </c>
      <c r="E2607" s="1" t="s">
        <v>34</v>
      </c>
      <c r="F2607" s="1" t="s">
        <v>113</v>
      </c>
      <c r="G2607" s="1" t="s">
        <v>114</v>
      </c>
      <c r="H2607" s="1" t="s">
        <v>37</v>
      </c>
      <c r="I2607">
        <v>44759</v>
      </c>
      <c r="J2607" s="3">
        <v>5.26</v>
      </c>
      <c r="K2607" s="3">
        <v>235432.34</v>
      </c>
    </row>
    <row r="2608" spans="1:11" x14ac:dyDescent="0.2">
      <c r="A2608" s="1" t="s">
        <v>3718</v>
      </c>
      <c r="B2608" s="2">
        <v>45709</v>
      </c>
      <c r="C2608" s="1" t="s">
        <v>654</v>
      </c>
      <c r="D2608" s="1" t="s">
        <v>655</v>
      </c>
      <c r="E2608" s="1" t="s">
        <v>14</v>
      </c>
      <c r="F2608" s="1" t="s">
        <v>237</v>
      </c>
      <c r="G2608" s="1" t="s">
        <v>238</v>
      </c>
      <c r="H2608" s="1" t="s">
        <v>17</v>
      </c>
      <c r="I2608">
        <v>11917</v>
      </c>
      <c r="J2608" s="3">
        <v>21.9</v>
      </c>
      <c r="K2608" s="3">
        <v>260982.3</v>
      </c>
    </row>
    <row r="2609" spans="1:11" x14ac:dyDescent="0.2">
      <c r="A2609" s="1" t="s">
        <v>3719</v>
      </c>
      <c r="B2609" s="2">
        <v>45997</v>
      </c>
      <c r="C2609" s="1" t="s">
        <v>2467</v>
      </c>
      <c r="D2609" s="1" t="s">
        <v>2468</v>
      </c>
      <c r="E2609" s="1" t="s">
        <v>37</v>
      </c>
      <c r="F2609" s="1" t="s">
        <v>157</v>
      </c>
      <c r="G2609" s="1" t="s">
        <v>158</v>
      </c>
      <c r="H2609" s="1" t="s">
        <v>48</v>
      </c>
      <c r="I2609">
        <v>71327</v>
      </c>
      <c r="J2609" s="3">
        <v>34.409999999999997</v>
      </c>
      <c r="K2609" s="3">
        <v>2454362.0699999998</v>
      </c>
    </row>
    <row r="2610" spans="1:11" x14ac:dyDescent="0.2">
      <c r="A2610" s="1" t="s">
        <v>3720</v>
      </c>
      <c r="B2610" s="2">
        <v>45895</v>
      </c>
      <c r="C2610" s="1" t="s">
        <v>391</v>
      </c>
      <c r="D2610" s="1" t="s">
        <v>392</v>
      </c>
      <c r="E2610" s="1" t="s">
        <v>37</v>
      </c>
      <c r="F2610" s="1" t="s">
        <v>184</v>
      </c>
      <c r="G2610" s="1" t="s">
        <v>185</v>
      </c>
      <c r="H2610" s="1" t="s">
        <v>17</v>
      </c>
      <c r="I2610">
        <v>73407</v>
      </c>
      <c r="J2610" s="3">
        <v>48.2</v>
      </c>
      <c r="K2610" s="3">
        <v>3538217.4</v>
      </c>
    </row>
    <row r="2611" spans="1:11" x14ac:dyDescent="0.2">
      <c r="A2611" s="1" t="s">
        <v>3721</v>
      </c>
      <c r="B2611" s="2">
        <v>45967</v>
      </c>
      <c r="C2611" s="1" t="s">
        <v>1698</v>
      </c>
      <c r="D2611" s="1" t="s">
        <v>1699</v>
      </c>
      <c r="E2611" s="1" t="s">
        <v>14</v>
      </c>
      <c r="F2611" s="1" t="s">
        <v>103</v>
      </c>
      <c r="G2611" s="1" t="s">
        <v>104</v>
      </c>
      <c r="H2611" s="1" t="s">
        <v>37</v>
      </c>
      <c r="I2611">
        <v>22987</v>
      </c>
      <c r="J2611" s="3">
        <v>38.130000000000003</v>
      </c>
      <c r="K2611" s="3">
        <v>876494.31</v>
      </c>
    </row>
    <row r="2612" spans="1:11" x14ac:dyDescent="0.2">
      <c r="A2612" s="1" t="s">
        <v>3722</v>
      </c>
      <c r="B2612" s="2">
        <v>45854</v>
      </c>
      <c r="C2612" s="1" t="s">
        <v>948</v>
      </c>
      <c r="D2612" s="1" t="s">
        <v>949</v>
      </c>
      <c r="E2612" s="1" t="s">
        <v>21</v>
      </c>
      <c r="F2612" s="1" t="s">
        <v>251</v>
      </c>
      <c r="G2612" s="1" t="s">
        <v>252</v>
      </c>
      <c r="H2612" s="1" t="s">
        <v>72</v>
      </c>
      <c r="I2612">
        <v>12029</v>
      </c>
      <c r="J2612" s="3">
        <v>10.07</v>
      </c>
      <c r="K2612" s="3">
        <v>121132.03</v>
      </c>
    </row>
    <row r="2613" spans="1:11" x14ac:dyDescent="0.2">
      <c r="A2613" s="1" t="s">
        <v>3723</v>
      </c>
      <c r="B2613" s="2">
        <v>45355</v>
      </c>
      <c r="C2613" s="1" t="s">
        <v>1757</v>
      </c>
      <c r="D2613" s="1" t="s">
        <v>1758</v>
      </c>
      <c r="E2613" s="1" t="s">
        <v>37</v>
      </c>
      <c r="F2613" s="1" t="s">
        <v>350</v>
      </c>
      <c r="G2613" s="1" t="s">
        <v>351</v>
      </c>
      <c r="H2613" s="1" t="s">
        <v>37</v>
      </c>
      <c r="I2613">
        <v>62003</v>
      </c>
      <c r="J2613" s="3">
        <v>11.78</v>
      </c>
      <c r="K2613" s="3">
        <v>730395.34</v>
      </c>
    </row>
    <row r="2614" spans="1:11" x14ac:dyDescent="0.2">
      <c r="A2614" s="1" t="s">
        <v>3724</v>
      </c>
      <c r="B2614" s="2">
        <v>45509</v>
      </c>
      <c r="C2614" s="1" t="s">
        <v>857</v>
      </c>
      <c r="D2614" s="1" t="s">
        <v>858</v>
      </c>
      <c r="E2614" s="1" t="s">
        <v>34</v>
      </c>
      <c r="F2614" s="1" t="s">
        <v>65</v>
      </c>
      <c r="G2614" s="1" t="s">
        <v>66</v>
      </c>
      <c r="H2614" s="1" t="s">
        <v>48</v>
      </c>
      <c r="I2614">
        <v>16992</v>
      </c>
      <c r="J2614" s="3">
        <v>41.58</v>
      </c>
      <c r="K2614" s="3">
        <v>706527.36</v>
      </c>
    </row>
    <row r="2615" spans="1:11" x14ac:dyDescent="0.2">
      <c r="A2615" s="1" t="s">
        <v>3725</v>
      </c>
      <c r="B2615" s="2">
        <v>45912</v>
      </c>
      <c r="C2615" s="1" t="s">
        <v>2442</v>
      </c>
      <c r="D2615" s="1" t="s">
        <v>2443</v>
      </c>
      <c r="E2615" s="1" t="s">
        <v>34</v>
      </c>
      <c r="F2615" s="1" t="s">
        <v>57</v>
      </c>
      <c r="G2615" s="1" t="s">
        <v>58</v>
      </c>
      <c r="H2615" s="1" t="s">
        <v>48</v>
      </c>
      <c r="I2615">
        <v>61461</v>
      </c>
      <c r="J2615" s="3">
        <v>28.19</v>
      </c>
      <c r="K2615" s="3">
        <v>1732585.59</v>
      </c>
    </row>
    <row r="2616" spans="1:11" x14ac:dyDescent="0.2">
      <c r="A2616" s="1" t="s">
        <v>3726</v>
      </c>
      <c r="B2616" s="2">
        <v>45963</v>
      </c>
      <c r="C2616" s="1" t="s">
        <v>1050</v>
      </c>
      <c r="D2616" s="1" t="s">
        <v>1051</v>
      </c>
      <c r="E2616" s="1" t="s">
        <v>14</v>
      </c>
      <c r="F2616" s="1" t="s">
        <v>41</v>
      </c>
      <c r="G2616" s="1" t="s">
        <v>42</v>
      </c>
      <c r="H2616" s="1" t="s">
        <v>24</v>
      </c>
      <c r="I2616">
        <v>7472</v>
      </c>
      <c r="J2616" s="3">
        <v>42.69</v>
      </c>
      <c r="K2616" s="3">
        <v>318979.68</v>
      </c>
    </row>
    <row r="2617" spans="1:11" x14ac:dyDescent="0.2">
      <c r="A2617" s="1" t="s">
        <v>3727</v>
      </c>
      <c r="B2617" s="2">
        <v>45512</v>
      </c>
      <c r="C2617" s="1" t="s">
        <v>487</v>
      </c>
      <c r="D2617" s="1" t="s">
        <v>488</v>
      </c>
      <c r="E2617" s="1" t="s">
        <v>28</v>
      </c>
      <c r="F2617" s="1" t="s">
        <v>251</v>
      </c>
      <c r="G2617" s="1" t="s">
        <v>252</v>
      </c>
      <c r="H2617" s="1" t="s">
        <v>72</v>
      </c>
      <c r="I2617">
        <v>33478</v>
      </c>
      <c r="J2617" s="3">
        <v>6.67</v>
      </c>
      <c r="K2617" s="3">
        <v>223298.26</v>
      </c>
    </row>
    <row r="2618" spans="1:11" x14ac:dyDescent="0.2">
      <c r="A2618" s="1" t="s">
        <v>3728</v>
      </c>
      <c r="B2618" s="2">
        <v>45589</v>
      </c>
      <c r="C2618" s="1" t="s">
        <v>583</v>
      </c>
      <c r="D2618" s="1" t="s">
        <v>584</v>
      </c>
      <c r="E2618" s="1" t="s">
        <v>37</v>
      </c>
      <c r="F2618" s="1" t="s">
        <v>228</v>
      </c>
      <c r="G2618" s="1" t="s">
        <v>229</v>
      </c>
      <c r="H2618" s="1" t="s">
        <v>48</v>
      </c>
      <c r="I2618">
        <v>24144</v>
      </c>
      <c r="J2618" s="3">
        <v>2.9</v>
      </c>
      <c r="K2618" s="3">
        <v>70017.600000000006</v>
      </c>
    </row>
    <row r="2619" spans="1:11" x14ac:dyDescent="0.2">
      <c r="A2619" s="1" t="s">
        <v>3729</v>
      </c>
      <c r="B2619" s="2">
        <v>45325</v>
      </c>
      <c r="C2619" s="1" t="s">
        <v>1698</v>
      </c>
      <c r="D2619" s="1" t="s">
        <v>1699</v>
      </c>
      <c r="E2619" s="1" t="s">
        <v>14</v>
      </c>
      <c r="F2619" s="1" t="s">
        <v>458</v>
      </c>
      <c r="G2619" s="1" t="s">
        <v>459</v>
      </c>
      <c r="H2619" s="1" t="s">
        <v>72</v>
      </c>
      <c r="I2619">
        <v>34177</v>
      </c>
      <c r="J2619" s="3">
        <v>14.2</v>
      </c>
      <c r="K2619" s="3">
        <v>485313.4</v>
      </c>
    </row>
    <row r="2620" spans="1:11" x14ac:dyDescent="0.2">
      <c r="A2620" s="1" t="s">
        <v>3730</v>
      </c>
      <c r="B2620" s="2">
        <v>45573</v>
      </c>
      <c r="C2620" s="1" t="s">
        <v>2002</v>
      </c>
      <c r="D2620" s="1" t="s">
        <v>2003</v>
      </c>
      <c r="E2620" s="1" t="s">
        <v>34</v>
      </c>
      <c r="F2620" s="1" t="s">
        <v>394</v>
      </c>
      <c r="G2620" s="1" t="s">
        <v>395</v>
      </c>
      <c r="H2620" s="1" t="s">
        <v>48</v>
      </c>
      <c r="I2620">
        <v>18724</v>
      </c>
      <c r="J2620" s="3">
        <v>29.63</v>
      </c>
      <c r="K2620" s="3">
        <v>554792.12</v>
      </c>
    </row>
    <row r="2621" spans="1:11" x14ac:dyDescent="0.2">
      <c r="A2621" s="1" t="s">
        <v>3731</v>
      </c>
      <c r="B2621" s="2">
        <v>45667</v>
      </c>
      <c r="C2621" s="1" t="s">
        <v>382</v>
      </c>
      <c r="D2621" s="1" t="s">
        <v>383</v>
      </c>
      <c r="E2621" s="1" t="s">
        <v>34</v>
      </c>
      <c r="F2621" s="1" t="s">
        <v>237</v>
      </c>
      <c r="G2621" s="1" t="s">
        <v>238</v>
      </c>
      <c r="H2621" s="1" t="s">
        <v>17</v>
      </c>
      <c r="I2621">
        <v>45692</v>
      </c>
      <c r="J2621" s="3">
        <v>20.85</v>
      </c>
      <c r="K2621" s="3">
        <v>952678.2</v>
      </c>
    </row>
    <row r="2622" spans="1:11" x14ac:dyDescent="0.2">
      <c r="A2622" s="1" t="s">
        <v>3732</v>
      </c>
      <c r="B2622" s="2">
        <v>45842</v>
      </c>
      <c r="C2622" s="1" t="s">
        <v>3733</v>
      </c>
      <c r="D2622" s="1" t="s">
        <v>3734</v>
      </c>
      <c r="E2622" s="1" t="s">
        <v>14</v>
      </c>
      <c r="F2622" s="1" t="s">
        <v>474</v>
      </c>
      <c r="G2622" s="1" t="s">
        <v>475</v>
      </c>
      <c r="H2622" s="1" t="s">
        <v>48</v>
      </c>
      <c r="I2622">
        <v>46031</v>
      </c>
      <c r="J2622" s="3">
        <v>38.380000000000003</v>
      </c>
      <c r="K2622" s="3">
        <v>1766669.78</v>
      </c>
    </row>
    <row r="2623" spans="1:11" x14ac:dyDescent="0.2">
      <c r="A2623" s="1" t="s">
        <v>3735</v>
      </c>
      <c r="B2623" s="2">
        <v>45576</v>
      </c>
      <c r="C2623" s="1" t="s">
        <v>2211</v>
      </c>
      <c r="D2623" s="1" t="s">
        <v>2212</v>
      </c>
      <c r="E2623" s="1" t="s">
        <v>21</v>
      </c>
      <c r="F2623" s="1" t="s">
        <v>152</v>
      </c>
      <c r="G2623" s="1" t="s">
        <v>153</v>
      </c>
      <c r="H2623" s="1" t="s">
        <v>17</v>
      </c>
      <c r="I2623">
        <v>56017</v>
      </c>
      <c r="J2623" s="3">
        <v>11.06</v>
      </c>
      <c r="K2623" s="3">
        <v>619548.02</v>
      </c>
    </row>
    <row r="2624" spans="1:11" x14ac:dyDescent="0.2">
      <c r="A2624" s="1" t="s">
        <v>3736</v>
      </c>
      <c r="B2624" s="2">
        <v>45648</v>
      </c>
      <c r="C2624" s="1" t="s">
        <v>2293</v>
      </c>
      <c r="D2624" s="1" t="s">
        <v>2294</v>
      </c>
      <c r="E2624" s="1" t="s">
        <v>34</v>
      </c>
      <c r="F2624" s="1" t="s">
        <v>152</v>
      </c>
      <c r="G2624" s="1" t="s">
        <v>153</v>
      </c>
      <c r="H2624" s="1" t="s">
        <v>17</v>
      </c>
      <c r="I2624">
        <v>35622</v>
      </c>
      <c r="J2624" s="3">
        <v>7.08</v>
      </c>
      <c r="K2624" s="3">
        <v>252203.76</v>
      </c>
    </row>
    <row r="2625" spans="1:11" x14ac:dyDescent="0.2">
      <c r="A2625" s="1" t="s">
        <v>3737</v>
      </c>
      <c r="B2625" s="2">
        <v>45845</v>
      </c>
      <c r="C2625" s="1" t="s">
        <v>2314</v>
      </c>
      <c r="D2625" s="1" t="s">
        <v>2315</v>
      </c>
      <c r="E2625" s="1" t="s">
        <v>21</v>
      </c>
      <c r="F2625" s="1" t="s">
        <v>176</v>
      </c>
      <c r="G2625" s="1" t="s">
        <v>177</v>
      </c>
      <c r="H2625" s="1" t="s">
        <v>37</v>
      </c>
      <c r="I2625">
        <v>37436</v>
      </c>
      <c r="J2625" s="3">
        <v>19.88</v>
      </c>
      <c r="K2625" s="3">
        <v>744227.68</v>
      </c>
    </row>
    <row r="2626" spans="1:11" x14ac:dyDescent="0.2">
      <c r="A2626" s="1" t="s">
        <v>3738</v>
      </c>
      <c r="B2626" s="2">
        <v>45399</v>
      </c>
      <c r="C2626" s="1" t="s">
        <v>593</v>
      </c>
      <c r="D2626" s="1" t="s">
        <v>594</v>
      </c>
      <c r="E2626" s="1" t="s">
        <v>37</v>
      </c>
      <c r="F2626" s="1" t="s">
        <v>35</v>
      </c>
      <c r="G2626" s="1" t="s">
        <v>36</v>
      </c>
      <c r="H2626" s="1" t="s">
        <v>37</v>
      </c>
      <c r="I2626">
        <v>22459</v>
      </c>
      <c r="J2626" s="3">
        <v>17.809999999999999</v>
      </c>
      <c r="K2626" s="3">
        <v>399994.79</v>
      </c>
    </row>
    <row r="2627" spans="1:11" x14ac:dyDescent="0.2">
      <c r="A2627" s="1" t="s">
        <v>3739</v>
      </c>
      <c r="B2627" s="2">
        <v>45697</v>
      </c>
      <c r="C2627" s="1" t="s">
        <v>817</v>
      </c>
      <c r="D2627" s="1" t="s">
        <v>818</v>
      </c>
      <c r="E2627" s="1" t="s">
        <v>14</v>
      </c>
      <c r="F2627" s="1" t="s">
        <v>15</v>
      </c>
      <c r="G2627" s="1" t="s">
        <v>16</v>
      </c>
      <c r="H2627" s="1" t="s">
        <v>17</v>
      </c>
      <c r="I2627">
        <v>74662</v>
      </c>
      <c r="J2627" s="3">
        <v>5.58</v>
      </c>
      <c r="K2627" s="3">
        <v>416613.96</v>
      </c>
    </row>
    <row r="2628" spans="1:11" x14ac:dyDescent="0.2">
      <c r="A2628" s="1" t="s">
        <v>3740</v>
      </c>
      <c r="B2628" s="2">
        <v>45945</v>
      </c>
      <c r="C2628" s="1" t="s">
        <v>345</v>
      </c>
      <c r="D2628" s="1" t="s">
        <v>346</v>
      </c>
      <c r="E2628" s="1" t="s">
        <v>37</v>
      </c>
      <c r="F2628" s="1" t="s">
        <v>217</v>
      </c>
      <c r="G2628" s="1" t="s">
        <v>218</v>
      </c>
      <c r="H2628" s="1" t="s">
        <v>72</v>
      </c>
      <c r="I2628">
        <v>42556</v>
      </c>
      <c r="J2628" s="3">
        <v>21.97</v>
      </c>
      <c r="K2628" s="3">
        <v>934955.32</v>
      </c>
    </row>
    <row r="2629" spans="1:11" x14ac:dyDescent="0.2">
      <c r="A2629" s="1" t="s">
        <v>3741</v>
      </c>
      <c r="B2629" s="2">
        <v>45634</v>
      </c>
      <c r="C2629" s="1" t="s">
        <v>2300</v>
      </c>
      <c r="D2629" s="1" t="s">
        <v>2301</v>
      </c>
      <c r="E2629" s="1" t="s">
        <v>21</v>
      </c>
      <c r="F2629" s="1" t="s">
        <v>57</v>
      </c>
      <c r="G2629" s="1" t="s">
        <v>58</v>
      </c>
      <c r="H2629" s="1" t="s">
        <v>48</v>
      </c>
      <c r="I2629">
        <v>60639</v>
      </c>
      <c r="J2629" s="3">
        <v>47.6</v>
      </c>
      <c r="K2629" s="3">
        <v>2886416.4</v>
      </c>
    </row>
    <row r="2630" spans="1:11" x14ac:dyDescent="0.2">
      <c r="A2630" s="1" t="s">
        <v>3742</v>
      </c>
      <c r="B2630" s="2">
        <v>45816</v>
      </c>
      <c r="C2630" s="1" t="s">
        <v>532</v>
      </c>
      <c r="D2630" s="1" t="s">
        <v>533</v>
      </c>
      <c r="E2630" s="1" t="s">
        <v>28</v>
      </c>
      <c r="F2630" s="1" t="s">
        <v>52</v>
      </c>
      <c r="G2630" s="1" t="s">
        <v>53</v>
      </c>
      <c r="H2630" s="1" t="s">
        <v>17</v>
      </c>
      <c r="I2630">
        <v>37802</v>
      </c>
      <c r="J2630" s="3">
        <v>47.19</v>
      </c>
      <c r="K2630" s="3">
        <v>1783876.38</v>
      </c>
    </row>
    <row r="2631" spans="1:11" x14ac:dyDescent="0.2">
      <c r="A2631" s="1" t="s">
        <v>3743</v>
      </c>
      <c r="B2631" s="2">
        <v>45690</v>
      </c>
      <c r="C2631" s="1" t="s">
        <v>93</v>
      </c>
      <c r="D2631" s="1" t="s">
        <v>94</v>
      </c>
      <c r="E2631" s="1" t="s">
        <v>34</v>
      </c>
      <c r="F2631" s="1" t="s">
        <v>144</v>
      </c>
      <c r="G2631" s="1" t="s">
        <v>145</v>
      </c>
      <c r="H2631" s="1" t="s">
        <v>24</v>
      </c>
      <c r="I2631">
        <v>21533</v>
      </c>
      <c r="J2631" s="3">
        <v>20.99</v>
      </c>
      <c r="K2631" s="3">
        <v>451977.67</v>
      </c>
    </row>
    <row r="2632" spans="1:11" x14ac:dyDescent="0.2">
      <c r="A2632" s="1" t="s">
        <v>3744</v>
      </c>
      <c r="B2632" s="2">
        <v>45774</v>
      </c>
      <c r="C2632" s="1" t="s">
        <v>2260</v>
      </c>
      <c r="D2632" s="1" t="s">
        <v>2261</v>
      </c>
      <c r="E2632" s="1" t="s">
        <v>14</v>
      </c>
      <c r="F2632" s="1" t="s">
        <v>35</v>
      </c>
      <c r="G2632" s="1" t="s">
        <v>36</v>
      </c>
      <c r="H2632" s="1" t="s">
        <v>37</v>
      </c>
      <c r="I2632">
        <v>85163</v>
      </c>
      <c r="J2632" s="3">
        <v>5.82</v>
      </c>
      <c r="K2632" s="3">
        <v>495648.66</v>
      </c>
    </row>
    <row r="2633" spans="1:11" x14ac:dyDescent="0.2">
      <c r="A2633" s="1" t="s">
        <v>3745</v>
      </c>
      <c r="B2633" s="2">
        <v>45835</v>
      </c>
      <c r="C2633" s="1" t="s">
        <v>1740</v>
      </c>
      <c r="D2633" s="1" t="s">
        <v>1741</v>
      </c>
      <c r="E2633" s="1" t="s">
        <v>21</v>
      </c>
      <c r="F2633" s="1" t="s">
        <v>70</v>
      </c>
      <c r="G2633" s="1" t="s">
        <v>71</v>
      </c>
      <c r="H2633" s="1" t="s">
        <v>72</v>
      </c>
      <c r="I2633">
        <v>70382</v>
      </c>
      <c r="J2633" s="3">
        <v>48.74</v>
      </c>
      <c r="K2633" s="3">
        <v>3430418.68</v>
      </c>
    </row>
    <row r="2634" spans="1:11" x14ac:dyDescent="0.2">
      <c r="A2634" s="1" t="s">
        <v>3746</v>
      </c>
      <c r="B2634" s="2">
        <v>45764</v>
      </c>
      <c r="C2634" s="1" t="s">
        <v>1860</v>
      </c>
      <c r="D2634" s="1" t="s">
        <v>1861</v>
      </c>
      <c r="E2634" s="1" t="s">
        <v>21</v>
      </c>
      <c r="F2634" s="1" t="s">
        <v>406</v>
      </c>
      <c r="G2634" s="1" t="s">
        <v>407</v>
      </c>
      <c r="H2634" s="1" t="s">
        <v>17</v>
      </c>
      <c r="I2634">
        <v>56857</v>
      </c>
      <c r="J2634" s="3">
        <v>11.83</v>
      </c>
      <c r="K2634" s="3">
        <v>672618.31</v>
      </c>
    </row>
    <row r="2635" spans="1:11" x14ac:dyDescent="0.2">
      <c r="A2635" s="1" t="s">
        <v>3747</v>
      </c>
      <c r="B2635" s="2">
        <v>45304</v>
      </c>
      <c r="C2635" s="1" t="s">
        <v>794</v>
      </c>
      <c r="D2635" s="1" t="s">
        <v>795</v>
      </c>
      <c r="E2635" s="1" t="s">
        <v>28</v>
      </c>
      <c r="F2635" s="1" t="s">
        <v>203</v>
      </c>
      <c r="G2635" s="1" t="s">
        <v>204</v>
      </c>
      <c r="H2635" s="1" t="s">
        <v>72</v>
      </c>
      <c r="I2635">
        <v>28675</v>
      </c>
      <c r="J2635" s="3">
        <v>25.02</v>
      </c>
      <c r="K2635" s="3">
        <v>717448.5</v>
      </c>
    </row>
    <row r="2636" spans="1:11" x14ac:dyDescent="0.2">
      <c r="A2636" s="1" t="s">
        <v>3748</v>
      </c>
      <c r="B2636" s="2">
        <v>45685</v>
      </c>
      <c r="C2636" s="1" t="s">
        <v>2781</v>
      </c>
      <c r="D2636" s="1" t="s">
        <v>2782</v>
      </c>
      <c r="E2636" s="1" t="s">
        <v>34</v>
      </c>
      <c r="F2636" s="1" t="s">
        <v>350</v>
      </c>
      <c r="G2636" s="1" t="s">
        <v>351</v>
      </c>
      <c r="H2636" s="1" t="s">
        <v>37</v>
      </c>
      <c r="I2636">
        <v>31323</v>
      </c>
      <c r="J2636" s="3">
        <v>20.85</v>
      </c>
      <c r="K2636" s="3">
        <v>653084.55000000005</v>
      </c>
    </row>
    <row r="2637" spans="1:11" x14ac:dyDescent="0.2">
      <c r="A2637" s="1" t="s">
        <v>3749</v>
      </c>
      <c r="B2637" s="2">
        <v>45626</v>
      </c>
      <c r="C2637" s="1" t="s">
        <v>2363</v>
      </c>
      <c r="D2637" s="1" t="s">
        <v>2364</v>
      </c>
      <c r="E2637" s="1" t="s">
        <v>14</v>
      </c>
      <c r="F2637" s="1" t="s">
        <v>144</v>
      </c>
      <c r="G2637" s="1" t="s">
        <v>145</v>
      </c>
      <c r="H2637" s="1" t="s">
        <v>24</v>
      </c>
      <c r="I2637">
        <v>76757</v>
      </c>
      <c r="J2637" s="3">
        <v>17.09</v>
      </c>
      <c r="K2637" s="3">
        <v>1311777.1299999999</v>
      </c>
    </row>
    <row r="2638" spans="1:11" x14ac:dyDescent="0.2">
      <c r="A2638" s="1" t="s">
        <v>3750</v>
      </c>
      <c r="B2638" s="2">
        <v>45865</v>
      </c>
      <c r="C2638" s="1" t="s">
        <v>249</v>
      </c>
      <c r="D2638" s="1" t="s">
        <v>250</v>
      </c>
      <c r="E2638" s="1" t="s">
        <v>21</v>
      </c>
      <c r="F2638" s="1" t="s">
        <v>35</v>
      </c>
      <c r="G2638" s="1" t="s">
        <v>36</v>
      </c>
      <c r="H2638" s="1" t="s">
        <v>37</v>
      </c>
      <c r="I2638">
        <v>48109</v>
      </c>
      <c r="J2638" s="3">
        <v>38.840000000000003</v>
      </c>
      <c r="K2638" s="3">
        <v>1868553.56</v>
      </c>
    </row>
    <row r="2639" spans="1:11" x14ac:dyDescent="0.2">
      <c r="A2639" s="1" t="s">
        <v>3751</v>
      </c>
      <c r="B2639" s="2">
        <v>45767</v>
      </c>
      <c r="C2639" s="1" t="s">
        <v>583</v>
      </c>
      <c r="D2639" s="1" t="s">
        <v>584</v>
      </c>
      <c r="E2639" s="1" t="s">
        <v>37</v>
      </c>
      <c r="F2639" s="1" t="s">
        <v>412</v>
      </c>
      <c r="G2639" s="1" t="s">
        <v>413</v>
      </c>
      <c r="H2639" s="1" t="s">
        <v>72</v>
      </c>
      <c r="I2639">
        <v>24550</v>
      </c>
      <c r="J2639" s="3">
        <v>7.24</v>
      </c>
      <c r="K2639" s="3">
        <v>177742</v>
      </c>
    </row>
    <row r="2640" spans="1:11" x14ac:dyDescent="0.2">
      <c r="A2640" s="1" t="s">
        <v>3752</v>
      </c>
      <c r="B2640" s="2">
        <v>45715</v>
      </c>
      <c r="C2640" s="1" t="s">
        <v>424</v>
      </c>
      <c r="D2640" s="1" t="s">
        <v>425</v>
      </c>
      <c r="E2640" s="1" t="s">
        <v>28</v>
      </c>
      <c r="F2640" s="1" t="s">
        <v>510</v>
      </c>
      <c r="G2640" s="1" t="s">
        <v>511</v>
      </c>
      <c r="H2640" s="1" t="s">
        <v>17</v>
      </c>
      <c r="I2640">
        <v>27173</v>
      </c>
      <c r="J2640" s="3">
        <v>34.01</v>
      </c>
      <c r="K2640" s="3">
        <v>924153.73</v>
      </c>
    </row>
    <row r="2641" spans="1:11" x14ac:dyDescent="0.2">
      <c r="A2641" s="1" t="s">
        <v>3753</v>
      </c>
      <c r="B2641" s="2">
        <v>45922</v>
      </c>
      <c r="C2641" s="1" t="s">
        <v>2472</v>
      </c>
      <c r="D2641" s="1" t="s">
        <v>2473</v>
      </c>
      <c r="E2641" s="1" t="s">
        <v>28</v>
      </c>
      <c r="F2641" s="1" t="s">
        <v>41</v>
      </c>
      <c r="G2641" s="1" t="s">
        <v>42</v>
      </c>
      <c r="H2641" s="1" t="s">
        <v>24</v>
      </c>
      <c r="I2641">
        <v>55861</v>
      </c>
      <c r="J2641" s="3">
        <v>21.07</v>
      </c>
      <c r="K2641" s="3">
        <v>1176991.27</v>
      </c>
    </row>
    <row r="2642" spans="1:11" x14ac:dyDescent="0.2">
      <c r="A2642" s="1" t="s">
        <v>3754</v>
      </c>
      <c r="B2642" s="2">
        <v>45813</v>
      </c>
      <c r="C2642" s="1" t="s">
        <v>246</v>
      </c>
      <c r="D2642" s="1" t="s">
        <v>247</v>
      </c>
      <c r="E2642" s="1" t="s">
        <v>21</v>
      </c>
      <c r="F2642" s="1" t="s">
        <v>65</v>
      </c>
      <c r="G2642" s="1" t="s">
        <v>66</v>
      </c>
      <c r="H2642" s="1" t="s">
        <v>48</v>
      </c>
      <c r="I2642">
        <v>74044</v>
      </c>
      <c r="J2642" s="3">
        <v>19.399999999999999</v>
      </c>
      <c r="K2642" s="3">
        <v>1436453.6</v>
      </c>
    </row>
    <row r="2643" spans="1:11" x14ac:dyDescent="0.2">
      <c r="A2643" s="1" t="s">
        <v>3755</v>
      </c>
      <c r="B2643" s="2">
        <v>45532</v>
      </c>
      <c r="C2643" s="1" t="s">
        <v>936</v>
      </c>
      <c r="D2643" s="1" t="s">
        <v>937</v>
      </c>
      <c r="E2643" s="1" t="s">
        <v>28</v>
      </c>
      <c r="F2643" s="1" t="s">
        <v>330</v>
      </c>
      <c r="G2643" s="1" t="s">
        <v>331</v>
      </c>
      <c r="H2643" s="1" t="s">
        <v>72</v>
      </c>
      <c r="I2643">
        <v>33888</v>
      </c>
      <c r="J2643" s="3">
        <v>48.28</v>
      </c>
      <c r="K2643" s="3">
        <v>1636112.64</v>
      </c>
    </row>
    <row r="2644" spans="1:11" x14ac:dyDescent="0.2">
      <c r="A2644" s="1" t="s">
        <v>3756</v>
      </c>
      <c r="B2644" s="2">
        <v>45677</v>
      </c>
      <c r="C2644" s="1" t="s">
        <v>2181</v>
      </c>
      <c r="D2644" s="1" t="s">
        <v>2182</v>
      </c>
      <c r="E2644" s="1" t="s">
        <v>14</v>
      </c>
      <c r="F2644" s="1" t="s">
        <v>70</v>
      </c>
      <c r="G2644" s="1" t="s">
        <v>71</v>
      </c>
      <c r="H2644" s="1" t="s">
        <v>72</v>
      </c>
      <c r="I2644">
        <v>91028</v>
      </c>
      <c r="J2644" s="3">
        <v>16.25</v>
      </c>
      <c r="K2644" s="3">
        <v>1479205</v>
      </c>
    </row>
    <row r="2645" spans="1:11" x14ac:dyDescent="0.2">
      <c r="A2645" s="1" t="s">
        <v>3757</v>
      </c>
      <c r="B2645" s="2">
        <v>45983</v>
      </c>
      <c r="C2645" s="1" t="s">
        <v>651</v>
      </c>
      <c r="D2645" s="1" t="s">
        <v>652</v>
      </c>
      <c r="E2645" s="1" t="s">
        <v>28</v>
      </c>
      <c r="F2645" s="1" t="s">
        <v>29</v>
      </c>
      <c r="G2645" s="1" t="s">
        <v>30</v>
      </c>
      <c r="H2645" s="1" t="s">
        <v>24</v>
      </c>
      <c r="I2645">
        <v>12136</v>
      </c>
      <c r="J2645" s="3">
        <v>7.79</v>
      </c>
      <c r="K2645" s="3">
        <v>94539.44</v>
      </c>
    </row>
    <row r="2646" spans="1:11" x14ac:dyDescent="0.2">
      <c r="A2646" s="1" t="s">
        <v>3758</v>
      </c>
      <c r="B2646" s="2">
        <v>45524</v>
      </c>
      <c r="C2646" s="1" t="s">
        <v>1201</v>
      </c>
      <c r="D2646" s="1" t="s">
        <v>1202</v>
      </c>
      <c r="E2646" s="1" t="s">
        <v>37</v>
      </c>
      <c r="F2646" s="1" t="s">
        <v>228</v>
      </c>
      <c r="G2646" s="1" t="s">
        <v>229</v>
      </c>
      <c r="H2646" s="1" t="s">
        <v>48</v>
      </c>
      <c r="I2646">
        <v>5033</v>
      </c>
      <c r="J2646" s="3">
        <v>2.09</v>
      </c>
      <c r="K2646" s="3">
        <v>10518.97</v>
      </c>
    </row>
    <row r="2647" spans="1:11" x14ac:dyDescent="0.2">
      <c r="A2647" s="1" t="s">
        <v>3759</v>
      </c>
      <c r="B2647" s="2">
        <v>45310</v>
      </c>
      <c r="C2647" s="1" t="s">
        <v>249</v>
      </c>
      <c r="D2647" s="1" t="s">
        <v>250</v>
      </c>
      <c r="E2647" s="1" t="s">
        <v>21</v>
      </c>
      <c r="F2647" s="1" t="s">
        <v>217</v>
      </c>
      <c r="G2647" s="1" t="s">
        <v>218</v>
      </c>
      <c r="H2647" s="1" t="s">
        <v>72</v>
      </c>
      <c r="I2647">
        <v>1833</v>
      </c>
      <c r="J2647" s="3">
        <v>38.43</v>
      </c>
      <c r="K2647" s="3">
        <v>70442.19</v>
      </c>
    </row>
    <row r="2648" spans="1:11" x14ac:dyDescent="0.2">
      <c r="A2648" s="1" t="s">
        <v>3760</v>
      </c>
      <c r="B2648" s="2">
        <v>45295</v>
      </c>
      <c r="C2648" s="1" t="s">
        <v>1137</v>
      </c>
      <c r="D2648" s="1" t="s">
        <v>1138</v>
      </c>
      <c r="E2648" s="1" t="s">
        <v>21</v>
      </c>
      <c r="F2648" s="1" t="s">
        <v>394</v>
      </c>
      <c r="G2648" s="1" t="s">
        <v>395</v>
      </c>
      <c r="H2648" s="1" t="s">
        <v>48</v>
      </c>
      <c r="I2648">
        <v>75715</v>
      </c>
      <c r="J2648" s="3">
        <v>13.56</v>
      </c>
      <c r="K2648" s="3">
        <v>1026695.4</v>
      </c>
    </row>
    <row r="2649" spans="1:11" x14ac:dyDescent="0.2">
      <c r="A2649" s="1" t="s">
        <v>3761</v>
      </c>
      <c r="B2649" s="2">
        <v>45422</v>
      </c>
      <c r="C2649" s="1" t="s">
        <v>3301</v>
      </c>
      <c r="D2649" s="1" t="s">
        <v>3302</v>
      </c>
      <c r="E2649" s="1" t="s">
        <v>28</v>
      </c>
      <c r="F2649" s="1" t="s">
        <v>81</v>
      </c>
      <c r="G2649" s="1" t="s">
        <v>82</v>
      </c>
      <c r="H2649" s="1" t="s">
        <v>72</v>
      </c>
      <c r="I2649">
        <v>53026</v>
      </c>
      <c r="J2649" s="3">
        <v>36.950000000000003</v>
      </c>
      <c r="K2649" s="3">
        <v>1959310.7</v>
      </c>
    </row>
    <row r="2650" spans="1:11" x14ac:dyDescent="0.2">
      <c r="A2650" s="1" t="s">
        <v>3762</v>
      </c>
      <c r="B2650" s="2">
        <v>45318</v>
      </c>
      <c r="C2650" s="1" t="s">
        <v>3086</v>
      </c>
      <c r="D2650" s="1" t="s">
        <v>3087</v>
      </c>
      <c r="E2650" s="1" t="s">
        <v>28</v>
      </c>
      <c r="F2650" s="1" t="s">
        <v>22</v>
      </c>
      <c r="G2650" s="1" t="s">
        <v>23</v>
      </c>
      <c r="H2650" s="1" t="s">
        <v>24</v>
      </c>
      <c r="I2650">
        <v>6334</v>
      </c>
      <c r="J2650" s="3">
        <v>11.55</v>
      </c>
      <c r="K2650" s="3">
        <v>73157.7</v>
      </c>
    </row>
    <row r="2651" spans="1:11" x14ac:dyDescent="0.2">
      <c r="A2651" s="1" t="s">
        <v>3763</v>
      </c>
      <c r="B2651" s="2">
        <v>45357</v>
      </c>
      <c r="C2651" s="1" t="s">
        <v>2807</v>
      </c>
      <c r="D2651" s="1" t="s">
        <v>2808</v>
      </c>
      <c r="E2651" s="1" t="s">
        <v>37</v>
      </c>
      <c r="F2651" s="1" t="s">
        <v>350</v>
      </c>
      <c r="G2651" s="1" t="s">
        <v>351</v>
      </c>
      <c r="H2651" s="1" t="s">
        <v>37</v>
      </c>
      <c r="I2651">
        <v>18982</v>
      </c>
      <c r="J2651" s="3">
        <v>2.5499999999999998</v>
      </c>
      <c r="K2651" s="3">
        <v>48404.1</v>
      </c>
    </row>
    <row r="2652" spans="1:11" x14ac:dyDescent="0.2">
      <c r="A2652" s="1" t="s">
        <v>3764</v>
      </c>
      <c r="B2652" s="2">
        <v>45726</v>
      </c>
      <c r="C2652" s="1" t="s">
        <v>374</v>
      </c>
      <c r="D2652" s="1" t="s">
        <v>375</v>
      </c>
      <c r="E2652" s="1" t="s">
        <v>14</v>
      </c>
      <c r="F2652" s="1" t="s">
        <v>52</v>
      </c>
      <c r="G2652" s="1" t="s">
        <v>53</v>
      </c>
      <c r="H2652" s="1" t="s">
        <v>17</v>
      </c>
      <c r="I2652">
        <v>12166</v>
      </c>
      <c r="J2652" s="3">
        <v>15.32</v>
      </c>
      <c r="K2652" s="3">
        <v>186383.12</v>
      </c>
    </row>
    <row r="2653" spans="1:11" x14ac:dyDescent="0.2">
      <c r="A2653" s="1" t="s">
        <v>3765</v>
      </c>
      <c r="B2653" s="2">
        <v>45979</v>
      </c>
      <c r="C2653" s="1" t="s">
        <v>163</v>
      </c>
      <c r="D2653" s="1" t="s">
        <v>164</v>
      </c>
      <c r="E2653" s="1" t="s">
        <v>14</v>
      </c>
      <c r="F2653" s="1" t="s">
        <v>41</v>
      </c>
      <c r="G2653" s="1" t="s">
        <v>42</v>
      </c>
      <c r="H2653" s="1" t="s">
        <v>24</v>
      </c>
      <c r="I2653">
        <v>98103</v>
      </c>
      <c r="J2653" s="3">
        <v>36.340000000000003</v>
      </c>
      <c r="K2653" s="3">
        <v>3565063.02</v>
      </c>
    </row>
    <row r="2654" spans="1:11" x14ac:dyDescent="0.2">
      <c r="A2654" s="1" t="s">
        <v>3766</v>
      </c>
      <c r="B2654" s="2">
        <v>45956</v>
      </c>
      <c r="C2654" s="1" t="s">
        <v>2128</v>
      </c>
      <c r="D2654" s="1" t="s">
        <v>2129</v>
      </c>
      <c r="E2654" s="1" t="s">
        <v>37</v>
      </c>
      <c r="F2654" s="1" t="s">
        <v>552</v>
      </c>
      <c r="G2654" s="1" t="s">
        <v>553</v>
      </c>
      <c r="H2654" s="1" t="s">
        <v>37</v>
      </c>
      <c r="I2654">
        <v>66967</v>
      </c>
      <c r="J2654" s="3">
        <v>21.31</v>
      </c>
      <c r="K2654" s="3">
        <v>1427066.77</v>
      </c>
    </row>
    <row r="2655" spans="1:11" x14ac:dyDescent="0.2">
      <c r="A2655" s="1" t="s">
        <v>3767</v>
      </c>
      <c r="B2655" s="2">
        <v>45468</v>
      </c>
      <c r="C2655" s="1" t="s">
        <v>2771</v>
      </c>
      <c r="D2655" s="1" t="s">
        <v>2772</v>
      </c>
      <c r="E2655" s="1" t="s">
        <v>37</v>
      </c>
      <c r="F2655" s="1" t="s">
        <v>70</v>
      </c>
      <c r="G2655" s="1" t="s">
        <v>71</v>
      </c>
      <c r="H2655" s="1" t="s">
        <v>72</v>
      </c>
      <c r="I2655">
        <v>10792</v>
      </c>
      <c r="J2655" s="3">
        <v>43.77</v>
      </c>
      <c r="K2655" s="3">
        <v>472365.84</v>
      </c>
    </row>
    <row r="2656" spans="1:11" x14ac:dyDescent="0.2">
      <c r="A2656" s="1" t="s">
        <v>3768</v>
      </c>
      <c r="B2656" s="2">
        <v>45589</v>
      </c>
      <c r="C2656" s="1" t="s">
        <v>608</v>
      </c>
      <c r="D2656" s="1" t="s">
        <v>609</v>
      </c>
      <c r="E2656" s="1" t="s">
        <v>28</v>
      </c>
      <c r="F2656" s="1" t="s">
        <v>268</v>
      </c>
      <c r="G2656" s="1" t="s">
        <v>269</v>
      </c>
      <c r="H2656" s="1" t="s">
        <v>72</v>
      </c>
      <c r="I2656">
        <v>42304</v>
      </c>
      <c r="J2656" s="3">
        <v>20.22</v>
      </c>
      <c r="K2656" s="3">
        <v>855386.88</v>
      </c>
    </row>
    <row r="2657" spans="1:11" x14ac:dyDescent="0.2">
      <c r="A2657" s="1" t="s">
        <v>3769</v>
      </c>
      <c r="B2657" s="2">
        <v>45876</v>
      </c>
      <c r="C2657" s="1" t="s">
        <v>1020</v>
      </c>
      <c r="D2657" s="1" t="s">
        <v>1021</v>
      </c>
      <c r="E2657" s="1" t="s">
        <v>14</v>
      </c>
      <c r="F2657" s="1" t="s">
        <v>552</v>
      </c>
      <c r="G2657" s="1" t="s">
        <v>553</v>
      </c>
      <c r="H2657" s="1" t="s">
        <v>37</v>
      </c>
      <c r="I2657">
        <v>17944</v>
      </c>
      <c r="J2657" s="3">
        <v>7.02</v>
      </c>
      <c r="K2657" s="3">
        <v>125966.88</v>
      </c>
    </row>
    <row r="2658" spans="1:11" x14ac:dyDescent="0.2">
      <c r="A2658" s="1" t="s">
        <v>3770</v>
      </c>
      <c r="B2658" s="2">
        <v>45999</v>
      </c>
      <c r="C2658" s="1" t="s">
        <v>421</v>
      </c>
      <c r="D2658" s="1" t="s">
        <v>422</v>
      </c>
      <c r="E2658" s="1" t="s">
        <v>21</v>
      </c>
      <c r="F2658" s="1" t="s">
        <v>176</v>
      </c>
      <c r="G2658" s="1" t="s">
        <v>177</v>
      </c>
      <c r="H2658" s="1" t="s">
        <v>37</v>
      </c>
      <c r="I2658">
        <v>23886</v>
      </c>
      <c r="J2658" s="3">
        <v>42.19</v>
      </c>
      <c r="K2658" s="3">
        <v>1007750.34</v>
      </c>
    </row>
    <row r="2659" spans="1:11" x14ac:dyDescent="0.2">
      <c r="A2659" s="1" t="s">
        <v>3771</v>
      </c>
      <c r="B2659" s="2">
        <v>45708</v>
      </c>
      <c r="C2659" s="1" t="s">
        <v>1102</v>
      </c>
      <c r="D2659" s="1" t="s">
        <v>1103</v>
      </c>
      <c r="E2659" s="1" t="s">
        <v>21</v>
      </c>
      <c r="F2659" s="1" t="s">
        <v>458</v>
      </c>
      <c r="G2659" s="1" t="s">
        <v>459</v>
      </c>
      <c r="H2659" s="1" t="s">
        <v>72</v>
      </c>
      <c r="I2659">
        <v>82754</v>
      </c>
      <c r="J2659" s="3">
        <v>29.69</v>
      </c>
      <c r="K2659" s="3">
        <v>2456966.2599999998</v>
      </c>
    </row>
    <row r="2660" spans="1:11" x14ac:dyDescent="0.2">
      <c r="A2660" s="1" t="s">
        <v>3772</v>
      </c>
      <c r="B2660" s="2">
        <v>45385</v>
      </c>
      <c r="C2660" s="1" t="s">
        <v>1626</v>
      </c>
      <c r="D2660" s="1" t="s">
        <v>1627</v>
      </c>
      <c r="E2660" s="1" t="s">
        <v>34</v>
      </c>
      <c r="F2660" s="1" t="s">
        <v>474</v>
      </c>
      <c r="G2660" s="1" t="s">
        <v>475</v>
      </c>
      <c r="H2660" s="1" t="s">
        <v>48</v>
      </c>
      <c r="I2660">
        <v>40944</v>
      </c>
      <c r="J2660" s="3">
        <v>16.63</v>
      </c>
      <c r="K2660" s="3">
        <v>680898.72</v>
      </c>
    </row>
    <row r="2661" spans="1:11" x14ac:dyDescent="0.2">
      <c r="A2661" s="1" t="s">
        <v>3773</v>
      </c>
      <c r="B2661" s="2">
        <v>45510</v>
      </c>
      <c r="C2661" s="1" t="s">
        <v>163</v>
      </c>
      <c r="D2661" s="1" t="s">
        <v>164</v>
      </c>
      <c r="E2661" s="1" t="s">
        <v>14</v>
      </c>
      <c r="F2661" s="1" t="s">
        <v>203</v>
      </c>
      <c r="G2661" s="1" t="s">
        <v>204</v>
      </c>
      <c r="H2661" s="1" t="s">
        <v>72</v>
      </c>
      <c r="I2661">
        <v>2497</v>
      </c>
      <c r="J2661" s="3">
        <v>43.36</v>
      </c>
      <c r="K2661" s="3">
        <v>108269.92</v>
      </c>
    </row>
    <row r="2662" spans="1:11" x14ac:dyDescent="0.2">
      <c r="A2662" s="1" t="s">
        <v>3774</v>
      </c>
      <c r="B2662" s="2">
        <v>45784</v>
      </c>
      <c r="C2662" s="1" t="s">
        <v>44</v>
      </c>
      <c r="D2662" s="1" t="s">
        <v>45</v>
      </c>
      <c r="E2662" s="1" t="s">
        <v>34</v>
      </c>
      <c r="F2662" s="1" t="s">
        <v>552</v>
      </c>
      <c r="G2662" s="1" t="s">
        <v>553</v>
      </c>
      <c r="H2662" s="1" t="s">
        <v>37</v>
      </c>
      <c r="I2662">
        <v>75220</v>
      </c>
      <c r="J2662" s="3">
        <v>32.479999999999997</v>
      </c>
      <c r="K2662" s="3">
        <v>2443145.6</v>
      </c>
    </row>
    <row r="2663" spans="1:11" x14ac:dyDescent="0.2">
      <c r="A2663" s="1" t="s">
        <v>3775</v>
      </c>
      <c r="B2663" s="2">
        <v>45568</v>
      </c>
      <c r="C2663" s="1" t="s">
        <v>984</v>
      </c>
      <c r="D2663" s="1" t="s">
        <v>985</v>
      </c>
      <c r="E2663" s="1" t="s">
        <v>14</v>
      </c>
      <c r="F2663" s="1" t="s">
        <v>57</v>
      </c>
      <c r="G2663" s="1" t="s">
        <v>58</v>
      </c>
      <c r="H2663" s="1" t="s">
        <v>48</v>
      </c>
      <c r="I2663">
        <v>44384</v>
      </c>
      <c r="J2663" s="3">
        <v>36.65</v>
      </c>
      <c r="K2663" s="3">
        <v>1626673.6</v>
      </c>
    </row>
    <row r="2664" spans="1:11" x14ac:dyDescent="0.2">
      <c r="A2664" s="1" t="s">
        <v>3776</v>
      </c>
      <c r="B2664" s="2">
        <v>45497</v>
      </c>
      <c r="C2664" s="1" t="s">
        <v>1237</v>
      </c>
      <c r="D2664" s="1" t="s">
        <v>1238</v>
      </c>
      <c r="E2664" s="1" t="s">
        <v>34</v>
      </c>
      <c r="F2664" s="1" t="s">
        <v>81</v>
      </c>
      <c r="G2664" s="1" t="s">
        <v>82</v>
      </c>
      <c r="H2664" s="1" t="s">
        <v>72</v>
      </c>
      <c r="I2664">
        <v>92114</v>
      </c>
      <c r="J2664" s="3">
        <v>4.67</v>
      </c>
      <c r="K2664" s="3">
        <v>430172.38</v>
      </c>
    </row>
    <row r="2665" spans="1:11" x14ac:dyDescent="0.2">
      <c r="A2665" s="1" t="s">
        <v>3777</v>
      </c>
      <c r="B2665" s="2">
        <v>45875</v>
      </c>
      <c r="C2665" s="1" t="s">
        <v>1789</v>
      </c>
      <c r="D2665" s="1" t="s">
        <v>1790</v>
      </c>
      <c r="E2665" s="1" t="s">
        <v>21</v>
      </c>
      <c r="F2665" s="1" t="s">
        <v>76</v>
      </c>
      <c r="G2665" s="1" t="s">
        <v>77</v>
      </c>
      <c r="H2665" s="1" t="s">
        <v>48</v>
      </c>
      <c r="I2665">
        <v>84351</v>
      </c>
      <c r="J2665" s="3">
        <v>39.590000000000003</v>
      </c>
      <c r="K2665" s="3">
        <v>3339456.09</v>
      </c>
    </row>
    <row r="2666" spans="1:11" x14ac:dyDescent="0.2">
      <c r="A2666" s="1" t="s">
        <v>3778</v>
      </c>
      <c r="B2666" s="2">
        <v>45310</v>
      </c>
      <c r="C2666" s="1" t="s">
        <v>1438</v>
      </c>
      <c r="D2666" s="1" t="s">
        <v>1439</v>
      </c>
      <c r="E2666" s="1" t="s">
        <v>34</v>
      </c>
      <c r="F2666" s="1" t="s">
        <v>208</v>
      </c>
      <c r="G2666" s="1" t="s">
        <v>209</v>
      </c>
      <c r="H2666" s="1" t="s">
        <v>17</v>
      </c>
      <c r="I2666">
        <v>43772</v>
      </c>
      <c r="J2666" s="3">
        <v>41.75</v>
      </c>
      <c r="K2666" s="3">
        <v>1827481</v>
      </c>
    </row>
    <row r="2667" spans="1:11" x14ac:dyDescent="0.2">
      <c r="A2667" s="1" t="s">
        <v>3779</v>
      </c>
      <c r="B2667" s="2">
        <v>45514</v>
      </c>
      <c r="C2667" s="1" t="s">
        <v>2541</v>
      </c>
      <c r="D2667" s="1" t="s">
        <v>2542</v>
      </c>
      <c r="E2667" s="1" t="s">
        <v>14</v>
      </c>
      <c r="F2667" s="1" t="s">
        <v>251</v>
      </c>
      <c r="G2667" s="1" t="s">
        <v>252</v>
      </c>
      <c r="H2667" s="1" t="s">
        <v>72</v>
      </c>
      <c r="I2667">
        <v>84311</v>
      </c>
      <c r="J2667" s="3">
        <v>19.649999999999999</v>
      </c>
      <c r="K2667" s="3">
        <v>1656711.15</v>
      </c>
    </row>
    <row r="2668" spans="1:11" x14ac:dyDescent="0.2">
      <c r="A2668" s="1" t="s">
        <v>3780</v>
      </c>
      <c r="B2668" s="2">
        <v>45762</v>
      </c>
      <c r="C2668" s="1" t="s">
        <v>294</v>
      </c>
      <c r="D2668" s="1" t="s">
        <v>295</v>
      </c>
      <c r="E2668" s="1" t="s">
        <v>37</v>
      </c>
      <c r="F2668" s="1" t="s">
        <v>251</v>
      </c>
      <c r="G2668" s="1" t="s">
        <v>252</v>
      </c>
      <c r="H2668" s="1" t="s">
        <v>72</v>
      </c>
      <c r="I2668">
        <v>96459</v>
      </c>
      <c r="J2668" s="3">
        <v>43.2</v>
      </c>
      <c r="K2668" s="3">
        <v>4167028.8</v>
      </c>
    </row>
    <row r="2669" spans="1:11" x14ac:dyDescent="0.2">
      <c r="A2669" s="1" t="s">
        <v>3781</v>
      </c>
      <c r="B2669" s="2">
        <v>45549</v>
      </c>
      <c r="C2669" s="1" t="s">
        <v>1332</v>
      </c>
      <c r="D2669" s="1" t="s">
        <v>1333</v>
      </c>
      <c r="E2669" s="1" t="s">
        <v>34</v>
      </c>
      <c r="F2669" s="1" t="s">
        <v>324</v>
      </c>
      <c r="G2669" s="1" t="s">
        <v>325</v>
      </c>
      <c r="H2669" s="1" t="s">
        <v>24</v>
      </c>
      <c r="I2669">
        <v>97411</v>
      </c>
      <c r="J2669" s="3">
        <v>39.03</v>
      </c>
      <c r="K2669" s="3">
        <v>3801951.33</v>
      </c>
    </row>
    <row r="2670" spans="1:11" x14ac:dyDescent="0.2">
      <c r="A2670" s="1" t="s">
        <v>3782</v>
      </c>
      <c r="B2670" s="2">
        <v>45671</v>
      </c>
      <c r="C2670" s="1" t="s">
        <v>79</v>
      </c>
      <c r="D2670" s="1" t="s">
        <v>80</v>
      </c>
      <c r="E2670" s="1" t="s">
        <v>34</v>
      </c>
      <c r="F2670" s="1" t="s">
        <v>176</v>
      </c>
      <c r="G2670" s="1" t="s">
        <v>177</v>
      </c>
      <c r="H2670" s="1" t="s">
        <v>37</v>
      </c>
      <c r="I2670">
        <v>89379</v>
      </c>
      <c r="J2670" s="3">
        <v>48.56</v>
      </c>
      <c r="K2670" s="3">
        <v>4340244.24</v>
      </c>
    </row>
    <row r="2671" spans="1:11" x14ac:dyDescent="0.2">
      <c r="A2671" s="1" t="s">
        <v>3783</v>
      </c>
      <c r="B2671" s="2">
        <v>45876</v>
      </c>
      <c r="C2671" s="1" t="s">
        <v>2386</v>
      </c>
      <c r="D2671" s="1" t="s">
        <v>2387</v>
      </c>
      <c r="E2671" s="1" t="s">
        <v>28</v>
      </c>
      <c r="F2671" s="1" t="s">
        <v>81</v>
      </c>
      <c r="G2671" s="1" t="s">
        <v>82</v>
      </c>
      <c r="H2671" s="1" t="s">
        <v>72</v>
      </c>
      <c r="I2671">
        <v>19431</v>
      </c>
      <c r="J2671" s="3">
        <v>19.89</v>
      </c>
      <c r="K2671" s="3">
        <v>386482.59</v>
      </c>
    </row>
    <row r="2672" spans="1:11" x14ac:dyDescent="0.2">
      <c r="A2672" s="1" t="s">
        <v>3784</v>
      </c>
      <c r="B2672" s="2">
        <v>45708</v>
      </c>
      <c r="C2672" s="1" t="s">
        <v>223</v>
      </c>
      <c r="D2672" s="1" t="s">
        <v>224</v>
      </c>
      <c r="E2672" s="1" t="s">
        <v>28</v>
      </c>
      <c r="F2672" s="1" t="s">
        <v>552</v>
      </c>
      <c r="G2672" s="1" t="s">
        <v>553</v>
      </c>
      <c r="H2672" s="1" t="s">
        <v>37</v>
      </c>
      <c r="I2672">
        <v>25361</v>
      </c>
      <c r="J2672" s="3">
        <v>47.83</v>
      </c>
      <c r="K2672" s="3">
        <v>1213016.6299999999</v>
      </c>
    </row>
    <row r="2673" spans="1:11" x14ac:dyDescent="0.2">
      <c r="A2673" s="1" t="s">
        <v>3785</v>
      </c>
      <c r="B2673" s="2">
        <v>45663</v>
      </c>
      <c r="C2673" s="1" t="s">
        <v>2472</v>
      </c>
      <c r="D2673" s="1" t="s">
        <v>2473</v>
      </c>
      <c r="E2673" s="1" t="s">
        <v>28</v>
      </c>
      <c r="F2673" s="1" t="s">
        <v>540</v>
      </c>
      <c r="G2673" s="1" t="s">
        <v>541</v>
      </c>
      <c r="H2673" s="1" t="s">
        <v>37</v>
      </c>
      <c r="I2673">
        <v>83402</v>
      </c>
      <c r="J2673" s="3">
        <v>32.53</v>
      </c>
      <c r="K2673" s="3">
        <v>2713067.06</v>
      </c>
    </row>
    <row r="2674" spans="1:11" x14ac:dyDescent="0.2">
      <c r="A2674" s="1" t="s">
        <v>3786</v>
      </c>
      <c r="B2674" s="2">
        <v>45903</v>
      </c>
      <c r="C2674" s="1" t="s">
        <v>844</v>
      </c>
      <c r="D2674" s="1" t="s">
        <v>845</v>
      </c>
      <c r="E2674" s="1" t="s">
        <v>37</v>
      </c>
      <c r="F2674" s="1" t="s">
        <v>273</v>
      </c>
      <c r="G2674" s="1" t="s">
        <v>274</v>
      </c>
      <c r="H2674" s="1" t="s">
        <v>24</v>
      </c>
      <c r="I2674">
        <v>66595</v>
      </c>
      <c r="J2674" s="3">
        <v>22.72</v>
      </c>
      <c r="K2674" s="3">
        <v>1513038.4</v>
      </c>
    </row>
    <row r="2675" spans="1:11" x14ac:dyDescent="0.2">
      <c r="A2675" s="1" t="s">
        <v>3787</v>
      </c>
      <c r="B2675" s="2">
        <v>45741</v>
      </c>
      <c r="C2675" s="1" t="s">
        <v>910</v>
      </c>
      <c r="D2675" s="1" t="s">
        <v>911</v>
      </c>
      <c r="E2675" s="1" t="s">
        <v>28</v>
      </c>
      <c r="F2675" s="1" t="s">
        <v>458</v>
      </c>
      <c r="G2675" s="1" t="s">
        <v>459</v>
      </c>
      <c r="H2675" s="1" t="s">
        <v>72</v>
      </c>
      <c r="I2675">
        <v>39758</v>
      </c>
      <c r="J2675" s="3">
        <v>33.049999999999997</v>
      </c>
      <c r="K2675" s="3">
        <v>1314001.8999999999</v>
      </c>
    </row>
    <row r="2676" spans="1:11" x14ac:dyDescent="0.2">
      <c r="A2676" s="1" t="s">
        <v>3788</v>
      </c>
      <c r="B2676" s="2">
        <v>45908</v>
      </c>
      <c r="C2676" s="1" t="s">
        <v>3733</v>
      </c>
      <c r="D2676" s="1" t="s">
        <v>3734</v>
      </c>
      <c r="E2676" s="1" t="s">
        <v>14</v>
      </c>
      <c r="F2676" s="1" t="s">
        <v>70</v>
      </c>
      <c r="G2676" s="1" t="s">
        <v>71</v>
      </c>
      <c r="H2676" s="1" t="s">
        <v>72</v>
      </c>
      <c r="I2676">
        <v>35398</v>
      </c>
      <c r="J2676" s="3">
        <v>40.630000000000003</v>
      </c>
      <c r="K2676" s="3">
        <v>1438220.74</v>
      </c>
    </row>
    <row r="2677" spans="1:11" x14ac:dyDescent="0.2">
      <c r="A2677" s="1" t="s">
        <v>3789</v>
      </c>
      <c r="B2677" s="2">
        <v>45597</v>
      </c>
      <c r="C2677" s="1" t="s">
        <v>131</v>
      </c>
      <c r="D2677" s="1" t="s">
        <v>132</v>
      </c>
      <c r="E2677" s="1" t="s">
        <v>37</v>
      </c>
      <c r="F2677" s="1" t="s">
        <v>52</v>
      </c>
      <c r="G2677" s="1" t="s">
        <v>53</v>
      </c>
      <c r="H2677" s="1" t="s">
        <v>17</v>
      </c>
      <c r="I2677">
        <v>42376</v>
      </c>
      <c r="J2677" s="3">
        <v>26.77</v>
      </c>
      <c r="K2677" s="3">
        <v>1134405.52</v>
      </c>
    </row>
    <row r="2678" spans="1:11" x14ac:dyDescent="0.2">
      <c r="A2678" s="1" t="s">
        <v>3790</v>
      </c>
      <c r="B2678" s="2">
        <v>45329</v>
      </c>
      <c r="C2678" s="1" t="s">
        <v>1421</v>
      </c>
      <c r="D2678" s="1" t="s">
        <v>1422</v>
      </c>
      <c r="E2678" s="1" t="s">
        <v>21</v>
      </c>
      <c r="F2678" s="1" t="s">
        <v>15</v>
      </c>
      <c r="G2678" s="1" t="s">
        <v>16</v>
      </c>
      <c r="H2678" s="1" t="s">
        <v>17</v>
      </c>
      <c r="I2678">
        <v>29961</v>
      </c>
      <c r="J2678" s="3">
        <v>28.89</v>
      </c>
      <c r="K2678" s="3">
        <v>865573.29</v>
      </c>
    </row>
    <row r="2679" spans="1:11" x14ac:dyDescent="0.2">
      <c r="A2679" s="1" t="s">
        <v>3791</v>
      </c>
      <c r="B2679" s="2">
        <v>45296</v>
      </c>
      <c r="C2679" s="1" t="s">
        <v>945</v>
      </c>
      <c r="D2679" s="1" t="s">
        <v>946</v>
      </c>
      <c r="E2679" s="1" t="s">
        <v>14</v>
      </c>
      <c r="F2679" s="1" t="s">
        <v>184</v>
      </c>
      <c r="G2679" s="1" t="s">
        <v>185</v>
      </c>
      <c r="H2679" s="1" t="s">
        <v>17</v>
      </c>
      <c r="I2679">
        <v>32729</v>
      </c>
      <c r="J2679" s="3">
        <v>19.98</v>
      </c>
      <c r="K2679" s="3">
        <v>653925.42000000004</v>
      </c>
    </row>
    <row r="2680" spans="1:11" x14ac:dyDescent="0.2">
      <c r="A2680" s="1" t="s">
        <v>3792</v>
      </c>
      <c r="B2680" s="2">
        <v>45675</v>
      </c>
      <c r="C2680" s="1" t="s">
        <v>1757</v>
      </c>
      <c r="D2680" s="1" t="s">
        <v>1758</v>
      </c>
      <c r="E2680" s="1" t="s">
        <v>37</v>
      </c>
      <c r="F2680" s="1" t="s">
        <v>228</v>
      </c>
      <c r="G2680" s="1" t="s">
        <v>229</v>
      </c>
      <c r="H2680" s="1" t="s">
        <v>48</v>
      </c>
      <c r="I2680">
        <v>89997</v>
      </c>
      <c r="J2680" s="3">
        <v>11.59</v>
      </c>
      <c r="K2680" s="3">
        <v>1043065.23</v>
      </c>
    </row>
    <row r="2681" spans="1:11" x14ac:dyDescent="0.2">
      <c r="A2681" s="1" t="s">
        <v>3793</v>
      </c>
      <c r="B2681" s="2">
        <v>45424</v>
      </c>
      <c r="C2681" s="1" t="s">
        <v>445</v>
      </c>
      <c r="D2681" s="1" t="s">
        <v>446</v>
      </c>
      <c r="E2681" s="1" t="s">
        <v>34</v>
      </c>
      <c r="F2681" s="1" t="s">
        <v>463</v>
      </c>
      <c r="G2681" s="1" t="s">
        <v>464</v>
      </c>
      <c r="H2681" s="1" t="s">
        <v>37</v>
      </c>
      <c r="I2681">
        <v>67112</v>
      </c>
      <c r="J2681" s="3">
        <v>8.19</v>
      </c>
      <c r="K2681" s="3">
        <v>549647.28</v>
      </c>
    </row>
    <row r="2682" spans="1:11" x14ac:dyDescent="0.2">
      <c r="A2682" s="1" t="s">
        <v>3794</v>
      </c>
      <c r="B2682" s="2">
        <v>45695</v>
      </c>
      <c r="C2682" s="1" t="s">
        <v>2011</v>
      </c>
      <c r="D2682" s="1" t="s">
        <v>2012</v>
      </c>
      <c r="E2682" s="1" t="s">
        <v>37</v>
      </c>
      <c r="F2682" s="1" t="s">
        <v>203</v>
      </c>
      <c r="G2682" s="1" t="s">
        <v>204</v>
      </c>
      <c r="H2682" s="1" t="s">
        <v>72</v>
      </c>
      <c r="I2682">
        <v>55985</v>
      </c>
      <c r="J2682" s="3">
        <v>12.91</v>
      </c>
      <c r="K2682" s="3">
        <v>722766.35</v>
      </c>
    </row>
    <row r="2683" spans="1:11" x14ac:dyDescent="0.2">
      <c r="A2683" s="1" t="s">
        <v>3795</v>
      </c>
      <c r="B2683" s="2">
        <v>45960</v>
      </c>
      <c r="C2683" s="1" t="s">
        <v>348</v>
      </c>
      <c r="D2683" s="1" t="s">
        <v>349</v>
      </c>
      <c r="E2683" s="1" t="s">
        <v>28</v>
      </c>
      <c r="F2683" s="1" t="s">
        <v>203</v>
      </c>
      <c r="G2683" s="1" t="s">
        <v>204</v>
      </c>
      <c r="H2683" s="1" t="s">
        <v>72</v>
      </c>
      <c r="I2683">
        <v>12973</v>
      </c>
      <c r="J2683" s="3">
        <v>48.7</v>
      </c>
      <c r="K2683" s="3">
        <v>631785.1</v>
      </c>
    </row>
    <row r="2684" spans="1:11" x14ac:dyDescent="0.2">
      <c r="A2684" s="1" t="s">
        <v>3796</v>
      </c>
      <c r="B2684" s="2">
        <v>45384</v>
      </c>
      <c r="C2684" s="1" t="s">
        <v>44</v>
      </c>
      <c r="D2684" s="1" t="s">
        <v>45</v>
      </c>
      <c r="E2684" s="1" t="s">
        <v>34</v>
      </c>
      <c r="F2684" s="1" t="s">
        <v>394</v>
      </c>
      <c r="G2684" s="1" t="s">
        <v>395</v>
      </c>
      <c r="H2684" s="1" t="s">
        <v>48</v>
      </c>
      <c r="I2684">
        <v>17400</v>
      </c>
      <c r="J2684" s="3">
        <v>5.7</v>
      </c>
      <c r="K2684" s="3">
        <v>99180</v>
      </c>
    </row>
    <row r="2685" spans="1:11" x14ac:dyDescent="0.2">
      <c r="A2685" s="1" t="s">
        <v>3797</v>
      </c>
      <c r="B2685" s="2">
        <v>45703</v>
      </c>
      <c r="C2685" s="1" t="s">
        <v>1171</v>
      </c>
      <c r="D2685" s="1" t="s">
        <v>1172</v>
      </c>
      <c r="E2685" s="1" t="s">
        <v>34</v>
      </c>
      <c r="F2685" s="1" t="s">
        <v>406</v>
      </c>
      <c r="G2685" s="1" t="s">
        <v>407</v>
      </c>
      <c r="H2685" s="1" t="s">
        <v>17</v>
      </c>
      <c r="I2685">
        <v>99377</v>
      </c>
      <c r="J2685" s="3">
        <v>4.47</v>
      </c>
      <c r="K2685" s="3">
        <v>444215.19</v>
      </c>
    </row>
    <row r="2686" spans="1:11" x14ac:dyDescent="0.2">
      <c r="A2686" s="1" t="s">
        <v>3798</v>
      </c>
      <c r="B2686" s="2">
        <v>45999</v>
      </c>
      <c r="C2686" s="1" t="s">
        <v>1337</v>
      </c>
      <c r="D2686" s="1" t="s">
        <v>1338</v>
      </c>
      <c r="E2686" s="1" t="s">
        <v>34</v>
      </c>
      <c r="F2686" s="1" t="s">
        <v>412</v>
      </c>
      <c r="G2686" s="1" t="s">
        <v>413</v>
      </c>
      <c r="H2686" s="1" t="s">
        <v>72</v>
      </c>
      <c r="I2686">
        <v>79029</v>
      </c>
      <c r="J2686" s="3">
        <v>37.39</v>
      </c>
      <c r="K2686" s="3">
        <v>2954894.31</v>
      </c>
    </row>
    <row r="2687" spans="1:11" x14ac:dyDescent="0.2">
      <c r="A2687" s="1" t="s">
        <v>3799</v>
      </c>
      <c r="B2687" s="2">
        <v>45648</v>
      </c>
      <c r="C2687" s="1" t="s">
        <v>368</v>
      </c>
      <c r="D2687" s="1" t="s">
        <v>369</v>
      </c>
      <c r="E2687" s="1" t="s">
        <v>37</v>
      </c>
      <c r="F2687" s="1" t="s">
        <v>540</v>
      </c>
      <c r="G2687" s="1" t="s">
        <v>541</v>
      </c>
      <c r="H2687" s="1" t="s">
        <v>37</v>
      </c>
      <c r="I2687">
        <v>83832</v>
      </c>
      <c r="J2687" s="3">
        <v>15.74</v>
      </c>
      <c r="K2687" s="3">
        <v>1319515.68</v>
      </c>
    </row>
    <row r="2688" spans="1:11" x14ac:dyDescent="0.2">
      <c r="A2688" s="1" t="s">
        <v>3800</v>
      </c>
      <c r="B2688" s="2">
        <v>45433</v>
      </c>
      <c r="C2688" s="1" t="s">
        <v>1513</v>
      </c>
      <c r="D2688" s="1" t="s">
        <v>1514</v>
      </c>
      <c r="E2688" s="1" t="s">
        <v>28</v>
      </c>
      <c r="F2688" s="1" t="s">
        <v>113</v>
      </c>
      <c r="G2688" s="1" t="s">
        <v>114</v>
      </c>
      <c r="H2688" s="1" t="s">
        <v>37</v>
      </c>
      <c r="I2688">
        <v>36715</v>
      </c>
      <c r="J2688" s="3">
        <v>48.73</v>
      </c>
      <c r="K2688" s="3">
        <v>1789121.95</v>
      </c>
    </row>
    <row r="2689" spans="1:11" x14ac:dyDescent="0.2">
      <c r="A2689" s="1" t="s">
        <v>3801</v>
      </c>
      <c r="B2689" s="2">
        <v>45342</v>
      </c>
      <c r="C2689" s="1" t="s">
        <v>1541</v>
      </c>
      <c r="D2689" s="1" t="s">
        <v>1542</v>
      </c>
      <c r="E2689" s="1" t="s">
        <v>37</v>
      </c>
      <c r="F2689" s="1" t="s">
        <v>157</v>
      </c>
      <c r="G2689" s="1" t="s">
        <v>158</v>
      </c>
      <c r="H2689" s="1" t="s">
        <v>48</v>
      </c>
      <c r="I2689">
        <v>79368</v>
      </c>
      <c r="J2689" s="3">
        <v>44.65</v>
      </c>
      <c r="K2689" s="3">
        <v>3543781.2</v>
      </c>
    </row>
    <row r="2690" spans="1:11" x14ac:dyDescent="0.2">
      <c r="A2690" s="1" t="s">
        <v>3802</v>
      </c>
      <c r="B2690" s="2">
        <v>45358</v>
      </c>
      <c r="C2690" s="1" t="s">
        <v>12</v>
      </c>
      <c r="D2690" s="1" t="s">
        <v>13</v>
      </c>
      <c r="E2690" s="1" t="s">
        <v>14</v>
      </c>
      <c r="F2690" s="1" t="s">
        <v>70</v>
      </c>
      <c r="G2690" s="1" t="s">
        <v>71</v>
      </c>
      <c r="H2690" s="1" t="s">
        <v>72</v>
      </c>
      <c r="I2690">
        <v>29068</v>
      </c>
      <c r="J2690" s="3">
        <v>15.82</v>
      </c>
      <c r="K2690" s="3">
        <v>459855.76</v>
      </c>
    </row>
    <row r="2691" spans="1:11" x14ac:dyDescent="0.2">
      <c r="A2691" s="1" t="s">
        <v>3803</v>
      </c>
      <c r="B2691" s="2">
        <v>45897</v>
      </c>
      <c r="C2691" s="1" t="s">
        <v>1728</v>
      </c>
      <c r="D2691" s="1" t="s">
        <v>1729</v>
      </c>
      <c r="E2691" s="1" t="s">
        <v>21</v>
      </c>
      <c r="F2691" s="1" t="s">
        <v>184</v>
      </c>
      <c r="G2691" s="1" t="s">
        <v>185</v>
      </c>
      <c r="H2691" s="1" t="s">
        <v>17</v>
      </c>
      <c r="I2691">
        <v>99844</v>
      </c>
      <c r="J2691" s="3">
        <v>2.63</v>
      </c>
      <c r="K2691" s="3">
        <v>262589.71999999997</v>
      </c>
    </row>
    <row r="2692" spans="1:11" x14ac:dyDescent="0.2">
      <c r="A2692" s="1" t="s">
        <v>3804</v>
      </c>
      <c r="B2692" s="2">
        <v>45645</v>
      </c>
      <c r="C2692" s="1" t="s">
        <v>1028</v>
      </c>
      <c r="D2692" s="1" t="s">
        <v>1029</v>
      </c>
      <c r="E2692" s="1" t="s">
        <v>14</v>
      </c>
      <c r="F2692" s="1" t="s">
        <v>22</v>
      </c>
      <c r="G2692" s="1" t="s">
        <v>23</v>
      </c>
      <c r="H2692" s="1" t="s">
        <v>24</v>
      </c>
      <c r="I2692">
        <v>14505</v>
      </c>
      <c r="J2692" s="3">
        <v>26.14</v>
      </c>
      <c r="K2692" s="3">
        <v>379160.7</v>
      </c>
    </row>
    <row r="2693" spans="1:11" x14ac:dyDescent="0.2">
      <c r="A2693" s="1" t="s">
        <v>3805</v>
      </c>
      <c r="B2693" s="2">
        <v>46022</v>
      </c>
      <c r="C2693" s="1" t="s">
        <v>1930</v>
      </c>
      <c r="D2693" s="1" t="s">
        <v>1931</v>
      </c>
      <c r="E2693" s="1" t="s">
        <v>14</v>
      </c>
      <c r="F2693" s="1" t="s">
        <v>394</v>
      </c>
      <c r="G2693" s="1" t="s">
        <v>395</v>
      </c>
      <c r="H2693" s="1" t="s">
        <v>48</v>
      </c>
      <c r="I2693">
        <v>18335</v>
      </c>
      <c r="J2693" s="3">
        <v>7.29</v>
      </c>
      <c r="K2693" s="3">
        <v>133662.15</v>
      </c>
    </row>
    <row r="2694" spans="1:11" x14ac:dyDescent="0.2">
      <c r="A2694" s="1" t="s">
        <v>3806</v>
      </c>
      <c r="B2694" s="2">
        <v>45369</v>
      </c>
      <c r="C2694" s="1" t="s">
        <v>1442</v>
      </c>
      <c r="D2694" s="1" t="s">
        <v>1443</v>
      </c>
      <c r="E2694" s="1" t="s">
        <v>14</v>
      </c>
      <c r="F2694" s="1" t="s">
        <v>157</v>
      </c>
      <c r="G2694" s="1" t="s">
        <v>158</v>
      </c>
      <c r="H2694" s="1" t="s">
        <v>48</v>
      </c>
      <c r="I2694">
        <v>23382</v>
      </c>
      <c r="J2694" s="3">
        <v>19.239999999999998</v>
      </c>
      <c r="K2694" s="3">
        <v>449869.68</v>
      </c>
    </row>
    <row r="2695" spans="1:11" x14ac:dyDescent="0.2">
      <c r="A2695" s="1" t="s">
        <v>3807</v>
      </c>
      <c r="B2695" s="2">
        <v>45653</v>
      </c>
      <c r="C2695" s="1" t="s">
        <v>448</v>
      </c>
      <c r="D2695" s="1" t="s">
        <v>449</v>
      </c>
      <c r="E2695" s="1" t="s">
        <v>28</v>
      </c>
      <c r="F2695" s="1" t="s">
        <v>228</v>
      </c>
      <c r="G2695" s="1" t="s">
        <v>229</v>
      </c>
      <c r="H2695" s="1" t="s">
        <v>48</v>
      </c>
      <c r="I2695">
        <v>97535</v>
      </c>
      <c r="J2695" s="3">
        <v>26.32</v>
      </c>
      <c r="K2695" s="3">
        <v>2567121.2000000002</v>
      </c>
    </row>
    <row r="2696" spans="1:11" x14ac:dyDescent="0.2">
      <c r="A2696" s="1" t="s">
        <v>3808</v>
      </c>
      <c r="B2696" s="2">
        <v>45338</v>
      </c>
      <c r="C2696" s="1" t="s">
        <v>580</v>
      </c>
      <c r="D2696" s="1" t="s">
        <v>581</v>
      </c>
      <c r="E2696" s="1" t="s">
        <v>21</v>
      </c>
      <c r="F2696" s="1" t="s">
        <v>208</v>
      </c>
      <c r="G2696" s="1" t="s">
        <v>209</v>
      </c>
      <c r="H2696" s="1" t="s">
        <v>17</v>
      </c>
      <c r="I2696">
        <v>59600</v>
      </c>
      <c r="J2696" s="3">
        <v>18.329999999999998</v>
      </c>
      <c r="K2696" s="3">
        <v>1092468</v>
      </c>
    </row>
    <row r="2697" spans="1:11" x14ac:dyDescent="0.2">
      <c r="A2697" s="1" t="s">
        <v>3809</v>
      </c>
      <c r="B2697" s="2">
        <v>45314</v>
      </c>
      <c r="C2697" s="1" t="s">
        <v>505</v>
      </c>
      <c r="D2697" s="1" t="s">
        <v>506</v>
      </c>
      <c r="E2697" s="1" t="s">
        <v>21</v>
      </c>
      <c r="F2697" s="1" t="s">
        <v>406</v>
      </c>
      <c r="G2697" s="1" t="s">
        <v>407</v>
      </c>
      <c r="H2697" s="1" t="s">
        <v>17</v>
      </c>
      <c r="I2697">
        <v>73349</v>
      </c>
      <c r="J2697" s="3">
        <v>30.23</v>
      </c>
      <c r="K2697" s="3">
        <v>2217340.27</v>
      </c>
    </row>
    <row r="2698" spans="1:11" x14ac:dyDescent="0.2">
      <c r="A2698" s="1" t="s">
        <v>3810</v>
      </c>
      <c r="B2698" s="2">
        <v>45361</v>
      </c>
      <c r="C2698" s="1" t="s">
        <v>456</v>
      </c>
      <c r="D2698" s="1" t="s">
        <v>457</v>
      </c>
      <c r="E2698" s="1" t="s">
        <v>37</v>
      </c>
      <c r="F2698" s="1" t="s">
        <v>463</v>
      </c>
      <c r="G2698" s="1" t="s">
        <v>464</v>
      </c>
      <c r="H2698" s="1" t="s">
        <v>37</v>
      </c>
      <c r="I2698">
        <v>94907</v>
      </c>
      <c r="J2698" s="3">
        <v>10.37</v>
      </c>
      <c r="K2698" s="3">
        <v>984185.59</v>
      </c>
    </row>
    <row r="2699" spans="1:11" x14ac:dyDescent="0.2">
      <c r="A2699" s="1" t="s">
        <v>3811</v>
      </c>
      <c r="B2699" s="2">
        <v>45313</v>
      </c>
      <c r="C2699" s="1" t="s">
        <v>495</v>
      </c>
      <c r="D2699" s="1" t="s">
        <v>496</v>
      </c>
      <c r="E2699" s="1" t="s">
        <v>37</v>
      </c>
      <c r="F2699" s="1" t="s">
        <v>152</v>
      </c>
      <c r="G2699" s="1" t="s">
        <v>153</v>
      </c>
      <c r="H2699" s="1" t="s">
        <v>17</v>
      </c>
      <c r="I2699">
        <v>68043</v>
      </c>
      <c r="J2699" s="3">
        <v>3.4</v>
      </c>
      <c r="K2699" s="3">
        <v>231346.2</v>
      </c>
    </row>
    <row r="2700" spans="1:11" x14ac:dyDescent="0.2">
      <c r="A2700" s="1" t="s">
        <v>3812</v>
      </c>
      <c r="B2700" s="2">
        <v>46004</v>
      </c>
      <c r="C2700" s="1" t="s">
        <v>2654</v>
      </c>
      <c r="D2700" s="1" t="s">
        <v>2655</v>
      </c>
      <c r="E2700" s="1" t="s">
        <v>28</v>
      </c>
      <c r="F2700" s="1" t="s">
        <v>263</v>
      </c>
      <c r="G2700" s="1" t="s">
        <v>264</v>
      </c>
      <c r="H2700" s="1" t="s">
        <v>17</v>
      </c>
      <c r="I2700">
        <v>66253</v>
      </c>
      <c r="J2700" s="3">
        <v>13.07</v>
      </c>
      <c r="K2700" s="3">
        <v>865926.71</v>
      </c>
    </row>
    <row r="2701" spans="1:11" x14ac:dyDescent="0.2">
      <c r="A2701" s="1" t="s">
        <v>3813</v>
      </c>
      <c r="B2701" s="2">
        <v>45515</v>
      </c>
      <c r="C2701" s="1" t="s">
        <v>633</v>
      </c>
      <c r="D2701" s="1" t="s">
        <v>634</v>
      </c>
      <c r="E2701" s="1" t="s">
        <v>34</v>
      </c>
      <c r="F2701" s="1" t="s">
        <v>463</v>
      </c>
      <c r="G2701" s="1" t="s">
        <v>464</v>
      </c>
      <c r="H2701" s="1" t="s">
        <v>37</v>
      </c>
      <c r="I2701">
        <v>35641</v>
      </c>
      <c r="J2701" s="3">
        <v>16.95</v>
      </c>
      <c r="K2701" s="3">
        <v>604114.94999999995</v>
      </c>
    </row>
    <row r="2702" spans="1:11" x14ac:dyDescent="0.2">
      <c r="A2702" s="1" t="s">
        <v>3814</v>
      </c>
      <c r="B2702" s="2">
        <v>45909</v>
      </c>
      <c r="C2702" s="1" t="s">
        <v>303</v>
      </c>
      <c r="D2702" s="1" t="s">
        <v>304</v>
      </c>
      <c r="E2702" s="1" t="s">
        <v>28</v>
      </c>
      <c r="F2702" s="1" t="s">
        <v>29</v>
      </c>
      <c r="G2702" s="1" t="s">
        <v>30</v>
      </c>
      <c r="H2702" s="1" t="s">
        <v>24</v>
      </c>
      <c r="I2702">
        <v>15468</v>
      </c>
      <c r="J2702" s="3">
        <v>12.13</v>
      </c>
      <c r="K2702" s="3">
        <v>187626.84</v>
      </c>
    </row>
    <row r="2703" spans="1:11" x14ac:dyDescent="0.2">
      <c r="A2703" s="1" t="s">
        <v>3815</v>
      </c>
      <c r="B2703" s="2">
        <v>45631</v>
      </c>
      <c r="C2703" s="1" t="s">
        <v>705</v>
      </c>
      <c r="D2703" s="1" t="s">
        <v>706</v>
      </c>
      <c r="E2703" s="1" t="s">
        <v>28</v>
      </c>
      <c r="F2703" s="1" t="s">
        <v>15</v>
      </c>
      <c r="G2703" s="1" t="s">
        <v>16</v>
      </c>
      <c r="H2703" s="1" t="s">
        <v>17</v>
      </c>
      <c r="I2703">
        <v>47384</v>
      </c>
      <c r="J2703" s="3">
        <v>5.88</v>
      </c>
      <c r="K2703" s="3">
        <v>278617.92</v>
      </c>
    </row>
    <row r="2704" spans="1:11" x14ac:dyDescent="0.2">
      <c r="A2704" s="1" t="s">
        <v>3816</v>
      </c>
      <c r="B2704" s="2">
        <v>45387</v>
      </c>
      <c r="C2704" s="1" t="s">
        <v>1523</v>
      </c>
      <c r="D2704" s="1" t="s">
        <v>1524</v>
      </c>
      <c r="E2704" s="1" t="s">
        <v>28</v>
      </c>
      <c r="F2704" s="1" t="s">
        <v>217</v>
      </c>
      <c r="G2704" s="1" t="s">
        <v>218</v>
      </c>
      <c r="H2704" s="1" t="s">
        <v>72</v>
      </c>
      <c r="I2704">
        <v>19486</v>
      </c>
      <c r="J2704" s="3">
        <v>46.97</v>
      </c>
      <c r="K2704" s="3">
        <v>915257.42</v>
      </c>
    </row>
    <row r="2705" spans="1:11" x14ac:dyDescent="0.2">
      <c r="A2705" s="1" t="s">
        <v>3817</v>
      </c>
      <c r="B2705" s="2">
        <v>45535</v>
      </c>
      <c r="C2705" s="1" t="s">
        <v>2100</v>
      </c>
      <c r="D2705" s="1" t="s">
        <v>2101</v>
      </c>
      <c r="E2705" s="1" t="s">
        <v>37</v>
      </c>
      <c r="F2705" s="1" t="s">
        <v>35</v>
      </c>
      <c r="G2705" s="1" t="s">
        <v>36</v>
      </c>
      <c r="H2705" s="1" t="s">
        <v>37</v>
      </c>
      <c r="I2705">
        <v>48175</v>
      </c>
      <c r="J2705" s="3">
        <v>44.33</v>
      </c>
      <c r="K2705" s="3">
        <v>2135597.75</v>
      </c>
    </row>
    <row r="2706" spans="1:11" x14ac:dyDescent="0.2">
      <c r="A2706" s="1" t="s">
        <v>3818</v>
      </c>
      <c r="B2706" s="2">
        <v>45379</v>
      </c>
      <c r="C2706" s="1" t="s">
        <v>1909</v>
      </c>
      <c r="D2706" s="1" t="s">
        <v>1910</v>
      </c>
      <c r="E2706" s="1" t="s">
        <v>37</v>
      </c>
      <c r="F2706" s="1" t="s">
        <v>510</v>
      </c>
      <c r="G2706" s="1" t="s">
        <v>511</v>
      </c>
      <c r="H2706" s="1" t="s">
        <v>17</v>
      </c>
      <c r="I2706">
        <v>58222</v>
      </c>
      <c r="J2706" s="3">
        <v>34.4</v>
      </c>
      <c r="K2706" s="3">
        <v>2002836.8</v>
      </c>
    </row>
    <row r="2707" spans="1:11" x14ac:dyDescent="0.2">
      <c r="A2707" s="1" t="s">
        <v>3819</v>
      </c>
      <c r="B2707" s="2">
        <v>45986</v>
      </c>
      <c r="C2707" s="1" t="s">
        <v>260</v>
      </c>
      <c r="D2707" s="1" t="s">
        <v>261</v>
      </c>
      <c r="E2707" s="1" t="s">
        <v>34</v>
      </c>
      <c r="F2707" s="1" t="s">
        <v>552</v>
      </c>
      <c r="G2707" s="1" t="s">
        <v>553</v>
      </c>
      <c r="H2707" s="1" t="s">
        <v>37</v>
      </c>
      <c r="I2707">
        <v>68849</v>
      </c>
      <c r="J2707" s="3">
        <v>3.68</v>
      </c>
      <c r="K2707" s="3">
        <v>253364.32</v>
      </c>
    </row>
    <row r="2708" spans="1:11" x14ac:dyDescent="0.2">
      <c r="A2708" s="1" t="s">
        <v>3820</v>
      </c>
      <c r="B2708" s="2">
        <v>45386</v>
      </c>
      <c r="C2708" s="1" t="s">
        <v>681</v>
      </c>
      <c r="D2708" s="1" t="s">
        <v>682</v>
      </c>
      <c r="E2708" s="1" t="s">
        <v>28</v>
      </c>
      <c r="F2708" s="1" t="s">
        <v>176</v>
      </c>
      <c r="G2708" s="1" t="s">
        <v>177</v>
      </c>
      <c r="H2708" s="1" t="s">
        <v>37</v>
      </c>
      <c r="I2708">
        <v>66938</v>
      </c>
      <c r="J2708" s="3">
        <v>8.31</v>
      </c>
      <c r="K2708" s="3">
        <v>556254.78</v>
      </c>
    </row>
    <row r="2709" spans="1:11" x14ac:dyDescent="0.2">
      <c r="A2709" s="1" t="s">
        <v>3821</v>
      </c>
      <c r="B2709" s="2">
        <v>45628</v>
      </c>
      <c r="C2709" s="1" t="s">
        <v>1044</v>
      </c>
      <c r="D2709" s="1" t="s">
        <v>1045</v>
      </c>
      <c r="E2709" s="1" t="s">
        <v>14</v>
      </c>
      <c r="F2709" s="1" t="s">
        <v>412</v>
      </c>
      <c r="G2709" s="1" t="s">
        <v>413</v>
      </c>
      <c r="H2709" s="1" t="s">
        <v>72</v>
      </c>
      <c r="I2709">
        <v>9845</v>
      </c>
      <c r="J2709" s="3">
        <v>3.41</v>
      </c>
      <c r="K2709" s="3">
        <v>33571.449999999997</v>
      </c>
    </row>
    <row r="2710" spans="1:11" x14ac:dyDescent="0.2">
      <c r="A2710" s="1" t="s">
        <v>3822</v>
      </c>
      <c r="B2710" s="2">
        <v>45743</v>
      </c>
      <c r="C2710" s="1" t="s">
        <v>1541</v>
      </c>
      <c r="D2710" s="1" t="s">
        <v>1542</v>
      </c>
      <c r="E2710" s="1" t="s">
        <v>37</v>
      </c>
      <c r="F2710" s="1" t="s">
        <v>412</v>
      </c>
      <c r="G2710" s="1" t="s">
        <v>413</v>
      </c>
      <c r="H2710" s="1" t="s">
        <v>72</v>
      </c>
      <c r="I2710">
        <v>80879</v>
      </c>
      <c r="J2710" s="3">
        <v>31.63</v>
      </c>
      <c r="K2710" s="3">
        <v>2558202.77</v>
      </c>
    </row>
    <row r="2711" spans="1:11" x14ac:dyDescent="0.2">
      <c r="A2711" s="1" t="s">
        <v>3823</v>
      </c>
      <c r="B2711" s="2">
        <v>45583</v>
      </c>
      <c r="C2711" s="1" t="s">
        <v>1421</v>
      </c>
      <c r="D2711" s="1" t="s">
        <v>1422</v>
      </c>
      <c r="E2711" s="1" t="s">
        <v>21</v>
      </c>
      <c r="F2711" s="1" t="s">
        <v>761</v>
      </c>
      <c r="G2711" s="1" t="s">
        <v>762</v>
      </c>
      <c r="H2711" s="1" t="s">
        <v>48</v>
      </c>
      <c r="I2711">
        <v>97579</v>
      </c>
      <c r="J2711" s="3">
        <v>29.91</v>
      </c>
      <c r="K2711" s="3">
        <v>2918587.89</v>
      </c>
    </row>
    <row r="2712" spans="1:11" x14ac:dyDescent="0.2">
      <c r="A2712" s="1" t="s">
        <v>3824</v>
      </c>
      <c r="B2712" s="2">
        <v>45617</v>
      </c>
      <c r="C2712" s="1" t="s">
        <v>660</v>
      </c>
      <c r="D2712" s="1" t="s">
        <v>661</v>
      </c>
      <c r="E2712" s="1" t="s">
        <v>34</v>
      </c>
      <c r="F2712" s="1" t="s">
        <v>139</v>
      </c>
      <c r="G2712" s="1" t="s">
        <v>140</v>
      </c>
      <c r="H2712" s="1" t="s">
        <v>24</v>
      </c>
      <c r="I2712">
        <v>94582</v>
      </c>
      <c r="J2712" s="3">
        <v>13.9</v>
      </c>
      <c r="K2712" s="3">
        <v>1314689.8</v>
      </c>
    </row>
    <row r="2713" spans="1:11" x14ac:dyDescent="0.2">
      <c r="A2713" s="1" t="s">
        <v>3825</v>
      </c>
      <c r="B2713" s="2">
        <v>45649</v>
      </c>
      <c r="C2713" s="1" t="s">
        <v>2597</v>
      </c>
      <c r="D2713" s="1" t="s">
        <v>2598</v>
      </c>
      <c r="E2713" s="1" t="s">
        <v>21</v>
      </c>
      <c r="F2713" s="1" t="s">
        <v>474</v>
      </c>
      <c r="G2713" s="1" t="s">
        <v>475</v>
      </c>
      <c r="H2713" s="1" t="s">
        <v>48</v>
      </c>
      <c r="I2713">
        <v>64353</v>
      </c>
      <c r="J2713" s="3">
        <v>32.24</v>
      </c>
      <c r="K2713" s="3">
        <v>2074740.72</v>
      </c>
    </row>
    <row r="2714" spans="1:11" x14ac:dyDescent="0.2">
      <c r="A2714" s="1" t="s">
        <v>3826</v>
      </c>
      <c r="B2714" s="2">
        <v>45839</v>
      </c>
      <c r="C2714" s="1" t="s">
        <v>734</v>
      </c>
      <c r="D2714" s="1" t="s">
        <v>735</v>
      </c>
      <c r="E2714" s="1" t="s">
        <v>28</v>
      </c>
      <c r="F2714" s="1" t="s">
        <v>41</v>
      </c>
      <c r="G2714" s="1" t="s">
        <v>42</v>
      </c>
      <c r="H2714" s="1" t="s">
        <v>24</v>
      </c>
      <c r="I2714">
        <v>45974</v>
      </c>
      <c r="J2714" s="3">
        <v>25.85</v>
      </c>
      <c r="K2714" s="3">
        <v>1188427.8999999999</v>
      </c>
    </row>
    <row r="2715" spans="1:11" x14ac:dyDescent="0.2">
      <c r="A2715" s="1" t="s">
        <v>3827</v>
      </c>
      <c r="B2715" s="2">
        <v>45740</v>
      </c>
      <c r="C2715" s="1" t="s">
        <v>844</v>
      </c>
      <c r="D2715" s="1" t="s">
        <v>845</v>
      </c>
      <c r="E2715" s="1" t="s">
        <v>37</v>
      </c>
      <c r="F2715" s="1" t="s">
        <v>406</v>
      </c>
      <c r="G2715" s="1" t="s">
        <v>407</v>
      </c>
      <c r="H2715" s="1" t="s">
        <v>17</v>
      </c>
      <c r="I2715">
        <v>41658</v>
      </c>
      <c r="J2715" s="3">
        <v>9.5</v>
      </c>
      <c r="K2715" s="3">
        <v>395751</v>
      </c>
    </row>
    <row r="2716" spans="1:11" x14ac:dyDescent="0.2">
      <c r="A2716" s="1" t="s">
        <v>3828</v>
      </c>
      <c r="B2716" s="2">
        <v>45311</v>
      </c>
      <c r="C2716" s="1" t="s">
        <v>1591</v>
      </c>
      <c r="D2716" s="1" t="s">
        <v>1592</v>
      </c>
      <c r="E2716" s="1" t="s">
        <v>34</v>
      </c>
      <c r="F2716" s="1" t="s">
        <v>237</v>
      </c>
      <c r="G2716" s="1" t="s">
        <v>238</v>
      </c>
      <c r="H2716" s="1" t="s">
        <v>17</v>
      </c>
      <c r="I2716">
        <v>20200</v>
      </c>
      <c r="J2716" s="3">
        <v>37.81</v>
      </c>
      <c r="K2716" s="3">
        <v>763762</v>
      </c>
    </row>
    <row r="2717" spans="1:11" x14ac:dyDescent="0.2">
      <c r="A2717" s="1" t="s">
        <v>3829</v>
      </c>
      <c r="B2717" s="2">
        <v>45450</v>
      </c>
      <c r="C2717" s="1" t="s">
        <v>201</v>
      </c>
      <c r="D2717" s="1" t="s">
        <v>202</v>
      </c>
      <c r="E2717" s="1" t="s">
        <v>14</v>
      </c>
      <c r="F2717" s="1" t="s">
        <v>284</v>
      </c>
      <c r="G2717" s="1" t="s">
        <v>285</v>
      </c>
      <c r="H2717" s="1" t="s">
        <v>37</v>
      </c>
      <c r="I2717">
        <v>94613</v>
      </c>
      <c r="J2717" s="3">
        <v>46.21</v>
      </c>
      <c r="K2717" s="3">
        <v>4372066.7300000004</v>
      </c>
    </row>
    <row r="2718" spans="1:11" x14ac:dyDescent="0.2">
      <c r="A2718" s="1" t="s">
        <v>3830</v>
      </c>
      <c r="B2718" s="2">
        <v>45339</v>
      </c>
      <c r="C2718" s="1" t="s">
        <v>1740</v>
      </c>
      <c r="D2718" s="1" t="s">
        <v>1741</v>
      </c>
      <c r="E2718" s="1" t="s">
        <v>21</v>
      </c>
      <c r="F2718" s="1" t="s">
        <v>22</v>
      </c>
      <c r="G2718" s="1" t="s">
        <v>23</v>
      </c>
      <c r="H2718" s="1" t="s">
        <v>24</v>
      </c>
      <c r="I2718">
        <v>25671</v>
      </c>
      <c r="J2718" s="3">
        <v>49.19</v>
      </c>
      <c r="K2718" s="3">
        <v>1262756.49</v>
      </c>
    </row>
    <row r="2719" spans="1:11" x14ac:dyDescent="0.2">
      <c r="A2719" s="1" t="s">
        <v>3831</v>
      </c>
      <c r="B2719" s="2">
        <v>45331</v>
      </c>
      <c r="C2719" s="1" t="s">
        <v>756</v>
      </c>
      <c r="D2719" s="1" t="s">
        <v>757</v>
      </c>
      <c r="E2719" s="1" t="s">
        <v>34</v>
      </c>
      <c r="F2719" s="1" t="s">
        <v>324</v>
      </c>
      <c r="G2719" s="1" t="s">
        <v>325</v>
      </c>
      <c r="H2719" s="1" t="s">
        <v>24</v>
      </c>
      <c r="I2719">
        <v>81839</v>
      </c>
      <c r="J2719" s="3">
        <v>28.63</v>
      </c>
      <c r="K2719" s="3">
        <v>2343050.5699999998</v>
      </c>
    </row>
    <row r="2720" spans="1:11" x14ac:dyDescent="0.2">
      <c r="A2720" s="1" t="s">
        <v>3832</v>
      </c>
      <c r="B2720" s="2">
        <v>45548</v>
      </c>
      <c r="C2720" s="1" t="s">
        <v>1230</v>
      </c>
      <c r="D2720" s="1" t="s">
        <v>1231</v>
      </c>
      <c r="E2720" s="1" t="s">
        <v>21</v>
      </c>
      <c r="F2720" s="1" t="s">
        <v>412</v>
      </c>
      <c r="G2720" s="1" t="s">
        <v>413</v>
      </c>
      <c r="H2720" s="1" t="s">
        <v>72</v>
      </c>
      <c r="I2720">
        <v>96640</v>
      </c>
      <c r="J2720" s="3">
        <v>36.06</v>
      </c>
      <c r="K2720" s="3">
        <v>3484838.4</v>
      </c>
    </row>
    <row r="2721" spans="1:11" x14ac:dyDescent="0.2">
      <c r="A2721" s="1" t="s">
        <v>3833</v>
      </c>
      <c r="B2721" s="2">
        <v>45315</v>
      </c>
      <c r="C2721" s="1" t="s">
        <v>243</v>
      </c>
      <c r="D2721" s="1" t="s">
        <v>244</v>
      </c>
      <c r="E2721" s="1" t="s">
        <v>21</v>
      </c>
      <c r="F2721" s="1" t="s">
        <v>436</v>
      </c>
      <c r="G2721" s="1" t="s">
        <v>437</v>
      </c>
      <c r="H2721" s="1" t="s">
        <v>24</v>
      </c>
      <c r="I2721">
        <v>94703</v>
      </c>
      <c r="J2721" s="3">
        <v>32.840000000000003</v>
      </c>
      <c r="K2721" s="3">
        <v>3110046.52</v>
      </c>
    </row>
    <row r="2722" spans="1:11" x14ac:dyDescent="0.2">
      <c r="A2722" s="1" t="s">
        <v>3834</v>
      </c>
      <c r="B2722" s="2">
        <v>45459</v>
      </c>
      <c r="C2722" s="1" t="s">
        <v>1121</v>
      </c>
      <c r="D2722" s="1" t="s">
        <v>1122</v>
      </c>
      <c r="E2722" s="1" t="s">
        <v>28</v>
      </c>
      <c r="F2722" s="1" t="s">
        <v>217</v>
      </c>
      <c r="G2722" s="1" t="s">
        <v>218</v>
      </c>
      <c r="H2722" s="1" t="s">
        <v>72</v>
      </c>
      <c r="I2722">
        <v>92811</v>
      </c>
      <c r="J2722" s="3">
        <v>24.36</v>
      </c>
      <c r="K2722" s="3">
        <v>2260875.96</v>
      </c>
    </row>
    <row r="2723" spans="1:11" x14ac:dyDescent="0.2">
      <c r="A2723" s="1" t="s">
        <v>3835</v>
      </c>
      <c r="B2723" s="2">
        <v>45376</v>
      </c>
      <c r="C2723" s="1" t="s">
        <v>1102</v>
      </c>
      <c r="D2723" s="1" t="s">
        <v>1103</v>
      </c>
      <c r="E2723" s="1" t="s">
        <v>21</v>
      </c>
      <c r="F2723" s="1" t="s">
        <v>350</v>
      </c>
      <c r="G2723" s="1" t="s">
        <v>351</v>
      </c>
      <c r="H2723" s="1" t="s">
        <v>37</v>
      </c>
      <c r="I2723">
        <v>59629</v>
      </c>
      <c r="J2723" s="3">
        <v>32.68</v>
      </c>
      <c r="K2723" s="3">
        <v>1948675.72</v>
      </c>
    </row>
    <row r="2724" spans="1:11" x14ac:dyDescent="0.2">
      <c r="A2724" s="1" t="s">
        <v>3836</v>
      </c>
      <c r="B2724" s="2">
        <v>46007</v>
      </c>
      <c r="C2724" s="1" t="s">
        <v>266</v>
      </c>
      <c r="D2724" s="1" t="s">
        <v>267</v>
      </c>
      <c r="E2724" s="1" t="s">
        <v>14</v>
      </c>
      <c r="F2724" s="1" t="s">
        <v>98</v>
      </c>
      <c r="G2724" s="1" t="s">
        <v>99</v>
      </c>
      <c r="H2724" s="1" t="s">
        <v>72</v>
      </c>
      <c r="I2724">
        <v>70891</v>
      </c>
      <c r="J2724" s="3">
        <v>46.24</v>
      </c>
      <c r="K2724" s="3">
        <v>3277999.84</v>
      </c>
    </row>
    <row r="2725" spans="1:11" x14ac:dyDescent="0.2">
      <c r="A2725" s="1" t="s">
        <v>3837</v>
      </c>
      <c r="B2725" s="2">
        <v>45373</v>
      </c>
      <c r="C2725" s="1" t="s">
        <v>2807</v>
      </c>
      <c r="D2725" s="1" t="s">
        <v>2808</v>
      </c>
      <c r="E2725" s="1" t="s">
        <v>37</v>
      </c>
      <c r="F2725" s="1" t="s">
        <v>165</v>
      </c>
      <c r="G2725" s="1" t="s">
        <v>166</v>
      </c>
      <c r="H2725" s="1" t="s">
        <v>24</v>
      </c>
      <c r="I2725">
        <v>76924</v>
      </c>
      <c r="J2725" s="3">
        <v>47.07</v>
      </c>
      <c r="K2725" s="3">
        <v>3620812.68</v>
      </c>
    </row>
    <row r="2726" spans="1:11" x14ac:dyDescent="0.2">
      <c r="A2726" s="1" t="s">
        <v>3838</v>
      </c>
      <c r="B2726" s="2">
        <v>45721</v>
      </c>
      <c r="C2726" s="1" t="s">
        <v>2363</v>
      </c>
      <c r="D2726" s="1" t="s">
        <v>2364</v>
      </c>
      <c r="E2726" s="1" t="s">
        <v>14</v>
      </c>
      <c r="F2726" s="1" t="s">
        <v>144</v>
      </c>
      <c r="G2726" s="1" t="s">
        <v>145</v>
      </c>
      <c r="H2726" s="1" t="s">
        <v>24</v>
      </c>
      <c r="I2726">
        <v>29364</v>
      </c>
      <c r="J2726" s="3">
        <v>20.99</v>
      </c>
      <c r="K2726" s="3">
        <v>616350.36</v>
      </c>
    </row>
    <row r="2727" spans="1:11" x14ac:dyDescent="0.2">
      <c r="A2727" s="1" t="s">
        <v>3839</v>
      </c>
      <c r="B2727" s="2">
        <v>45879</v>
      </c>
      <c r="C2727" s="1" t="s">
        <v>1020</v>
      </c>
      <c r="D2727" s="1" t="s">
        <v>1021</v>
      </c>
      <c r="E2727" s="1" t="s">
        <v>14</v>
      </c>
      <c r="F2727" s="1" t="s">
        <v>35</v>
      </c>
      <c r="G2727" s="1" t="s">
        <v>36</v>
      </c>
      <c r="H2727" s="1" t="s">
        <v>37</v>
      </c>
      <c r="I2727">
        <v>35866</v>
      </c>
      <c r="J2727" s="3">
        <v>49.49</v>
      </c>
      <c r="K2727" s="3">
        <v>1775008.34</v>
      </c>
    </row>
    <row r="2728" spans="1:11" x14ac:dyDescent="0.2">
      <c r="A2728" s="1" t="s">
        <v>3840</v>
      </c>
      <c r="B2728" s="2">
        <v>45846</v>
      </c>
      <c r="C2728" s="1" t="s">
        <v>520</v>
      </c>
      <c r="D2728" s="1" t="s">
        <v>521</v>
      </c>
      <c r="E2728" s="1" t="s">
        <v>37</v>
      </c>
      <c r="F2728" s="1" t="s">
        <v>330</v>
      </c>
      <c r="G2728" s="1" t="s">
        <v>331</v>
      </c>
      <c r="H2728" s="1" t="s">
        <v>72</v>
      </c>
      <c r="I2728">
        <v>78822</v>
      </c>
      <c r="J2728" s="3">
        <v>27.28</v>
      </c>
      <c r="K2728" s="3">
        <v>2150264.16</v>
      </c>
    </row>
    <row r="2729" spans="1:11" x14ac:dyDescent="0.2">
      <c r="A2729" s="1" t="s">
        <v>3841</v>
      </c>
      <c r="B2729" s="2">
        <v>45782</v>
      </c>
      <c r="C2729" s="1" t="s">
        <v>555</v>
      </c>
      <c r="D2729" s="1" t="s">
        <v>556</v>
      </c>
      <c r="E2729" s="1" t="s">
        <v>21</v>
      </c>
      <c r="F2729" s="1" t="s">
        <v>203</v>
      </c>
      <c r="G2729" s="1" t="s">
        <v>204</v>
      </c>
      <c r="H2729" s="1" t="s">
        <v>72</v>
      </c>
      <c r="I2729">
        <v>25439</v>
      </c>
      <c r="J2729" s="3">
        <v>49.12</v>
      </c>
      <c r="K2729" s="3">
        <v>1249563.68</v>
      </c>
    </row>
    <row r="2730" spans="1:11" x14ac:dyDescent="0.2">
      <c r="A2730" s="1" t="s">
        <v>3842</v>
      </c>
      <c r="B2730" s="2">
        <v>45767</v>
      </c>
      <c r="C2730" s="1" t="s">
        <v>1757</v>
      </c>
      <c r="D2730" s="1" t="s">
        <v>1758</v>
      </c>
      <c r="E2730" s="1" t="s">
        <v>37</v>
      </c>
      <c r="F2730" s="1" t="s">
        <v>208</v>
      </c>
      <c r="G2730" s="1" t="s">
        <v>209</v>
      </c>
      <c r="H2730" s="1" t="s">
        <v>17</v>
      </c>
      <c r="I2730">
        <v>93642</v>
      </c>
      <c r="J2730" s="3">
        <v>45.11</v>
      </c>
      <c r="K2730" s="3">
        <v>4224190.62</v>
      </c>
    </row>
    <row r="2731" spans="1:11" x14ac:dyDescent="0.2">
      <c r="A2731" s="1" t="s">
        <v>3843</v>
      </c>
      <c r="B2731" s="2">
        <v>45331</v>
      </c>
      <c r="C2731" s="1" t="s">
        <v>550</v>
      </c>
      <c r="D2731" s="1" t="s">
        <v>551</v>
      </c>
      <c r="E2731" s="1" t="s">
        <v>34</v>
      </c>
      <c r="F2731" s="1" t="s">
        <v>510</v>
      </c>
      <c r="G2731" s="1" t="s">
        <v>511</v>
      </c>
      <c r="H2731" s="1" t="s">
        <v>17</v>
      </c>
      <c r="I2731">
        <v>34579</v>
      </c>
      <c r="J2731" s="3">
        <v>9.64</v>
      </c>
      <c r="K2731" s="3">
        <v>333341.56</v>
      </c>
    </row>
    <row r="2732" spans="1:11" x14ac:dyDescent="0.2">
      <c r="A2732" s="1" t="s">
        <v>3844</v>
      </c>
      <c r="B2732" s="2">
        <v>45808</v>
      </c>
      <c r="C2732" s="1" t="s">
        <v>1171</v>
      </c>
      <c r="D2732" s="1" t="s">
        <v>1172</v>
      </c>
      <c r="E2732" s="1" t="s">
        <v>34</v>
      </c>
      <c r="F2732" s="1" t="s">
        <v>22</v>
      </c>
      <c r="G2732" s="1" t="s">
        <v>23</v>
      </c>
      <c r="H2732" s="1" t="s">
        <v>24</v>
      </c>
      <c r="I2732">
        <v>97647</v>
      </c>
      <c r="J2732" s="3">
        <v>6.59</v>
      </c>
      <c r="K2732" s="3">
        <v>643493.73</v>
      </c>
    </row>
    <row r="2733" spans="1:11" x14ac:dyDescent="0.2">
      <c r="A2733" s="1" t="s">
        <v>3845</v>
      </c>
      <c r="B2733" s="2">
        <v>45424</v>
      </c>
      <c r="C2733" s="1" t="s">
        <v>648</v>
      </c>
      <c r="D2733" s="1" t="s">
        <v>649</v>
      </c>
      <c r="E2733" s="1" t="s">
        <v>28</v>
      </c>
      <c r="F2733" s="1" t="s">
        <v>203</v>
      </c>
      <c r="G2733" s="1" t="s">
        <v>204</v>
      </c>
      <c r="H2733" s="1" t="s">
        <v>72</v>
      </c>
      <c r="I2733">
        <v>95710</v>
      </c>
      <c r="J2733" s="3">
        <v>14.61</v>
      </c>
      <c r="K2733" s="3">
        <v>1398323.1</v>
      </c>
    </row>
    <row r="2734" spans="1:11" x14ac:dyDescent="0.2">
      <c r="A2734" s="1" t="s">
        <v>3846</v>
      </c>
      <c r="B2734" s="2">
        <v>45636</v>
      </c>
      <c r="C2734" s="1" t="s">
        <v>388</v>
      </c>
      <c r="D2734" s="1" t="s">
        <v>389</v>
      </c>
      <c r="E2734" s="1" t="s">
        <v>14</v>
      </c>
      <c r="F2734" s="1" t="s">
        <v>35</v>
      </c>
      <c r="G2734" s="1" t="s">
        <v>36</v>
      </c>
      <c r="H2734" s="1" t="s">
        <v>37</v>
      </c>
      <c r="I2734">
        <v>71509</v>
      </c>
      <c r="J2734" s="3">
        <v>17.510000000000002</v>
      </c>
      <c r="K2734" s="3">
        <v>1252122.5900000001</v>
      </c>
    </row>
    <row r="2735" spans="1:11" x14ac:dyDescent="0.2">
      <c r="A2735" s="1" t="s">
        <v>3847</v>
      </c>
      <c r="B2735" s="2">
        <v>45341</v>
      </c>
      <c r="C2735" s="1" t="s">
        <v>307</v>
      </c>
      <c r="D2735" s="1" t="s">
        <v>308</v>
      </c>
      <c r="E2735" s="1" t="s">
        <v>14</v>
      </c>
      <c r="F2735" s="1" t="s">
        <v>436</v>
      </c>
      <c r="G2735" s="1" t="s">
        <v>437</v>
      </c>
      <c r="H2735" s="1" t="s">
        <v>24</v>
      </c>
      <c r="I2735">
        <v>12712</v>
      </c>
      <c r="J2735" s="3">
        <v>11.62</v>
      </c>
      <c r="K2735" s="3">
        <v>147713.44</v>
      </c>
    </row>
    <row r="2736" spans="1:11" x14ac:dyDescent="0.2">
      <c r="A2736" s="1" t="s">
        <v>3848</v>
      </c>
      <c r="B2736" s="2">
        <v>45401</v>
      </c>
      <c r="C2736" s="1" t="s">
        <v>1737</v>
      </c>
      <c r="D2736" s="1" t="s">
        <v>1738</v>
      </c>
      <c r="E2736" s="1" t="s">
        <v>21</v>
      </c>
      <c r="F2736" s="1" t="s">
        <v>189</v>
      </c>
      <c r="G2736" s="1" t="s">
        <v>190</v>
      </c>
      <c r="H2736" s="1" t="s">
        <v>17</v>
      </c>
      <c r="I2736">
        <v>93722</v>
      </c>
      <c r="J2736" s="3">
        <v>15.81</v>
      </c>
      <c r="K2736" s="3">
        <v>1481744.82</v>
      </c>
    </row>
    <row r="2737" spans="1:11" x14ac:dyDescent="0.2">
      <c r="A2737" s="1" t="s">
        <v>3849</v>
      </c>
      <c r="B2737" s="2">
        <v>45834</v>
      </c>
      <c r="C2737" s="1" t="s">
        <v>276</v>
      </c>
      <c r="D2737" s="1" t="s">
        <v>277</v>
      </c>
      <c r="E2737" s="1" t="s">
        <v>34</v>
      </c>
      <c r="F2737" s="1" t="s">
        <v>139</v>
      </c>
      <c r="G2737" s="1" t="s">
        <v>140</v>
      </c>
      <c r="H2737" s="1" t="s">
        <v>24</v>
      </c>
      <c r="I2737">
        <v>40278</v>
      </c>
      <c r="J2737" s="3">
        <v>41.02</v>
      </c>
      <c r="K2737" s="3">
        <v>1652203.56</v>
      </c>
    </row>
    <row r="2738" spans="1:11" x14ac:dyDescent="0.2">
      <c r="A2738" s="1" t="s">
        <v>3850</v>
      </c>
      <c r="B2738" s="2">
        <v>45716</v>
      </c>
      <c r="C2738" s="1" t="s">
        <v>1149</v>
      </c>
      <c r="D2738" s="1" t="s">
        <v>1150</v>
      </c>
      <c r="E2738" s="1" t="s">
        <v>14</v>
      </c>
      <c r="F2738" s="1" t="s">
        <v>350</v>
      </c>
      <c r="G2738" s="1" t="s">
        <v>351</v>
      </c>
      <c r="H2738" s="1" t="s">
        <v>37</v>
      </c>
      <c r="I2738">
        <v>5615</v>
      </c>
      <c r="J2738" s="3">
        <v>39.26</v>
      </c>
      <c r="K2738" s="3">
        <v>220444.9</v>
      </c>
    </row>
    <row r="2739" spans="1:11" x14ac:dyDescent="0.2">
      <c r="A2739" s="1" t="s">
        <v>3851</v>
      </c>
      <c r="B2739" s="2">
        <v>45813</v>
      </c>
      <c r="C2739" s="1" t="s">
        <v>508</v>
      </c>
      <c r="D2739" s="1" t="s">
        <v>509</v>
      </c>
      <c r="E2739" s="1" t="s">
        <v>34</v>
      </c>
      <c r="F2739" s="1" t="s">
        <v>412</v>
      </c>
      <c r="G2739" s="1" t="s">
        <v>413</v>
      </c>
      <c r="H2739" s="1" t="s">
        <v>72</v>
      </c>
      <c r="I2739">
        <v>57909</v>
      </c>
      <c r="J2739" s="3">
        <v>6.43</v>
      </c>
      <c r="K2739" s="3">
        <v>372354.87</v>
      </c>
    </row>
    <row r="2740" spans="1:11" x14ac:dyDescent="0.2">
      <c r="A2740" s="1" t="s">
        <v>3852</v>
      </c>
      <c r="B2740" s="2">
        <v>45822</v>
      </c>
      <c r="C2740" s="1" t="s">
        <v>1211</v>
      </c>
      <c r="D2740" s="1" t="s">
        <v>1212</v>
      </c>
      <c r="E2740" s="1" t="s">
        <v>37</v>
      </c>
      <c r="F2740" s="1" t="s">
        <v>540</v>
      </c>
      <c r="G2740" s="1" t="s">
        <v>541</v>
      </c>
      <c r="H2740" s="1" t="s">
        <v>37</v>
      </c>
      <c r="I2740">
        <v>40450</v>
      </c>
      <c r="J2740" s="3">
        <v>35.46</v>
      </c>
      <c r="K2740" s="3">
        <v>1434357</v>
      </c>
    </row>
    <row r="2741" spans="1:11" x14ac:dyDescent="0.2">
      <c r="A2741" s="1" t="s">
        <v>3853</v>
      </c>
      <c r="B2741" s="2">
        <v>45502</v>
      </c>
      <c r="C2741" s="1" t="s">
        <v>1207</v>
      </c>
      <c r="D2741" s="1" t="s">
        <v>1208</v>
      </c>
      <c r="E2741" s="1" t="s">
        <v>37</v>
      </c>
      <c r="F2741" s="1" t="s">
        <v>103</v>
      </c>
      <c r="G2741" s="1" t="s">
        <v>104</v>
      </c>
      <c r="H2741" s="1" t="s">
        <v>37</v>
      </c>
      <c r="I2741">
        <v>57526</v>
      </c>
      <c r="J2741" s="3">
        <v>36.75</v>
      </c>
      <c r="K2741" s="3">
        <v>2114080.5</v>
      </c>
    </row>
    <row r="2742" spans="1:11" x14ac:dyDescent="0.2">
      <c r="A2742" s="1" t="s">
        <v>3854</v>
      </c>
      <c r="B2742" s="2">
        <v>45296</v>
      </c>
      <c r="C2742" s="1" t="s">
        <v>55</v>
      </c>
      <c r="D2742" s="1" t="s">
        <v>56</v>
      </c>
      <c r="E2742" s="1" t="s">
        <v>21</v>
      </c>
      <c r="F2742" s="1" t="s">
        <v>57</v>
      </c>
      <c r="G2742" s="1" t="s">
        <v>58</v>
      </c>
      <c r="H2742" s="1" t="s">
        <v>48</v>
      </c>
      <c r="I2742">
        <v>47602</v>
      </c>
      <c r="J2742" s="3">
        <v>36.520000000000003</v>
      </c>
      <c r="K2742" s="3">
        <v>1738425.04</v>
      </c>
    </row>
    <row r="2743" spans="1:11" x14ac:dyDescent="0.2">
      <c r="A2743" s="1" t="s">
        <v>3855</v>
      </c>
      <c r="B2743" s="2">
        <v>45975</v>
      </c>
      <c r="C2743" s="1" t="s">
        <v>192</v>
      </c>
      <c r="D2743" s="1" t="s">
        <v>193</v>
      </c>
      <c r="E2743" s="1" t="s">
        <v>37</v>
      </c>
      <c r="F2743" s="1" t="s">
        <v>184</v>
      </c>
      <c r="G2743" s="1" t="s">
        <v>185</v>
      </c>
      <c r="H2743" s="1" t="s">
        <v>17</v>
      </c>
      <c r="I2743">
        <v>65583</v>
      </c>
      <c r="J2743" s="3">
        <v>6.78</v>
      </c>
      <c r="K2743" s="3">
        <v>444652.74</v>
      </c>
    </row>
    <row r="2744" spans="1:11" x14ac:dyDescent="0.2">
      <c r="A2744" s="1" t="s">
        <v>3856</v>
      </c>
      <c r="B2744" s="2">
        <v>45442</v>
      </c>
      <c r="C2744" s="1" t="s">
        <v>1964</v>
      </c>
      <c r="D2744" s="1" t="s">
        <v>1965</v>
      </c>
      <c r="E2744" s="1" t="s">
        <v>21</v>
      </c>
      <c r="F2744" s="1" t="s">
        <v>52</v>
      </c>
      <c r="G2744" s="1" t="s">
        <v>53</v>
      </c>
      <c r="H2744" s="1" t="s">
        <v>17</v>
      </c>
      <c r="I2744">
        <v>51655</v>
      </c>
      <c r="J2744" s="3">
        <v>12.9</v>
      </c>
      <c r="K2744" s="3">
        <v>666349.5</v>
      </c>
    </row>
    <row r="2745" spans="1:11" x14ac:dyDescent="0.2">
      <c r="A2745" s="1" t="s">
        <v>3857</v>
      </c>
      <c r="B2745" s="2">
        <v>45615</v>
      </c>
      <c r="C2745" s="1" t="s">
        <v>1449</v>
      </c>
      <c r="D2745" s="1" t="s">
        <v>1450</v>
      </c>
      <c r="E2745" s="1" t="s">
        <v>28</v>
      </c>
      <c r="F2745" s="1" t="s">
        <v>350</v>
      </c>
      <c r="G2745" s="1" t="s">
        <v>351</v>
      </c>
      <c r="H2745" s="1" t="s">
        <v>37</v>
      </c>
      <c r="I2745">
        <v>16968</v>
      </c>
      <c r="J2745" s="3">
        <v>48.28</v>
      </c>
      <c r="K2745" s="3">
        <v>819215.04</v>
      </c>
    </row>
    <row r="2746" spans="1:11" x14ac:dyDescent="0.2">
      <c r="A2746" s="1" t="s">
        <v>3858</v>
      </c>
      <c r="B2746" s="2">
        <v>45356</v>
      </c>
      <c r="C2746" s="1" t="s">
        <v>469</v>
      </c>
      <c r="D2746" s="1" t="s">
        <v>470</v>
      </c>
      <c r="E2746" s="1" t="s">
        <v>21</v>
      </c>
      <c r="F2746" s="1" t="s">
        <v>176</v>
      </c>
      <c r="G2746" s="1" t="s">
        <v>177</v>
      </c>
      <c r="H2746" s="1" t="s">
        <v>37</v>
      </c>
      <c r="I2746">
        <v>93863</v>
      </c>
      <c r="J2746" s="3">
        <v>25.21</v>
      </c>
      <c r="K2746" s="3">
        <v>2366286.23</v>
      </c>
    </row>
    <row r="2747" spans="1:11" x14ac:dyDescent="0.2">
      <c r="A2747" s="1" t="s">
        <v>3859</v>
      </c>
      <c r="B2747" s="2">
        <v>45378</v>
      </c>
      <c r="C2747" s="1" t="s">
        <v>266</v>
      </c>
      <c r="D2747" s="1" t="s">
        <v>267</v>
      </c>
      <c r="E2747" s="1" t="s">
        <v>14</v>
      </c>
      <c r="F2747" s="1" t="s">
        <v>263</v>
      </c>
      <c r="G2747" s="1" t="s">
        <v>264</v>
      </c>
      <c r="H2747" s="1" t="s">
        <v>17</v>
      </c>
      <c r="I2747">
        <v>85541</v>
      </c>
      <c r="J2747" s="3">
        <v>16.04</v>
      </c>
      <c r="K2747" s="3">
        <v>1372077.64</v>
      </c>
    </row>
    <row r="2748" spans="1:11" x14ac:dyDescent="0.2">
      <c r="A2748" s="1" t="s">
        <v>3860</v>
      </c>
      <c r="B2748" s="2">
        <v>45332</v>
      </c>
      <c r="C2748" s="1" t="s">
        <v>106</v>
      </c>
      <c r="D2748" s="1" t="s">
        <v>107</v>
      </c>
      <c r="E2748" s="1" t="s">
        <v>14</v>
      </c>
      <c r="F2748" s="1" t="s">
        <v>41</v>
      </c>
      <c r="G2748" s="1" t="s">
        <v>42</v>
      </c>
      <c r="H2748" s="1" t="s">
        <v>24</v>
      </c>
      <c r="I2748">
        <v>44868</v>
      </c>
      <c r="J2748" s="3">
        <v>5.71</v>
      </c>
      <c r="K2748" s="3">
        <v>256196.28</v>
      </c>
    </row>
    <row r="2749" spans="1:11" x14ac:dyDescent="0.2">
      <c r="A2749" s="1" t="s">
        <v>3861</v>
      </c>
      <c r="B2749" s="2">
        <v>45544</v>
      </c>
      <c r="C2749" s="1" t="s">
        <v>1324</v>
      </c>
      <c r="D2749" s="1" t="s">
        <v>1325</v>
      </c>
      <c r="E2749" s="1" t="s">
        <v>34</v>
      </c>
      <c r="F2749" s="1" t="s">
        <v>41</v>
      </c>
      <c r="G2749" s="1" t="s">
        <v>42</v>
      </c>
      <c r="H2749" s="1" t="s">
        <v>24</v>
      </c>
      <c r="I2749">
        <v>75746</v>
      </c>
      <c r="J2749" s="3">
        <v>22.59</v>
      </c>
      <c r="K2749" s="3">
        <v>1711102.14</v>
      </c>
    </row>
    <row r="2750" spans="1:11" x14ac:dyDescent="0.2">
      <c r="A2750" s="1" t="s">
        <v>3862</v>
      </c>
      <c r="B2750" s="2">
        <v>45961</v>
      </c>
      <c r="C2750" s="1" t="s">
        <v>1740</v>
      </c>
      <c r="D2750" s="1" t="s">
        <v>1741</v>
      </c>
      <c r="E2750" s="1" t="s">
        <v>21</v>
      </c>
      <c r="F2750" s="1" t="s">
        <v>70</v>
      </c>
      <c r="G2750" s="1" t="s">
        <v>71</v>
      </c>
      <c r="H2750" s="1" t="s">
        <v>72</v>
      </c>
      <c r="I2750">
        <v>35421</v>
      </c>
      <c r="J2750" s="3">
        <v>21.53</v>
      </c>
      <c r="K2750" s="3">
        <v>762614.13</v>
      </c>
    </row>
    <row r="2751" spans="1:11" x14ac:dyDescent="0.2">
      <c r="A2751" s="1" t="s">
        <v>3863</v>
      </c>
      <c r="B2751" s="2">
        <v>45364</v>
      </c>
      <c r="C2751" s="1" t="s">
        <v>26</v>
      </c>
      <c r="D2751" s="1" t="s">
        <v>27</v>
      </c>
      <c r="E2751" s="1" t="s">
        <v>28</v>
      </c>
      <c r="F2751" s="1" t="s">
        <v>203</v>
      </c>
      <c r="G2751" s="1" t="s">
        <v>204</v>
      </c>
      <c r="H2751" s="1" t="s">
        <v>72</v>
      </c>
      <c r="I2751">
        <v>40026</v>
      </c>
      <c r="J2751" s="3">
        <v>20.12</v>
      </c>
      <c r="K2751" s="3">
        <v>805323.12</v>
      </c>
    </row>
    <row r="2752" spans="1:11" x14ac:dyDescent="0.2">
      <c r="A2752" s="1" t="s">
        <v>3864</v>
      </c>
      <c r="B2752" s="2">
        <v>45947</v>
      </c>
      <c r="C2752" s="1" t="s">
        <v>1261</v>
      </c>
      <c r="D2752" s="1" t="s">
        <v>1262</v>
      </c>
      <c r="E2752" s="1" t="s">
        <v>28</v>
      </c>
      <c r="F2752" s="1" t="s">
        <v>29</v>
      </c>
      <c r="G2752" s="1" t="s">
        <v>30</v>
      </c>
      <c r="H2752" s="1" t="s">
        <v>24</v>
      </c>
      <c r="I2752">
        <v>94216</v>
      </c>
      <c r="J2752" s="3">
        <v>22.7</v>
      </c>
      <c r="K2752" s="3">
        <v>2138703.2000000002</v>
      </c>
    </row>
    <row r="2753" spans="1:11" x14ac:dyDescent="0.2">
      <c r="A2753" s="1" t="s">
        <v>3865</v>
      </c>
      <c r="B2753" s="2">
        <v>45891</v>
      </c>
      <c r="C2753" s="1" t="s">
        <v>147</v>
      </c>
      <c r="D2753" s="1" t="s">
        <v>148</v>
      </c>
      <c r="E2753" s="1" t="s">
        <v>37</v>
      </c>
      <c r="F2753" s="1" t="s">
        <v>761</v>
      </c>
      <c r="G2753" s="1" t="s">
        <v>762</v>
      </c>
      <c r="H2753" s="1" t="s">
        <v>48</v>
      </c>
      <c r="I2753">
        <v>76981</v>
      </c>
      <c r="J2753" s="3">
        <v>4.13</v>
      </c>
      <c r="K2753" s="3">
        <v>317931.53000000003</v>
      </c>
    </row>
    <row r="2754" spans="1:11" x14ac:dyDescent="0.2">
      <c r="A2754" s="1" t="s">
        <v>3866</v>
      </c>
      <c r="B2754" s="2">
        <v>45527</v>
      </c>
      <c r="C2754" s="1" t="s">
        <v>1223</v>
      </c>
      <c r="D2754" s="1" t="s">
        <v>1224</v>
      </c>
      <c r="E2754" s="1" t="s">
        <v>37</v>
      </c>
      <c r="F2754" s="1" t="s">
        <v>268</v>
      </c>
      <c r="G2754" s="1" t="s">
        <v>269</v>
      </c>
      <c r="H2754" s="1" t="s">
        <v>72</v>
      </c>
      <c r="I2754">
        <v>95299</v>
      </c>
      <c r="J2754" s="3">
        <v>6.91</v>
      </c>
      <c r="K2754" s="3">
        <v>658516.09</v>
      </c>
    </row>
    <row r="2755" spans="1:11" x14ac:dyDescent="0.2">
      <c r="A2755" s="1" t="s">
        <v>3867</v>
      </c>
      <c r="B2755" s="2">
        <v>45342</v>
      </c>
      <c r="C2755" s="1" t="s">
        <v>2386</v>
      </c>
      <c r="D2755" s="1" t="s">
        <v>2387</v>
      </c>
      <c r="E2755" s="1" t="s">
        <v>28</v>
      </c>
      <c r="F2755" s="1" t="s">
        <v>184</v>
      </c>
      <c r="G2755" s="1" t="s">
        <v>185</v>
      </c>
      <c r="H2755" s="1" t="s">
        <v>17</v>
      </c>
      <c r="I2755">
        <v>2711</v>
      </c>
      <c r="J2755" s="3">
        <v>16.95</v>
      </c>
      <c r="K2755" s="3">
        <v>45951.45</v>
      </c>
    </row>
    <row r="2756" spans="1:11" x14ac:dyDescent="0.2">
      <c r="A2756" s="1" t="s">
        <v>3868</v>
      </c>
      <c r="B2756" s="2">
        <v>45911</v>
      </c>
      <c r="C2756" s="1" t="s">
        <v>1615</v>
      </c>
      <c r="D2756" s="1" t="s">
        <v>1616</v>
      </c>
      <c r="E2756" s="1" t="s">
        <v>37</v>
      </c>
      <c r="F2756" s="1" t="s">
        <v>217</v>
      </c>
      <c r="G2756" s="1" t="s">
        <v>218</v>
      </c>
      <c r="H2756" s="1" t="s">
        <v>72</v>
      </c>
      <c r="I2756">
        <v>14615</v>
      </c>
      <c r="J2756" s="3">
        <v>42.45</v>
      </c>
      <c r="K2756" s="3">
        <v>620406.75</v>
      </c>
    </row>
    <row r="2757" spans="1:11" x14ac:dyDescent="0.2">
      <c r="A2757" s="1" t="s">
        <v>3869</v>
      </c>
      <c r="B2757" s="2">
        <v>45698</v>
      </c>
      <c r="C2757" s="1" t="s">
        <v>300</v>
      </c>
      <c r="D2757" s="1" t="s">
        <v>301</v>
      </c>
      <c r="E2757" s="1" t="s">
        <v>14</v>
      </c>
      <c r="F2757" s="1" t="s">
        <v>268</v>
      </c>
      <c r="G2757" s="1" t="s">
        <v>269</v>
      </c>
      <c r="H2757" s="1" t="s">
        <v>72</v>
      </c>
      <c r="I2757">
        <v>64990</v>
      </c>
      <c r="J2757" s="3">
        <v>42.29</v>
      </c>
      <c r="K2757" s="3">
        <v>2748427.1</v>
      </c>
    </row>
    <row r="2758" spans="1:11" x14ac:dyDescent="0.2">
      <c r="A2758" s="1" t="s">
        <v>3870</v>
      </c>
      <c r="B2758" s="2">
        <v>45636</v>
      </c>
      <c r="C2758" s="1" t="s">
        <v>1149</v>
      </c>
      <c r="D2758" s="1" t="s">
        <v>1150</v>
      </c>
      <c r="E2758" s="1" t="s">
        <v>14</v>
      </c>
      <c r="F2758" s="1" t="s">
        <v>436</v>
      </c>
      <c r="G2758" s="1" t="s">
        <v>437</v>
      </c>
      <c r="H2758" s="1" t="s">
        <v>24</v>
      </c>
      <c r="I2758">
        <v>87306</v>
      </c>
      <c r="J2758" s="3">
        <v>2.69</v>
      </c>
      <c r="K2758" s="3">
        <v>234853.14</v>
      </c>
    </row>
    <row r="2759" spans="1:11" x14ac:dyDescent="0.2">
      <c r="A2759" s="1" t="s">
        <v>3871</v>
      </c>
      <c r="B2759" s="2">
        <v>45847</v>
      </c>
      <c r="C2759" s="1" t="s">
        <v>2766</v>
      </c>
      <c r="D2759" s="1" t="s">
        <v>2767</v>
      </c>
      <c r="E2759" s="1" t="s">
        <v>37</v>
      </c>
      <c r="F2759" s="1" t="s">
        <v>35</v>
      </c>
      <c r="G2759" s="1" t="s">
        <v>36</v>
      </c>
      <c r="H2759" s="1" t="s">
        <v>37</v>
      </c>
      <c r="I2759">
        <v>69103</v>
      </c>
      <c r="J2759" s="3">
        <v>28.47</v>
      </c>
      <c r="K2759" s="3">
        <v>1967362.41</v>
      </c>
    </row>
    <row r="2760" spans="1:11" x14ac:dyDescent="0.2">
      <c r="A2760" s="1" t="s">
        <v>3872</v>
      </c>
      <c r="B2760" s="2">
        <v>45665</v>
      </c>
      <c r="C2760" s="1" t="s">
        <v>702</v>
      </c>
      <c r="D2760" s="1" t="s">
        <v>703</v>
      </c>
      <c r="E2760" s="1" t="s">
        <v>34</v>
      </c>
      <c r="F2760" s="1" t="s">
        <v>29</v>
      </c>
      <c r="G2760" s="1" t="s">
        <v>30</v>
      </c>
      <c r="H2760" s="1" t="s">
        <v>24</v>
      </c>
      <c r="I2760">
        <v>49564</v>
      </c>
      <c r="J2760" s="3">
        <v>31.41</v>
      </c>
      <c r="K2760" s="3">
        <v>1556805.24</v>
      </c>
    </row>
    <row r="2761" spans="1:11" x14ac:dyDescent="0.2">
      <c r="A2761" s="1" t="s">
        <v>3873</v>
      </c>
      <c r="B2761" s="2">
        <v>45418</v>
      </c>
      <c r="C2761" s="1" t="s">
        <v>1841</v>
      </c>
      <c r="D2761" s="1" t="s">
        <v>1842</v>
      </c>
      <c r="E2761" s="1" t="s">
        <v>14</v>
      </c>
      <c r="F2761" s="1" t="s">
        <v>412</v>
      </c>
      <c r="G2761" s="1" t="s">
        <v>413</v>
      </c>
      <c r="H2761" s="1" t="s">
        <v>72</v>
      </c>
      <c r="I2761">
        <v>95808</v>
      </c>
      <c r="J2761" s="3">
        <v>14.49</v>
      </c>
      <c r="K2761" s="3">
        <v>1388257.92</v>
      </c>
    </row>
    <row r="2762" spans="1:11" x14ac:dyDescent="0.2">
      <c r="A2762" s="1" t="s">
        <v>3874</v>
      </c>
      <c r="B2762" s="2">
        <v>45364</v>
      </c>
      <c r="C2762" s="1" t="s">
        <v>801</v>
      </c>
      <c r="D2762" s="1" t="s">
        <v>802</v>
      </c>
      <c r="E2762" s="1" t="s">
        <v>14</v>
      </c>
      <c r="F2762" s="1" t="s">
        <v>217</v>
      </c>
      <c r="G2762" s="1" t="s">
        <v>218</v>
      </c>
      <c r="H2762" s="1" t="s">
        <v>72</v>
      </c>
      <c r="I2762">
        <v>47419</v>
      </c>
      <c r="J2762" s="3">
        <v>38.590000000000003</v>
      </c>
      <c r="K2762" s="3">
        <v>1829899.21</v>
      </c>
    </row>
    <row r="2763" spans="1:11" x14ac:dyDescent="0.2">
      <c r="A2763" s="1" t="s">
        <v>3875</v>
      </c>
      <c r="B2763" s="2">
        <v>45527</v>
      </c>
      <c r="C2763" s="1" t="s">
        <v>291</v>
      </c>
      <c r="D2763" s="1" t="s">
        <v>292</v>
      </c>
      <c r="E2763" s="1" t="s">
        <v>14</v>
      </c>
      <c r="F2763" s="1" t="s">
        <v>81</v>
      </c>
      <c r="G2763" s="1" t="s">
        <v>82</v>
      </c>
      <c r="H2763" s="1" t="s">
        <v>72</v>
      </c>
      <c r="I2763">
        <v>53975</v>
      </c>
      <c r="J2763" s="3">
        <v>32.25</v>
      </c>
      <c r="K2763" s="3">
        <v>1740693.75</v>
      </c>
    </row>
    <row r="2764" spans="1:11" x14ac:dyDescent="0.2">
      <c r="A2764" s="1" t="s">
        <v>3876</v>
      </c>
      <c r="B2764" s="2">
        <v>45566</v>
      </c>
      <c r="C2764" s="1" t="s">
        <v>1082</v>
      </c>
      <c r="D2764" s="1" t="s">
        <v>1083</v>
      </c>
      <c r="E2764" s="1" t="s">
        <v>28</v>
      </c>
      <c r="F2764" s="1" t="s">
        <v>208</v>
      </c>
      <c r="G2764" s="1" t="s">
        <v>209</v>
      </c>
      <c r="H2764" s="1" t="s">
        <v>17</v>
      </c>
      <c r="I2764">
        <v>59688</v>
      </c>
      <c r="J2764" s="3">
        <v>24.55</v>
      </c>
      <c r="K2764" s="3">
        <v>1465340.4</v>
      </c>
    </row>
    <row r="2765" spans="1:11" x14ac:dyDescent="0.2">
      <c r="A2765" s="1" t="s">
        <v>3877</v>
      </c>
      <c r="B2765" s="2">
        <v>45549</v>
      </c>
      <c r="C2765" s="1" t="s">
        <v>60</v>
      </c>
      <c r="D2765" s="1" t="s">
        <v>61</v>
      </c>
      <c r="E2765" s="1" t="s">
        <v>28</v>
      </c>
      <c r="F2765" s="1" t="s">
        <v>330</v>
      </c>
      <c r="G2765" s="1" t="s">
        <v>331</v>
      </c>
      <c r="H2765" s="1" t="s">
        <v>72</v>
      </c>
      <c r="I2765">
        <v>74979</v>
      </c>
      <c r="J2765" s="3">
        <v>49.31</v>
      </c>
      <c r="K2765" s="3">
        <v>3697214.49</v>
      </c>
    </row>
    <row r="2766" spans="1:11" x14ac:dyDescent="0.2">
      <c r="A2766" s="1" t="s">
        <v>3878</v>
      </c>
      <c r="B2766" s="2">
        <v>45863</v>
      </c>
      <c r="C2766" s="1" t="s">
        <v>2181</v>
      </c>
      <c r="D2766" s="1" t="s">
        <v>2182</v>
      </c>
      <c r="E2766" s="1" t="s">
        <v>14</v>
      </c>
      <c r="F2766" s="1" t="s">
        <v>552</v>
      </c>
      <c r="G2766" s="1" t="s">
        <v>553</v>
      </c>
      <c r="H2766" s="1" t="s">
        <v>37</v>
      </c>
      <c r="I2766">
        <v>46147</v>
      </c>
      <c r="J2766" s="3">
        <v>10.62</v>
      </c>
      <c r="K2766" s="3">
        <v>490081.14</v>
      </c>
    </row>
    <row r="2767" spans="1:11" x14ac:dyDescent="0.2">
      <c r="A2767" s="1" t="s">
        <v>3879</v>
      </c>
      <c r="B2767" s="2">
        <v>45389</v>
      </c>
      <c r="C2767" s="1" t="s">
        <v>1095</v>
      </c>
      <c r="D2767" s="1" t="s">
        <v>1096</v>
      </c>
      <c r="E2767" s="1" t="s">
        <v>14</v>
      </c>
      <c r="F2767" s="1" t="s">
        <v>436</v>
      </c>
      <c r="G2767" s="1" t="s">
        <v>437</v>
      </c>
      <c r="H2767" s="1" t="s">
        <v>24</v>
      </c>
      <c r="I2767">
        <v>32560</v>
      </c>
      <c r="J2767" s="3">
        <v>8.9700000000000006</v>
      </c>
      <c r="K2767" s="3">
        <v>292063.2</v>
      </c>
    </row>
    <row r="2768" spans="1:11" x14ac:dyDescent="0.2">
      <c r="A2768" s="1" t="s">
        <v>3880</v>
      </c>
      <c r="B2768" s="2">
        <v>45339</v>
      </c>
      <c r="C2768" s="1" t="s">
        <v>514</v>
      </c>
      <c r="D2768" s="1" t="s">
        <v>515</v>
      </c>
      <c r="E2768" s="1" t="s">
        <v>28</v>
      </c>
      <c r="F2768" s="1" t="s">
        <v>251</v>
      </c>
      <c r="G2768" s="1" t="s">
        <v>252</v>
      </c>
      <c r="H2768" s="1" t="s">
        <v>72</v>
      </c>
      <c r="I2768">
        <v>95036</v>
      </c>
      <c r="J2768" s="3">
        <v>37.83</v>
      </c>
      <c r="K2768" s="3">
        <v>3595211.88</v>
      </c>
    </row>
    <row r="2769" spans="1:11" x14ac:dyDescent="0.2">
      <c r="A2769" s="1" t="s">
        <v>3881</v>
      </c>
      <c r="B2769" s="2">
        <v>45943</v>
      </c>
      <c r="C2769" s="1" t="s">
        <v>1388</v>
      </c>
      <c r="D2769" s="1" t="s">
        <v>1389</v>
      </c>
      <c r="E2769" s="1" t="s">
        <v>28</v>
      </c>
      <c r="F2769" s="1" t="s">
        <v>108</v>
      </c>
      <c r="G2769" s="1" t="s">
        <v>109</v>
      </c>
      <c r="H2769" s="1" t="s">
        <v>37</v>
      </c>
      <c r="I2769">
        <v>77197</v>
      </c>
      <c r="J2769" s="3">
        <v>13.26</v>
      </c>
      <c r="K2769" s="3">
        <v>1023632.22</v>
      </c>
    </row>
    <row r="2770" spans="1:11" x14ac:dyDescent="0.2">
      <c r="A2770" s="1" t="s">
        <v>3882</v>
      </c>
      <c r="B2770" s="2">
        <v>45711</v>
      </c>
      <c r="C2770" s="1" t="s">
        <v>936</v>
      </c>
      <c r="D2770" s="1" t="s">
        <v>937</v>
      </c>
      <c r="E2770" s="1" t="s">
        <v>28</v>
      </c>
      <c r="F2770" s="1" t="s">
        <v>76</v>
      </c>
      <c r="G2770" s="1" t="s">
        <v>77</v>
      </c>
      <c r="H2770" s="1" t="s">
        <v>48</v>
      </c>
      <c r="I2770">
        <v>94500</v>
      </c>
      <c r="J2770" s="3">
        <v>13.33</v>
      </c>
      <c r="K2770" s="3">
        <v>1259685</v>
      </c>
    </row>
    <row r="2771" spans="1:11" x14ac:dyDescent="0.2">
      <c r="A2771" s="1" t="s">
        <v>3883</v>
      </c>
      <c r="B2771" s="2">
        <v>45447</v>
      </c>
      <c r="C2771" s="1" t="s">
        <v>2059</v>
      </c>
      <c r="D2771" s="1" t="s">
        <v>2060</v>
      </c>
      <c r="E2771" s="1" t="s">
        <v>21</v>
      </c>
      <c r="F2771" s="1" t="s">
        <v>350</v>
      </c>
      <c r="G2771" s="1" t="s">
        <v>351</v>
      </c>
      <c r="H2771" s="1" t="s">
        <v>37</v>
      </c>
      <c r="I2771">
        <v>67305</v>
      </c>
      <c r="J2771" s="3">
        <v>40.96</v>
      </c>
      <c r="K2771" s="3">
        <v>2756812.7999999998</v>
      </c>
    </row>
    <row r="2772" spans="1:11" x14ac:dyDescent="0.2">
      <c r="A2772" s="1" t="s">
        <v>3884</v>
      </c>
      <c r="B2772" s="2">
        <v>45757</v>
      </c>
      <c r="C2772" s="1" t="s">
        <v>235</v>
      </c>
      <c r="D2772" s="1" t="s">
        <v>236</v>
      </c>
      <c r="E2772" s="1" t="s">
        <v>14</v>
      </c>
      <c r="F2772" s="1" t="s">
        <v>152</v>
      </c>
      <c r="G2772" s="1" t="s">
        <v>153</v>
      </c>
      <c r="H2772" s="1" t="s">
        <v>17</v>
      </c>
      <c r="I2772">
        <v>40478</v>
      </c>
      <c r="J2772" s="3">
        <v>45.48</v>
      </c>
      <c r="K2772" s="3">
        <v>1840939.44</v>
      </c>
    </row>
    <row r="2773" spans="1:11" x14ac:dyDescent="0.2">
      <c r="A2773" s="1" t="s">
        <v>3885</v>
      </c>
      <c r="B2773" s="2">
        <v>45383</v>
      </c>
      <c r="C2773" s="1" t="s">
        <v>523</v>
      </c>
      <c r="D2773" s="1" t="s">
        <v>524</v>
      </c>
      <c r="E2773" s="1" t="s">
        <v>14</v>
      </c>
      <c r="F2773" s="1" t="s">
        <v>761</v>
      </c>
      <c r="G2773" s="1" t="s">
        <v>762</v>
      </c>
      <c r="H2773" s="1" t="s">
        <v>48</v>
      </c>
      <c r="I2773">
        <v>3080</v>
      </c>
      <c r="J2773" s="3">
        <v>44.2</v>
      </c>
      <c r="K2773" s="3">
        <v>136136</v>
      </c>
    </row>
    <row r="2774" spans="1:11" x14ac:dyDescent="0.2">
      <c r="A2774" s="1" t="s">
        <v>3886</v>
      </c>
      <c r="B2774" s="2">
        <v>45767</v>
      </c>
      <c r="C2774" s="1" t="s">
        <v>1622</v>
      </c>
      <c r="D2774" s="1" t="s">
        <v>1623</v>
      </c>
      <c r="E2774" s="1" t="s">
        <v>21</v>
      </c>
      <c r="F2774" s="1" t="s">
        <v>436</v>
      </c>
      <c r="G2774" s="1" t="s">
        <v>437</v>
      </c>
      <c r="H2774" s="1" t="s">
        <v>24</v>
      </c>
      <c r="I2774">
        <v>74704</v>
      </c>
      <c r="J2774" s="3">
        <v>34.72</v>
      </c>
      <c r="K2774" s="3">
        <v>2593722.88</v>
      </c>
    </row>
    <row r="2775" spans="1:11" x14ac:dyDescent="0.2">
      <c r="A2775" s="1" t="s">
        <v>3887</v>
      </c>
      <c r="B2775" s="2">
        <v>45560</v>
      </c>
      <c r="C2775" s="1" t="s">
        <v>226</v>
      </c>
      <c r="D2775" s="1" t="s">
        <v>227</v>
      </c>
      <c r="E2775" s="1" t="s">
        <v>34</v>
      </c>
      <c r="F2775" s="1" t="s">
        <v>463</v>
      </c>
      <c r="G2775" s="1" t="s">
        <v>464</v>
      </c>
      <c r="H2775" s="1" t="s">
        <v>37</v>
      </c>
      <c r="I2775">
        <v>77480</v>
      </c>
      <c r="J2775" s="3">
        <v>33.03</v>
      </c>
      <c r="K2775" s="3">
        <v>2559164.4</v>
      </c>
    </row>
    <row r="2776" spans="1:11" x14ac:dyDescent="0.2">
      <c r="A2776" s="1" t="s">
        <v>3888</v>
      </c>
      <c r="B2776" s="2">
        <v>45892</v>
      </c>
      <c r="C2776" s="1" t="s">
        <v>916</v>
      </c>
      <c r="D2776" s="1" t="s">
        <v>917</v>
      </c>
      <c r="E2776" s="1" t="s">
        <v>28</v>
      </c>
      <c r="F2776" s="1" t="s">
        <v>406</v>
      </c>
      <c r="G2776" s="1" t="s">
        <v>407</v>
      </c>
      <c r="H2776" s="1" t="s">
        <v>17</v>
      </c>
      <c r="I2776">
        <v>41164</v>
      </c>
      <c r="J2776" s="3">
        <v>34.409999999999997</v>
      </c>
      <c r="K2776" s="3">
        <v>1416453.24</v>
      </c>
    </row>
    <row r="2777" spans="1:11" x14ac:dyDescent="0.2">
      <c r="A2777" s="1" t="s">
        <v>3889</v>
      </c>
      <c r="B2777" s="2">
        <v>45360</v>
      </c>
      <c r="C2777" s="1" t="s">
        <v>2260</v>
      </c>
      <c r="D2777" s="1" t="s">
        <v>2261</v>
      </c>
      <c r="E2777" s="1" t="s">
        <v>14</v>
      </c>
      <c r="F2777" s="1" t="s">
        <v>251</v>
      </c>
      <c r="G2777" s="1" t="s">
        <v>252</v>
      </c>
      <c r="H2777" s="1" t="s">
        <v>72</v>
      </c>
      <c r="I2777">
        <v>92058</v>
      </c>
      <c r="J2777" s="3">
        <v>8.58</v>
      </c>
      <c r="K2777" s="3">
        <v>789857.64</v>
      </c>
    </row>
    <row r="2778" spans="1:11" x14ac:dyDescent="0.2">
      <c r="A2778" s="1" t="s">
        <v>3890</v>
      </c>
      <c r="B2778" s="2">
        <v>45344</v>
      </c>
      <c r="C2778" s="1" t="s">
        <v>743</v>
      </c>
      <c r="D2778" s="1" t="s">
        <v>744</v>
      </c>
      <c r="E2778" s="1" t="s">
        <v>14</v>
      </c>
      <c r="F2778" s="1" t="s">
        <v>251</v>
      </c>
      <c r="G2778" s="1" t="s">
        <v>252</v>
      </c>
      <c r="H2778" s="1" t="s">
        <v>72</v>
      </c>
      <c r="I2778">
        <v>72690</v>
      </c>
      <c r="J2778" s="3">
        <v>33.47</v>
      </c>
      <c r="K2778" s="3">
        <v>2432934.2999999998</v>
      </c>
    </row>
    <row r="2779" spans="1:11" x14ac:dyDescent="0.2">
      <c r="A2779" s="1" t="s">
        <v>3891</v>
      </c>
      <c r="B2779" s="2">
        <v>45978</v>
      </c>
      <c r="C2779" s="1" t="s">
        <v>1949</v>
      </c>
      <c r="D2779" s="1" t="s">
        <v>1950</v>
      </c>
      <c r="E2779" s="1" t="s">
        <v>14</v>
      </c>
      <c r="F2779" s="1" t="s">
        <v>339</v>
      </c>
      <c r="G2779" s="1" t="s">
        <v>340</v>
      </c>
      <c r="H2779" s="1" t="s">
        <v>24</v>
      </c>
      <c r="I2779">
        <v>60194</v>
      </c>
      <c r="J2779" s="3">
        <v>39.950000000000003</v>
      </c>
      <c r="K2779" s="3">
        <v>2404750.2999999998</v>
      </c>
    </row>
    <row r="2780" spans="1:11" x14ac:dyDescent="0.2">
      <c r="A2780" s="1" t="s">
        <v>3892</v>
      </c>
      <c r="B2780" s="2">
        <v>45824</v>
      </c>
      <c r="C2780" s="1" t="s">
        <v>1324</v>
      </c>
      <c r="D2780" s="1" t="s">
        <v>1325</v>
      </c>
      <c r="E2780" s="1" t="s">
        <v>34</v>
      </c>
      <c r="F2780" s="1" t="s">
        <v>237</v>
      </c>
      <c r="G2780" s="1" t="s">
        <v>238</v>
      </c>
      <c r="H2780" s="1" t="s">
        <v>17</v>
      </c>
      <c r="I2780">
        <v>46537</v>
      </c>
      <c r="J2780" s="3">
        <v>39.08</v>
      </c>
      <c r="K2780" s="3">
        <v>1818665.96</v>
      </c>
    </row>
    <row r="2781" spans="1:11" x14ac:dyDescent="0.2">
      <c r="A2781" s="1" t="s">
        <v>3893</v>
      </c>
      <c r="B2781" s="2">
        <v>45513</v>
      </c>
      <c r="C2781" s="1" t="s">
        <v>1292</v>
      </c>
      <c r="D2781" s="1" t="s">
        <v>1293</v>
      </c>
      <c r="E2781" s="1" t="s">
        <v>21</v>
      </c>
      <c r="F2781" s="1" t="s">
        <v>510</v>
      </c>
      <c r="G2781" s="1" t="s">
        <v>511</v>
      </c>
      <c r="H2781" s="1" t="s">
        <v>17</v>
      </c>
      <c r="I2781">
        <v>5785</v>
      </c>
      <c r="J2781" s="3">
        <v>24.54</v>
      </c>
      <c r="K2781" s="3">
        <v>141963.9</v>
      </c>
    </row>
    <row r="2782" spans="1:11" x14ac:dyDescent="0.2">
      <c r="A2782" s="1" t="s">
        <v>3894</v>
      </c>
      <c r="B2782" s="2">
        <v>45756</v>
      </c>
      <c r="C2782" s="1" t="s">
        <v>365</v>
      </c>
      <c r="D2782" s="1" t="s">
        <v>366</v>
      </c>
      <c r="E2782" s="1" t="s">
        <v>14</v>
      </c>
      <c r="F2782" s="1" t="s">
        <v>552</v>
      </c>
      <c r="G2782" s="1" t="s">
        <v>553</v>
      </c>
      <c r="H2782" s="1" t="s">
        <v>37</v>
      </c>
      <c r="I2782">
        <v>93233</v>
      </c>
      <c r="J2782" s="3">
        <v>41.58</v>
      </c>
      <c r="K2782" s="3">
        <v>3876628.14</v>
      </c>
    </row>
    <row r="2783" spans="1:11" x14ac:dyDescent="0.2">
      <c r="A2783" s="1" t="s">
        <v>3895</v>
      </c>
      <c r="B2783" s="2">
        <v>45717</v>
      </c>
      <c r="C2783" s="1" t="s">
        <v>523</v>
      </c>
      <c r="D2783" s="1" t="s">
        <v>524</v>
      </c>
      <c r="E2783" s="1" t="s">
        <v>14</v>
      </c>
      <c r="F2783" s="1" t="s">
        <v>184</v>
      </c>
      <c r="G2783" s="1" t="s">
        <v>185</v>
      </c>
      <c r="H2783" s="1" t="s">
        <v>17</v>
      </c>
      <c r="I2783">
        <v>26993</v>
      </c>
      <c r="J2783" s="3">
        <v>36.090000000000003</v>
      </c>
      <c r="K2783" s="3">
        <v>974177.37</v>
      </c>
    </row>
    <row r="2784" spans="1:11" x14ac:dyDescent="0.2">
      <c r="A2784" s="1" t="s">
        <v>3896</v>
      </c>
      <c r="B2784" s="2">
        <v>45885</v>
      </c>
      <c r="C2784" s="1" t="s">
        <v>532</v>
      </c>
      <c r="D2784" s="1" t="s">
        <v>533</v>
      </c>
      <c r="E2784" s="1" t="s">
        <v>28</v>
      </c>
      <c r="F2784" s="1" t="s">
        <v>463</v>
      </c>
      <c r="G2784" s="1" t="s">
        <v>464</v>
      </c>
      <c r="H2784" s="1" t="s">
        <v>37</v>
      </c>
      <c r="I2784">
        <v>24736</v>
      </c>
      <c r="J2784" s="3">
        <v>21.43</v>
      </c>
      <c r="K2784" s="3">
        <v>530092.48</v>
      </c>
    </row>
    <row r="2785" spans="1:11" x14ac:dyDescent="0.2">
      <c r="A2785" s="1" t="s">
        <v>3897</v>
      </c>
      <c r="B2785" s="2">
        <v>45494</v>
      </c>
      <c r="C2785" s="1" t="s">
        <v>2169</v>
      </c>
      <c r="D2785" s="1" t="s">
        <v>2170</v>
      </c>
      <c r="E2785" s="1" t="s">
        <v>28</v>
      </c>
      <c r="F2785" s="1" t="s">
        <v>29</v>
      </c>
      <c r="G2785" s="1" t="s">
        <v>30</v>
      </c>
      <c r="H2785" s="1" t="s">
        <v>24</v>
      </c>
      <c r="I2785">
        <v>61996</v>
      </c>
      <c r="J2785" s="3">
        <v>48.48</v>
      </c>
      <c r="K2785" s="3">
        <v>3005566.08</v>
      </c>
    </row>
    <row r="2786" spans="1:11" x14ac:dyDescent="0.2">
      <c r="A2786" s="1" t="s">
        <v>3898</v>
      </c>
      <c r="B2786" s="2">
        <v>45708</v>
      </c>
      <c r="C2786" s="1" t="s">
        <v>260</v>
      </c>
      <c r="D2786" s="1" t="s">
        <v>261</v>
      </c>
      <c r="E2786" s="1" t="s">
        <v>34</v>
      </c>
      <c r="F2786" s="1" t="s">
        <v>22</v>
      </c>
      <c r="G2786" s="1" t="s">
        <v>23</v>
      </c>
      <c r="H2786" s="1" t="s">
        <v>24</v>
      </c>
      <c r="I2786">
        <v>79675</v>
      </c>
      <c r="J2786" s="3">
        <v>47.19</v>
      </c>
      <c r="K2786" s="3">
        <v>3759863.25</v>
      </c>
    </row>
    <row r="2787" spans="1:11" x14ac:dyDescent="0.2">
      <c r="A2787" s="1" t="s">
        <v>3899</v>
      </c>
      <c r="B2787" s="2">
        <v>45513</v>
      </c>
      <c r="C2787" s="1" t="s">
        <v>1881</v>
      </c>
      <c r="D2787" s="1" t="s">
        <v>1882</v>
      </c>
      <c r="E2787" s="1" t="s">
        <v>34</v>
      </c>
      <c r="F2787" s="1" t="s">
        <v>15</v>
      </c>
      <c r="G2787" s="1" t="s">
        <v>16</v>
      </c>
      <c r="H2787" s="1" t="s">
        <v>17</v>
      </c>
      <c r="I2787">
        <v>67677</v>
      </c>
      <c r="J2787" s="3">
        <v>35.53</v>
      </c>
      <c r="K2787" s="3">
        <v>2404563.81</v>
      </c>
    </row>
    <row r="2788" spans="1:11" x14ac:dyDescent="0.2">
      <c r="A2788" s="1" t="s">
        <v>3900</v>
      </c>
      <c r="B2788" s="2">
        <v>45827</v>
      </c>
      <c r="C2788" s="1" t="s">
        <v>788</v>
      </c>
      <c r="D2788" s="1" t="s">
        <v>789</v>
      </c>
      <c r="E2788" s="1" t="s">
        <v>14</v>
      </c>
      <c r="F2788" s="1" t="s">
        <v>15</v>
      </c>
      <c r="G2788" s="1" t="s">
        <v>16</v>
      </c>
      <c r="H2788" s="1" t="s">
        <v>17</v>
      </c>
      <c r="I2788">
        <v>75033</v>
      </c>
      <c r="J2788" s="3">
        <v>47.26</v>
      </c>
      <c r="K2788" s="3">
        <v>3546059.58</v>
      </c>
    </row>
    <row r="2789" spans="1:11" x14ac:dyDescent="0.2">
      <c r="A2789" s="1" t="s">
        <v>3901</v>
      </c>
      <c r="B2789" s="2">
        <v>45542</v>
      </c>
      <c r="C2789" s="1" t="s">
        <v>336</v>
      </c>
      <c r="D2789" s="1" t="s">
        <v>337</v>
      </c>
      <c r="E2789" s="1" t="s">
        <v>21</v>
      </c>
      <c r="F2789" s="1" t="s">
        <v>195</v>
      </c>
      <c r="G2789" s="1" t="s">
        <v>196</v>
      </c>
      <c r="H2789" s="1" t="s">
        <v>48</v>
      </c>
      <c r="I2789">
        <v>77015</v>
      </c>
      <c r="J2789" s="3">
        <v>29.93</v>
      </c>
      <c r="K2789" s="3">
        <v>2305058.9500000002</v>
      </c>
    </row>
    <row r="2790" spans="1:11" x14ac:dyDescent="0.2">
      <c r="A2790" s="1" t="s">
        <v>3902</v>
      </c>
      <c r="B2790" s="2">
        <v>45607</v>
      </c>
      <c r="C2790" s="1" t="s">
        <v>1860</v>
      </c>
      <c r="D2790" s="1" t="s">
        <v>1861</v>
      </c>
      <c r="E2790" s="1" t="s">
        <v>21</v>
      </c>
      <c r="F2790" s="1" t="s">
        <v>552</v>
      </c>
      <c r="G2790" s="1" t="s">
        <v>553</v>
      </c>
      <c r="H2790" s="1" t="s">
        <v>37</v>
      </c>
      <c r="I2790">
        <v>23059</v>
      </c>
      <c r="J2790" s="3">
        <v>24.02</v>
      </c>
      <c r="K2790" s="3">
        <v>553877.18000000005</v>
      </c>
    </row>
    <row r="2791" spans="1:11" x14ac:dyDescent="0.2">
      <c r="A2791" s="1" t="s">
        <v>3903</v>
      </c>
      <c r="B2791" s="2">
        <v>45591</v>
      </c>
      <c r="C2791" s="1" t="s">
        <v>1683</v>
      </c>
      <c r="D2791" s="1" t="s">
        <v>1684</v>
      </c>
      <c r="E2791" s="1" t="s">
        <v>14</v>
      </c>
      <c r="F2791" s="1" t="s">
        <v>65</v>
      </c>
      <c r="G2791" s="1" t="s">
        <v>66</v>
      </c>
      <c r="H2791" s="1" t="s">
        <v>48</v>
      </c>
      <c r="I2791">
        <v>81635</v>
      </c>
      <c r="J2791" s="3">
        <v>46.71</v>
      </c>
      <c r="K2791" s="3">
        <v>3813170.85</v>
      </c>
    </row>
    <row r="2792" spans="1:11" x14ac:dyDescent="0.2">
      <c r="A2792" s="1" t="s">
        <v>3904</v>
      </c>
      <c r="B2792" s="2">
        <v>45470</v>
      </c>
      <c r="C2792" s="1" t="s">
        <v>590</v>
      </c>
      <c r="D2792" s="1" t="s">
        <v>591</v>
      </c>
      <c r="E2792" s="1" t="s">
        <v>37</v>
      </c>
      <c r="F2792" s="1" t="s">
        <v>761</v>
      </c>
      <c r="G2792" s="1" t="s">
        <v>762</v>
      </c>
      <c r="H2792" s="1" t="s">
        <v>48</v>
      </c>
      <c r="I2792">
        <v>34943</v>
      </c>
      <c r="J2792" s="3">
        <v>34.5</v>
      </c>
      <c r="K2792" s="3">
        <v>1205533.5</v>
      </c>
    </row>
    <row r="2793" spans="1:11" x14ac:dyDescent="0.2">
      <c r="A2793" s="1" t="s">
        <v>3905</v>
      </c>
      <c r="B2793" s="2">
        <v>45634</v>
      </c>
      <c r="C2793" s="1" t="s">
        <v>1740</v>
      </c>
      <c r="D2793" s="1" t="s">
        <v>1741</v>
      </c>
      <c r="E2793" s="1" t="s">
        <v>21</v>
      </c>
      <c r="F2793" s="1" t="s">
        <v>81</v>
      </c>
      <c r="G2793" s="1" t="s">
        <v>82</v>
      </c>
      <c r="H2793" s="1" t="s">
        <v>72</v>
      </c>
      <c r="I2793">
        <v>58799</v>
      </c>
      <c r="J2793" s="3">
        <v>38.299999999999997</v>
      </c>
      <c r="K2793" s="3">
        <v>2252001.7000000002</v>
      </c>
    </row>
    <row r="2794" spans="1:11" x14ac:dyDescent="0.2">
      <c r="A2794" s="1" t="s">
        <v>3906</v>
      </c>
      <c r="B2794" s="2">
        <v>45962</v>
      </c>
      <c r="C2794" s="1" t="s">
        <v>456</v>
      </c>
      <c r="D2794" s="1" t="s">
        <v>457</v>
      </c>
      <c r="E2794" s="1" t="s">
        <v>37</v>
      </c>
      <c r="F2794" s="1" t="s">
        <v>139</v>
      </c>
      <c r="G2794" s="1" t="s">
        <v>140</v>
      </c>
      <c r="H2794" s="1" t="s">
        <v>24</v>
      </c>
      <c r="I2794">
        <v>59776</v>
      </c>
      <c r="J2794" s="3">
        <v>33.28</v>
      </c>
      <c r="K2794" s="3">
        <v>1989345.28</v>
      </c>
    </row>
    <row r="2795" spans="1:11" x14ac:dyDescent="0.2">
      <c r="A2795" s="1" t="s">
        <v>3907</v>
      </c>
      <c r="B2795" s="2">
        <v>45979</v>
      </c>
      <c r="C2795" s="1" t="s">
        <v>1050</v>
      </c>
      <c r="D2795" s="1" t="s">
        <v>1051</v>
      </c>
      <c r="E2795" s="1" t="s">
        <v>14</v>
      </c>
      <c r="F2795" s="1" t="s">
        <v>152</v>
      </c>
      <c r="G2795" s="1" t="s">
        <v>153</v>
      </c>
      <c r="H2795" s="1" t="s">
        <v>17</v>
      </c>
      <c r="I2795">
        <v>29132</v>
      </c>
      <c r="J2795" s="3">
        <v>12.21</v>
      </c>
      <c r="K2795" s="3">
        <v>355701.72</v>
      </c>
    </row>
    <row r="2796" spans="1:11" x14ac:dyDescent="0.2">
      <c r="A2796" s="1" t="s">
        <v>3908</v>
      </c>
      <c r="B2796" s="2">
        <v>45935</v>
      </c>
      <c r="C2796" s="1" t="s">
        <v>826</v>
      </c>
      <c r="D2796" s="1" t="s">
        <v>827</v>
      </c>
      <c r="E2796" s="1" t="s">
        <v>37</v>
      </c>
      <c r="F2796" s="1" t="s">
        <v>350</v>
      </c>
      <c r="G2796" s="1" t="s">
        <v>351</v>
      </c>
      <c r="H2796" s="1" t="s">
        <v>37</v>
      </c>
      <c r="I2796">
        <v>27262</v>
      </c>
      <c r="J2796" s="3">
        <v>49.19</v>
      </c>
      <c r="K2796" s="3">
        <v>1341017.78</v>
      </c>
    </row>
    <row r="2797" spans="1:11" x14ac:dyDescent="0.2">
      <c r="A2797" s="1" t="s">
        <v>3909</v>
      </c>
      <c r="B2797" s="2">
        <v>45657</v>
      </c>
      <c r="C2797" s="1" t="s">
        <v>421</v>
      </c>
      <c r="D2797" s="1" t="s">
        <v>422</v>
      </c>
      <c r="E2797" s="1" t="s">
        <v>21</v>
      </c>
      <c r="F2797" s="1" t="s">
        <v>165</v>
      </c>
      <c r="G2797" s="1" t="s">
        <v>166</v>
      </c>
      <c r="H2797" s="1" t="s">
        <v>24</v>
      </c>
      <c r="I2797">
        <v>88079</v>
      </c>
      <c r="J2797" s="3">
        <v>5.2</v>
      </c>
      <c r="K2797" s="3">
        <v>458010.8</v>
      </c>
    </row>
    <row r="2798" spans="1:11" x14ac:dyDescent="0.2">
      <c r="A2798" s="1" t="s">
        <v>3910</v>
      </c>
      <c r="B2798" s="2">
        <v>45580</v>
      </c>
      <c r="C2798" s="1" t="s">
        <v>2541</v>
      </c>
      <c r="D2798" s="1" t="s">
        <v>2542</v>
      </c>
      <c r="E2798" s="1" t="s">
        <v>14</v>
      </c>
      <c r="F2798" s="1" t="s">
        <v>35</v>
      </c>
      <c r="G2798" s="1" t="s">
        <v>36</v>
      </c>
      <c r="H2798" s="1" t="s">
        <v>37</v>
      </c>
      <c r="I2798">
        <v>96359</v>
      </c>
      <c r="J2798" s="3">
        <v>24.51</v>
      </c>
      <c r="K2798" s="3">
        <v>2361759.09</v>
      </c>
    </row>
    <row r="2799" spans="1:11" x14ac:dyDescent="0.2">
      <c r="A2799" s="1" t="s">
        <v>3911</v>
      </c>
      <c r="B2799" s="2">
        <v>45881</v>
      </c>
      <c r="C2799" s="1" t="s">
        <v>783</v>
      </c>
      <c r="D2799" s="1" t="s">
        <v>784</v>
      </c>
      <c r="E2799" s="1" t="s">
        <v>14</v>
      </c>
      <c r="F2799" s="1" t="s">
        <v>412</v>
      </c>
      <c r="G2799" s="1" t="s">
        <v>413</v>
      </c>
      <c r="H2799" s="1" t="s">
        <v>72</v>
      </c>
      <c r="I2799">
        <v>71468</v>
      </c>
      <c r="J2799" s="3">
        <v>3.18</v>
      </c>
      <c r="K2799" s="3">
        <v>227268.24</v>
      </c>
    </row>
    <row r="2800" spans="1:11" x14ac:dyDescent="0.2">
      <c r="A2800" s="1" t="s">
        <v>3912</v>
      </c>
      <c r="B2800" s="2">
        <v>45945</v>
      </c>
      <c r="C2800" s="1" t="s">
        <v>3086</v>
      </c>
      <c r="D2800" s="1" t="s">
        <v>3087</v>
      </c>
      <c r="E2800" s="1" t="s">
        <v>28</v>
      </c>
      <c r="F2800" s="1" t="s">
        <v>474</v>
      </c>
      <c r="G2800" s="1" t="s">
        <v>475</v>
      </c>
      <c r="H2800" s="1" t="s">
        <v>48</v>
      </c>
      <c r="I2800">
        <v>56025</v>
      </c>
      <c r="J2800" s="3">
        <v>12.66</v>
      </c>
      <c r="K2800" s="3">
        <v>709276.5</v>
      </c>
    </row>
    <row r="2801" spans="1:11" x14ac:dyDescent="0.2">
      <c r="A2801" s="1" t="s">
        <v>3913</v>
      </c>
      <c r="B2801" s="2">
        <v>45633</v>
      </c>
      <c r="C2801" s="1" t="s">
        <v>788</v>
      </c>
      <c r="D2801" s="1" t="s">
        <v>789</v>
      </c>
      <c r="E2801" s="1" t="s">
        <v>14</v>
      </c>
      <c r="F2801" s="1" t="s">
        <v>22</v>
      </c>
      <c r="G2801" s="1" t="s">
        <v>23</v>
      </c>
      <c r="H2801" s="1" t="s">
        <v>24</v>
      </c>
      <c r="I2801">
        <v>59123</v>
      </c>
      <c r="J2801" s="3">
        <v>24.58</v>
      </c>
      <c r="K2801" s="3">
        <v>1453243.34</v>
      </c>
    </row>
    <row r="2802" spans="1:11" x14ac:dyDescent="0.2">
      <c r="A2802" s="1" t="s">
        <v>3914</v>
      </c>
      <c r="B2802" s="2">
        <v>45682</v>
      </c>
      <c r="C2802" s="1" t="s">
        <v>116</v>
      </c>
      <c r="D2802" s="1" t="s">
        <v>117</v>
      </c>
      <c r="E2802" s="1" t="s">
        <v>28</v>
      </c>
      <c r="F2802" s="1" t="s">
        <v>237</v>
      </c>
      <c r="G2802" s="1" t="s">
        <v>238</v>
      </c>
      <c r="H2802" s="1" t="s">
        <v>17</v>
      </c>
      <c r="I2802">
        <v>87472</v>
      </c>
      <c r="J2802" s="3">
        <v>5.57</v>
      </c>
      <c r="K2802" s="3">
        <v>487219.04</v>
      </c>
    </row>
    <row r="2803" spans="1:11" x14ac:dyDescent="0.2">
      <c r="A2803" s="1" t="s">
        <v>3915</v>
      </c>
      <c r="B2803" s="2">
        <v>45313</v>
      </c>
      <c r="C2803" s="1" t="s">
        <v>55</v>
      </c>
      <c r="D2803" s="1" t="s">
        <v>56</v>
      </c>
      <c r="E2803" s="1" t="s">
        <v>21</v>
      </c>
      <c r="F2803" s="1" t="s">
        <v>761</v>
      </c>
      <c r="G2803" s="1" t="s">
        <v>762</v>
      </c>
      <c r="H2803" s="1" t="s">
        <v>48</v>
      </c>
      <c r="I2803">
        <v>2159</v>
      </c>
      <c r="J2803" s="3">
        <v>11.93</v>
      </c>
      <c r="K2803" s="3">
        <v>25756.87</v>
      </c>
    </row>
    <row r="2804" spans="1:11" x14ac:dyDescent="0.2">
      <c r="A2804" s="1" t="s">
        <v>3916</v>
      </c>
      <c r="B2804" s="2">
        <v>45412</v>
      </c>
      <c r="C2804" s="1" t="s">
        <v>583</v>
      </c>
      <c r="D2804" s="1" t="s">
        <v>584</v>
      </c>
      <c r="E2804" s="1" t="s">
        <v>37</v>
      </c>
      <c r="F2804" s="1" t="s">
        <v>189</v>
      </c>
      <c r="G2804" s="1" t="s">
        <v>190</v>
      </c>
      <c r="H2804" s="1" t="s">
        <v>17</v>
      </c>
      <c r="I2804">
        <v>19271</v>
      </c>
      <c r="J2804" s="3">
        <v>12.36</v>
      </c>
      <c r="K2804" s="3">
        <v>238189.56</v>
      </c>
    </row>
    <row r="2805" spans="1:11" x14ac:dyDescent="0.2">
      <c r="A2805" s="1" t="s">
        <v>3917</v>
      </c>
      <c r="B2805" s="2">
        <v>45784</v>
      </c>
      <c r="C2805" s="1" t="s">
        <v>1028</v>
      </c>
      <c r="D2805" s="1" t="s">
        <v>1029</v>
      </c>
      <c r="E2805" s="1" t="s">
        <v>14</v>
      </c>
      <c r="F2805" s="1" t="s">
        <v>251</v>
      </c>
      <c r="G2805" s="1" t="s">
        <v>252</v>
      </c>
      <c r="H2805" s="1" t="s">
        <v>72</v>
      </c>
      <c r="I2805">
        <v>39504</v>
      </c>
      <c r="J2805" s="3">
        <v>27.51</v>
      </c>
      <c r="K2805" s="3">
        <v>1086755.04</v>
      </c>
    </row>
    <row r="2806" spans="1:11" x14ac:dyDescent="0.2">
      <c r="A2806" s="1" t="s">
        <v>3918</v>
      </c>
      <c r="B2806" s="2">
        <v>45858</v>
      </c>
      <c r="C2806" s="1" t="s">
        <v>1191</v>
      </c>
      <c r="D2806" s="1" t="s">
        <v>1192</v>
      </c>
      <c r="E2806" s="1" t="s">
        <v>21</v>
      </c>
      <c r="F2806" s="1" t="s">
        <v>474</v>
      </c>
      <c r="G2806" s="1" t="s">
        <v>475</v>
      </c>
      <c r="H2806" s="1" t="s">
        <v>48</v>
      </c>
      <c r="I2806">
        <v>94321</v>
      </c>
      <c r="J2806" s="3">
        <v>40.22</v>
      </c>
      <c r="K2806" s="3">
        <v>3793590.62</v>
      </c>
    </row>
    <row r="2807" spans="1:11" x14ac:dyDescent="0.2">
      <c r="A2807" s="1" t="s">
        <v>3919</v>
      </c>
      <c r="B2807" s="2">
        <v>45653</v>
      </c>
      <c r="C2807" s="1" t="s">
        <v>910</v>
      </c>
      <c r="D2807" s="1" t="s">
        <v>911</v>
      </c>
      <c r="E2807" s="1" t="s">
        <v>28</v>
      </c>
      <c r="F2807" s="1" t="s">
        <v>208</v>
      </c>
      <c r="G2807" s="1" t="s">
        <v>209</v>
      </c>
      <c r="H2807" s="1" t="s">
        <v>17</v>
      </c>
      <c r="I2807">
        <v>41508</v>
      </c>
      <c r="J2807" s="3">
        <v>24.07</v>
      </c>
      <c r="K2807" s="3">
        <v>999097.56</v>
      </c>
    </row>
    <row r="2808" spans="1:11" x14ac:dyDescent="0.2">
      <c r="A2808" s="1" t="s">
        <v>3920</v>
      </c>
      <c r="B2808" s="2">
        <v>45376</v>
      </c>
      <c r="C2808" s="1" t="s">
        <v>2654</v>
      </c>
      <c r="D2808" s="1" t="s">
        <v>2655</v>
      </c>
      <c r="E2808" s="1" t="s">
        <v>28</v>
      </c>
      <c r="F2808" s="1" t="s">
        <v>394</v>
      </c>
      <c r="G2808" s="1" t="s">
        <v>395</v>
      </c>
      <c r="H2808" s="1" t="s">
        <v>48</v>
      </c>
      <c r="I2808">
        <v>22306</v>
      </c>
      <c r="J2808" s="3">
        <v>32.19</v>
      </c>
      <c r="K2808" s="3">
        <v>718030.14</v>
      </c>
    </row>
    <row r="2809" spans="1:11" x14ac:dyDescent="0.2">
      <c r="A2809" s="1" t="s">
        <v>3921</v>
      </c>
      <c r="B2809" s="2">
        <v>46022</v>
      </c>
      <c r="C2809" s="1" t="s">
        <v>2478</v>
      </c>
      <c r="D2809" s="1" t="s">
        <v>2479</v>
      </c>
      <c r="E2809" s="1" t="s">
        <v>37</v>
      </c>
      <c r="F2809" s="1" t="s">
        <v>15</v>
      </c>
      <c r="G2809" s="1" t="s">
        <v>16</v>
      </c>
      <c r="H2809" s="1" t="s">
        <v>17</v>
      </c>
      <c r="I2809">
        <v>74060</v>
      </c>
      <c r="J2809" s="3">
        <v>20.260000000000002</v>
      </c>
      <c r="K2809" s="3">
        <v>1500455.6</v>
      </c>
    </row>
    <row r="2810" spans="1:11" x14ac:dyDescent="0.2">
      <c r="A2810" s="1" t="s">
        <v>3922</v>
      </c>
      <c r="B2810" s="2">
        <v>45726</v>
      </c>
      <c r="C2810" s="1" t="s">
        <v>1867</v>
      </c>
      <c r="D2810" s="1" t="s">
        <v>1868</v>
      </c>
      <c r="E2810" s="1" t="s">
        <v>28</v>
      </c>
      <c r="F2810" s="1" t="s">
        <v>463</v>
      </c>
      <c r="G2810" s="1" t="s">
        <v>464</v>
      </c>
      <c r="H2810" s="1" t="s">
        <v>37</v>
      </c>
      <c r="I2810">
        <v>78025</v>
      </c>
      <c r="J2810" s="3">
        <v>47.5</v>
      </c>
      <c r="K2810" s="3">
        <v>3706187.5</v>
      </c>
    </row>
    <row r="2811" spans="1:11" x14ac:dyDescent="0.2">
      <c r="A2811" s="1" t="s">
        <v>3923</v>
      </c>
      <c r="B2811" s="2">
        <v>45358</v>
      </c>
      <c r="C2811" s="1" t="s">
        <v>353</v>
      </c>
      <c r="D2811" s="1" t="s">
        <v>354</v>
      </c>
      <c r="E2811" s="1" t="s">
        <v>14</v>
      </c>
      <c r="F2811" s="1" t="s">
        <v>203</v>
      </c>
      <c r="G2811" s="1" t="s">
        <v>204</v>
      </c>
      <c r="H2811" s="1" t="s">
        <v>72</v>
      </c>
      <c r="I2811">
        <v>49960</v>
      </c>
      <c r="J2811" s="3">
        <v>10.65</v>
      </c>
      <c r="K2811" s="3">
        <v>532074</v>
      </c>
    </row>
    <row r="2812" spans="1:11" x14ac:dyDescent="0.2">
      <c r="A2812" s="1" t="s">
        <v>3924</v>
      </c>
      <c r="B2812" s="2">
        <v>45619</v>
      </c>
      <c r="C2812" s="1" t="s">
        <v>1364</v>
      </c>
      <c r="D2812" s="1" t="s">
        <v>1365</v>
      </c>
      <c r="E2812" s="1" t="s">
        <v>37</v>
      </c>
      <c r="F2812" s="1" t="s">
        <v>103</v>
      </c>
      <c r="G2812" s="1" t="s">
        <v>104</v>
      </c>
      <c r="H2812" s="1" t="s">
        <v>37</v>
      </c>
      <c r="I2812">
        <v>59889</v>
      </c>
      <c r="J2812" s="3">
        <v>42.26</v>
      </c>
      <c r="K2812" s="3">
        <v>2530909.14</v>
      </c>
    </row>
    <row r="2813" spans="1:11" x14ac:dyDescent="0.2">
      <c r="A2813" s="1" t="s">
        <v>3925</v>
      </c>
      <c r="B2813" s="2">
        <v>45462</v>
      </c>
      <c r="C2813" s="1" t="s">
        <v>1020</v>
      </c>
      <c r="D2813" s="1" t="s">
        <v>1021</v>
      </c>
      <c r="E2813" s="1" t="s">
        <v>14</v>
      </c>
      <c r="F2813" s="1" t="s">
        <v>217</v>
      </c>
      <c r="G2813" s="1" t="s">
        <v>218</v>
      </c>
      <c r="H2813" s="1" t="s">
        <v>72</v>
      </c>
      <c r="I2813">
        <v>84604</v>
      </c>
      <c r="J2813" s="3">
        <v>37.479999999999997</v>
      </c>
      <c r="K2813" s="3">
        <v>3170957.92</v>
      </c>
    </row>
    <row r="2814" spans="1:11" x14ac:dyDescent="0.2">
      <c r="A2814" s="1" t="s">
        <v>3926</v>
      </c>
      <c r="B2814" s="2">
        <v>45333</v>
      </c>
      <c r="C2814" s="1" t="s">
        <v>313</v>
      </c>
      <c r="D2814" s="1" t="s">
        <v>314</v>
      </c>
      <c r="E2814" s="1" t="s">
        <v>37</v>
      </c>
      <c r="F2814" s="1" t="s">
        <v>237</v>
      </c>
      <c r="G2814" s="1" t="s">
        <v>238</v>
      </c>
      <c r="H2814" s="1" t="s">
        <v>17</v>
      </c>
      <c r="I2814">
        <v>10236</v>
      </c>
      <c r="J2814" s="3">
        <v>45.36</v>
      </c>
      <c r="K2814" s="3">
        <v>464304.96</v>
      </c>
    </row>
    <row r="2815" spans="1:11" x14ac:dyDescent="0.2">
      <c r="A2815" s="1" t="s">
        <v>3927</v>
      </c>
      <c r="B2815" s="2">
        <v>45465</v>
      </c>
      <c r="C2815" s="1" t="s">
        <v>1728</v>
      </c>
      <c r="D2815" s="1" t="s">
        <v>1729</v>
      </c>
      <c r="E2815" s="1" t="s">
        <v>21</v>
      </c>
      <c r="F2815" s="1" t="s">
        <v>139</v>
      </c>
      <c r="G2815" s="1" t="s">
        <v>140</v>
      </c>
      <c r="H2815" s="1" t="s">
        <v>24</v>
      </c>
      <c r="I2815">
        <v>69522</v>
      </c>
      <c r="J2815" s="3">
        <v>44.16</v>
      </c>
      <c r="K2815" s="3">
        <v>3070091.52</v>
      </c>
    </row>
    <row r="2816" spans="1:11" x14ac:dyDescent="0.2">
      <c r="A2816" s="1" t="s">
        <v>3928</v>
      </c>
      <c r="B2816" s="2">
        <v>45685</v>
      </c>
      <c r="C2816" s="1" t="s">
        <v>128</v>
      </c>
      <c r="D2816" s="1" t="s">
        <v>129</v>
      </c>
      <c r="E2816" s="1" t="s">
        <v>28</v>
      </c>
      <c r="F2816" s="1" t="s">
        <v>284</v>
      </c>
      <c r="G2816" s="1" t="s">
        <v>285</v>
      </c>
      <c r="H2816" s="1" t="s">
        <v>37</v>
      </c>
      <c r="I2816">
        <v>23626</v>
      </c>
      <c r="J2816" s="3">
        <v>11.7</v>
      </c>
      <c r="K2816" s="3">
        <v>276424.2</v>
      </c>
    </row>
    <row r="2817" spans="1:11" x14ac:dyDescent="0.2">
      <c r="A2817" s="1" t="s">
        <v>3929</v>
      </c>
      <c r="B2817" s="2">
        <v>45612</v>
      </c>
      <c r="C2817" s="1" t="s">
        <v>1757</v>
      </c>
      <c r="D2817" s="1" t="s">
        <v>1758</v>
      </c>
      <c r="E2817" s="1" t="s">
        <v>37</v>
      </c>
      <c r="F2817" s="1" t="s">
        <v>263</v>
      </c>
      <c r="G2817" s="1" t="s">
        <v>264</v>
      </c>
      <c r="H2817" s="1" t="s">
        <v>17</v>
      </c>
      <c r="I2817">
        <v>96090</v>
      </c>
      <c r="J2817" s="3">
        <v>14.49</v>
      </c>
      <c r="K2817" s="3">
        <v>1392344.1</v>
      </c>
    </row>
    <row r="2818" spans="1:11" x14ac:dyDescent="0.2">
      <c r="A2818" s="1" t="s">
        <v>3930</v>
      </c>
      <c r="B2818" s="2">
        <v>46011</v>
      </c>
      <c r="C2818" s="1" t="s">
        <v>3301</v>
      </c>
      <c r="D2818" s="1" t="s">
        <v>3302</v>
      </c>
      <c r="E2818" s="1" t="s">
        <v>28</v>
      </c>
      <c r="F2818" s="1" t="s">
        <v>22</v>
      </c>
      <c r="G2818" s="1" t="s">
        <v>23</v>
      </c>
      <c r="H2818" s="1" t="s">
        <v>24</v>
      </c>
      <c r="I2818">
        <v>37907</v>
      </c>
      <c r="J2818" s="3">
        <v>18.579999999999998</v>
      </c>
      <c r="K2818" s="3">
        <v>704312.06</v>
      </c>
    </row>
    <row r="2819" spans="1:11" x14ac:dyDescent="0.2">
      <c r="A2819" s="1" t="s">
        <v>3931</v>
      </c>
      <c r="B2819" s="2">
        <v>45292</v>
      </c>
      <c r="C2819" s="1" t="s">
        <v>160</v>
      </c>
      <c r="D2819" s="1" t="s">
        <v>161</v>
      </c>
      <c r="E2819" s="1" t="s">
        <v>21</v>
      </c>
      <c r="F2819" s="1" t="s">
        <v>103</v>
      </c>
      <c r="G2819" s="1" t="s">
        <v>104</v>
      </c>
      <c r="H2819" s="1" t="s">
        <v>37</v>
      </c>
      <c r="I2819">
        <v>96882</v>
      </c>
      <c r="J2819" s="3">
        <v>8.17</v>
      </c>
      <c r="K2819" s="3">
        <v>791525.94</v>
      </c>
    </row>
    <row r="2820" spans="1:11" x14ac:dyDescent="0.2">
      <c r="A2820" s="1" t="s">
        <v>3932</v>
      </c>
      <c r="B2820" s="2">
        <v>45377</v>
      </c>
      <c r="C2820" s="1" t="s">
        <v>1800</v>
      </c>
      <c r="D2820" s="1" t="s">
        <v>1801</v>
      </c>
      <c r="E2820" s="1" t="s">
        <v>34</v>
      </c>
      <c r="F2820" s="1" t="s">
        <v>217</v>
      </c>
      <c r="G2820" s="1" t="s">
        <v>218</v>
      </c>
      <c r="H2820" s="1" t="s">
        <v>72</v>
      </c>
      <c r="I2820">
        <v>55176</v>
      </c>
      <c r="J2820" s="3">
        <v>27.94</v>
      </c>
      <c r="K2820" s="3">
        <v>1541617.44</v>
      </c>
    </row>
    <row r="2821" spans="1:11" x14ac:dyDescent="0.2">
      <c r="A2821" s="1" t="s">
        <v>3933</v>
      </c>
      <c r="B2821" s="2">
        <v>45761</v>
      </c>
      <c r="C2821" s="1" t="s">
        <v>374</v>
      </c>
      <c r="D2821" s="1" t="s">
        <v>375</v>
      </c>
      <c r="E2821" s="1" t="s">
        <v>14</v>
      </c>
      <c r="F2821" s="1" t="s">
        <v>339</v>
      </c>
      <c r="G2821" s="1" t="s">
        <v>340</v>
      </c>
      <c r="H2821" s="1" t="s">
        <v>24</v>
      </c>
      <c r="I2821">
        <v>73433</v>
      </c>
      <c r="J2821" s="3">
        <v>46</v>
      </c>
      <c r="K2821" s="3">
        <v>3377918</v>
      </c>
    </row>
    <row r="2822" spans="1:11" x14ac:dyDescent="0.2">
      <c r="A2822" s="1" t="s">
        <v>3934</v>
      </c>
      <c r="B2822" s="2">
        <v>45590</v>
      </c>
      <c r="C2822" s="1" t="s">
        <v>291</v>
      </c>
      <c r="D2822" s="1" t="s">
        <v>292</v>
      </c>
      <c r="E2822" s="1" t="s">
        <v>14</v>
      </c>
      <c r="F2822" s="1" t="s">
        <v>46</v>
      </c>
      <c r="G2822" s="1" t="s">
        <v>47</v>
      </c>
      <c r="H2822" s="1" t="s">
        <v>48</v>
      </c>
      <c r="I2822">
        <v>82823</v>
      </c>
      <c r="J2822" s="3">
        <v>4.04</v>
      </c>
      <c r="K2822" s="3">
        <v>334604.92</v>
      </c>
    </row>
    <row r="2823" spans="1:11" x14ac:dyDescent="0.2">
      <c r="A2823" s="1" t="s">
        <v>3935</v>
      </c>
      <c r="B2823" s="2">
        <v>45514</v>
      </c>
      <c r="C2823" s="1" t="s">
        <v>32</v>
      </c>
      <c r="D2823" s="1" t="s">
        <v>33</v>
      </c>
      <c r="E2823" s="1" t="s">
        <v>34</v>
      </c>
      <c r="F2823" s="1" t="s">
        <v>81</v>
      </c>
      <c r="G2823" s="1" t="s">
        <v>82</v>
      </c>
      <c r="H2823" s="1" t="s">
        <v>72</v>
      </c>
      <c r="I2823">
        <v>72240</v>
      </c>
      <c r="J2823" s="3">
        <v>32.96</v>
      </c>
      <c r="K2823" s="3">
        <v>2381030.3999999999</v>
      </c>
    </row>
    <row r="2824" spans="1:11" x14ac:dyDescent="0.2">
      <c r="A2824" s="1" t="s">
        <v>3936</v>
      </c>
      <c r="B2824" s="2">
        <v>45973</v>
      </c>
      <c r="C2824" s="1" t="s">
        <v>1626</v>
      </c>
      <c r="D2824" s="1" t="s">
        <v>1627</v>
      </c>
      <c r="E2824" s="1" t="s">
        <v>34</v>
      </c>
      <c r="F2824" s="1" t="s">
        <v>284</v>
      </c>
      <c r="G2824" s="1" t="s">
        <v>285</v>
      </c>
      <c r="H2824" s="1" t="s">
        <v>37</v>
      </c>
      <c r="I2824">
        <v>89311</v>
      </c>
      <c r="J2824" s="3">
        <v>28.03</v>
      </c>
      <c r="K2824" s="3">
        <v>2503387.33</v>
      </c>
    </row>
    <row r="2825" spans="1:11" x14ac:dyDescent="0.2">
      <c r="A2825" s="1" t="s">
        <v>3937</v>
      </c>
      <c r="B2825" s="2">
        <v>45527</v>
      </c>
      <c r="C2825" s="1" t="s">
        <v>664</v>
      </c>
      <c r="D2825" s="1" t="s">
        <v>665</v>
      </c>
      <c r="E2825" s="1" t="s">
        <v>21</v>
      </c>
      <c r="F2825" s="1" t="s">
        <v>552</v>
      </c>
      <c r="G2825" s="1" t="s">
        <v>553</v>
      </c>
      <c r="H2825" s="1" t="s">
        <v>37</v>
      </c>
      <c r="I2825">
        <v>8632</v>
      </c>
      <c r="J2825" s="3">
        <v>39.729999999999997</v>
      </c>
      <c r="K2825" s="3">
        <v>342949.36</v>
      </c>
    </row>
    <row r="2826" spans="1:11" x14ac:dyDescent="0.2">
      <c r="A2826" s="1" t="s">
        <v>3938</v>
      </c>
      <c r="B2826" s="2">
        <v>45809</v>
      </c>
      <c r="C2826" s="1" t="s">
        <v>1050</v>
      </c>
      <c r="D2826" s="1" t="s">
        <v>1051</v>
      </c>
      <c r="E2826" s="1" t="s">
        <v>14</v>
      </c>
      <c r="F2826" s="1" t="s">
        <v>57</v>
      </c>
      <c r="G2826" s="1" t="s">
        <v>58</v>
      </c>
      <c r="H2826" s="1" t="s">
        <v>48</v>
      </c>
      <c r="I2826">
        <v>41196</v>
      </c>
      <c r="J2826" s="3">
        <v>34.79</v>
      </c>
      <c r="K2826" s="3">
        <v>1433208.84</v>
      </c>
    </row>
    <row r="2827" spans="1:11" x14ac:dyDescent="0.2">
      <c r="A2827" s="1" t="s">
        <v>3939</v>
      </c>
      <c r="B2827" s="2">
        <v>45981</v>
      </c>
      <c r="C2827" s="1" t="s">
        <v>984</v>
      </c>
      <c r="D2827" s="1" t="s">
        <v>985</v>
      </c>
      <c r="E2827" s="1" t="s">
        <v>14</v>
      </c>
      <c r="F2827" s="1" t="s">
        <v>339</v>
      </c>
      <c r="G2827" s="1" t="s">
        <v>340</v>
      </c>
      <c r="H2827" s="1" t="s">
        <v>24</v>
      </c>
      <c r="I2827">
        <v>47006</v>
      </c>
      <c r="J2827" s="3">
        <v>13.17</v>
      </c>
      <c r="K2827" s="3">
        <v>619069.02</v>
      </c>
    </row>
    <row r="2828" spans="1:11" x14ac:dyDescent="0.2">
      <c r="A2828" s="1" t="s">
        <v>3940</v>
      </c>
      <c r="B2828" s="2">
        <v>45775</v>
      </c>
      <c r="C2828" s="1" t="s">
        <v>1575</v>
      </c>
      <c r="D2828" s="1" t="s">
        <v>1576</v>
      </c>
      <c r="E2828" s="1" t="s">
        <v>14</v>
      </c>
      <c r="F2828" s="1" t="s">
        <v>463</v>
      </c>
      <c r="G2828" s="1" t="s">
        <v>464</v>
      </c>
      <c r="H2828" s="1" t="s">
        <v>37</v>
      </c>
      <c r="I2828">
        <v>25721</v>
      </c>
      <c r="J2828" s="3">
        <v>44.36</v>
      </c>
      <c r="K2828" s="3">
        <v>1140983.56</v>
      </c>
    </row>
    <row r="2829" spans="1:11" x14ac:dyDescent="0.2">
      <c r="A2829" s="1" t="s">
        <v>3941</v>
      </c>
      <c r="B2829" s="2">
        <v>45640</v>
      </c>
      <c r="C2829" s="1" t="s">
        <v>1417</v>
      </c>
      <c r="D2829" s="1" t="s">
        <v>1418</v>
      </c>
      <c r="E2829" s="1" t="s">
        <v>34</v>
      </c>
      <c r="F2829" s="1" t="s">
        <v>394</v>
      </c>
      <c r="G2829" s="1" t="s">
        <v>395</v>
      </c>
      <c r="H2829" s="1" t="s">
        <v>48</v>
      </c>
      <c r="I2829">
        <v>30789</v>
      </c>
      <c r="J2829" s="3">
        <v>15.4</v>
      </c>
      <c r="K2829" s="3">
        <v>474150.6</v>
      </c>
    </row>
    <row r="2830" spans="1:11" x14ac:dyDescent="0.2">
      <c r="A2830" s="1" t="s">
        <v>3942</v>
      </c>
      <c r="B2830" s="2">
        <v>45335</v>
      </c>
      <c r="C2830" s="1" t="s">
        <v>1211</v>
      </c>
      <c r="D2830" s="1" t="s">
        <v>1212</v>
      </c>
      <c r="E2830" s="1" t="s">
        <v>37</v>
      </c>
      <c r="F2830" s="1" t="s">
        <v>251</v>
      </c>
      <c r="G2830" s="1" t="s">
        <v>252</v>
      </c>
      <c r="H2830" s="1" t="s">
        <v>72</v>
      </c>
      <c r="I2830">
        <v>57290</v>
      </c>
      <c r="J2830" s="3">
        <v>8.16</v>
      </c>
      <c r="K2830" s="3">
        <v>467486.4</v>
      </c>
    </row>
    <row r="2831" spans="1:11" x14ac:dyDescent="0.2">
      <c r="A2831" s="1" t="s">
        <v>3943</v>
      </c>
      <c r="B2831" s="2">
        <v>45333</v>
      </c>
      <c r="C2831" s="1" t="s">
        <v>391</v>
      </c>
      <c r="D2831" s="1" t="s">
        <v>392</v>
      </c>
      <c r="E2831" s="1" t="s">
        <v>37</v>
      </c>
      <c r="F2831" s="1" t="s">
        <v>436</v>
      </c>
      <c r="G2831" s="1" t="s">
        <v>437</v>
      </c>
      <c r="H2831" s="1" t="s">
        <v>24</v>
      </c>
      <c r="I2831">
        <v>92175</v>
      </c>
      <c r="J2831" s="3">
        <v>7.37</v>
      </c>
      <c r="K2831" s="3">
        <v>679329.75</v>
      </c>
    </row>
    <row r="2832" spans="1:11" x14ac:dyDescent="0.2">
      <c r="A2832" s="1" t="s">
        <v>3944</v>
      </c>
      <c r="B2832" s="2">
        <v>45699</v>
      </c>
      <c r="C2832" s="1" t="s">
        <v>770</v>
      </c>
      <c r="D2832" s="1" t="s">
        <v>771</v>
      </c>
      <c r="E2832" s="1" t="s">
        <v>34</v>
      </c>
      <c r="F2832" s="1" t="s">
        <v>208</v>
      </c>
      <c r="G2832" s="1" t="s">
        <v>209</v>
      </c>
      <c r="H2832" s="1" t="s">
        <v>17</v>
      </c>
      <c r="I2832">
        <v>78214</v>
      </c>
      <c r="J2832" s="3">
        <v>24.51</v>
      </c>
      <c r="K2832" s="3">
        <v>1917025.14</v>
      </c>
    </row>
    <row r="2833" spans="1:11" x14ac:dyDescent="0.2">
      <c r="A2833" s="1" t="s">
        <v>3945</v>
      </c>
      <c r="B2833" s="2">
        <v>45637</v>
      </c>
      <c r="C2833" s="1" t="s">
        <v>2233</v>
      </c>
      <c r="D2833" s="1" t="s">
        <v>2234</v>
      </c>
      <c r="E2833" s="1" t="s">
        <v>37</v>
      </c>
      <c r="F2833" s="1" t="s">
        <v>394</v>
      </c>
      <c r="G2833" s="1" t="s">
        <v>395</v>
      </c>
      <c r="H2833" s="1" t="s">
        <v>48</v>
      </c>
      <c r="I2833">
        <v>9693</v>
      </c>
      <c r="J2833" s="3">
        <v>39.090000000000003</v>
      </c>
      <c r="K2833" s="3">
        <v>378899.37</v>
      </c>
    </row>
    <row r="2834" spans="1:11" x14ac:dyDescent="0.2">
      <c r="A2834" s="1" t="s">
        <v>3946</v>
      </c>
      <c r="B2834" s="2">
        <v>45910</v>
      </c>
      <c r="C2834" s="1" t="s">
        <v>1125</v>
      </c>
      <c r="D2834" s="1" t="s">
        <v>1126</v>
      </c>
      <c r="E2834" s="1" t="s">
        <v>21</v>
      </c>
      <c r="F2834" s="1" t="s">
        <v>35</v>
      </c>
      <c r="G2834" s="1" t="s">
        <v>36</v>
      </c>
      <c r="H2834" s="1" t="s">
        <v>37</v>
      </c>
      <c r="I2834">
        <v>79538</v>
      </c>
      <c r="J2834" s="3">
        <v>7.47</v>
      </c>
      <c r="K2834" s="3">
        <v>594148.86</v>
      </c>
    </row>
    <row r="2835" spans="1:11" x14ac:dyDescent="0.2">
      <c r="A2835" s="1" t="s">
        <v>3947</v>
      </c>
      <c r="B2835" s="2">
        <v>45735</v>
      </c>
      <c r="C2835" s="1" t="s">
        <v>1207</v>
      </c>
      <c r="D2835" s="1" t="s">
        <v>1208</v>
      </c>
      <c r="E2835" s="1" t="s">
        <v>37</v>
      </c>
      <c r="F2835" s="1" t="s">
        <v>330</v>
      </c>
      <c r="G2835" s="1" t="s">
        <v>331</v>
      </c>
      <c r="H2835" s="1" t="s">
        <v>72</v>
      </c>
      <c r="I2835">
        <v>45774</v>
      </c>
      <c r="J2835" s="3">
        <v>31.48</v>
      </c>
      <c r="K2835" s="3">
        <v>1440965.52</v>
      </c>
    </row>
    <row r="2836" spans="1:11" x14ac:dyDescent="0.2">
      <c r="A2836" s="1" t="s">
        <v>3948</v>
      </c>
      <c r="B2836" s="2">
        <v>45938</v>
      </c>
      <c r="C2836" s="1" t="s">
        <v>1999</v>
      </c>
      <c r="D2836" s="1" t="s">
        <v>2000</v>
      </c>
      <c r="E2836" s="1" t="s">
        <v>21</v>
      </c>
      <c r="F2836" s="1" t="s">
        <v>540</v>
      </c>
      <c r="G2836" s="1" t="s">
        <v>541</v>
      </c>
      <c r="H2836" s="1" t="s">
        <v>37</v>
      </c>
      <c r="I2836">
        <v>74865</v>
      </c>
      <c r="J2836" s="3">
        <v>20.27</v>
      </c>
      <c r="K2836" s="3">
        <v>1517513.55</v>
      </c>
    </row>
    <row r="2837" spans="1:11" x14ac:dyDescent="0.2">
      <c r="A2837" s="1" t="s">
        <v>3949</v>
      </c>
      <c r="B2837" s="2">
        <v>45580</v>
      </c>
      <c r="C2837" s="1" t="s">
        <v>593</v>
      </c>
      <c r="D2837" s="1" t="s">
        <v>594</v>
      </c>
      <c r="E2837" s="1" t="s">
        <v>37</v>
      </c>
      <c r="F2837" s="1" t="s">
        <v>57</v>
      </c>
      <c r="G2837" s="1" t="s">
        <v>58</v>
      </c>
      <c r="H2837" s="1" t="s">
        <v>48</v>
      </c>
      <c r="I2837">
        <v>29694</v>
      </c>
      <c r="J2837" s="3">
        <v>47.89</v>
      </c>
      <c r="K2837" s="3">
        <v>1422045.66</v>
      </c>
    </row>
    <row r="2838" spans="1:11" x14ac:dyDescent="0.2">
      <c r="A2838" s="1" t="s">
        <v>3950</v>
      </c>
      <c r="B2838" s="2">
        <v>45455</v>
      </c>
      <c r="C2838" s="1" t="s">
        <v>119</v>
      </c>
      <c r="D2838" s="1" t="s">
        <v>120</v>
      </c>
      <c r="E2838" s="1" t="s">
        <v>28</v>
      </c>
      <c r="F2838" s="1" t="s">
        <v>81</v>
      </c>
      <c r="G2838" s="1" t="s">
        <v>82</v>
      </c>
      <c r="H2838" s="1" t="s">
        <v>72</v>
      </c>
      <c r="I2838">
        <v>94547</v>
      </c>
      <c r="J2838" s="3">
        <v>31.65</v>
      </c>
      <c r="K2838" s="3">
        <v>2992412.55</v>
      </c>
    </row>
    <row r="2839" spans="1:11" x14ac:dyDescent="0.2">
      <c r="A2839" s="1" t="s">
        <v>3951</v>
      </c>
      <c r="B2839" s="2">
        <v>45942</v>
      </c>
      <c r="C2839" s="1" t="s">
        <v>3064</v>
      </c>
      <c r="D2839" s="1" t="s">
        <v>3065</v>
      </c>
      <c r="E2839" s="1" t="s">
        <v>37</v>
      </c>
      <c r="F2839" s="1" t="s">
        <v>65</v>
      </c>
      <c r="G2839" s="1" t="s">
        <v>66</v>
      </c>
      <c r="H2839" s="1" t="s">
        <v>48</v>
      </c>
      <c r="I2839">
        <v>71390</v>
      </c>
      <c r="J2839" s="3">
        <v>37.36</v>
      </c>
      <c r="K2839" s="3">
        <v>2667130.4</v>
      </c>
    </row>
    <row r="2840" spans="1:11" x14ac:dyDescent="0.2">
      <c r="A2840" s="1" t="s">
        <v>3952</v>
      </c>
      <c r="B2840" s="2">
        <v>45592</v>
      </c>
      <c r="C2840" s="1" t="s">
        <v>2541</v>
      </c>
      <c r="D2840" s="1" t="s">
        <v>2542</v>
      </c>
      <c r="E2840" s="1" t="s">
        <v>14</v>
      </c>
      <c r="F2840" s="1" t="s">
        <v>76</v>
      </c>
      <c r="G2840" s="1" t="s">
        <v>77</v>
      </c>
      <c r="H2840" s="1" t="s">
        <v>48</v>
      </c>
      <c r="I2840">
        <v>67360</v>
      </c>
      <c r="J2840" s="3">
        <v>25.82</v>
      </c>
      <c r="K2840" s="3">
        <v>1739235.2</v>
      </c>
    </row>
    <row r="2841" spans="1:11" x14ac:dyDescent="0.2">
      <c r="A2841" s="1" t="s">
        <v>3953</v>
      </c>
      <c r="B2841" s="2">
        <v>45898</v>
      </c>
      <c r="C2841" s="1" t="s">
        <v>1972</v>
      </c>
      <c r="D2841" s="1" t="s">
        <v>1973</v>
      </c>
      <c r="E2841" s="1" t="s">
        <v>28</v>
      </c>
      <c r="F2841" s="1" t="s">
        <v>761</v>
      </c>
      <c r="G2841" s="1" t="s">
        <v>762</v>
      </c>
      <c r="H2841" s="1" t="s">
        <v>48</v>
      </c>
      <c r="I2841">
        <v>53829</v>
      </c>
      <c r="J2841" s="3">
        <v>41.67</v>
      </c>
      <c r="K2841" s="3">
        <v>2243054.4300000002</v>
      </c>
    </row>
    <row r="2842" spans="1:11" x14ac:dyDescent="0.2">
      <c r="A2842" s="1" t="s">
        <v>3954</v>
      </c>
      <c r="B2842" s="2">
        <v>45660</v>
      </c>
      <c r="C2842" s="1" t="s">
        <v>890</v>
      </c>
      <c r="D2842" s="1" t="s">
        <v>891</v>
      </c>
      <c r="E2842" s="1" t="s">
        <v>37</v>
      </c>
      <c r="F2842" s="1" t="s">
        <v>157</v>
      </c>
      <c r="G2842" s="1" t="s">
        <v>158</v>
      </c>
      <c r="H2842" s="1" t="s">
        <v>48</v>
      </c>
      <c r="I2842">
        <v>8756</v>
      </c>
      <c r="J2842" s="3">
        <v>23.73</v>
      </c>
      <c r="K2842" s="3">
        <v>207779.88</v>
      </c>
    </row>
    <row r="2843" spans="1:11" x14ac:dyDescent="0.2">
      <c r="A2843" s="1" t="s">
        <v>3955</v>
      </c>
      <c r="B2843" s="2">
        <v>45777</v>
      </c>
      <c r="C2843" s="1" t="s">
        <v>672</v>
      </c>
      <c r="D2843" s="1" t="s">
        <v>673</v>
      </c>
      <c r="E2843" s="1" t="s">
        <v>21</v>
      </c>
      <c r="F2843" s="1" t="s">
        <v>52</v>
      </c>
      <c r="G2843" s="1" t="s">
        <v>53</v>
      </c>
      <c r="H2843" s="1" t="s">
        <v>17</v>
      </c>
      <c r="I2843">
        <v>8560</v>
      </c>
      <c r="J2843" s="3">
        <v>12.31</v>
      </c>
      <c r="K2843" s="3">
        <v>105373.6</v>
      </c>
    </row>
    <row r="2844" spans="1:11" x14ac:dyDescent="0.2">
      <c r="A2844" s="1" t="s">
        <v>3956</v>
      </c>
      <c r="B2844" s="2">
        <v>45846</v>
      </c>
      <c r="C2844" s="1" t="s">
        <v>3733</v>
      </c>
      <c r="D2844" s="1" t="s">
        <v>3734</v>
      </c>
      <c r="E2844" s="1" t="s">
        <v>14</v>
      </c>
      <c r="F2844" s="1" t="s">
        <v>474</v>
      </c>
      <c r="G2844" s="1" t="s">
        <v>475</v>
      </c>
      <c r="H2844" s="1" t="s">
        <v>48</v>
      </c>
      <c r="I2844">
        <v>12863</v>
      </c>
      <c r="J2844" s="3">
        <v>22.42</v>
      </c>
      <c r="K2844" s="3">
        <v>288388.46000000002</v>
      </c>
    </row>
    <row r="2845" spans="1:11" x14ac:dyDescent="0.2">
      <c r="A2845" s="1" t="s">
        <v>3957</v>
      </c>
      <c r="B2845" s="2">
        <v>45428</v>
      </c>
      <c r="C2845" s="1" t="s">
        <v>492</v>
      </c>
      <c r="D2845" s="1" t="s">
        <v>493</v>
      </c>
      <c r="E2845" s="1" t="s">
        <v>37</v>
      </c>
      <c r="F2845" s="1" t="s">
        <v>284</v>
      </c>
      <c r="G2845" s="1" t="s">
        <v>285</v>
      </c>
      <c r="H2845" s="1" t="s">
        <v>37</v>
      </c>
      <c r="I2845">
        <v>80692</v>
      </c>
      <c r="J2845" s="3">
        <v>41.62</v>
      </c>
      <c r="K2845" s="3">
        <v>3358401.04</v>
      </c>
    </row>
    <row r="2846" spans="1:11" x14ac:dyDescent="0.2">
      <c r="A2846" s="1" t="s">
        <v>3958</v>
      </c>
      <c r="B2846" s="2">
        <v>45803</v>
      </c>
      <c r="C2846" s="1" t="s">
        <v>1871</v>
      </c>
      <c r="D2846" s="1" t="s">
        <v>1872</v>
      </c>
      <c r="E2846" s="1" t="s">
        <v>34</v>
      </c>
      <c r="F2846" s="1" t="s">
        <v>113</v>
      </c>
      <c r="G2846" s="1" t="s">
        <v>114</v>
      </c>
      <c r="H2846" s="1" t="s">
        <v>37</v>
      </c>
      <c r="I2846">
        <v>50973</v>
      </c>
      <c r="J2846" s="3">
        <v>2.31</v>
      </c>
      <c r="K2846" s="3">
        <v>117747.63</v>
      </c>
    </row>
    <row r="2847" spans="1:11" x14ac:dyDescent="0.2">
      <c r="A2847" s="1" t="s">
        <v>3959</v>
      </c>
      <c r="B2847" s="2">
        <v>45795</v>
      </c>
      <c r="C2847" s="1" t="s">
        <v>160</v>
      </c>
      <c r="D2847" s="1" t="s">
        <v>161</v>
      </c>
      <c r="E2847" s="1" t="s">
        <v>21</v>
      </c>
      <c r="F2847" s="1" t="s">
        <v>412</v>
      </c>
      <c r="G2847" s="1" t="s">
        <v>413</v>
      </c>
      <c r="H2847" s="1" t="s">
        <v>72</v>
      </c>
      <c r="I2847">
        <v>52920</v>
      </c>
      <c r="J2847" s="3">
        <v>47.91</v>
      </c>
      <c r="K2847" s="3">
        <v>2535397.2000000002</v>
      </c>
    </row>
    <row r="2848" spans="1:11" x14ac:dyDescent="0.2">
      <c r="A2848" s="1" t="s">
        <v>3960</v>
      </c>
      <c r="B2848" s="2">
        <v>45663</v>
      </c>
      <c r="C2848" s="1" t="s">
        <v>260</v>
      </c>
      <c r="D2848" s="1" t="s">
        <v>261</v>
      </c>
      <c r="E2848" s="1" t="s">
        <v>34</v>
      </c>
      <c r="F2848" s="1" t="s">
        <v>406</v>
      </c>
      <c r="G2848" s="1" t="s">
        <v>407</v>
      </c>
      <c r="H2848" s="1" t="s">
        <v>17</v>
      </c>
      <c r="I2848">
        <v>66223</v>
      </c>
      <c r="J2848" s="3">
        <v>14.82</v>
      </c>
      <c r="K2848" s="3">
        <v>981424.86</v>
      </c>
    </row>
    <row r="2849" spans="1:11" x14ac:dyDescent="0.2">
      <c r="A2849" s="1" t="s">
        <v>3961</v>
      </c>
      <c r="B2849" s="2">
        <v>45380</v>
      </c>
      <c r="C2849" s="1" t="s">
        <v>1050</v>
      </c>
      <c r="D2849" s="1" t="s">
        <v>1051</v>
      </c>
      <c r="E2849" s="1" t="s">
        <v>14</v>
      </c>
      <c r="F2849" s="1" t="s">
        <v>139</v>
      </c>
      <c r="G2849" s="1" t="s">
        <v>140</v>
      </c>
      <c r="H2849" s="1" t="s">
        <v>24</v>
      </c>
      <c r="I2849">
        <v>84221</v>
      </c>
      <c r="J2849" s="3">
        <v>38.94</v>
      </c>
      <c r="K2849" s="3">
        <v>3279565.74</v>
      </c>
    </row>
    <row r="2850" spans="1:11" x14ac:dyDescent="0.2">
      <c r="A2850" s="1" t="s">
        <v>3962</v>
      </c>
      <c r="B2850" s="2">
        <v>45732</v>
      </c>
      <c r="C2850" s="1" t="s">
        <v>1885</v>
      </c>
      <c r="D2850" s="1" t="s">
        <v>1886</v>
      </c>
      <c r="E2850" s="1" t="s">
        <v>28</v>
      </c>
      <c r="F2850" s="1" t="s">
        <v>474</v>
      </c>
      <c r="G2850" s="1" t="s">
        <v>475</v>
      </c>
      <c r="H2850" s="1" t="s">
        <v>48</v>
      </c>
      <c r="I2850">
        <v>53638</v>
      </c>
      <c r="J2850" s="3">
        <v>9.61</v>
      </c>
      <c r="K2850" s="3">
        <v>515461.18</v>
      </c>
    </row>
    <row r="2851" spans="1:11" x14ac:dyDescent="0.2">
      <c r="A2851" s="1" t="s">
        <v>3963</v>
      </c>
      <c r="B2851" s="2">
        <v>45967</v>
      </c>
      <c r="C2851" s="1" t="s">
        <v>767</v>
      </c>
      <c r="D2851" s="1" t="s">
        <v>768</v>
      </c>
      <c r="E2851" s="1" t="s">
        <v>28</v>
      </c>
      <c r="F2851" s="1" t="s">
        <v>98</v>
      </c>
      <c r="G2851" s="1" t="s">
        <v>99</v>
      </c>
      <c r="H2851" s="1" t="s">
        <v>72</v>
      </c>
      <c r="I2851">
        <v>50795</v>
      </c>
      <c r="J2851" s="3">
        <v>45.88</v>
      </c>
      <c r="K2851" s="3">
        <v>2330474.6</v>
      </c>
    </row>
    <row r="2852" spans="1:11" x14ac:dyDescent="0.2">
      <c r="A2852" s="1" t="s">
        <v>3964</v>
      </c>
      <c r="B2852" s="2">
        <v>45420</v>
      </c>
      <c r="C2852" s="1" t="s">
        <v>1092</v>
      </c>
      <c r="D2852" s="1" t="s">
        <v>1093</v>
      </c>
      <c r="E2852" s="1" t="s">
        <v>34</v>
      </c>
      <c r="F2852" s="1" t="s">
        <v>176</v>
      </c>
      <c r="G2852" s="1" t="s">
        <v>177</v>
      </c>
      <c r="H2852" s="1" t="s">
        <v>37</v>
      </c>
      <c r="I2852">
        <v>3239</v>
      </c>
      <c r="J2852" s="3">
        <v>45.69</v>
      </c>
      <c r="K2852" s="3">
        <v>147989.91</v>
      </c>
    </row>
    <row r="2853" spans="1:11" x14ac:dyDescent="0.2">
      <c r="A2853" s="1" t="s">
        <v>3965</v>
      </c>
      <c r="B2853" s="2">
        <v>45485</v>
      </c>
      <c r="C2853" s="1" t="s">
        <v>508</v>
      </c>
      <c r="D2853" s="1" t="s">
        <v>509</v>
      </c>
      <c r="E2853" s="1" t="s">
        <v>34</v>
      </c>
      <c r="F2853" s="1" t="s">
        <v>324</v>
      </c>
      <c r="G2853" s="1" t="s">
        <v>325</v>
      </c>
      <c r="H2853" s="1" t="s">
        <v>24</v>
      </c>
      <c r="I2853">
        <v>22419</v>
      </c>
      <c r="J2853" s="3">
        <v>40.07</v>
      </c>
      <c r="K2853" s="3">
        <v>898329.33</v>
      </c>
    </row>
    <row r="2854" spans="1:11" x14ac:dyDescent="0.2">
      <c r="A2854" s="1" t="s">
        <v>3966</v>
      </c>
      <c r="B2854" s="2">
        <v>46001</v>
      </c>
      <c r="C2854" s="1" t="s">
        <v>1814</v>
      </c>
      <c r="D2854" s="1" t="s">
        <v>1815</v>
      </c>
      <c r="E2854" s="1" t="s">
        <v>14</v>
      </c>
      <c r="F2854" s="1" t="s">
        <v>65</v>
      </c>
      <c r="G2854" s="1" t="s">
        <v>66</v>
      </c>
      <c r="H2854" s="1" t="s">
        <v>48</v>
      </c>
      <c r="I2854">
        <v>80409</v>
      </c>
      <c r="J2854" s="3">
        <v>19.23</v>
      </c>
      <c r="K2854" s="3">
        <v>1546265.07</v>
      </c>
    </row>
    <row r="2855" spans="1:11" x14ac:dyDescent="0.2">
      <c r="A2855" s="1" t="s">
        <v>3967</v>
      </c>
      <c r="B2855" s="2">
        <v>45475</v>
      </c>
      <c r="C2855" s="1" t="s">
        <v>1017</v>
      </c>
      <c r="D2855" s="1" t="s">
        <v>1018</v>
      </c>
      <c r="E2855" s="1" t="s">
        <v>34</v>
      </c>
      <c r="F2855" s="1" t="s">
        <v>330</v>
      </c>
      <c r="G2855" s="1" t="s">
        <v>331</v>
      </c>
      <c r="H2855" s="1" t="s">
        <v>72</v>
      </c>
      <c r="I2855">
        <v>17251</v>
      </c>
      <c r="J2855" s="3">
        <v>32.549999999999997</v>
      </c>
      <c r="K2855" s="3">
        <v>561520.05000000005</v>
      </c>
    </row>
    <row r="2856" spans="1:11" x14ac:dyDescent="0.2">
      <c r="A2856" s="1" t="s">
        <v>3968</v>
      </c>
      <c r="B2856" s="2">
        <v>45890</v>
      </c>
      <c r="C2856" s="1" t="s">
        <v>1011</v>
      </c>
      <c r="D2856" s="1" t="s">
        <v>1012</v>
      </c>
      <c r="E2856" s="1" t="s">
        <v>21</v>
      </c>
      <c r="F2856" s="1" t="s">
        <v>251</v>
      </c>
      <c r="G2856" s="1" t="s">
        <v>252</v>
      </c>
      <c r="H2856" s="1" t="s">
        <v>72</v>
      </c>
      <c r="I2856">
        <v>79838</v>
      </c>
      <c r="J2856" s="3">
        <v>7.74</v>
      </c>
      <c r="K2856" s="3">
        <v>617946.12</v>
      </c>
    </row>
    <row r="2857" spans="1:11" x14ac:dyDescent="0.2">
      <c r="A2857" s="1" t="s">
        <v>3969</v>
      </c>
      <c r="B2857" s="2">
        <v>45749</v>
      </c>
      <c r="C2857" s="1" t="s">
        <v>749</v>
      </c>
      <c r="D2857" s="1" t="s">
        <v>750</v>
      </c>
      <c r="E2857" s="1" t="s">
        <v>28</v>
      </c>
      <c r="F2857" s="1" t="s">
        <v>76</v>
      </c>
      <c r="G2857" s="1" t="s">
        <v>77</v>
      </c>
      <c r="H2857" s="1" t="s">
        <v>48</v>
      </c>
      <c r="I2857">
        <v>34323</v>
      </c>
      <c r="J2857" s="3">
        <v>33.11</v>
      </c>
      <c r="K2857" s="3">
        <v>1136434.53</v>
      </c>
    </row>
    <row r="2858" spans="1:11" x14ac:dyDescent="0.2">
      <c r="A2858" s="1" t="s">
        <v>3970</v>
      </c>
      <c r="B2858" s="2">
        <v>45741</v>
      </c>
      <c r="C2858" s="1" t="s">
        <v>730</v>
      </c>
      <c r="D2858" s="1" t="s">
        <v>731</v>
      </c>
      <c r="E2858" s="1" t="s">
        <v>14</v>
      </c>
      <c r="F2858" s="1" t="s">
        <v>217</v>
      </c>
      <c r="G2858" s="1" t="s">
        <v>218</v>
      </c>
      <c r="H2858" s="1" t="s">
        <v>72</v>
      </c>
      <c r="I2858">
        <v>82426</v>
      </c>
      <c r="J2858" s="3">
        <v>20.350000000000001</v>
      </c>
      <c r="K2858" s="3">
        <v>1677369.1</v>
      </c>
    </row>
    <row r="2859" spans="1:11" x14ac:dyDescent="0.2">
      <c r="A2859" s="1" t="s">
        <v>3971</v>
      </c>
      <c r="B2859" s="2">
        <v>45795</v>
      </c>
      <c r="C2859" s="1" t="s">
        <v>1149</v>
      </c>
      <c r="D2859" s="1" t="s">
        <v>1150</v>
      </c>
      <c r="E2859" s="1" t="s">
        <v>14</v>
      </c>
      <c r="F2859" s="1" t="s">
        <v>144</v>
      </c>
      <c r="G2859" s="1" t="s">
        <v>145</v>
      </c>
      <c r="H2859" s="1" t="s">
        <v>24</v>
      </c>
      <c r="I2859">
        <v>72358</v>
      </c>
      <c r="J2859" s="3">
        <v>17.97</v>
      </c>
      <c r="K2859" s="3">
        <v>1300273.26</v>
      </c>
    </row>
    <row r="2860" spans="1:11" x14ac:dyDescent="0.2">
      <c r="A2860" s="1" t="s">
        <v>3972</v>
      </c>
      <c r="B2860" s="2">
        <v>45498</v>
      </c>
      <c r="C2860" s="1" t="s">
        <v>1254</v>
      </c>
      <c r="D2860" s="1" t="s">
        <v>1255</v>
      </c>
      <c r="E2860" s="1" t="s">
        <v>14</v>
      </c>
      <c r="F2860" s="1" t="s">
        <v>15</v>
      </c>
      <c r="G2860" s="1" t="s">
        <v>16</v>
      </c>
      <c r="H2860" s="1" t="s">
        <v>17</v>
      </c>
      <c r="I2860">
        <v>91648</v>
      </c>
      <c r="J2860" s="3">
        <v>12.48</v>
      </c>
      <c r="K2860" s="3">
        <v>1143767.04</v>
      </c>
    </row>
    <row r="2861" spans="1:11" x14ac:dyDescent="0.2">
      <c r="A2861" s="1" t="s">
        <v>3973</v>
      </c>
      <c r="B2861" s="2">
        <v>45599</v>
      </c>
      <c r="C2861" s="1" t="s">
        <v>847</v>
      </c>
      <c r="D2861" s="1" t="s">
        <v>848</v>
      </c>
      <c r="E2861" s="1" t="s">
        <v>34</v>
      </c>
      <c r="F2861" s="1" t="s">
        <v>29</v>
      </c>
      <c r="G2861" s="1" t="s">
        <v>30</v>
      </c>
      <c r="H2861" s="1" t="s">
        <v>24</v>
      </c>
      <c r="I2861">
        <v>68803</v>
      </c>
      <c r="J2861" s="3">
        <v>15.25</v>
      </c>
      <c r="K2861" s="3">
        <v>1049245.75</v>
      </c>
    </row>
    <row r="2862" spans="1:11" x14ac:dyDescent="0.2">
      <c r="A2862" s="1" t="s">
        <v>3974</v>
      </c>
      <c r="B2862" s="2">
        <v>45689</v>
      </c>
      <c r="C2862" s="1" t="s">
        <v>249</v>
      </c>
      <c r="D2862" s="1" t="s">
        <v>250</v>
      </c>
      <c r="E2862" s="1" t="s">
        <v>21</v>
      </c>
      <c r="F2862" s="1" t="s">
        <v>436</v>
      </c>
      <c r="G2862" s="1" t="s">
        <v>437</v>
      </c>
      <c r="H2862" s="1" t="s">
        <v>24</v>
      </c>
      <c r="I2862">
        <v>48876</v>
      </c>
      <c r="J2862" s="3">
        <v>25.7</v>
      </c>
      <c r="K2862" s="3">
        <v>1256113.2</v>
      </c>
    </row>
    <row r="2863" spans="1:11" x14ac:dyDescent="0.2">
      <c r="A2863" s="1" t="s">
        <v>3975</v>
      </c>
      <c r="B2863" s="2">
        <v>45306</v>
      </c>
      <c r="C2863" s="1" t="s">
        <v>1164</v>
      </c>
      <c r="D2863" s="1" t="s">
        <v>1165</v>
      </c>
      <c r="E2863" s="1" t="s">
        <v>37</v>
      </c>
      <c r="F2863" s="1" t="s">
        <v>268</v>
      </c>
      <c r="G2863" s="1" t="s">
        <v>269</v>
      </c>
      <c r="H2863" s="1" t="s">
        <v>72</v>
      </c>
      <c r="I2863">
        <v>18749</v>
      </c>
      <c r="J2863" s="3">
        <v>7.94</v>
      </c>
      <c r="K2863" s="3">
        <v>148867.06</v>
      </c>
    </row>
    <row r="2864" spans="1:11" x14ac:dyDescent="0.2">
      <c r="A2864" s="1" t="s">
        <v>3976</v>
      </c>
      <c r="B2864" s="2">
        <v>45723</v>
      </c>
      <c r="C2864" s="1" t="s">
        <v>1483</v>
      </c>
      <c r="D2864" s="1" t="s">
        <v>1484</v>
      </c>
      <c r="E2864" s="1" t="s">
        <v>21</v>
      </c>
      <c r="F2864" s="1" t="s">
        <v>139</v>
      </c>
      <c r="G2864" s="1" t="s">
        <v>140</v>
      </c>
      <c r="H2864" s="1" t="s">
        <v>24</v>
      </c>
      <c r="I2864">
        <v>65951</v>
      </c>
      <c r="J2864" s="3">
        <v>43.16</v>
      </c>
      <c r="K2864" s="3">
        <v>2846445.16</v>
      </c>
    </row>
    <row r="2865" spans="1:11" x14ac:dyDescent="0.2">
      <c r="A2865" s="1" t="s">
        <v>3977</v>
      </c>
      <c r="B2865" s="2">
        <v>45586</v>
      </c>
      <c r="C2865" s="1" t="s">
        <v>1388</v>
      </c>
      <c r="D2865" s="1" t="s">
        <v>1389</v>
      </c>
      <c r="E2865" s="1" t="s">
        <v>28</v>
      </c>
      <c r="F2865" s="1" t="s">
        <v>81</v>
      </c>
      <c r="G2865" s="1" t="s">
        <v>82</v>
      </c>
      <c r="H2865" s="1" t="s">
        <v>72</v>
      </c>
      <c r="I2865">
        <v>1289</v>
      </c>
      <c r="J2865" s="3">
        <v>42.88</v>
      </c>
      <c r="K2865" s="3">
        <v>55272.32</v>
      </c>
    </row>
    <row r="2866" spans="1:11" x14ac:dyDescent="0.2">
      <c r="A2866" s="1" t="s">
        <v>3978</v>
      </c>
      <c r="B2866" s="2">
        <v>45432</v>
      </c>
      <c r="C2866" s="1" t="s">
        <v>2597</v>
      </c>
      <c r="D2866" s="1" t="s">
        <v>2598</v>
      </c>
      <c r="E2866" s="1" t="s">
        <v>21</v>
      </c>
      <c r="F2866" s="1" t="s">
        <v>98</v>
      </c>
      <c r="G2866" s="1" t="s">
        <v>99</v>
      </c>
      <c r="H2866" s="1" t="s">
        <v>72</v>
      </c>
      <c r="I2866">
        <v>22091</v>
      </c>
      <c r="J2866" s="3">
        <v>37.76</v>
      </c>
      <c r="K2866" s="3">
        <v>834156.16</v>
      </c>
    </row>
    <row r="2867" spans="1:11" x14ac:dyDescent="0.2">
      <c r="A2867" s="1" t="s">
        <v>3979</v>
      </c>
      <c r="B2867" s="2">
        <v>45383</v>
      </c>
      <c r="C2867" s="1" t="s">
        <v>106</v>
      </c>
      <c r="D2867" s="1" t="s">
        <v>107</v>
      </c>
      <c r="E2867" s="1" t="s">
        <v>14</v>
      </c>
      <c r="F2867" s="1" t="s">
        <v>330</v>
      </c>
      <c r="G2867" s="1" t="s">
        <v>331</v>
      </c>
      <c r="H2867" s="1" t="s">
        <v>72</v>
      </c>
      <c r="I2867">
        <v>70430</v>
      </c>
      <c r="J2867" s="3">
        <v>27.07</v>
      </c>
      <c r="K2867" s="3">
        <v>1906540.1</v>
      </c>
    </row>
    <row r="2868" spans="1:11" x14ac:dyDescent="0.2">
      <c r="A2868" s="1" t="s">
        <v>3980</v>
      </c>
      <c r="B2868" s="2">
        <v>45411</v>
      </c>
      <c r="C2868" s="1" t="s">
        <v>119</v>
      </c>
      <c r="D2868" s="1" t="s">
        <v>120</v>
      </c>
      <c r="E2868" s="1" t="s">
        <v>28</v>
      </c>
      <c r="F2868" s="1" t="s">
        <v>29</v>
      </c>
      <c r="G2868" s="1" t="s">
        <v>30</v>
      </c>
      <c r="H2868" s="1" t="s">
        <v>24</v>
      </c>
      <c r="I2868">
        <v>21623</v>
      </c>
      <c r="J2868" s="3">
        <v>45.33</v>
      </c>
      <c r="K2868" s="3">
        <v>980170.59</v>
      </c>
    </row>
    <row r="2869" spans="1:11" x14ac:dyDescent="0.2">
      <c r="A2869" s="1" t="s">
        <v>3981</v>
      </c>
      <c r="B2869" s="2">
        <v>45520</v>
      </c>
      <c r="C2869" s="1" t="s">
        <v>2418</v>
      </c>
      <c r="D2869" s="1" t="s">
        <v>2419</v>
      </c>
      <c r="E2869" s="1" t="s">
        <v>37</v>
      </c>
      <c r="F2869" s="1" t="s">
        <v>195</v>
      </c>
      <c r="G2869" s="1" t="s">
        <v>196</v>
      </c>
      <c r="H2869" s="1" t="s">
        <v>48</v>
      </c>
      <c r="I2869">
        <v>70257</v>
      </c>
      <c r="J2869" s="3">
        <v>2.0499999999999998</v>
      </c>
      <c r="K2869" s="3">
        <v>144026.85</v>
      </c>
    </row>
    <row r="2870" spans="1:11" x14ac:dyDescent="0.2">
      <c r="A2870" s="1" t="s">
        <v>3982</v>
      </c>
      <c r="B2870" s="2">
        <v>45529</v>
      </c>
      <c r="C2870" s="1" t="s">
        <v>2748</v>
      </c>
      <c r="D2870" s="1" t="s">
        <v>2749</v>
      </c>
      <c r="E2870" s="1" t="s">
        <v>14</v>
      </c>
      <c r="F2870" s="1" t="s">
        <v>406</v>
      </c>
      <c r="G2870" s="1" t="s">
        <v>407</v>
      </c>
      <c r="H2870" s="1" t="s">
        <v>17</v>
      </c>
      <c r="I2870">
        <v>24016</v>
      </c>
      <c r="J2870" s="3">
        <v>40.72</v>
      </c>
      <c r="K2870" s="3">
        <v>977931.52</v>
      </c>
    </row>
    <row r="2871" spans="1:11" x14ac:dyDescent="0.2">
      <c r="A2871" s="1" t="s">
        <v>3983</v>
      </c>
      <c r="B2871" s="2">
        <v>45792</v>
      </c>
      <c r="C2871" s="1" t="s">
        <v>654</v>
      </c>
      <c r="D2871" s="1" t="s">
        <v>655</v>
      </c>
      <c r="E2871" s="1" t="s">
        <v>14</v>
      </c>
      <c r="F2871" s="1" t="s">
        <v>394</v>
      </c>
      <c r="G2871" s="1" t="s">
        <v>395</v>
      </c>
      <c r="H2871" s="1" t="s">
        <v>48</v>
      </c>
      <c r="I2871">
        <v>85615</v>
      </c>
      <c r="J2871" s="3">
        <v>30.4</v>
      </c>
      <c r="K2871" s="3">
        <v>2602696</v>
      </c>
    </row>
    <row r="2872" spans="1:11" x14ac:dyDescent="0.2">
      <c r="A2872" s="1" t="s">
        <v>3984</v>
      </c>
      <c r="B2872" s="2">
        <v>45546</v>
      </c>
      <c r="C2872" s="1" t="s">
        <v>1125</v>
      </c>
      <c r="D2872" s="1" t="s">
        <v>1126</v>
      </c>
      <c r="E2872" s="1" t="s">
        <v>21</v>
      </c>
      <c r="F2872" s="1" t="s">
        <v>184</v>
      </c>
      <c r="G2872" s="1" t="s">
        <v>185</v>
      </c>
      <c r="H2872" s="1" t="s">
        <v>17</v>
      </c>
      <c r="I2872">
        <v>15373</v>
      </c>
      <c r="J2872" s="3">
        <v>3.25</v>
      </c>
      <c r="K2872" s="3">
        <v>49962.25</v>
      </c>
    </row>
    <row r="2873" spans="1:11" x14ac:dyDescent="0.2">
      <c r="A2873" s="1" t="s">
        <v>3985</v>
      </c>
      <c r="B2873" s="2">
        <v>45365</v>
      </c>
      <c r="C2873" s="1" t="s">
        <v>1563</v>
      </c>
      <c r="D2873" s="1" t="s">
        <v>1564</v>
      </c>
      <c r="E2873" s="1" t="s">
        <v>14</v>
      </c>
      <c r="F2873" s="1" t="s">
        <v>57</v>
      </c>
      <c r="G2873" s="1" t="s">
        <v>58</v>
      </c>
      <c r="H2873" s="1" t="s">
        <v>48</v>
      </c>
      <c r="I2873">
        <v>21396</v>
      </c>
      <c r="J2873" s="3">
        <v>6.86</v>
      </c>
      <c r="K2873" s="3">
        <v>146776.56</v>
      </c>
    </row>
    <row r="2874" spans="1:11" x14ac:dyDescent="0.2">
      <c r="A2874" s="1" t="s">
        <v>3986</v>
      </c>
      <c r="B2874" s="2">
        <v>45568</v>
      </c>
      <c r="C2874" s="1" t="s">
        <v>791</v>
      </c>
      <c r="D2874" s="1" t="s">
        <v>792</v>
      </c>
      <c r="E2874" s="1" t="s">
        <v>34</v>
      </c>
      <c r="F2874" s="1" t="s">
        <v>217</v>
      </c>
      <c r="G2874" s="1" t="s">
        <v>218</v>
      </c>
      <c r="H2874" s="1" t="s">
        <v>72</v>
      </c>
      <c r="I2874">
        <v>36076</v>
      </c>
      <c r="J2874" s="3">
        <v>44.69</v>
      </c>
      <c r="K2874" s="3">
        <v>1612236.44</v>
      </c>
    </row>
    <row r="2875" spans="1:11" x14ac:dyDescent="0.2">
      <c r="A2875" s="1" t="s">
        <v>3987</v>
      </c>
      <c r="B2875" s="2">
        <v>45304</v>
      </c>
      <c r="C2875" s="1" t="s">
        <v>1498</v>
      </c>
      <c r="D2875" s="1" t="s">
        <v>1499</v>
      </c>
      <c r="E2875" s="1" t="s">
        <v>14</v>
      </c>
      <c r="F2875" s="1" t="s">
        <v>81</v>
      </c>
      <c r="G2875" s="1" t="s">
        <v>82</v>
      </c>
      <c r="H2875" s="1" t="s">
        <v>72</v>
      </c>
      <c r="I2875">
        <v>38119</v>
      </c>
      <c r="J2875" s="3">
        <v>30.36</v>
      </c>
      <c r="K2875" s="3">
        <v>1157292.8400000001</v>
      </c>
    </row>
    <row r="2876" spans="1:11" x14ac:dyDescent="0.2">
      <c r="A2876" s="1" t="s">
        <v>3988</v>
      </c>
      <c r="B2876" s="2">
        <v>45556</v>
      </c>
      <c r="C2876" s="1" t="s">
        <v>319</v>
      </c>
      <c r="D2876" s="1" t="s">
        <v>320</v>
      </c>
      <c r="E2876" s="1" t="s">
        <v>21</v>
      </c>
      <c r="F2876" s="1" t="s">
        <v>474</v>
      </c>
      <c r="G2876" s="1" t="s">
        <v>475</v>
      </c>
      <c r="H2876" s="1" t="s">
        <v>48</v>
      </c>
      <c r="I2876">
        <v>31894</v>
      </c>
      <c r="J2876" s="3">
        <v>43.37</v>
      </c>
      <c r="K2876" s="3">
        <v>1383242.78</v>
      </c>
    </row>
    <row r="2877" spans="1:11" x14ac:dyDescent="0.2">
      <c r="A2877" s="1" t="s">
        <v>3989</v>
      </c>
      <c r="B2877" s="2">
        <v>45724</v>
      </c>
      <c r="C2877" s="1" t="s">
        <v>2481</v>
      </c>
      <c r="D2877" s="1" t="s">
        <v>2482</v>
      </c>
      <c r="E2877" s="1" t="s">
        <v>21</v>
      </c>
      <c r="F2877" s="1" t="s">
        <v>65</v>
      </c>
      <c r="G2877" s="1" t="s">
        <v>66</v>
      </c>
      <c r="H2877" s="1" t="s">
        <v>48</v>
      </c>
      <c r="I2877">
        <v>85561</v>
      </c>
      <c r="J2877" s="3">
        <v>49.82</v>
      </c>
      <c r="K2877" s="3">
        <v>4262649.0199999996</v>
      </c>
    </row>
    <row r="2878" spans="1:11" x14ac:dyDescent="0.2">
      <c r="A2878" s="1" t="s">
        <v>3990</v>
      </c>
      <c r="B2878" s="2">
        <v>45591</v>
      </c>
      <c r="C2878" s="1" t="s">
        <v>1001</v>
      </c>
      <c r="D2878" s="1" t="s">
        <v>1002</v>
      </c>
      <c r="E2878" s="1" t="s">
        <v>37</v>
      </c>
      <c r="F2878" s="1" t="s">
        <v>76</v>
      </c>
      <c r="G2878" s="1" t="s">
        <v>77</v>
      </c>
      <c r="H2878" s="1" t="s">
        <v>48</v>
      </c>
      <c r="I2878">
        <v>28999</v>
      </c>
      <c r="J2878" s="3">
        <v>43.73</v>
      </c>
      <c r="K2878" s="3">
        <v>1268126.27</v>
      </c>
    </row>
    <row r="2879" spans="1:11" x14ac:dyDescent="0.2">
      <c r="A2879" s="1" t="s">
        <v>3991</v>
      </c>
      <c r="B2879" s="2">
        <v>45620</v>
      </c>
      <c r="C2879" s="1" t="s">
        <v>633</v>
      </c>
      <c r="D2879" s="1" t="s">
        <v>634</v>
      </c>
      <c r="E2879" s="1" t="s">
        <v>34</v>
      </c>
      <c r="F2879" s="1" t="s">
        <v>65</v>
      </c>
      <c r="G2879" s="1" t="s">
        <v>66</v>
      </c>
      <c r="H2879" s="1" t="s">
        <v>48</v>
      </c>
      <c r="I2879">
        <v>22812</v>
      </c>
      <c r="J2879" s="3">
        <v>47.73</v>
      </c>
      <c r="K2879" s="3">
        <v>1088816.76</v>
      </c>
    </row>
    <row r="2880" spans="1:11" x14ac:dyDescent="0.2">
      <c r="A2880" s="1" t="s">
        <v>3992</v>
      </c>
      <c r="B2880" s="2">
        <v>45870</v>
      </c>
      <c r="C2880" s="1" t="s">
        <v>1728</v>
      </c>
      <c r="D2880" s="1" t="s">
        <v>1729</v>
      </c>
      <c r="E2880" s="1" t="s">
        <v>21</v>
      </c>
      <c r="F2880" s="1" t="s">
        <v>474</v>
      </c>
      <c r="G2880" s="1" t="s">
        <v>475</v>
      </c>
      <c r="H2880" s="1" t="s">
        <v>48</v>
      </c>
      <c r="I2880">
        <v>26204</v>
      </c>
      <c r="J2880" s="3">
        <v>44.47</v>
      </c>
      <c r="K2880" s="3">
        <v>1165291.8799999999</v>
      </c>
    </row>
    <row r="2881" spans="1:11" x14ac:dyDescent="0.2">
      <c r="A2881" s="1" t="s">
        <v>3993</v>
      </c>
      <c r="B2881" s="2">
        <v>45799</v>
      </c>
      <c r="C2881" s="1" t="s">
        <v>1085</v>
      </c>
      <c r="D2881" s="1" t="s">
        <v>1086</v>
      </c>
      <c r="E2881" s="1" t="s">
        <v>14</v>
      </c>
      <c r="F2881" s="1" t="s">
        <v>76</v>
      </c>
      <c r="G2881" s="1" t="s">
        <v>77</v>
      </c>
      <c r="H2881" s="1" t="s">
        <v>48</v>
      </c>
      <c r="I2881">
        <v>59040</v>
      </c>
      <c r="J2881" s="3">
        <v>20.260000000000002</v>
      </c>
      <c r="K2881" s="3">
        <v>1196150.3999999999</v>
      </c>
    </row>
    <row r="2882" spans="1:11" x14ac:dyDescent="0.2">
      <c r="A2882" s="1" t="s">
        <v>3994</v>
      </c>
      <c r="B2882" s="2">
        <v>45978</v>
      </c>
      <c r="C2882" s="1" t="s">
        <v>2323</v>
      </c>
      <c r="D2882" s="1" t="s">
        <v>2324</v>
      </c>
      <c r="E2882" s="1" t="s">
        <v>34</v>
      </c>
      <c r="F2882" s="1" t="s">
        <v>29</v>
      </c>
      <c r="G2882" s="1" t="s">
        <v>30</v>
      </c>
      <c r="H2882" s="1" t="s">
        <v>24</v>
      </c>
      <c r="I2882">
        <v>75865</v>
      </c>
      <c r="J2882" s="3">
        <v>25.4</v>
      </c>
      <c r="K2882" s="3">
        <v>1926971</v>
      </c>
    </row>
    <row r="2883" spans="1:11" x14ac:dyDescent="0.2">
      <c r="A2883" s="1" t="s">
        <v>3995</v>
      </c>
      <c r="B2883" s="2">
        <v>45320</v>
      </c>
      <c r="C2883" s="1" t="s">
        <v>87</v>
      </c>
      <c r="D2883" s="1" t="s">
        <v>88</v>
      </c>
      <c r="E2883" s="1" t="s">
        <v>14</v>
      </c>
      <c r="F2883" s="1" t="s">
        <v>152</v>
      </c>
      <c r="G2883" s="1" t="s">
        <v>153</v>
      </c>
      <c r="H2883" s="1" t="s">
        <v>17</v>
      </c>
      <c r="I2883">
        <v>52918</v>
      </c>
      <c r="J2883" s="3">
        <v>28.14</v>
      </c>
      <c r="K2883" s="3">
        <v>1489112.52</v>
      </c>
    </row>
    <row r="2884" spans="1:11" x14ac:dyDescent="0.2">
      <c r="A2884" s="1" t="s">
        <v>3996</v>
      </c>
      <c r="B2884" s="2">
        <v>45659</v>
      </c>
      <c r="C2884" s="1" t="s">
        <v>1317</v>
      </c>
      <c r="D2884" s="1" t="s">
        <v>1318</v>
      </c>
      <c r="E2884" s="1" t="s">
        <v>28</v>
      </c>
      <c r="F2884" s="1" t="s">
        <v>394</v>
      </c>
      <c r="G2884" s="1" t="s">
        <v>395</v>
      </c>
      <c r="H2884" s="1" t="s">
        <v>48</v>
      </c>
      <c r="I2884">
        <v>18371</v>
      </c>
      <c r="J2884" s="3">
        <v>2.1</v>
      </c>
      <c r="K2884" s="3">
        <v>38579.1</v>
      </c>
    </row>
    <row r="2885" spans="1:11" x14ac:dyDescent="0.2">
      <c r="A2885" s="1" t="s">
        <v>3997</v>
      </c>
      <c r="B2885" s="2">
        <v>45516</v>
      </c>
      <c r="C2885" s="1" t="s">
        <v>1113</v>
      </c>
      <c r="D2885" s="1" t="s">
        <v>1114</v>
      </c>
      <c r="E2885" s="1" t="s">
        <v>14</v>
      </c>
      <c r="F2885" s="1" t="s">
        <v>324</v>
      </c>
      <c r="G2885" s="1" t="s">
        <v>325</v>
      </c>
      <c r="H2885" s="1" t="s">
        <v>24</v>
      </c>
      <c r="I2885">
        <v>52614</v>
      </c>
      <c r="J2885" s="3">
        <v>48.78</v>
      </c>
      <c r="K2885" s="3">
        <v>2566510.92</v>
      </c>
    </row>
    <row r="2886" spans="1:11" x14ac:dyDescent="0.2">
      <c r="A2886" s="1" t="s">
        <v>3998</v>
      </c>
      <c r="B2886" s="2">
        <v>45591</v>
      </c>
      <c r="C2886" s="1" t="s">
        <v>913</v>
      </c>
      <c r="D2886" s="1" t="s">
        <v>914</v>
      </c>
      <c r="E2886" s="1" t="s">
        <v>37</v>
      </c>
      <c r="F2886" s="1" t="s">
        <v>52</v>
      </c>
      <c r="G2886" s="1" t="s">
        <v>53</v>
      </c>
      <c r="H2886" s="1" t="s">
        <v>17</v>
      </c>
      <c r="I2886">
        <v>68533</v>
      </c>
      <c r="J2886" s="3">
        <v>2.11</v>
      </c>
      <c r="K2886" s="3">
        <v>144604.63</v>
      </c>
    </row>
    <row r="2887" spans="1:11" x14ac:dyDescent="0.2">
      <c r="A2887" s="1" t="s">
        <v>3999</v>
      </c>
      <c r="B2887" s="2">
        <v>45929</v>
      </c>
      <c r="C2887" s="1" t="s">
        <v>84</v>
      </c>
      <c r="D2887" s="1" t="s">
        <v>85</v>
      </c>
      <c r="E2887" s="1" t="s">
        <v>28</v>
      </c>
      <c r="F2887" s="1" t="s">
        <v>157</v>
      </c>
      <c r="G2887" s="1" t="s">
        <v>158</v>
      </c>
      <c r="H2887" s="1" t="s">
        <v>48</v>
      </c>
      <c r="I2887">
        <v>41683</v>
      </c>
      <c r="J2887" s="3">
        <v>15.06</v>
      </c>
      <c r="K2887" s="3">
        <v>627745.98</v>
      </c>
    </row>
    <row r="2888" spans="1:11" x14ac:dyDescent="0.2">
      <c r="A2888" s="1" t="s">
        <v>4000</v>
      </c>
      <c r="B2888" s="2">
        <v>45366</v>
      </c>
      <c r="C2888" s="1" t="s">
        <v>1295</v>
      </c>
      <c r="D2888" s="1" t="s">
        <v>1296</v>
      </c>
      <c r="E2888" s="1" t="s">
        <v>21</v>
      </c>
      <c r="F2888" s="1" t="s">
        <v>394</v>
      </c>
      <c r="G2888" s="1" t="s">
        <v>395</v>
      </c>
      <c r="H2888" s="1" t="s">
        <v>48</v>
      </c>
      <c r="I2888">
        <v>23961</v>
      </c>
      <c r="J2888" s="3">
        <v>9.4700000000000006</v>
      </c>
      <c r="K2888" s="3">
        <v>226910.67</v>
      </c>
    </row>
    <row r="2889" spans="1:11" x14ac:dyDescent="0.2">
      <c r="A2889" s="1" t="s">
        <v>4001</v>
      </c>
      <c r="B2889" s="2">
        <v>45344</v>
      </c>
      <c r="C2889" s="1" t="s">
        <v>605</v>
      </c>
      <c r="D2889" s="1" t="s">
        <v>606</v>
      </c>
      <c r="E2889" s="1" t="s">
        <v>14</v>
      </c>
      <c r="F2889" s="1" t="s">
        <v>98</v>
      </c>
      <c r="G2889" s="1" t="s">
        <v>99</v>
      </c>
      <c r="H2889" s="1" t="s">
        <v>72</v>
      </c>
      <c r="I2889">
        <v>29668</v>
      </c>
      <c r="J2889" s="3">
        <v>13.48</v>
      </c>
      <c r="K2889" s="3">
        <v>399924.64</v>
      </c>
    </row>
    <row r="2890" spans="1:11" x14ac:dyDescent="0.2">
      <c r="A2890" s="1" t="s">
        <v>4002</v>
      </c>
      <c r="B2890" s="2">
        <v>45975</v>
      </c>
      <c r="C2890" s="1" t="s">
        <v>890</v>
      </c>
      <c r="D2890" s="1" t="s">
        <v>891</v>
      </c>
      <c r="E2890" s="1" t="s">
        <v>37</v>
      </c>
      <c r="F2890" s="1" t="s">
        <v>203</v>
      </c>
      <c r="G2890" s="1" t="s">
        <v>204</v>
      </c>
      <c r="H2890" s="1" t="s">
        <v>72</v>
      </c>
      <c r="I2890">
        <v>98256</v>
      </c>
      <c r="J2890" s="3">
        <v>3.37</v>
      </c>
      <c r="K2890" s="3">
        <v>331122.71999999997</v>
      </c>
    </row>
    <row r="2891" spans="1:11" x14ac:dyDescent="0.2">
      <c r="A2891" s="1" t="s">
        <v>4003</v>
      </c>
      <c r="B2891" s="2">
        <v>45439</v>
      </c>
      <c r="C2891" s="1" t="s">
        <v>223</v>
      </c>
      <c r="D2891" s="1" t="s">
        <v>224</v>
      </c>
      <c r="E2891" s="1" t="s">
        <v>28</v>
      </c>
      <c r="F2891" s="1" t="s">
        <v>15</v>
      </c>
      <c r="G2891" s="1" t="s">
        <v>16</v>
      </c>
      <c r="H2891" s="1" t="s">
        <v>17</v>
      </c>
      <c r="I2891">
        <v>1045</v>
      </c>
      <c r="J2891" s="3">
        <v>19.079999999999998</v>
      </c>
      <c r="K2891" s="3">
        <v>19938.599999999999</v>
      </c>
    </row>
    <row r="2892" spans="1:11" x14ac:dyDescent="0.2">
      <c r="A2892" s="1" t="s">
        <v>4004</v>
      </c>
      <c r="B2892" s="2">
        <v>45505</v>
      </c>
      <c r="C2892" s="1" t="s">
        <v>1292</v>
      </c>
      <c r="D2892" s="1" t="s">
        <v>1293</v>
      </c>
      <c r="E2892" s="1" t="s">
        <v>21</v>
      </c>
      <c r="F2892" s="1" t="s">
        <v>394</v>
      </c>
      <c r="G2892" s="1" t="s">
        <v>395</v>
      </c>
      <c r="H2892" s="1" t="s">
        <v>48</v>
      </c>
      <c r="I2892">
        <v>15235</v>
      </c>
      <c r="J2892" s="3">
        <v>13.29</v>
      </c>
      <c r="K2892" s="3">
        <v>202473.15</v>
      </c>
    </row>
    <row r="2893" spans="1:11" x14ac:dyDescent="0.2">
      <c r="A2893" s="1" t="s">
        <v>4005</v>
      </c>
      <c r="B2893" s="2">
        <v>45684</v>
      </c>
      <c r="C2893" s="1" t="s">
        <v>1247</v>
      </c>
      <c r="D2893" s="1" t="s">
        <v>1248</v>
      </c>
      <c r="E2893" s="1" t="s">
        <v>28</v>
      </c>
      <c r="F2893" s="1" t="s">
        <v>350</v>
      </c>
      <c r="G2893" s="1" t="s">
        <v>351</v>
      </c>
      <c r="H2893" s="1" t="s">
        <v>37</v>
      </c>
      <c r="I2893">
        <v>9893</v>
      </c>
      <c r="J2893" s="3">
        <v>12.88</v>
      </c>
      <c r="K2893" s="3">
        <v>127421.84</v>
      </c>
    </row>
    <row r="2894" spans="1:11" x14ac:dyDescent="0.2">
      <c r="A2894" s="1" t="s">
        <v>4006</v>
      </c>
      <c r="B2894" s="2">
        <v>45311</v>
      </c>
      <c r="C2894" s="1" t="s">
        <v>1881</v>
      </c>
      <c r="D2894" s="1" t="s">
        <v>1882</v>
      </c>
      <c r="E2894" s="1" t="s">
        <v>34</v>
      </c>
      <c r="F2894" s="1" t="s">
        <v>144</v>
      </c>
      <c r="G2894" s="1" t="s">
        <v>145</v>
      </c>
      <c r="H2894" s="1" t="s">
        <v>24</v>
      </c>
      <c r="I2894">
        <v>83323</v>
      </c>
      <c r="J2894" s="3">
        <v>37.369999999999997</v>
      </c>
      <c r="K2894" s="3">
        <v>3113780.51</v>
      </c>
    </row>
    <row r="2895" spans="1:11" x14ac:dyDescent="0.2">
      <c r="A2895" s="1" t="s">
        <v>4007</v>
      </c>
      <c r="B2895" s="2">
        <v>45986</v>
      </c>
      <c r="C2895" s="1" t="s">
        <v>1949</v>
      </c>
      <c r="D2895" s="1" t="s">
        <v>1950</v>
      </c>
      <c r="E2895" s="1" t="s">
        <v>14</v>
      </c>
      <c r="F2895" s="1" t="s">
        <v>394</v>
      </c>
      <c r="G2895" s="1" t="s">
        <v>395</v>
      </c>
      <c r="H2895" s="1" t="s">
        <v>48</v>
      </c>
      <c r="I2895">
        <v>36802</v>
      </c>
      <c r="J2895" s="3">
        <v>39.22</v>
      </c>
      <c r="K2895" s="3">
        <v>1443374.44</v>
      </c>
    </row>
    <row r="2896" spans="1:11" x14ac:dyDescent="0.2">
      <c r="A2896" s="1" t="s">
        <v>4008</v>
      </c>
      <c r="B2896" s="2">
        <v>45732</v>
      </c>
      <c r="C2896" s="1" t="s">
        <v>223</v>
      </c>
      <c r="D2896" s="1" t="s">
        <v>224</v>
      </c>
      <c r="E2896" s="1" t="s">
        <v>28</v>
      </c>
      <c r="F2896" s="1" t="s">
        <v>263</v>
      </c>
      <c r="G2896" s="1" t="s">
        <v>264</v>
      </c>
      <c r="H2896" s="1" t="s">
        <v>17</v>
      </c>
      <c r="I2896">
        <v>33530</v>
      </c>
      <c r="J2896" s="3">
        <v>2.84</v>
      </c>
      <c r="K2896" s="3">
        <v>95225.2</v>
      </c>
    </row>
    <row r="2897" spans="1:11" x14ac:dyDescent="0.2">
      <c r="A2897" s="1" t="s">
        <v>4009</v>
      </c>
      <c r="B2897" s="2">
        <v>45390</v>
      </c>
      <c r="C2897" s="1" t="s">
        <v>1223</v>
      </c>
      <c r="D2897" s="1" t="s">
        <v>1224</v>
      </c>
      <c r="E2897" s="1" t="s">
        <v>37</v>
      </c>
      <c r="F2897" s="1" t="s">
        <v>41</v>
      </c>
      <c r="G2897" s="1" t="s">
        <v>42</v>
      </c>
      <c r="H2897" s="1" t="s">
        <v>24</v>
      </c>
      <c r="I2897">
        <v>57682</v>
      </c>
      <c r="J2897" s="3">
        <v>22.84</v>
      </c>
      <c r="K2897" s="3">
        <v>1317456.8799999999</v>
      </c>
    </row>
    <row r="2898" spans="1:11" x14ac:dyDescent="0.2">
      <c r="A2898" s="1" t="s">
        <v>4010</v>
      </c>
      <c r="B2898" s="2">
        <v>45963</v>
      </c>
      <c r="C2898" s="1" t="s">
        <v>2207</v>
      </c>
      <c r="D2898" s="1" t="s">
        <v>2208</v>
      </c>
      <c r="E2898" s="1" t="s">
        <v>37</v>
      </c>
      <c r="F2898" s="1" t="s">
        <v>350</v>
      </c>
      <c r="G2898" s="1" t="s">
        <v>351</v>
      </c>
      <c r="H2898" s="1" t="s">
        <v>37</v>
      </c>
      <c r="I2898">
        <v>14617</v>
      </c>
      <c r="J2898" s="3">
        <v>41.97</v>
      </c>
      <c r="K2898" s="3">
        <v>613475.49</v>
      </c>
    </row>
    <row r="2899" spans="1:11" x14ac:dyDescent="0.2">
      <c r="A2899" s="1" t="s">
        <v>4011</v>
      </c>
      <c r="B2899" s="2">
        <v>45670</v>
      </c>
      <c r="C2899" s="1" t="s">
        <v>1344</v>
      </c>
      <c r="D2899" s="1" t="s">
        <v>1345</v>
      </c>
      <c r="E2899" s="1" t="s">
        <v>34</v>
      </c>
      <c r="F2899" s="1" t="s">
        <v>108</v>
      </c>
      <c r="G2899" s="1" t="s">
        <v>109</v>
      </c>
      <c r="H2899" s="1" t="s">
        <v>37</v>
      </c>
      <c r="I2899">
        <v>15728</v>
      </c>
      <c r="J2899" s="3">
        <v>9.7899999999999991</v>
      </c>
      <c r="K2899" s="3">
        <v>153977.12</v>
      </c>
    </row>
    <row r="2900" spans="1:11" x14ac:dyDescent="0.2">
      <c r="A2900" s="1" t="s">
        <v>4012</v>
      </c>
      <c r="B2900" s="2">
        <v>45644</v>
      </c>
      <c r="C2900" s="1" t="s">
        <v>517</v>
      </c>
      <c r="D2900" s="1" t="s">
        <v>518</v>
      </c>
      <c r="E2900" s="1" t="s">
        <v>21</v>
      </c>
      <c r="F2900" s="1" t="s">
        <v>139</v>
      </c>
      <c r="G2900" s="1" t="s">
        <v>140</v>
      </c>
      <c r="H2900" s="1" t="s">
        <v>24</v>
      </c>
      <c r="I2900">
        <v>57125</v>
      </c>
      <c r="J2900" s="3">
        <v>15.76</v>
      </c>
      <c r="K2900" s="3">
        <v>900290</v>
      </c>
    </row>
    <row r="2901" spans="1:11" x14ac:dyDescent="0.2">
      <c r="A2901" s="1" t="s">
        <v>4013</v>
      </c>
      <c r="B2901" s="2">
        <v>45478</v>
      </c>
      <c r="C2901" s="1" t="s">
        <v>1132</v>
      </c>
      <c r="D2901" s="1" t="s">
        <v>1133</v>
      </c>
      <c r="E2901" s="1" t="s">
        <v>34</v>
      </c>
      <c r="F2901" s="1" t="s">
        <v>70</v>
      </c>
      <c r="G2901" s="1" t="s">
        <v>71</v>
      </c>
      <c r="H2901" s="1" t="s">
        <v>72</v>
      </c>
      <c r="I2901">
        <v>12196</v>
      </c>
      <c r="J2901" s="3">
        <v>38.82</v>
      </c>
      <c r="K2901" s="3">
        <v>473448.72</v>
      </c>
    </row>
    <row r="2902" spans="1:11" x14ac:dyDescent="0.2">
      <c r="A2902" s="1" t="s">
        <v>4014</v>
      </c>
      <c r="B2902" s="2">
        <v>45729</v>
      </c>
      <c r="C2902" s="1" t="s">
        <v>608</v>
      </c>
      <c r="D2902" s="1" t="s">
        <v>609</v>
      </c>
      <c r="E2902" s="1" t="s">
        <v>28</v>
      </c>
      <c r="F2902" s="1" t="s">
        <v>57</v>
      </c>
      <c r="G2902" s="1" t="s">
        <v>58</v>
      </c>
      <c r="H2902" s="1" t="s">
        <v>48</v>
      </c>
      <c r="I2902">
        <v>20500</v>
      </c>
      <c r="J2902" s="3">
        <v>18.98</v>
      </c>
      <c r="K2902" s="3">
        <v>389090</v>
      </c>
    </row>
    <row r="2903" spans="1:11" x14ac:dyDescent="0.2">
      <c r="A2903" s="1" t="s">
        <v>4015</v>
      </c>
      <c r="B2903" s="2">
        <v>45696</v>
      </c>
      <c r="C2903" s="1" t="s">
        <v>1909</v>
      </c>
      <c r="D2903" s="1" t="s">
        <v>1910</v>
      </c>
      <c r="E2903" s="1" t="s">
        <v>37</v>
      </c>
      <c r="F2903" s="1" t="s">
        <v>15</v>
      </c>
      <c r="G2903" s="1" t="s">
        <v>16</v>
      </c>
      <c r="H2903" s="1" t="s">
        <v>17</v>
      </c>
      <c r="I2903">
        <v>14473</v>
      </c>
      <c r="J2903" s="3">
        <v>25.29</v>
      </c>
      <c r="K2903" s="3">
        <v>366022.17</v>
      </c>
    </row>
    <row r="2904" spans="1:11" x14ac:dyDescent="0.2">
      <c r="A2904" s="1" t="s">
        <v>4016</v>
      </c>
      <c r="B2904" s="2">
        <v>45414</v>
      </c>
      <c r="C2904" s="1" t="s">
        <v>385</v>
      </c>
      <c r="D2904" s="1" t="s">
        <v>386</v>
      </c>
      <c r="E2904" s="1" t="s">
        <v>34</v>
      </c>
      <c r="F2904" s="1" t="s">
        <v>284</v>
      </c>
      <c r="G2904" s="1" t="s">
        <v>285</v>
      </c>
      <c r="H2904" s="1" t="s">
        <v>37</v>
      </c>
      <c r="I2904">
        <v>64609</v>
      </c>
      <c r="J2904" s="3">
        <v>40.49</v>
      </c>
      <c r="K2904" s="3">
        <v>2616018.41</v>
      </c>
    </row>
    <row r="2905" spans="1:11" x14ac:dyDescent="0.2">
      <c r="A2905" s="1" t="s">
        <v>4017</v>
      </c>
      <c r="B2905" s="2">
        <v>45608</v>
      </c>
      <c r="C2905" s="1" t="s">
        <v>249</v>
      </c>
      <c r="D2905" s="1" t="s">
        <v>250</v>
      </c>
      <c r="E2905" s="1" t="s">
        <v>21</v>
      </c>
      <c r="F2905" s="1" t="s">
        <v>189</v>
      </c>
      <c r="G2905" s="1" t="s">
        <v>190</v>
      </c>
      <c r="H2905" s="1" t="s">
        <v>17</v>
      </c>
      <c r="I2905">
        <v>59301</v>
      </c>
      <c r="J2905" s="3">
        <v>48.56</v>
      </c>
      <c r="K2905" s="3">
        <v>2879656.56</v>
      </c>
    </row>
    <row r="2906" spans="1:11" x14ac:dyDescent="0.2">
      <c r="A2906" s="1" t="s">
        <v>4018</v>
      </c>
      <c r="B2906" s="2">
        <v>45445</v>
      </c>
      <c r="C2906" s="1" t="s">
        <v>1211</v>
      </c>
      <c r="D2906" s="1" t="s">
        <v>1212</v>
      </c>
      <c r="E2906" s="1" t="s">
        <v>37</v>
      </c>
      <c r="F2906" s="1" t="s">
        <v>157</v>
      </c>
      <c r="G2906" s="1" t="s">
        <v>158</v>
      </c>
      <c r="H2906" s="1" t="s">
        <v>48</v>
      </c>
      <c r="I2906">
        <v>57852</v>
      </c>
      <c r="J2906" s="3">
        <v>24.52</v>
      </c>
      <c r="K2906" s="3">
        <v>1418531.04</v>
      </c>
    </row>
    <row r="2907" spans="1:11" x14ac:dyDescent="0.2">
      <c r="A2907" s="1" t="s">
        <v>4019</v>
      </c>
      <c r="B2907" s="2">
        <v>45753</v>
      </c>
      <c r="C2907" s="1" t="s">
        <v>2326</v>
      </c>
      <c r="D2907" s="1" t="s">
        <v>2327</v>
      </c>
      <c r="E2907" s="1" t="s">
        <v>37</v>
      </c>
      <c r="F2907" s="1" t="s">
        <v>436</v>
      </c>
      <c r="G2907" s="1" t="s">
        <v>437</v>
      </c>
      <c r="H2907" s="1" t="s">
        <v>24</v>
      </c>
      <c r="I2907">
        <v>36367</v>
      </c>
      <c r="J2907" s="3">
        <v>7.39</v>
      </c>
      <c r="K2907" s="3">
        <v>268752.13</v>
      </c>
    </row>
    <row r="2908" spans="1:11" x14ac:dyDescent="0.2">
      <c r="A2908" s="1" t="s">
        <v>4020</v>
      </c>
      <c r="B2908" s="2">
        <v>45838</v>
      </c>
      <c r="C2908" s="1" t="s">
        <v>2038</v>
      </c>
      <c r="D2908" s="1" t="s">
        <v>2039</v>
      </c>
      <c r="E2908" s="1" t="s">
        <v>28</v>
      </c>
      <c r="F2908" s="1" t="s">
        <v>552</v>
      </c>
      <c r="G2908" s="1" t="s">
        <v>553</v>
      </c>
      <c r="H2908" s="1" t="s">
        <v>37</v>
      </c>
      <c r="I2908">
        <v>64124</v>
      </c>
      <c r="J2908" s="3">
        <v>33.31</v>
      </c>
      <c r="K2908" s="3">
        <v>2135970.44</v>
      </c>
    </row>
    <row r="2909" spans="1:11" x14ac:dyDescent="0.2">
      <c r="A2909" s="1" t="s">
        <v>4021</v>
      </c>
      <c r="B2909" s="2">
        <v>45723</v>
      </c>
      <c r="C2909" s="1" t="s">
        <v>90</v>
      </c>
      <c r="D2909" s="1" t="s">
        <v>91</v>
      </c>
      <c r="E2909" s="1" t="s">
        <v>28</v>
      </c>
      <c r="F2909" s="1" t="s">
        <v>350</v>
      </c>
      <c r="G2909" s="1" t="s">
        <v>351</v>
      </c>
      <c r="H2909" s="1" t="s">
        <v>37</v>
      </c>
      <c r="I2909">
        <v>2236</v>
      </c>
      <c r="J2909" s="3">
        <v>6.93</v>
      </c>
      <c r="K2909" s="3">
        <v>15495.48</v>
      </c>
    </row>
    <row r="2910" spans="1:11" x14ac:dyDescent="0.2">
      <c r="A2910" s="1" t="s">
        <v>4022</v>
      </c>
      <c r="B2910" s="2">
        <v>45853</v>
      </c>
      <c r="C2910" s="1" t="s">
        <v>1520</v>
      </c>
      <c r="D2910" s="1" t="s">
        <v>1521</v>
      </c>
      <c r="E2910" s="1" t="s">
        <v>37</v>
      </c>
      <c r="F2910" s="1" t="s">
        <v>237</v>
      </c>
      <c r="G2910" s="1" t="s">
        <v>238</v>
      </c>
      <c r="H2910" s="1" t="s">
        <v>17</v>
      </c>
      <c r="I2910">
        <v>36252</v>
      </c>
      <c r="J2910" s="3">
        <v>30.79</v>
      </c>
      <c r="K2910" s="3">
        <v>1116199.08</v>
      </c>
    </row>
    <row r="2911" spans="1:11" x14ac:dyDescent="0.2">
      <c r="A2911" s="1" t="s">
        <v>4023</v>
      </c>
      <c r="B2911" s="2">
        <v>45428</v>
      </c>
      <c r="C2911" s="1" t="s">
        <v>4024</v>
      </c>
      <c r="D2911" s="1" t="s">
        <v>4025</v>
      </c>
      <c r="E2911" s="1" t="s">
        <v>28</v>
      </c>
      <c r="F2911" s="1" t="s">
        <v>203</v>
      </c>
      <c r="G2911" s="1" t="s">
        <v>204</v>
      </c>
      <c r="H2911" s="1" t="s">
        <v>72</v>
      </c>
      <c r="I2911">
        <v>33496</v>
      </c>
      <c r="J2911" s="3">
        <v>38.64</v>
      </c>
      <c r="K2911" s="3">
        <v>1294285.44</v>
      </c>
    </row>
    <row r="2912" spans="1:11" x14ac:dyDescent="0.2">
      <c r="A2912" s="1" t="s">
        <v>4026</v>
      </c>
      <c r="B2912" s="2">
        <v>46016</v>
      </c>
      <c r="C2912" s="1" t="s">
        <v>1737</v>
      </c>
      <c r="D2912" s="1" t="s">
        <v>1738</v>
      </c>
      <c r="E2912" s="1" t="s">
        <v>21</v>
      </c>
      <c r="F2912" s="1" t="s">
        <v>157</v>
      </c>
      <c r="G2912" s="1" t="s">
        <v>158</v>
      </c>
      <c r="H2912" s="1" t="s">
        <v>48</v>
      </c>
      <c r="I2912">
        <v>37473</v>
      </c>
      <c r="J2912" s="3">
        <v>7.55</v>
      </c>
      <c r="K2912" s="3">
        <v>282921.15000000002</v>
      </c>
    </row>
    <row r="2913" spans="1:11" x14ac:dyDescent="0.2">
      <c r="A2913" s="1" t="s">
        <v>4027</v>
      </c>
      <c r="B2913" s="2">
        <v>45787</v>
      </c>
      <c r="C2913" s="1" t="s">
        <v>1722</v>
      </c>
      <c r="D2913" s="1" t="s">
        <v>1723</v>
      </c>
      <c r="E2913" s="1" t="s">
        <v>34</v>
      </c>
      <c r="F2913" s="1" t="s">
        <v>195</v>
      </c>
      <c r="G2913" s="1" t="s">
        <v>196</v>
      </c>
      <c r="H2913" s="1" t="s">
        <v>48</v>
      </c>
      <c r="I2913">
        <v>96248</v>
      </c>
      <c r="J2913" s="3">
        <v>31.02</v>
      </c>
      <c r="K2913" s="3">
        <v>2985612.96</v>
      </c>
    </row>
    <row r="2914" spans="1:11" x14ac:dyDescent="0.2">
      <c r="A2914" s="1" t="s">
        <v>4028</v>
      </c>
      <c r="B2914" s="2">
        <v>45616</v>
      </c>
      <c r="C2914" s="1" t="s">
        <v>1207</v>
      </c>
      <c r="D2914" s="1" t="s">
        <v>1208</v>
      </c>
      <c r="E2914" s="1" t="s">
        <v>37</v>
      </c>
      <c r="F2914" s="1" t="s">
        <v>394</v>
      </c>
      <c r="G2914" s="1" t="s">
        <v>395</v>
      </c>
      <c r="H2914" s="1" t="s">
        <v>48</v>
      </c>
      <c r="I2914">
        <v>18280</v>
      </c>
      <c r="J2914" s="3">
        <v>24.52</v>
      </c>
      <c r="K2914" s="3">
        <v>448225.6</v>
      </c>
    </row>
    <row r="2915" spans="1:11" x14ac:dyDescent="0.2">
      <c r="A2915" s="1" t="s">
        <v>4029</v>
      </c>
      <c r="B2915" s="2">
        <v>45515</v>
      </c>
      <c r="C2915" s="1" t="s">
        <v>886</v>
      </c>
      <c r="D2915" s="1" t="s">
        <v>887</v>
      </c>
      <c r="E2915" s="1" t="s">
        <v>21</v>
      </c>
      <c r="F2915" s="1" t="s">
        <v>510</v>
      </c>
      <c r="G2915" s="1" t="s">
        <v>511</v>
      </c>
      <c r="H2915" s="1" t="s">
        <v>17</v>
      </c>
      <c r="I2915">
        <v>69785</v>
      </c>
      <c r="J2915" s="3">
        <v>7.66</v>
      </c>
      <c r="K2915" s="3">
        <v>534553.1</v>
      </c>
    </row>
    <row r="2916" spans="1:11" x14ac:dyDescent="0.2">
      <c r="A2916" s="1" t="s">
        <v>4030</v>
      </c>
      <c r="B2916" s="2">
        <v>45941</v>
      </c>
      <c r="C2916" s="1" t="s">
        <v>990</v>
      </c>
      <c r="D2916" s="1" t="s">
        <v>991</v>
      </c>
      <c r="E2916" s="1" t="s">
        <v>34</v>
      </c>
      <c r="F2916" s="1" t="s">
        <v>510</v>
      </c>
      <c r="G2916" s="1" t="s">
        <v>511</v>
      </c>
      <c r="H2916" s="1" t="s">
        <v>17</v>
      </c>
      <c r="I2916">
        <v>83571</v>
      </c>
      <c r="J2916" s="3">
        <v>46.37</v>
      </c>
      <c r="K2916" s="3">
        <v>3875187.27</v>
      </c>
    </row>
    <row r="2917" spans="1:11" x14ac:dyDescent="0.2">
      <c r="A2917" s="1" t="s">
        <v>4031</v>
      </c>
      <c r="B2917" s="2">
        <v>45412</v>
      </c>
      <c r="C2917" s="1" t="s">
        <v>2472</v>
      </c>
      <c r="D2917" s="1" t="s">
        <v>2473</v>
      </c>
      <c r="E2917" s="1" t="s">
        <v>28</v>
      </c>
      <c r="F2917" s="1" t="s">
        <v>458</v>
      </c>
      <c r="G2917" s="1" t="s">
        <v>459</v>
      </c>
      <c r="H2917" s="1" t="s">
        <v>72</v>
      </c>
      <c r="I2917">
        <v>88668</v>
      </c>
      <c r="J2917" s="3">
        <v>42.47</v>
      </c>
      <c r="K2917" s="3">
        <v>3765729.96</v>
      </c>
    </row>
    <row r="2918" spans="1:11" x14ac:dyDescent="0.2">
      <c r="A2918" s="1" t="s">
        <v>4032</v>
      </c>
      <c r="B2918" s="2">
        <v>45467</v>
      </c>
      <c r="C2918" s="1" t="s">
        <v>400</v>
      </c>
      <c r="D2918" s="1" t="s">
        <v>401</v>
      </c>
      <c r="E2918" s="1" t="s">
        <v>21</v>
      </c>
      <c r="F2918" s="1" t="s">
        <v>761</v>
      </c>
      <c r="G2918" s="1" t="s">
        <v>762</v>
      </c>
      <c r="H2918" s="1" t="s">
        <v>48</v>
      </c>
      <c r="I2918">
        <v>90418</v>
      </c>
      <c r="J2918" s="3">
        <v>15.49</v>
      </c>
      <c r="K2918" s="3">
        <v>1400574.82</v>
      </c>
    </row>
    <row r="2919" spans="1:11" x14ac:dyDescent="0.2">
      <c r="A2919" s="1" t="s">
        <v>4033</v>
      </c>
      <c r="B2919" s="2">
        <v>45613</v>
      </c>
      <c r="C2919" s="1" t="s">
        <v>498</v>
      </c>
      <c r="D2919" s="1" t="s">
        <v>499</v>
      </c>
      <c r="E2919" s="1" t="s">
        <v>14</v>
      </c>
      <c r="F2919" s="1" t="s">
        <v>52</v>
      </c>
      <c r="G2919" s="1" t="s">
        <v>53</v>
      </c>
      <c r="H2919" s="1" t="s">
        <v>17</v>
      </c>
      <c r="I2919">
        <v>96192</v>
      </c>
      <c r="J2919" s="3">
        <v>21.12</v>
      </c>
      <c r="K2919" s="3">
        <v>2031575.04</v>
      </c>
    </row>
    <row r="2920" spans="1:11" x14ac:dyDescent="0.2">
      <c r="A2920" s="1" t="s">
        <v>4034</v>
      </c>
      <c r="B2920" s="2">
        <v>45676</v>
      </c>
      <c r="C2920" s="1" t="s">
        <v>50</v>
      </c>
      <c r="D2920" s="1" t="s">
        <v>51</v>
      </c>
      <c r="E2920" s="1" t="s">
        <v>21</v>
      </c>
      <c r="F2920" s="1" t="s">
        <v>394</v>
      </c>
      <c r="G2920" s="1" t="s">
        <v>395</v>
      </c>
      <c r="H2920" s="1" t="s">
        <v>48</v>
      </c>
      <c r="I2920">
        <v>60990</v>
      </c>
      <c r="J2920" s="3">
        <v>44.27</v>
      </c>
      <c r="K2920" s="3">
        <v>2700027.3</v>
      </c>
    </row>
    <row r="2921" spans="1:11" x14ac:dyDescent="0.2">
      <c r="A2921" s="1" t="s">
        <v>4035</v>
      </c>
      <c r="B2921" s="2">
        <v>45410</v>
      </c>
      <c r="C2921" s="1" t="s">
        <v>1132</v>
      </c>
      <c r="D2921" s="1" t="s">
        <v>1133</v>
      </c>
      <c r="E2921" s="1" t="s">
        <v>34</v>
      </c>
      <c r="F2921" s="1" t="s">
        <v>436</v>
      </c>
      <c r="G2921" s="1" t="s">
        <v>437</v>
      </c>
      <c r="H2921" s="1" t="s">
        <v>24</v>
      </c>
      <c r="I2921">
        <v>87928</v>
      </c>
      <c r="J2921" s="3">
        <v>49.51</v>
      </c>
      <c r="K2921" s="3">
        <v>4353315.28</v>
      </c>
    </row>
    <row r="2922" spans="1:11" x14ac:dyDescent="0.2">
      <c r="A2922" s="1" t="s">
        <v>4036</v>
      </c>
      <c r="B2922" s="2">
        <v>45583</v>
      </c>
      <c r="C2922" s="1" t="s">
        <v>1446</v>
      </c>
      <c r="D2922" s="1" t="s">
        <v>1447</v>
      </c>
      <c r="E2922" s="1" t="s">
        <v>37</v>
      </c>
      <c r="F2922" s="1" t="s">
        <v>284</v>
      </c>
      <c r="G2922" s="1" t="s">
        <v>285</v>
      </c>
      <c r="H2922" s="1" t="s">
        <v>37</v>
      </c>
      <c r="I2922">
        <v>28524</v>
      </c>
      <c r="J2922" s="3">
        <v>41.26</v>
      </c>
      <c r="K2922" s="3">
        <v>1176900.24</v>
      </c>
    </row>
    <row r="2923" spans="1:11" x14ac:dyDescent="0.2">
      <c r="A2923" s="1" t="s">
        <v>4037</v>
      </c>
      <c r="B2923" s="2">
        <v>45465</v>
      </c>
      <c r="C2923" s="1" t="s">
        <v>415</v>
      </c>
      <c r="D2923" s="1" t="s">
        <v>416</v>
      </c>
      <c r="E2923" s="1" t="s">
        <v>14</v>
      </c>
      <c r="F2923" s="1" t="s">
        <v>165</v>
      </c>
      <c r="G2923" s="1" t="s">
        <v>166</v>
      </c>
      <c r="H2923" s="1" t="s">
        <v>24</v>
      </c>
      <c r="I2923">
        <v>89002</v>
      </c>
      <c r="J2923" s="3">
        <v>34.96</v>
      </c>
      <c r="K2923" s="3">
        <v>3111509.92</v>
      </c>
    </row>
    <row r="2924" spans="1:11" x14ac:dyDescent="0.2">
      <c r="A2924" s="1" t="s">
        <v>4038</v>
      </c>
      <c r="B2924" s="2">
        <v>45744</v>
      </c>
      <c r="C2924" s="1" t="s">
        <v>2326</v>
      </c>
      <c r="D2924" s="1" t="s">
        <v>2327</v>
      </c>
      <c r="E2924" s="1" t="s">
        <v>37</v>
      </c>
      <c r="F2924" s="1" t="s">
        <v>324</v>
      </c>
      <c r="G2924" s="1" t="s">
        <v>325</v>
      </c>
      <c r="H2924" s="1" t="s">
        <v>24</v>
      </c>
      <c r="I2924">
        <v>40446</v>
      </c>
      <c r="J2924" s="3">
        <v>21.97</v>
      </c>
      <c r="K2924" s="3">
        <v>888598.62</v>
      </c>
    </row>
    <row r="2925" spans="1:11" x14ac:dyDescent="0.2">
      <c r="A2925" s="1" t="s">
        <v>4039</v>
      </c>
      <c r="B2925" s="2">
        <v>45830</v>
      </c>
      <c r="C2925" s="1" t="s">
        <v>466</v>
      </c>
      <c r="D2925" s="1" t="s">
        <v>467</v>
      </c>
      <c r="E2925" s="1" t="s">
        <v>28</v>
      </c>
      <c r="F2925" s="1" t="s">
        <v>330</v>
      </c>
      <c r="G2925" s="1" t="s">
        <v>331</v>
      </c>
      <c r="H2925" s="1" t="s">
        <v>72</v>
      </c>
      <c r="I2925">
        <v>60248</v>
      </c>
      <c r="J2925" s="3">
        <v>24.79</v>
      </c>
      <c r="K2925" s="3">
        <v>1493547.92</v>
      </c>
    </row>
    <row r="2926" spans="1:11" x14ac:dyDescent="0.2">
      <c r="A2926" s="1" t="s">
        <v>4040</v>
      </c>
      <c r="B2926" s="2">
        <v>45523</v>
      </c>
      <c r="C2926" s="1" t="s">
        <v>1254</v>
      </c>
      <c r="D2926" s="1" t="s">
        <v>1255</v>
      </c>
      <c r="E2926" s="1" t="s">
        <v>14</v>
      </c>
      <c r="F2926" s="1" t="s">
        <v>761</v>
      </c>
      <c r="G2926" s="1" t="s">
        <v>762</v>
      </c>
      <c r="H2926" s="1" t="s">
        <v>48</v>
      </c>
      <c r="I2926">
        <v>49971</v>
      </c>
      <c r="J2926" s="3">
        <v>13.84</v>
      </c>
      <c r="K2926" s="3">
        <v>691598.64</v>
      </c>
    </row>
    <row r="2927" spans="1:11" x14ac:dyDescent="0.2">
      <c r="A2927" s="1" t="s">
        <v>4041</v>
      </c>
      <c r="B2927" s="2">
        <v>45336</v>
      </c>
      <c r="C2927" s="1" t="s">
        <v>1354</v>
      </c>
      <c r="D2927" s="1" t="s">
        <v>1355</v>
      </c>
      <c r="E2927" s="1" t="s">
        <v>34</v>
      </c>
      <c r="F2927" s="1" t="s">
        <v>540</v>
      </c>
      <c r="G2927" s="1" t="s">
        <v>541</v>
      </c>
      <c r="H2927" s="1" t="s">
        <v>37</v>
      </c>
      <c r="I2927">
        <v>14293</v>
      </c>
      <c r="J2927" s="3">
        <v>2.94</v>
      </c>
      <c r="K2927" s="3">
        <v>42021.42</v>
      </c>
    </row>
    <row r="2928" spans="1:11" x14ac:dyDescent="0.2">
      <c r="A2928" s="1" t="s">
        <v>4042</v>
      </c>
      <c r="B2928" s="2">
        <v>45445</v>
      </c>
      <c r="C2928" s="1" t="s">
        <v>587</v>
      </c>
      <c r="D2928" s="1" t="s">
        <v>588</v>
      </c>
      <c r="E2928" s="1" t="s">
        <v>21</v>
      </c>
      <c r="F2928" s="1" t="s">
        <v>273</v>
      </c>
      <c r="G2928" s="1" t="s">
        <v>274</v>
      </c>
      <c r="H2928" s="1" t="s">
        <v>24</v>
      </c>
      <c r="I2928">
        <v>83085</v>
      </c>
      <c r="J2928" s="3">
        <v>6.73</v>
      </c>
      <c r="K2928" s="3">
        <v>559162.05000000005</v>
      </c>
    </row>
    <row r="2929" spans="1:11" x14ac:dyDescent="0.2">
      <c r="A2929" s="1" t="s">
        <v>4043</v>
      </c>
      <c r="B2929" s="2">
        <v>45365</v>
      </c>
      <c r="C2929" s="1" t="s">
        <v>1137</v>
      </c>
      <c r="D2929" s="1" t="s">
        <v>1138</v>
      </c>
      <c r="E2929" s="1" t="s">
        <v>21</v>
      </c>
      <c r="F2929" s="1" t="s">
        <v>165</v>
      </c>
      <c r="G2929" s="1" t="s">
        <v>166</v>
      </c>
      <c r="H2929" s="1" t="s">
        <v>24</v>
      </c>
      <c r="I2929">
        <v>66565</v>
      </c>
      <c r="J2929" s="3">
        <v>49.65</v>
      </c>
      <c r="K2929" s="3">
        <v>3304952.25</v>
      </c>
    </row>
    <row r="2930" spans="1:11" x14ac:dyDescent="0.2">
      <c r="A2930" s="1" t="s">
        <v>4044</v>
      </c>
      <c r="B2930" s="2">
        <v>45349</v>
      </c>
      <c r="C2930" s="1" t="s">
        <v>1036</v>
      </c>
      <c r="D2930" s="1" t="s">
        <v>1037</v>
      </c>
      <c r="E2930" s="1" t="s">
        <v>21</v>
      </c>
      <c r="F2930" s="1" t="s">
        <v>113</v>
      </c>
      <c r="G2930" s="1" t="s">
        <v>114</v>
      </c>
      <c r="H2930" s="1" t="s">
        <v>37</v>
      </c>
      <c r="I2930">
        <v>58453</v>
      </c>
      <c r="J2930" s="3">
        <v>4.54</v>
      </c>
      <c r="K2930" s="3">
        <v>265376.62</v>
      </c>
    </row>
    <row r="2931" spans="1:11" x14ac:dyDescent="0.2">
      <c r="A2931" s="1" t="s">
        <v>4045</v>
      </c>
      <c r="B2931" s="2">
        <v>45666</v>
      </c>
      <c r="C2931" s="1" t="s">
        <v>1498</v>
      </c>
      <c r="D2931" s="1" t="s">
        <v>1499</v>
      </c>
      <c r="E2931" s="1" t="s">
        <v>14</v>
      </c>
      <c r="F2931" s="1" t="s">
        <v>113</v>
      </c>
      <c r="G2931" s="1" t="s">
        <v>114</v>
      </c>
      <c r="H2931" s="1" t="s">
        <v>37</v>
      </c>
      <c r="I2931">
        <v>22979</v>
      </c>
      <c r="J2931" s="3">
        <v>22.79</v>
      </c>
      <c r="K2931" s="3">
        <v>523691.41</v>
      </c>
    </row>
    <row r="2932" spans="1:11" x14ac:dyDescent="0.2">
      <c r="A2932" s="1" t="s">
        <v>4046</v>
      </c>
      <c r="B2932" s="2">
        <v>45681</v>
      </c>
      <c r="C2932" s="1" t="s">
        <v>559</v>
      </c>
      <c r="D2932" s="1" t="s">
        <v>560</v>
      </c>
      <c r="E2932" s="1" t="s">
        <v>14</v>
      </c>
      <c r="F2932" s="1" t="s">
        <v>217</v>
      </c>
      <c r="G2932" s="1" t="s">
        <v>218</v>
      </c>
      <c r="H2932" s="1" t="s">
        <v>72</v>
      </c>
      <c r="I2932">
        <v>40007</v>
      </c>
      <c r="J2932" s="3">
        <v>25.02</v>
      </c>
      <c r="K2932" s="3">
        <v>1000975.14</v>
      </c>
    </row>
    <row r="2933" spans="1:11" x14ac:dyDescent="0.2">
      <c r="A2933" s="1" t="s">
        <v>4047</v>
      </c>
      <c r="B2933" s="2">
        <v>45910</v>
      </c>
      <c r="C2933" s="1" t="s">
        <v>448</v>
      </c>
      <c r="D2933" s="1" t="s">
        <v>449</v>
      </c>
      <c r="E2933" s="1" t="s">
        <v>28</v>
      </c>
      <c r="F2933" s="1" t="s">
        <v>65</v>
      </c>
      <c r="G2933" s="1" t="s">
        <v>66</v>
      </c>
      <c r="H2933" s="1" t="s">
        <v>48</v>
      </c>
      <c r="I2933">
        <v>87479</v>
      </c>
      <c r="J2933" s="3">
        <v>5.12</v>
      </c>
      <c r="K2933" s="3">
        <v>447892.47999999998</v>
      </c>
    </row>
    <row r="2934" spans="1:11" x14ac:dyDescent="0.2">
      <c r="A2934" s="1" t="s">
        <v>4048</v>
      </c>
      <c r="B2934" s="2">
        <v>45506</v>
      </c>
      <c r="C2934" s="1" t="s">
        <v>1020</v>
      </c>
      <c r="D2934" s="1" t="s">
        <v>1021</v>
      </c>
      <c r="E2934" s="1" t="s">
        <v>14</v>
      </c>
      <c r="F2934" s="1" t="s">
        <v>761</v>
      </c>
      <c r="G2934" s="1" t="s">
        <v>762</v>
      </c>
      <c r="H2934" s="1" t="s">
        <v>48</v>
      </c>
      <c r="I2934">
        <v>35203</v>
      </c>
      <c r="J2934" s="3">
        <v>2.92</v>
      </c>
      <c r="K2934" s="3">
        <v>102792.76</v>
      </c>
    </row>
    <row r="2935" spans="1:11" x14ac:dyDescent="0.2">
      <c r="A2935" s="1" t="s">
        <v>4049</v>
      </c>
      <c r="B2935" s="2">
        <v>45867</v>
      </c>
      <c r="C2935" s="1" t="s">
        <v>1017</v>
      </c>
      <c r="D2935" s="1" t="s">
        <v>1018</v>
      </c>
      <c r="E2935" s="1" t="s">
        <v>34</v>
      </c>
      <c r="F2935" s="1" t="s">
        <v>70</v>
      </c>
      <c r="G2935" s="1" t="s">
        <v>71</v>
      </c>
      <c r="H2935" s="1" t="s">
        <v>72</v>
      </c>
      <c r="I2935">
        <v>34697</v>
      </c>
      <c r="J2935" s="3">
        <v>20.04</v>
      </c>
      <c r="K2935" s="3">
        <v>695327.88</v>
      </c>
    </row>
    <row r="2936" spans="1:11" x14ac:dyDescent="0.2">
      <c r="A2936" s="1" t="s">
        <v>4050</v>
      </c>
      <c r="B2936" s="2">
        <v>45756</v>
      </c>
      <c r="C2936" s="1" t="s">
        <v>1575</v>
      </c>
      <c r="D2936" s="1" t="s">
        <v>1576</v>
      </c>
      <c r="E2936" s="1" t="s">
        <v>14</v>
      </c>
      <c r="F2936" s="1" t="s">
        <v>41</v>
      </c>
      <c r="G2936" s="1" t="s">
        <v>42</v>
      </c>
      <c r="H2936" s="1" t="s">
        <v>24</v>
      </c>
      <c r="I2936">
        <v>14258</v>
      </c>
      <c r="J2936" s="3">
        <v>28.93</v>
      </c>
      <c r="K2936" s="3">
        <v>412483.94</v>
      </c>
    </row>
    <row r="2937" spans="1:11" x14ac:dyDescent="0.2">
      <c r="A2937" s="1" t="s">
        <v>4051</v>
      </c>
      <c r="B2937" s="2">
        <v>45854</v>
      </c>
      <c r="C2937" s="1" t="s">
        <v>643</v>
      </c>
      <c r="D2937" s="1" t="s">
        <v>644</v>
      </c>
      <c r="E2937" s="1" t="s">
        <v>37</v>
      </c>
      <c r="F2937" s="1" t="s">
        <v>330</v>
      </c>
      <c r="G2937" s="1" t="s">
        <v>331</v>
      </c>
      <c r="H2937" s="1" t="s">
        <v>72</v>
      </c>
      <c r="I2937">
        <v>3483</v>
      </c>
      <c r="J2937" s="3">
        <v>49.24</v>
      </c>
      <c r="K2937" s="3">
        <v>171502.92</v>
      </c>
    </row>
    <row r="2938" spans="1:11" x14ac:dyDescent="0.2">
      <c r="A2938" s="1" t="s">
        <v>4052</v>
      </c>
      <c r="B2938" s="2">
        <v>45933</v>
      </c>
      <c r="C2938" s="1" t="s">
        <v>979</v>
      </c>
      <c r="D2938" s="1" t="s">
        <v>980</v>
      </c>
      <c r="E2938" s="1" t="s">
        <v>37</v>
      </c>
      <c r="F2938" s="1" t="s">
        <v>217</v>
      </c>
      <c r="G2938" s="1" t="s">
        <v>218</v>
      </c>
      <c r="H2938" s="1" t="s">
        <v>72</v>
      </c>
      <c r="I2938">
        <v>89799</v>
      </c>
      <c r="J2938" s="3">
        <v>34.619999999999997</v>
      </c>
      <c r="K2938" s="3">
        <v>3108841.38</v>
      </c>
    </row>
    <row r="2939" spans="1:11" x14ac:dyDescent="0.2">
      <c r="A2939" s="1" t="s">
        <v>4053</v>
      </c>
      <c r="B2939" s="2">
        <v>45470</v>
      </c>
      <c r="C2939" s="1" t="s">
        <v>814</v>
      </c>
      <c r="D2939" s="1" t="s">
        <v>815</v>
      </c>
      <c r="E2939" s="1" t="s">
        <v>14</v>
      </c>
      <c r="F2939" s="1" t="s">
        <v>394</v>
      </c>
      <c r="G2939" s="1" t="s">
        <v>395</v>
      </c>
      <c r="H2939" s="1" t="s">
        <v>48</v>
      </c>
      <c r="I2939">
        <v>33597</v>
      </c>
      <c r="J2939" s="3">
        <v>23.78</v>
      </c>
      <c r="K2939" s="3">
        <v>798936.66</v>
      </c>
    </row>
    <row r="2940" spans="1:11" x14ac:dyDescent="0.2">
      <c r="A2940" s="1" t="s">
        <v>4054</v>
      </c>
      <c r="B2940" s="2">
        <v>45438</v>
      </c>
      <c r="C2940" s="1" t="s">
        <v>2807</v>
      </c>
      <c r="D2940" s="1" t="s">
        <v>2808</v>
      </c>
      <c r="E2940" s="1" t="s">
        <v>37</v>
      </c>
      <c r="F2940" s="1" t="s">
        <v>57</v>
      </c>
      <c r="G2940" s="1" t="s">
        <v>58</v>
      </c>
      <c r="H2940" s="1" t="s">
        <v>48</v>
      </c>
      <c r="I2940">
        <v>52427</v>
      </c>
      <c r="J2940" s="3">
        <v>49.31</v>
      </c>
      <c r="K2940" s="3">
        <v>2585175.37</v>
      </c>
    </row>
    <row r="2941" spans="1:11" x14ac:dyDescent="0.2">
      <c r="A2941" s="1" t="s">
        <v>4055</v>
      </c>
      <c r="B2941" s="2">
        <v>45856</v>
      </c>
      <c r="C2941" s="1" t="s">
        <v>1701</v>
      </c>
      <c r="D2941" s="1" t="s">
        <v>1702</v>
      </c>
      <c r="E2941" s="1" t="s">
        <v>34</v>
      </c>
      <c r="F2941" s="1" t="s">
        <v>237</v>
      </c>
      <c r="G2941" s="1" t="s">
        <v>238</v>
      </c>
      <c r="H2941" s="1" t="s">
        <v>17</v>
      </c>
      <c r="I2941">
        <v>27653</v>
      </c>
      <c r="J2941" s="3">
        <v>28.62</v>
      </c>
      <c r="K2941" s="3">
        <v>791428.86</v>
      </c>
    </row>
    <row r="2942" spans="1:11" x14ac:dyDescent="0.2">
      <c r="A2942" s="1" t="s">
        <v>4056</v>
      </c>
      <c r="B2942" s="2">
        <v>45981</v>
      </c>
      <c r="C2942" s="1" t="s">
        <v>421</v>
      </c>
      <c r="D2942" s="1" t="s">
        <v>422</v>
      </c>
      <c r="E2942" s="1" t="s">
        <v>21</v>
      </c>
      <c r="F2942" s="1" t="s">
        <v>273</v>
      </c>
      <c r="G2942" s="1" t="s">
        <v>274</v>
      </c>
      <c r="H2942" s="1" t="s">
        <v>24</v>
      </c>
      <c r="I2942">
        <v>17451</v>
      </c>
      <c r="J2942" s="3">
        <v>47.13</v>
      </c>
      <c r="K2942" s="3">
        <v>822465.63</v>
      </c>
    </row>
    <row r="2943" spans="1:11" x14ac:dyDescent="0.2">
      <c r="A2943" s="1" t="s">
        <v>4057</v>
      </c>
      <c r="B2943" s="2">
        <v>45625</v>
      </c>
      <c r="C2943" s="1" t="s">
        <v>555</v>
      </c>
      <c r="D2943" s="1" t="s">
        <v>556</v>
      </c>
      <c r="E2943" s="1" t="s">
        <v>21</v>
      </c>
      <c r="F2943" s="1" t="s">
        <v>76</v>
      </c>
      <c r="G2943" s="1" t="s">
        <v>77</v>
      </c>
      <c r="H2943" s="1" t="s">
        <v>48</v>
      </c>
      <c r="I2943">
        <v>68891</v>
      </c>
      <c r="J2943" s="3">
        <v>10.98</v>
      </c>
      <c r="K2943" s="3">
        <v>756423.18</v>
      </c>
    </row>
    <row r="2944" spans="1:11" x14ac:dyDescent="0.2">
      <c r="A2944" s="1" t="s">
        <v>4058</v>
      </c>
      <c r="B2944" s="2">
        <v>45440</v>
      </c>
      <c r="C2944" s="1" t="s">
        <v>2109</v>
      </c>
      <c r="D2944" s="1" t="s">
        <v>2110</v>
      </c>
      <c r="E2944" s="1" t="s">
        <v>28</v>
      </c>
      <c r="F2944" s="1" t="s">
        <v>103</v>
      </c>
      <c r="G2944" s="1" t="s">
        <v>104</v>
      </c>
      <c r="H2944" s="1" t="s">
        <v>37</v>
      </c>
      <c r="I2944">
        <v>42840</v>
      </c>
      <c r="J2944" s="3">
        <v>36.409999999999997</v>
      </c>
      <c r="K2944" s="3">
        <v>1559804.4</v>
      </c>
    </row>
    <row r="2945" spans="1:11" x14ac:dyDescent="0.2">
      <c r="A2945" s="1" t="s">
        <v>4059</v>
      </c>
      <c r="B2945" s="2">
        <v>45627</v>
      </c>
      <c r="C2945" s="1" t="s">
        <v>1718</v>
      </c>
      <c r="D2945" s="1" t="s">
        <v>1719</v>
      </c>
      <c r="E2945" s="1" t="s">
        <v>21</v>
      </c>
      <c r="F2945" s="1" t="s">
        <v>113</v>
      </c>
      <c r="G2945" s="1" t="s">
        <v>114</v>
      </c>
      <c r="H2945" s="1" t="s">
        <v>37</v>
      </c>
      <c r="I2945">
        <v>81810</v>
      </c>
      <c r="J2945" s="3">
        <v>22.46</v>
      </c>
      <c r="K2945" s="3">
        <v>1837452.6</v>
      </c>
    </row>
    <row r="2946" spans="1:11" x14ac:dyDescent="0.2">
      <c r="A2946" s="1" t="s">
        <v>4060</v>
      </c>
      <c r="B2946" s="2">
        <v>45529</v>
      </c>
      <c r="C2946" s="1" t="s">
        <v>240</v>
      </c>
      <c r="D2946" s="1" t="s">
        <v>241</v>
      </c>
      <c r="E2946" s="1" t="s">
        <v>28</v>
      </c>
      <c r="F2946" s="1" t="s">
        <v>228</v>
      </c>
      <c r="G2946" s="1" t="s">
        <v>229</v>
      </c>
      <c r="H2946" s="1" t="s">
        <v>48</v>
      </c>
      <c r="I2946">
        <v>51610</v>
      </c>
      <c r="J2946" s="3">
        <v>31.34</v>
      </c>
      <c r="K2946" s="3">
        <v>1617457.4</v>
      </c>
    </row>
    <row r="2947" spans="1:11" x14ac:dyDescent="0.2">
      <c r="A2947" s="1" t="s">
        <v>4061</v>
      </c>
      <c r="B2947" s="2">
        <v>45774</v>
      </c>
      <c r="C2947" s="1" t="s">
        <v>2319</v>
      </c>
      <c r="D2947" s="1" t="s">
        <v>2320</v>
      </c>
      <c r="E2947" s="1" t="s">
        <v>21</v>
      </c>
      <c r="F2947" s="1" t="s">
        <v>98</v>
      </c>
      <c r="G2947" s="1" t="s">
        <v>99</v>
      </c>
      <c r="H2947" s="1" t="s">
        <v>72</v>
      </c>
      <c r="I2947">
        <v>2257</v>
      </c>
      <c r="J2947" s="3">
        <v>32.42</v>
      </c>
      <c r="K2947" s="3">
        <v>73171.94</v>
      </c>
    </row>
    <row r="2948" spans="1:11" x14ac:dyDescent="0.2">
      <c r="A2948" s="1" t="s">
        <v>4062</v>
      </c>
      <c r="B2948" s="2">
        <v>45795</v>
      </c>
      <c r="C2948" s="1" t="s">
        <v>1105</v>
      </c>
      <c r="D2948" s="1" t="s">
        <v>1106</v>
      </c>
      <c r="E2948" s="1" t="s">
        <v>34</v>
      </c>
      <c r="F2948" s="1" t="s">
        <v>412</v>
      </c>
      <c r="G2948" s="1" t="s">
        <v>413</v>
      </c>
      <c r="H2948" s="1" t="s">
        <v>72</v>
      </c>
      <c r="I2948">
        <v>20330</v>
      </c>
      <c r="J2948" s="3">
        <v>21.68</v>
      </c>
      <c r="K2948" s="3">
        <v>440754.4</v>
      </c>
    </row>
    <row r="2949" spans="1:11" x14ac:dyDescent="0.2">
      <c r="A2949" s="1" t="s">
        <v>4063</v>
      </c>
      <c r="B2949" s="2">
        <v>45386</v>
      </c>
      <c r="C2949" s="1" t="s">
        <v>910</v>
      </c>
      <c r="D2949" s="1" t="s">
        <v>911</v>
      </c>
      <c r="E2949" s="1" t="s">
        <v>28</v>
      </c>
      <c r="F2949" s="1" t="s">
        <v>57</v>
      </c>
      <c r="G2949" s="1" t="s">
        <v>58</v>
      </c>
      <c r="H2949" s="1" t="s">
        <v>48</v>
      </c>
      <c r="I2949">
        <v>71756</v>
      </c>
      <c r="J2949" s="3">
        <v>5.13</v>
      </c>
      <c r="K2949" s="3">
        <v>368108.28</v>
      </c>
    </row>
    <row r="2950" spans="1:11" x14ac:dyDescent="0.2">
      <c r="A2950" s="1" t="s">
        <v>4064</v>
      </c>
      <c r="B2950" s="2">
        <v>45299</v>
      </c>
      <c r="C2950" s="1" t="s">
        <v>3733</v>
      </c>
      <c r="D2950" s="1" t="s">
        <v>3734</v>
      </c>
      <c r="E2950" s="1" t="s">
        <v>14</v>
      </c>
      <c r="F2950" s="1" t="s">
        <v>761</v>
      </c>
      <c r="G2950" s="1" t="s">
        <v>762</v>
      </c>
      <c r="H2950" s="1" t="s">
        <v>48</v>
      </c>
      <c r="I2950">
        <v>69087</v>
      </c>
      <c r="J2950" s="3">
        <v>49.88</v>
      </c>
      <c r="K2950" s="3">
        <v>3446059.56</v>
      </c>
    </row>
    <row r="2951" spans="1:11" x14ac:dyDescent="0.2">
      <c r="A2951" s="1" t="s">
        <v>4065</v>
      </c>
      <c r="B2951" s="2">
        <v>45671</v>
      </c>
      <c r="C2951" s="1" t="s">
        <v>1023</v>
      </c>
      <c r="D2951" s="1" t="s">
        <v>1024</v>
      </c>
      <c r="E2951" s="1" t="s">
        <v>37</v>
      </c>
      <c r="F2951" s="1" t="s">
        <v>217</v>
      </c>
      <c r="G2951" s="1" t="s">
        <v>218</v>
      </c>
      <c r="H2951" s="1" t="s">
        <v>72</v>
      </c>
      <c r="I2951">
        <v>85077</v>
      </c>
      <c r="J2951" s="3">
        <v>22.95</v>
      </c>
      <c r="K2951" s="3">
        <v>1952517.15</v>
      </c>
    </row>
    <row r="2952" spans="1:11" x14ac:dyDescent="0.2">
      <c r="A2952" s="1" t="s">
        <v>4066</v>
      </c>
      <c r="B2952" s="2">
        <v>45744</v>
      </c>
      <c r="C2952" s="1" t="s">
        <v>1516</v>
      </c>
      <c r="D2952" s="1" t="s">
        <v>1517</v>
      </c>
      <c r="E2952" s="1" t="s">
        <v>21</v>
      </c>
      <c r="F2952" s="1" t="s">
        <v>176</v>
      </c>
      <c r="G2952" s="1" t="s">
        <v>177</v>
      </c>
      <c r="H2952" s="1" t="s">
        <v>37</v>
      </c>
      <c r="I2952">
        <v>26092</v>
      </c>
      <c r="J2952" s="3">
        <v>34.96</v>
      </c>
      <c r="K2952" s="3">
        <v>912176.32</v>
      </c>
    </row>
    <row r="2953" spans="1:11" x14ac:dyDescent="0.2">
      <c r="A2953" s="1" t="s">
        <v>4067</v>
      </c>
      <c r="B2953" s="2">
        <v>45817</v>
      </c>
      <c r="C2953" s="1" t="s">
        <v>535</v>
      </c>
      <c r="D2953" s="1" t="s">
        <v>536</v>
      </c>
      <c r="E2953" s="1" t="s">
        <v>28</v>
      </c>
      <c r="F2953" s="1" t="s">
        <v>52</v>
      </c>
      <c r="G2953" s="1" t="s">
        <v>53</v>
      </c>
      <c r="H2953" s="1" t="s">
        <v>17</v>
      </c>
      <c r="I2953">
        <v>93326</v>
      </c>
      <c r="J2953" s="3">
        <v>43.51</v>
      </c>
      <c r="K2953" s="3">
        <v>4060614.26</v>
      </c>
    </row>
    <row r="2954" spans="1:11" x14ac:dyDescent="0.2">
      <c r="A2954" s="1" t="s">
        <v>4068</v>
      </c>
      <c r="B2954" s="2">
        <v>46022</v>
      </c>
      <c r="C2954" s="1" t="s">
        <v>633</v>
      </c>
      <c r="D2954" s="1" t="s">
        <v>634</v>
      </c>
      <c r="E2954" s="1" t="s">
        <v>34</v>
      </c>
      <c r="F2954" s="1" t="s">
        <v>103</v>
      </c>
      <c r="G2954" s="1" t="s">
        <v>104</v>
      </c>
      <c r="H2954" s="1" t="s">
        <v>37</v>
      </c>
      <c r="I2954">
        <v>7868</v>
      </c>
      <c r="J2954" s="3">
        <v>36.81</v>
      </c>
      <c r="K2954" s="3">
        <v>289621.08</v>
      </c>
    </row>
    <row r="2955" spans="1:11" x14ac:dyDescent="0.2">
      <c r="A2955" s="1" t="s">
        <v>4069</v>
      </c>
      <c r="B2955" s="2">
        <v>45554</v>
      </c>
      <c r="C2955" s="1" t="s">
        <v>1871</v>
      </c>
      <c r="D2955" s="1" t="s">
        <v>1872</v>
      </c>
      <c r="E2955" s="1" t="s">
        <v>34</v>
      </c>
      <c r="F2955" s="1" t="s">
        <v>339</v>
      </c>
      <c r="G2955" s="1" t="s">
        <v>340</v>
      </c>
      <c r="H2955" s="1" t="s">
        <v>24</v>
      </c>
      <c r="I2955">
        <v>10802</v>
      </c>
      <c r="J2955" s="3">
        <v>6.25</v>
      </c>
      <c r="K2955" s="3">
        <v>67512.5</v>
      </c>
    </row>
    <row r="2956" spans="1:11" x14ac:dyDescent="0.2">
      <c r="A2956" s="1" t="s">
        <v>4070</v>
      </c>
      <c r="B2956" s="2">
        <v>45836</v>
      </c>
      <c r="C2956" s="1" t="s">
        <v>2319</v>
      </c>
      <c r="D2956" s="1" t="s">
        <v>2320</v>
      </c>
      <c r="E2956" s="1" t="s">
        <v>21</v>
      </c>
      <c r="F2956" s="1" t="s">
        <v>139</v>
      </c>
      <c r="G2956" s="1" t="s">
        <v>140</v>
      </c>
      <c r="H2956" s="1" t="s">
        <v>24</v>
      </c>
      <c r="I2956">
        <v>56388</v>
      </c>
      <c r="J2956" s="3">
        <v>30.19</v>
      </c>
      <c r="K2956" s="3">
        <v>1702353.72</v>
      </c>
    </row>
    <row r="2957" spans="1:11" x14ac:dyDescent="0.2">
      <c r="A2957" s="1" t="s">
        <v>4071</v>
      </c>
      <c r="B2957" s="2">
        <v>45363</v>
      </c>
      <c r="C2957" s="1" t="s">
        <v>583</v>
      </c>
      <c r="D2957" s="1" t="s">
        <v>584</v>
      </c>
      <c r="E2957" s="1" t="s">
        <v>37</v>
      </c>
      <c r="F2957" s="1" t="s">
        <v>324</v>
      </c>
      <c r="G2957" s="1" t="s">
        <v>325</v>
      </c>
      <c r="H2957" s="1" t="s">
        <v>24</v>
      </c>
      <c r="I2957">
        <v>54412</v>
      </c>
      <c r="J2957" s="3">
        <v>44.42</v>
      </c>
      <c r="K2957" s="3">
        <v>2416981.04</v>
      </c>
    </row>
    <row r="2958" spans="1:11" x14ac:dyDescent="0.2">
      <c r="A2958" s="1" t="s">
        <v>4072</v>
      </c>
      <c r="B2958" s="2">
        <v>45383</v>
      </c>
      <c r="C2958" s="1" t="s">
        <v>559</v>
      </c>
      <c r="D2958" s="1" t="s">
        <v>560</v>
      </c>
      <c r="E2958" s="1" t="s">
        <v>14</v>
      </c>
      <c r="F2958" s="1" t="s">
        <v>339</v>
      </c>
      <c r="G2958" s="1" t="s">
        <v>340</v>
      </c>
      <c r="H2958" s="1" t="s">
        <v>24</v>
      </c>
      <c r="I2958">
        <v>79422</v>
      </c>
      <c r="J2958" s="3">
        <v>30.92</v>
      </c>
      <c r="K2958" s="3">
        <v>2455728.2400000002</v>
      </c>
    </row>
    <row r="2959" spans="1:11" x14ac:dyDescent="0.2">
      <c r="A2959" s="1" t="s">
        <v>4073</v>
      </c>
      <c r="B2959" s="2">
        <v>45688</v>
      </c>
      <c r="C2959" s="1" t="s">
        <v>636</v>
      </c>
      <c r="D2959" s="1" t="s">
        <v>637</v>
      </c>
      <c r="E2959" s="1" t="s">
        <v>21</v>
      </c>
      <c r="F2959" s="1" t="s">
        <v>46</v>
      </c>
      <c r="G2959" s="1" t="s">
        <v>47</v>
      </c>
      <c r="H2959" s="1" t="s">
        <v>48</v>
      </c>
      <c r="I2959">
        <v>39142</v>
      </c>
      <c r="J2959" s="3">
        <v>23.61</v>
      </c>
      <c r="K2959" s="3">
        <v>924142.62</v>
      </c>
    </row>
    <row r="2960" spans="1:11" x14ac:dyDescent="0.2">
      <c r="A2960" s="1" t="s">
        <v>4074</v>
      </c>
      <c r="B2960" s="2">
        <v>45917</v>
      </c>
      <c r="C2960" s="1" t="s">
        <v>583</v>
      </c>
      <c r="D2960" s="1" t="s">
        <v>584</v>
      </c>
      <c r="E2960" s="1" t="s">
        <v>37</v>
      </c>
      <c r="F2960" s="1" t="s">
        <v>412</v>
      </c>
      <c r="G2960" s="1" t="s">
        <v>413</v>
      </c>
      <c r="H2960" s="1" t="s">
        <v>72</v>
      </c>
      <c r="I2960">
        <v>44561</v>
      </c>
      <c r="J2960" s="3">
        <v>47.05</v>
      </c>
      <c r="K2960" s="3">
        <v>2096595.05</v>
      </c>
    </row>
    <row r="2961" spans="1:11" x14ac:dyDescent="0.2">
      <c r="A2961" s="1" t="s">
        <v>4075</v>
      </c>
      <c r="B2961" s="2">
        <v>45923</v>
      </c>
      <c r="C2961" s="1" t="s">
        <v>1781</v>
      </c>
      <c r="D2961" s="1" t="s">
        <v>1782</v>
      </c>
      <c r="E2961" s="1" t="s">
        <v>37</v>
      </c>
      <c r="F2961" s="1" t="s">
        <v>176</v>
      </c>
      <c r="G2961" s="1" t="s">
        <v>177</v>
      </c>
      <c r="H2961" s="1" t="s">
        <v>37</v>
      </c>
      <c r="I2961">
        <v>34610</v>
      </c>
      <c r="J2961" s="3">
        <v>41.67</v>
      </c>
      <c r="K2961" s="3">
        <v>1442198.7</v>
      </c>
    </row>
    <row r="2962" spans="1:11" x14ac:dyDescent="0.2">
      <c r="A2962" s="1" t="s">
        <v>4076</v>
      </c>
      <c r="B2962" s="2">
        <v>45794</v>
      </c>
      <c r="C2962" s="1" t="s">
        <v>1994</v>
      </c>
      <c r="D2962" s="1" t="s">
        <v>1995</v>
      </c>
      <c r="E2962" s="1" t="s">
        <v>28</v>
      </c>
      <c r="F2962" s="1" t="s">
        <v>176</v>
      </c>
      <c r="G2962" s="1" t="s">
        <v>177</v>
      </c>
      <c r="H2962" s="1" t="s">
        <v>37</v>
      </c>
      <c r="I2962">
        <v>79531</v>
      </c>
      <c r="J2962" s="3">
        <v>16.91</v>
      </c>
      <c r="K2962" s="3">
        <v>1344869.21</v>
      </c>
    </row>
    <row r="2963" spans="1:11" x14ac:dyDescent="0.2">
      <c r="A2963" s="1" t="s">
        <v>4077</v>
      </c>
      <c r="B2963" s="2">
        <v>45391</v>
      </c>
      <c r="C2963" s="1" t="s">
        <v>1125</v>
      </c>
      <c r="D2963" s="1" t="s">
        <v>1126</v>
      </c>
      <c r="E2963" s="1" t="s">
        <v>21</v>
      </c>
      <c r="F2963" s="1" t="s">
        <v>350</v>
      </c>
      <c r="G2963" s="1" t="s">
        <v>351</v>
      </c>
      <c r="H2963" s="1" t="s">
        <v>37</v>
      </c>
      <c r="I2963">
        <v>99340</v>
      </c>
      <c r="J2963" s="3">
        <v>36.44</v>
      </c>
      <c r="K2963" s="3">
        <v>3619949.6</v>
      </c>
    </row>
    <row r="2964" spans="1:11" x14ac:dyDescent="0.2">
      <c r="A2964" s="1" t="s">
        <v>4078</v>
      </c>
      <c r="B2964" s="2">
        <v>45933</v>
      </c>
      <c r="C2964" s="1" t="s">
        <v>2442</v>
      </c>
      <c r="D2964" s="1" t="s">
        <v>2443</v>
      </c>
      <c r="E2964" s="1" t="s">
        <v>34</v>
      </c>
      <c r="F2964" s="1" t="s">
        <v>203</v>
      </c>
      <c r="G2964" s="1" t="s">
        <v>204</v>
      </c>
      <c r="H2964" s="1" t="s">
        <v>72</v>
      </c>
      <c r="I2964">
        <v>76838</v>
      </c>
      <c r="J2964" s="3">
        <v>16.579999999999998</v>
      </c>
      <c r="K2964" s="3">
        <v>1273974.04</v>
      </c>
    </row>
    <row r="2965" spans="1:11" x14ac:dyDescent="0.2">
      <c r="A2965" s="1" t="s">
        <v>4079</v>
      </c>
      <c r="B2965" s="2">
        <v>45969</v>
      </c>
      <c r="C2965" s="1" t="s">
        <v>431</v>
      </c>
      <c r="D2965" s="1" t="s">
        <v>432</v>
      </c>
      <c r="E2965" s="1" t="s">
        <v>14</v>
      </c>
      <c r="F2965" s="1" t="s">
        <v>152</v>
      </c>
      <c r="G2965" s="1" t="s">
        <v>153</v>
      </c>
      <c r="H2965" s="1" t="s">
        <v>17</v>
      </c>
      <c r="I2965">
        <v>1932</v>
      </c>
      <c r="J2965" s="3">
        <v>28</v>
      </c>
      <c r="K2965" s="3">
        <v>54096</v>
      </c>
    </row>
    <row r="2966" spans="1:11" x14ac:dyDescent="0.2">
      <c r="A2966" s="1" t="s">
        <v>4080</v>
      </c>
      <c r="B2966" s="2">
        <v>45322</v>
      </c>
      <c r="C2966" s="1" t="s">
        <v>788</v>
      </c>
      <c r="D2966" s="1" t="s">
        <v>789</v>
      </c>
      <c r="E2966" s="1" t="s">
        <v>14</v>
      </c>
      <c r="F2966" s="1" t="s">
        <v>108</v>
      </c>
      <c r="G2966" s="1" t="s">
        <v>109</v>
      </c>
      <c r="H2966" s="1" t="s">
        <v>37</v>
      </c>
      <c r="I2966">
        <v>17536</v>
      </c>
      <c r="J2966" s="3">
        <v>15.53</v>
      </c>
      <c r="K2966" s="3">
        <v>272334.08000000002</v>
      </c>
    </row>
    <row r="2967" spans="1:11" x14ac:dyDescent="0.2">
      <c r="A2967" s="1" t="s">
        <v>4081</v>
      </c>
      <c r="B2967" s="2">
        <v>45329</v>
      </c>
      <c r="C2967" s="1" t="s">
        <v>966</v>
      </c>
      <c r="D2967" s="1" t="s">
        <v>967</v>
      </c>
      <c r="E2967" s="1" t="s">
        <v>34</v>
      </c>
      <c r="F2967" s="1" t="s">
        <v>284</v>
      </c>
      <c r="G2967" s="1" t="s">
        <v>285</v>
      </c>
      <c r="H2967" s="1" t="s">
        <v>37</v>
      </c>
      <c r="I2967">
        <v>16391</v>
      </c>
      <c r="J2967" s="3">
        <v>46.72</v>
      </c>
      <c r="K2967" s="3">
        <v>765787.52</v>
      </c>
    </row>
    <row r="2968" spans="1:11" x14ac:dyDescent="0.2">
      <c r="A2968" s="1" t="s">
        <v>4082</v>
      </c>
      <c r="B2968" s="2">
        <v>46006</v>
      </c>
      <c r="C2968" s="1" t="s">
        <v>2059</v>
      </c>
      <c r="D2968" s="1" t="s">
        <v>2060</v>
      </c>
      <c r="E2968" s="1" t="s">
        <v>21</v>
      </c>
      <c r="F2968" s="1" t="s">
        <v>157</v>
      </c>
      <c r="G2968" s="1" t="s">
        <v>158</v>
      </c>
      <c r="H2968" s="1" t="s">
        <v>48</v>
      </c>
      <c r="I2968">
        <v>45960</v>
      </c>
      <c r="J2968" s="3">
        <v>37.85</v>
      </c>
      <c r="K2968" s="3">
        <v>1739586</v>
      </c>
    </row>
    <row r="2969" spans="1:11" x14ac:dyDescent="0.2">
      <c r="A2969" s="1" t="s">
        <v>4083</v>
      </c>
      <c r="B2969" s="2">
        <v>45518</v>
      </c>
      <c r="C2969" s="1" t="s">
        <v>137</v>
      </c>
      <c r="D2969" s="1" t="s">
        <v>138</v>
      </c>
      <c r="E2969" s="1" t="s">
        <v>37</v>
      </c>
      <c r="F2969" s="1" t="s">
        <v>474</v>
      </c>
      <c r="G2969" s="1" t="s">
        <v>475</v>
      </c>
      <c r="H2969" s="1" t="s">
        <v>48</v>
      </c>
      <c r="I2969">
        <v>37419</v>
      </c>
      <c r="J2969" s="3">
        <v>39.86</v>
      </c>
      <c r="K2969" s="3">
        <v>1491521.34</v>
      </c>
    </row>
    <row r="2970" spans="1:11" x14ac:dyDescent="0.2">
      <c r="A2970" s="1" t="s">
        <v>4084</v>
      </c>
      <c r="B2970" s="2">
        <v>45409</v>
      </c>
      <c r="C2970" s="1" t="s">
        <v>1994</v>
      </c>
      <c r="D2970" s="1" t="s">
        <v>1995</v>
      </c>
      <c r="E2970" s="1" t="s">
        <v>28</v>
      </c>
      <c r="F2970" s="1" t="s">
        <v>208</v>
      </c>
      <c r="G2970" s="1" t="s">
        <v>209</v>
      </c>
      <c r="H2970" s="1" t="s">
        <v>17</v>
      </c>
      <c r="I2970">
        <v>71239</v>
      </c>
      <c r="J2970" s="3">
        <v>38.43</v>
      </c>
      <c r="K2970" s="3">
        <v>2737714.77</v>
      </c>
    </row>
    <row r="2971" spans="1:11" x14ac:dyDescent="0.2">
      <c r="A2971" s="1" t="s">
        <v>4085</v>
      </c>
      <c r="B2971" s="2">
        <v>45532</v>
      </c>
      <c r="C2971" s="1" t="s">
        <v>737</v>
      </c>
      <c r="D2971" s="1" t="s">
        <v>738</v>
      </c>
      <c r="E2971" s="1" t="s">
        <v>37</v>
      </c>
      <c r="F2971" s="1" t="s">
        <v>144</v>
      </c>
      <c r="G2971" s="1" t="s">
        <v>145</v>
      </c>
      <c r="H2971" s="1" t="s">
        <v>24</v>
      </c>
      <c r="I2971">
        <v>43620</v>
      </c>
      <c r="J2971" s="3">
        <v>49.62</v>
      </c>
      <c r="K2971" s="3">
        <v>2164424.4</v>
      </c>
    </row>
    <row r="2972" spans="1:11" x14ac:dyDescent="0.2">
      <c r="A2972" s="1" t="s">
        <v>4086</v>
      </c>
      <c r="B2972" s="2">
        <v>45613</v>
      </c>
      <c r="C2972" s="1" t="s">
        <v>1194</v>
      </c>
      <c r="D2972" s="1" t="s">
        <v>1195</v>
      </c>
      <c r="E2972" s="1" t="s">
        <v>28</v>
      </c>
      <c r="F2972" s="1" t="s">
        <v>46</v>
      </c>
      <c r="G2972" s="1" t="s">
        <v>47</v>
      </c>
      <c r="H2972" s="1" t="s">
        <v>48</v>
      </c>
      <c r="I2972">
        <v>34889</v>
      </c>
      <c r="J2972" s="3">
        <v>14.01</v>
      </c>
      <c r="K2972" s="3">
        <v>488794.89</v>
      </c>
    </row>
    <row r="2973" spans="1:11" x14ac:dyDescent="0.2">
      <c r="A2973" s="1" t="s">
        <v>4087</v>
      </c>
      <c r="B2973" s="2">
        <v>45857</v>
      </c>
      <c r="C2973" s="1" t="s">
        <v>1550</v>
      </c>
      <c r="D2973" s="1" t="s">
        <v>1551</v>
      </c>
      <c r="E2973" s="1" t="s">
        <v>37</v>
      </c>
      <c r="F2973" s="1" t="s">
        <v>176</v>
      </c>
      <c r="G2973" s="1" t="s">
        <v>177</v>
      </c>
      <c r="H2973" s="1" t="s">
        <v>37</v>
      </c>
      <c r="I2973">
        <v>62864</v>
      </c>
      <c r="J2973" s="3">
        <v>4.3600000000000003</v>
      </c>
      <c r="K2973" s="3">
        <v>274087.03999999998</v>
      </c>
    </row>
    <row r="2974" spans="1:11" x14ac:dyDescent="0.2">
      <c r="A2974" s="1" t="s">
        <v>4088</v>
      </c>
      <c r="B2974" s="2">
        <v>45412</v>
      </c>
      <c r="C2974" s="1" t="s">
        <v>1061</v>
      </c>
      <c r="D2974" s="1" t="s">
        <v>1062</v>
      </c>
      <c r="E2974" s="1" t="s">
        <v>14</v>
      </c>
      <c r="F2974" s="1" t="s">
        <v>139</v>
      </c>
      <c r="G2974" s="1" t="s">
        <v>140</v>
      </c>
      <c r="H2974" s="1" t="s">
        <v>24</v>
      </c>
      <c r="I2974">
        <v>56799</v>
      </c>
      <c r="J2974" s="3">
        <v>12.69</v>
      </c>
      <c r="K2974" s="3">
        <v>720779.31</v>
      </c>
    </row>
    <row r="2975" spans="1:11" x14ac:dyDescent="0.2">
      <c r="A2975" s="1" t="s">
        <v>4089</v>
      </c>
      <c r="B2975" s="2">
        <v>45879</v>
      </c>
      <c r="C2975" s="1" t="s">
        <v>2319</v>
      </c>
      <c r="D2975" s="1" t="s">
        <v>2320</v>
      </c>
      <c r="E2975" s="1" t="s">
        <v>21</v>
      </c>
      <c r="F2975" s="1" t="s">
        <v>41</v>
      </c>
      <c r="G2975" s="1" t="s">
        <v>42</v>
      </c>
      <c r="H2975" s="1" t="s">
        <v>24</v>
      </c>
      <c r="I2975">
        <v>41626</v>
      </c>
      <c r="J2975" s="3">
        <v>17.82</v>
      </c>
      <c r="K2975" s="3">
        <v>741775.32</v>
      </c>
    </row>
    <row r="2976" spans="1:11" x14ac:dyDescent="0.2">
      <c r="A2976" s="1" t="s">
        <v>4090</v>
      </c>
      <c r="B2976" s="2">
        <v>45687</v>
      </c>
      <c r="C2976" s="1" t="s">
        <v>1237</v>
      </c>
      <c r="D2976" s="1" t="s">
        <v>1238</v>
      </c>
      <c r="E2976" s="1" t="s">
        <v>34</v>
      </c>
      <c r="F2976" s="1" t="s">
        <v>113</v>
      </c>
      <c r="G2976" s="1" t="s">
        <v>114</v>
      </c>
      <c r="H2976" s="1" t="s">
        <v>37</v>
      </c>
      <c r="I2976">
        <v>22018</v>
      </c>
      <c r="J2976" s="3">
        <v>6.15</v>
      </c>
      <c r="K2976" s="3">
        <v>135410.70000000001</v>
      </c>
    </row>
    <row r="2977" spans="1:11" x14ac:dyDescent="0.2">
      <c r="A2977" s="1" t="s">
        <v>4091</v>
      </c>
      <c r="B2977" s="2">
        <v>45778</v>
      </c>
      <c r="C2977" s="1" t="s">
        <v>639</v>
      </c>
      <c r="D2977" s="1" t="s">
        <v>640</v>
      </c>
      <c r="E2977" s="1" t="s">
        <v>28</v>
      </c>
      <c r="F2977" s="1" t="s">
        <v>195</v>
      </c>
      <c r="G2977" s="1" t="s">
        <v>196</v>
      </c>
      <c r="H2977" s="1" t="s">
        <v>48</v>
      </c>
      <c r="I2977">
        <v>34671</v>
      </c>
      <c r="J2977" s="3">
        <v>46.96</v>
      </c>
      <c r="K2977" s="3">
        <v>1628150.16</v>
      </c>
    </row>
    <row r="2978" spans="1:11" x14ac:dyDescent="0.2">
      <c r="A2978" s="1" t="s">
        <v>4092</v>
      </c>
      <c r="B2978" s="2">
        <v>45981</v>
      </c>
      <c r="C2978" s="1" t="s">
        <v>963</v>
      </c>
      <c r="D2978" s="1" t="s">
        <v>964</v>
      </c>
      <c r="E2978" s="1" t="s">
        <v>37</v>
      </c>
      <c r="F2978" s="1" t="s">
        <v>41</v>
      </c>
      <c r="G2978" s="1" t="s">
        <v>42</v>
      </c>
      <c r="H2978" s="1" t="s">
        <v>24</v>
      </c>
      <c r="I2978">
        <v>71845</v>
      </c>
      <c r="J2978" s="3">
        <v>47.06</v>
      </c>
      <c r="K2978" s="3">
        <v>3381025.7</v>
      </c>
    </row>
    <row r="2979" spans="1:11" x14ac:dyDescent="0.2">
      <c r="A2979" s="1" t="s">
        <v>4093</v>
      </c>
      <c r="B2979" s="2">
        <v>45348</v>
      </c>
      <c r="C2979" s="1" t="s">
        <v>969</v>
      </c>
      <c r="D2979" s="1" t="s">
        <v>970</v>
      </c>
      <c r="E2979" s="1" t="s">
        <v>37</v>
      </c>
      <c r="F2979" s="1" t="s">
        <v>108</v>
      </c>
      <c r="G2979" s="1" t="s">
        <v>109</v>
      </c>
      <c r="H2979" s="1" t="s">
        <v>37</v>
      </c>
      <c r="I2979">
        <v>32946</v>
      </c>
      <c r="J2979" s="3">
        <v>4.91</v>
      </c>
      <c r="K2979" s="3">
        <v>161764.85999999999</v>
      </c>
    </row>
    <row r="2980" spans="1:11" x14ac:dyDescent="0.2">
      <c r="A2980" s="1" t="s">
        <v>4094</v>
      </c>
      <c r="B2980" s="2">
        <v>45536</v>
      </c>
      <c r="C2980" s="1" t="s">
        <v>32</v>
      </c>
      <c r="D2980" s="1" t="s">
        <v>33</v>
      </c>
      <c r="E2980" s="1" t="s">
        <v>34</v>
      </c>
      <c r="F2980" s="1" t="s">
        <v>139</v>
      </c>
      <c r="G2980" s="1" t="s">
        <v>140</v>
      </c>
      <c r="H2980" s="1" t="s">
        <v>24</v>
      </c>
      <c r="I2980">
        <v>61489</v>
      </c>
      <c r="J2980" s="3">
        <v>14.6</v>
      </c>
      <c r="K2980" s="3">
        <v>897739.4</v>
      </c>
    </row>
    <row r="2981" spans="1:11" x14ac:dyDescent="0.2">
      <c r="A2981" s="1" t="s">
        <v>4095</v>
      </c>
      <c r="B2981" s="2">
        <v>45380</v>
      </c>
      <c r="C2981" s="1" t="s">
        <v>1757</v>
      </c>
      <c r="D2981" s="1" t="s">
        <v>1758</v>
      </c>
      <c r="E2981" s="1" t="s">
        <v>37</v>
      </c>
      <c r="F2981" s="1" t="s">
        <v>552</v>
      </c>
      <c r="G2981" s="1" t="s">
        <v>553</v>
      </c>
      <c r="H2981" s="1" t="s">
        <v>37</v>
      </c>
      <c r="I2981">
        <v>17695</v>
      </c>
      <c r="J2981" s="3">
        <v>5.85</v>
      </c>
      <c r="K2981" s="3">
        <v>103515.75</v>
      </c>
    </row>
    <row r="2982" spans="1:11" x14ac:dyDescent="0.2">
      <c r="A2982" s="1" t="s">
        <v>4096</v>
      </c>
      <c r="B2982" s="2">
        <v>45870</v>
      </c>
      <c r="C2982" s="1" t="s">
        <v>535</v>
      </c>
      <c r="D2982" s="1" t="s">
        <v>536</v>
      </c>
      <c r="E2982" s="1" t="s">
        <v>28</v>
      </c>
      <c r="F2982" s="1" t="s">
        <v>273</v>
      </c>
      <c r="G2982" s="1" t="s">
        <v>274</v>
      </c>
      <c r="H2982" s="1" t="s">
        <v>24</v>
      </c>
      <c r="I2982">
        <v>23180</v>
      </c>
      <c r="J2982" s="3">
        <v>43.41</v>
      </c>
      <c r="K2982" s="3">
        <v>1006243.8</v>
      </c>
    </row>
    <row r="2983" spans="1:11" x14ac:dyDescent="0.2">
      <c r="A2983" s="1" t="s">
        <v>4097</v>
      </c>
      <c r="B2983" s="2">
        <v>45576</v>
      </c>
      <c r="C2983" s="1" t="s">
        <v>2031</v>
      </c>
      <c r="D2983" s="1" t="s">
        <v>2032</v>
      </c>
      <c r="E2983" s="1" t="s">
        <v>14</v>
      </c>
      <c r="F2983" s="1" t="s">
        <v>157</v>
      </c>
      <c r="G2983" s="1" t="s">
        <v>158</v>
      </c>
      <c r="H2983" s="1" t="s">
        <v>48</v>
      </c>
      <c r="I2983">
        <v>92890</v>
      </c>
      <c r="J2983" s="3">
        <v>22.14</v>
      </c>
      <c r="K2983" s="3">
        <v>2056584.6</v>
      </c>
    </row>
    <row r="2984" spans="1:11" x14ac:dyDescent="0.2">
      <c r="A2984" s="1" t="s">
        <v>4098</v>
      </c>
      <c r="B2984" s="2">
        <v>45484</v>
      </c>
      <c r="C2984" s="1" t="s">
        <v>1446</v>
      </c>
      <c r="D2984" s="1" t="s">
        <v>1447</v>
      </c>
      <c r="E2984" s="1" t="s">
        <v>37</v>
      </c>
      <c r="F2984" s="1" t="s">
        <v>228</v>
      </c>
      <c r="G2984" s="1" t="s">
        <v>229</v>
      </c>
      <c r="H2984" s="1" t="s">
        <v>48</v>
      </c>
      <c r="I2984">
        <v>37736</v>
      </c>
      <c r="J2984" s="3">
        <v>21.83</v>
      </c>
      <c r="K2984" s="3">
        <v>823776.88</v>
      </c>
    </row>
    <row r="2985" spans="1:11" x14ac:dyDescent="0.2">
      <c r="A2985" s="1" t="s">
        <v>4099</v>
      </c>
      <c r="B2985" s="2">
        <v>45454</v>
      </c>
      <c r="C2985" s="1" t="s">
        <v>920</v>
      </c>
      <c r="D2985" s="1" t="s">
        <v>921</v>
      </c>
      <c r="E2985" s="1" t="s">
        <v>14</v>
      </c>
      <c r="F2985" s="1" t="s">
        <v>195</v>
      </c>
      <c r="G2985" s="1" t="s">
        <v>196</v>
      </c>
      <c r="H2985" s="1" t="s">
        <v>48</v>
      </c>
      <c r="I2985">
        <v>47294</v>
      </c>
      <c r="J2985" s="3">
        <v>42.77</v>
      </c>
      <c r="K2985" s="3">
        <v>2022764.38</v>
      </c>
    </row>
    <row r="2986" spans="1:11" x14ac:dyDescent="0.2">
      <c r="A2986" s="1" t="s">
        <v>4100</v>
      </c>
      <c r="B2986" s="2">
        <v>45512</v>
      </c>
      <c r="C2986" s="1" t="s">
        <v>1197</v>
      </c>
      <c r="D2986" s="1" t="s">
        <v>1198</v>
      </c>
      <c r="E2986" s="1" t="s">
        <v>34</v>
      </c>
      <c r="F2986" s="1" t="s">
        <v>165</v>
      </c>
      <c r="G2986" s="1" t="s">
        <v>166</v>
      </c>
      <c r="H2986" s="1" t="s">
        <v>24</v>
      </c>
      <c r="I2986">
        <v>97545</v>
      </c>
      <c r="J2986" s="3">
        <v>6.84</v>
      </c>
      <c r="K2986" s="3">
        <v>667207.80000000005</v>
      </c>
    </row>
    <row r="2987" spans="1:11" x14ac:dyDescent="0.2">
      <c r="A2987" s="1" t="s">
        <v>4101</v>
      </c>
      <c r="B2987" s="2">
        <v>45676</v>
      </c>
      <c r="C2987" s="1" t="s">
        <v>1810</v>
      </c>
      <c r="D2987" s="1" t="s">
        <v>1811</v>
      </c>
      <c r="E2987" s="1" t="s">
        <v>21</v>
      </c>
      <c r="F2987" s="1" t="s">
        <v>76</v>
      </c>
      <c r="G2987" s="1" t="s">
        <v>77</v>
      </c>
      <c r="H2987" s="1" t="s">
        <v>48</v>
      </c>
      <c r="I2987">
        <v>79885</v>
      </c>
      <c r="J2987" s="3">
        <v>7.3</v>
      </c>
      <c r="K2987" s="3">
        <v>583160.5</v>
      </c>
    </row>
    <row r="2988" spans="1:11" x14ac:dyDescent="0.2">
      <c r="A2988" s="1" t="s">
        <v>4102</v>
      </c>
      <c r="B2988" s="2">
        <v>45823</v>
      </c>
      <c r="C2988" s="1" t="s">
        <v>2467</v>
      </c>
      <c r="D2988" s="1" t="s">
        <v>2468</v>
      </c>
      <c r="E2988" s="1" t="s">
        <v>37</v>
      </c>
      <c r="F2988" s="1" t="s">
        <v>98</v>
      </c>
      <c r="G2988" s="1" t="s">
        <v>99</v>
      </c>
      <c r="H2988" s="1" t="s">
        <v>72</v>
      </c>
      <c r="I2988">
        <v>31904</v>
      </c>
      <c r="J2988" s="3">
        <v>2.36</v>
      </c>
      <c r="K2988" s="3">
        <v>75293.440000000002</v>
      </c>
    </row>
    <row r="2989" spans="1:11" x14ac:dyDescent="0.2">
      <c r="A2989" s="1" t="s">
        <v>4103</v>
      </c>
      <c r="B2989" s="2">
        <v>45321</v>
      </c>
      <c r="C2989" s="1" t="s">
        <v>365</v>
      </c>
      <c r="D2989" s="1" t="s">
        <v>366</v>
      </c>
      <c r="E2989" s="1" t="s">
        <v>14</v>
      </c>
      <c r="F2989" s="1" t="s">
        <v>217</v>
      </c>
      <c r="G2989" s="1" t="s">
        <v>218</v>
      </c>
      <c r="H2989" s="1" t="s">
        <v>72</v>
      </c>
      <c r="I2989">
        <v>91351</v>
      </c>
      <c r="J2989" s="3">
        <v>25.49</v>
      </c>
      <c r="K2989" s="3">
        <v>2328536.9900000002</v>
      </c>
    </row>
    <row r="2990" spans="1:11" x14ac:dyDescent="0.2">
      <c r="A2990" s="1" t="s">
        <v>4104</v>
      </c>
      <c r="B2990" s="2">
        <v>46022</v>
      </c>
      <c r="C2990" s="1" t="s">
        <v>1999</v>
      </c>
      <c r="D2990" s="1" t="s">
        <v>2000</v>
      </c>
      <c r="E2990" s="1" t="s">
        <v>21</v>
      </c>
      <c r="F2990" s="1" t="s">
        <v>273</v>
      </c>
      <c r="G2990" s="1" t="s">
        <v>274</v>
      </c>
      <c r="H2990" s="1" t="s">
        <v>24</v>
      </c>
      <c r="I2990">
        <v>39457</v>
      </c>
      <c r="J2990" s="3">
        <v>41.24</v>
      </c>
      <c r="K2990" s="3">
        <v>1627206.68</v>
      </c>
    </row>
    <row r="2991" spans="1:11" x14ac:dyDescent="0.2">
      <c r="A2991" s="1" t="s">
        <v>4105</v>
      </c>
      <c r="B2991" s="2">
        <v>45951</v>
      </c>
      <c r="C2991" s="1" t="s">
        <v>90</v>
      </c>
      <c r="D2991" s="1" t="s">
        <v>91</v>
      </c>
      <c r="E2991" s="1" t="s">
        <v>28</v>
      </c>
      <c r="F2991" s="1" t="s">
        <v>237</v>
      </c>
      <c r="G2991" s="1" t="s">
        <v>238</v>
      </c>
      <c r="H2991" s="1" t="s">
        <v>17</v>
      </c>
      <c r="I2991">
        <v>55247</v>
      </c>
      <c r="J2991" s="3">
        <v>22.64</v>
      </c>
      <c r="K2991" s="3">
        <v>1250792.08</v>
      </c>
    </row>
    <row r="2992" spans="1:11" x14ac:dyDescent="0.2">
      <c r="A2992" s="1" t="s">
        <v>4106</v>
      </c>
      <c r="B2992" s="2">
        <v>45626</v>
      </c>
      <c r="C2992" s="1" t="s">
        <v>2273</v>
      </c>
      <c r="D2992" s="1" t="s">
        <v>2274</v>
      </c>
      <c r="E2992" s="1" t="s">
        <v>28</v>
      </c>
      <c r="F2992" s="1" t="s">
        <v>15</v>
      </c>
      <c r="G2992" s="1" t="s">
        <v>16</v>
      </c>
      <c r="H2992" s="1" t="s">
        <v>17</v>
      </c>
      <c r="I2992">
        <v>57324</v>
      </c>
      <c r="J2992" s="3">
        <v>36.659999999999997</v>
      </c>
      <c r="K2992" s="3">
        <v>2101497.84</v>
      </c>
    </row>
    <row r="2993" spans="1:11" x14ac:dyDescent="0.2">
      <c r="A2993" s="1" t="s">
        <v>4107</v>
      </c>
      <c r="B2993" s="2">
        <v>45788</v>
      </c>
      <c r="C2993" s="1" t="s">
        <v>1204</v>
      </c>
      <c r="D2993" s="1" t="s">
        <v>1205</v>
      </c>
      <c r="E2993" s="1" t="s">
        <v>14</v>
      </c>
      <c r="F2993" s="1" t="s">
        <v>113</v>
      </c>
      <c r="G2993" s="1" t="s">
        <v>114</v>
      </c>
      <c r="H2993" s="1" t="s">
        <v>37</v>
      </c>
      <c r="I2993">
        <v>24419</v>
      </c>
      <c r="J2993" s="3">
        <v>34.119999999999997</v>
      </c>
      <c r="K2993" s="3">
        <v>833176.28</v>
      </c>
    </row>
    <row r="2994" spans="1:11" x14ac:dyDescent="0.2">
      <c r="A2994" s="1" t="s">
        <v>4108</v>
      </c>
      <c r="B2994" s="2">
        <v>46006</v>
      </c>
      <c r="C2994" s="1" t="s">
        <v>794</v>
      </c>
      <c r="D2994" s="1" t="s">
        <v>795</v>
      </c>
      <c r="E2994" s="1" t="s">
        <v>28</v>
      </c>
      <c r="F2994" s="1" t="s">
        <v>203</v>
      </c>
      <c r="G2994" s="1" t="s">
        <v>204</v>
      </c>
      <c r="H2994" s="1" t="s">
        <v>72</v>
      </c>
      <c r="I2994">
        <v>86272</v>
      </c>
      <c r="J2994" s="3">
        <v>7.94</v>
      </c>
      <c r="K2994" s="3">
        <v>684999.68000000005</v>
      </c>
    </row>
    <row r="2995" spans="1:11" x14ac:dyDescent="0.2">
      <c r="A2995" s="1" t="s">
        <v>4109</v>
      </c>
      <c r="B2995" s="2">
        <v>45601</v>
      </c>
      <c r="C2995" s="1" t="s">
        <v>1397</v>
      </c>
      <c r="D2995" s="1" t="s">
        <v>1398</v>
      </c>
      <c r="E2995" s="1" t="s">
        <v>14</v>
      </c>
      <c r="F2995" s="1" t="s">
        <v>157</v>
      </c>
      <c r="G2995" s="1" t="s">
        <v>158</v>
      </c>
      <c r="H2995" s="1" t="s">
        <v>48</v>
      </c>
      <c r="I2995">
        <v>15620</v>
      </c>
      <c r="J2995" s="3">
        <v>25.28</v>
      </c>
      <c r="K2995" s="3">
        <v>394873.59999999998</v>
      </c>
    </row>
    <row r="2996" spans="1:11" x14ac:dyDescent="0.2">
      <c r="A2996" s="1" t="s">
        <v>4110</v>
      </c>
      <c r="B2996" s="2">
        <v>45348</v>
      </c>
      <c r="C2996" s="1" t="s">
        <v>2613</v>
      </c>
      <c r="D2996" s="1" t="s">
        <v>2614</v>
      </c>
      <c r="E2996" s="1" t="s">
        <v>28</v>
      </c>
      <c r="F2996" s="1" t="s">
        <v>98</v>
      </c>
      <c r="G2996" s="1" t="s">
        <v>99</v>
      </c>
      <c r="H2996" s="1" t="s">
        <v>72</v>
      </c>
      <c r="I2996">
        <v>60499</v>
      </c>
      <c r="J2996" s="3">
        <v>30.15</v>
      </c>
      <c r="K2996" s="3">
        <v>1824044.85</v>
      </c>
    </row>
    <row r="2997" spans="1:11" x14ac:dyDescent="0.2">
      <c r="A2997" s="1" t="s">
        <v>4111</v>
      </c>
      <c r="B2997" s="2">
        <v>45439</v>
      </c>
      <c r="C2997" s="1" t="s">
        <v>1368</v>
      </c>
      <c r="D2997" s="1" t="s">
        <v>1369</v>
      </c>
      <c r="E2997" s="1" t="s">
        <v>28</v>
      </c>
      <c r="F2997" s="1" t="s">
        <v>406</v>
      </c>
      <c r="G2997" s="1" t="s">
        <v>407</v>
      </c>
      <c r="H2997" s="1" t="s">
        <v>17</v>
      </c>
      <c r="I2997">
        <v>91230</v>
      </c>
      <c r="J2997" s="3">
        <v>29.93</v>
      </c>
      <c r="K2997" s="3">
        <v>2730513.9</v>
      </c>
    </row>
    <row r="2998" spans="1:11" x14ac:dyDescent="0.2">
      <c r="A2998" s="1" t="s">
        <v>4112</v>
      </c>
      <c r="B2998" s="2">
        <v>45640</v>
      </c>
      <c r="C2998" s="1" t="s">
        <v>913</v>
      </c>
      <c r="D2998" s="1" t="s">
        <v>914</v>
      </c>
      <c r="E2998" s="1" t="s">
        <v>37</v>
      </c>
      <c r="F2998" s="1" t="s">
        <v>208</v>
      </c>
      <c r="G2998" s="1" t="s">
        <v>209</v>
      </c>
      <c r="H2998" s="1" t="s">
        <v>17</v>
      </c>
      <c r="I2998">
        <v>99044</v>
      </c>
      <c r="J2998" s="3">
        <v>28.12</v>
      </c>
      <c r="K2998" s="3">
        <v>2785117.28</v>
      </c>
    </row>
    <row r="2999" spans="1:11" x14ac:dyDescent="0.2">
      <c r="A2999" s="1" t="s">
        <v>4113</v>
      </c>
      <c r="B2999" s="2">
        <v>45995</v>
      </c>
      <c r="C2999" s="1" t="s">
        <v>844</v>
      </c>
      <c r="D2999" s="1" t="s">
        <v>845</v>
      </c>
      <c r="E2999" s="1" t="s">
        <v>37</v>
      </c>
      <c r="F2999" s="1" t="s">
        <v>41</v>
      </c>
      <c r="G2999" s="1" t="s">
        <v>42</v>
      </c>
      <c r="H2999" s="1" t="s">
        <v>24</v>
      </c>
      <c r="I2999">
        <v>98487</v>
      </c>
      <c r="J2999" s="3">
        <v>38.49</v>
      </c>
      <c r="K2999" s="3">
        <v>3790764.63</v>
      </c>
    </row>
    <row r="3000" spans="1:11" x14ac:dyDescent="0.2">
      <c r="A3000" s="1" t="s">
        <v>4114</v>
      </c>
      <c r="B3000" s="2">
        <v>45902</v>
      </c>
      <c r="C3000" s="1" t="s">
        <v>87</v>
      </c>
      <c r="D3000" s="1" t="s">
        <v>88</v>
      </c>
      <c r="E3000" s="1" t="s">
        <v>14</v>
      </c>
      <c r="F3000" s="1" t="s">
        <v>15</v>
      </c>
      <c r="G3000" s="1" t="s">
        <v>16</v>
      </c>
      <c r="H3000" s="1" t="s">
        <v>17</v>
      </c>
      <c r="I3000">
        <v>33095</v>
      </c>
      <c r="J3000" s="3">
        <v>7.45</v>
      </c>
      <c r="K3000" s="3">
        <v>246557.75</v>
      </c>
    </row>
    <row r="3001" spans="1:11" x14ac:dyDescent="0.2">
      <c r="A3001" s="1" t="s">
        <v>4115</v>
      </c>
      <c r="B3001" s="2">
        <v>45809</v>
      </c>
      <c r="C3001" s="1" t="s">
        <v>1408</v>
      </c>
      <c r="D3001" s="1" t="s">
        <v>1409</v>
      </c>
      <c r="E3001" s="1" t="s">
        <v>21</v>
      </c>
      <c r="F3001" s="1" t="s">
        <v>330</v>
      </c>
      <c r="G3001" s="1" t="s">
        <v>331</v>
      </c>
      <c r="H3001" s="1" t="s">
        <v>72</v>
      </c>
      <c r="I3001">
        <v>20684</v>
      </c>
      <c r="J3001" s="3">
        <v>8.19</v>
      </c>
      <c r="K3001" s="3">
        <v>169401.96</v>
      </c>
    </row>
    <row r="3002" spans="1:11" x14ac:dyDescent="0.2">
      <c r="A3002" s="1" t="s">
        <v>4116</v>
      </c>
      <c r="B3002" s="2">
        <v>45406</v>
      </c>
      <c r="C3002" s="1" t="s">
        <v>1953</v>
      </c>
      <c r="D3002" s="1" t="s">
        <v>1954</v>
      </c>
      <c r="E3002" s="1" t="s">
        <v>34</v>
      </c>
      <c r="F3002" s="1" t="s">
        <v>144</v>
      </c>
      <c r="G3002" s="1" t="s">
        <v>145</v>
      </c>
      <c r="H3002" s="1" t="s">
        <v>24</v>
      </c>
      <c r="I3002">
        <v>3229</v>
      </c>
      <c r="J3002" s="3">
        <v>5.74</v>
      </c>
      <c r="K3002" s="3">
        <v>18534.46</v>
      </c>
    </row>
    <row r="3003" spans="1:11" x14ac:dyDescent="0.2">
      <c r="A3003" s="1" t="s">
        <v>4117</v>
      </c>
      <c r="B3003" s="2">
        <v>45869</v>
      </c>
      <c r="C3003" s="1" t="s">
        <v>657</v>
      </c>
      <c r="D3003" s="1" t="s">
        <v>658</v>
      </c>
      <c r="E3003" s="1" t="s">
        <v>37</v>
      </c>
      <c r="F3003" s="1" t="s">
        <v>208</v>
      </c>
      <c r="G3003" s="1" t="s">
        <v>209</v>
      </c>
      <c r="H3003" s="1" t="s">
        <v>17</v>
      </c>
      <c r="I3003">
        <v>86395</v>
      </c>
      <c r="J3003" s="3">
        <v>30.23</v>
      </c>
      <c r="K3003" s="3">
        <v>2611720.85</v>
      </c>
    </row>
    <row r="3004" spans="1:11" x14ac:dyDescent="0.2">
      <c r="A3004" s="1" t="s">
        <v>4118</v>
      </c>
      <c r="B3004" s="2">
        <v>45959</v>
      </c>
      <c r="C3004" s="1" t="s">
        <v>1211</v>
      </c>
      <c r="D3004" s="1" t="s">
        <v>1212</v>
      </c>
      <c r="E3004" s="1" t="s">
        <v>37</v>
      </c>
      <c r="F3004" s="1" t="s">
        <v>113</v>
      </c>
      <c r="G3004" s="1" t="s">
        <v>114</v>
      </c>
      <c r="H3004" s="1" t="s">
        <v>37</v>
      </c>
      <c r="I3004">
        <v>19179</v>
      </c>
      <c r="J3004" s="3">
        <v>23.99</v>
      </c>
      <c r="K3004" s="3">
        <v>460104.21</v>
      </c>
    </row>
    <row r="3005" spans="1:11" x14ac:dyDescent="0.2">
      <c r="A3005" s="1" t="s">
        <v>4119</v>
      </c>
      <c r="B3005" s="2">
        <v>45298</v>
      </c>
      <c r="C3005" s="1" t="s">
        <v>502</v>
      </c>
      <c r="D3005" s="1" t="s">
        <v>503</v>
      </c>
      <c r="E3005" s="1" t="s">
        <v>14</v>
      </c>
      <c r="F3005" s="1" t="s">
        <v>203</v>
      </c>
      <c r="G3005" s="1" t="s">
        <v>204</v>
      </c>
      <c r="H3005" s="1" t="s">
        <v>72</v>
      </c>
      <c r="I3005">
        <v>90811</v>
      </c>
      <c r="J3005" s="3">
        <v>37.81</v>
      </c>
      <c r="K3005" s="3">
        <v>3433563.91</v>
      </c>
    </row>
    <row r="3006" spans="1:11" x14ac:dyDescent="0.2">
      <c r="A3006" s="1" t="s">
        <v>4120</v>
      </c>
      <c r="B3006" s="2">
        <v>45809</v>
      </c>
      <c r="C3006" s="1" t="s">
        <v>282</v>
      </c>
      <c r="D3006" s="1" t="s">
        <v>283</v>
      </c>
      <c r="E3006" s="1" t="s">
        <v>21</v>
      </c>
      <c r="F3006" s="1" t="s">
        <v>406</v>
      </c>
      <c r="G3006" s="1" t="s">
        <v>407</v>
      </c>
      <c r="H3006" s="1" t="s">
        <v>17</v>
      </c>
      <c r="I3006">
        <v>88236</v>
      </c>
      <c r="J3006" s="3">
        <v>8.61</v>
      </c>
      <c r="K3006" s="3">
        <v>759711.96</v>
      </c>
    </row>
    <row r="3007" spans="1:11" x14ac:dyDescent="0.2">
      <c r="A3007" s="1" t="s">
        <v>4121</v>
      </c>
      <c r="B3007" s="2">
        <v>45758</v>
      </c>
      <c r="C3007" s="1" t="s">
        <v>356</v>
      </c>
      <c r="D3007" s="1" t="s">
        <v>357</v>
      </c>
      <c r="E3007" s="1" t="s">
        <v>14</v>
      </c>
      <c r="F3007" s="1" t="s">
        <v>552</v>
      </c>
      <c r="G3007" s="1" t="s">
        <v>553</v>
      </c>
      <c r="H3007" s="1" t="s">
        <v>37</v>
      </c>
      <c r="I3007">
        <v>9703</v>
      </c>
      <c r="J3007" s="3">
        <v>39.86</v>
      </c>
      <c r="K3007" s="3">
        <v>386761.58</v>
      </c>
    </row>
    <row r="3008" spans="1:11" x14ac:dyDescent="0.2">
      <c r="A3008" s="1" t="s">
        <v>4122</v>
      </c>
      <c r="B3008" s="2">
        <v>45529</v>
      </c>
      <c r="C3008" s="1" t="s">
        <v>385</v>
      </c>
      <c r="D3008" s="1" t="s">
        <v>386</v>
      </c>
      <c r="E3008" s="1" t="s">
        <v>34</v>
      </c>
      <c r="F3008" s="1" t="s">
        <v>208</v>
      </c>
      <c r="G3008" s="1" t="s">
        <v>209</v>
      </c>
      <c r="H3008" s="1" t="s">
        <v>17</v>
      </c>
      <c r="I3008">
        <v>35802</v>
      </c>
      <c r="J3008" s="3">
        <v>5.63</v>
      </c>
      <c r="K3008" s="3">
        <v>201565.26</v>
      </c>
    </row>
    <row r="3009" spans="1:11" x14ac:dyDescent="0.2">
      <c r="A3009" s="1" t="s">
        <v>4123</v>
      </c>
      <c r="B3009" s="2">
        <v>45794</v>
      </c>
      <c r="C3009" s="1" t="s">
        <v>2326</v>
      </c>
      <c r="D3009" s="1" t="s">
        <v>2327</v>
      </c>
      <c r="E3009" s="1" t="s">
        <v>37</v>
      </c>
      <c r="F3009" s="1" t="s">
        <v>139</v>
      </c>
      <c r="G3009" s="1" t="s">
        <v>140</v>
      </c>
      <c r="H3009" s="1" t="s">
        <v>24</v>
      </c>
      <c r="I3009">
        <v>87223</v>
      </c>
      <c r="J3009" s="3">
        <v>37.93</v>
      </c>
      <c r="K3009" s="3">
        <v>3308368.39</v>
      </c>
    </row>
    <row r="3010" spans="1:11" x14ac:dyDescent="0.2">
      <c r="A3010" s="1" t="s">
        <v>4124</v>
      </c>
      <c r="B3010" s="2">
        <v>45311</v>
      </c>
      <c r="C3010" s="1" t="s">
        <v>1340</v>
      </c>
      <c r="D3010" s="1" t="s">
        <v>1341</v>
      </c>
      <c r="E3010" s="1" t="s">
        <v>28</v>
      </c>
      <c r="F3010" s="1" t="s">
        <v>510</v>
      </c>
      <c r="G3010" s="1" t="s">
        <v>511</v>
      </c>
      <c r="H3010" s="1" t="s">
        <v>17</v>
      </c>
      <c r="I3010">
        <v>28386</v>
      </c>
      <c r="J3010" s="3">
        <v>28.24</v>
      </c>
      <c r="K3010" s="3">
        <v>801620.64</v>
      </c>
    </row>
    <row r="3011" spans="1:11" x14ac:dyDescent="0.2">
      <c r="A3011" s="1" t="s">
        <v>4125</v>
      </c>
      <c r="B3011" s="2">
        <v>45947</v>
      </c>
      <c r="C3011" s="1" t="s">
        <v>730</v>
      </c>
      <c r="D3011" s="1" t="s">
        <v>731</v>
      </c>
      <c r="E3011" s="1" t="s">
        <v>14</v>
      </c>
      <c r="F3011" s="1" t="s">
        <v>103</v>
      </c>
      <c r="G3011" s="1" t="s">
        <v>104</v>
      </c>
      <c r="H3011" s="1" t="s">
        <v>37</v>
      </c>
      <c r="I3011">
        <v>75521</v>
      </c>
      <c r="J3011" s="3">
        <v>35.590000000000003</v>
      </c>
      <c r="K3011" s="3">
        <v>2687792.39</v>
      </c>
    </row>
    <row r="3012" spans="1:11" x14ac:dyDescent="0.2">
      <c r="A3012" s="1" t="s">
        <v>4126</v>
      </c>
      <c r="B3012" s="2">
        <v>45397</v>
      </c>
      <c r="C3012" s="1" t="s">
        <v>1272</v>
      </c>
      <c r="D3012" s="1" t="s">
        <v>1273</v>
      </c>
      <c r="E3012" s="1" t="s">
        <v>34</v>
      </c>
      <c r="F3012" s="1" t="s">
        <v>76</v>
      </c>
      <c r="G3012" s="1" t="s">
        <v>77</v>
      </c>
      <c r="H3012" s="1" t="s">
        <v>48</v>
      </c>
      <c r="I3012">
        <v>86994</v>
      </c>
      <c r="J3012" s="3">
        <v>13.08</v>
      </c>
      <c r="K3012" s="3">
        <v>1137881.52</v>
      </c>
    </row>
    <row r="3013" spans="1:11" x14ac:dyDescent="0.2">
      <c r="A3013" s="1" t="s">
        <v>4127</v>
      </c>
      <c r="B3013" s="2">
        <v>46014</v>
      </c>
      <c r="C3013" s="1" t="s">
        <v>783</v>
      </c>
      <c r="D3013" s="1" t="s">
        <v>784</v>
      </c>
      <c r="E3013" s="1" t="s">
        <v>14</v>
      </c>
      <c r="F3013" s="1" t="s">
        <v>324</v>
      </c>
      <c r="G3013" s="1" t="s">
        <v>325</v>
      </c>
      <c r="H3013" s="1" t="s">
        <v>24</v>
      </c>
      <c r="I3013">
        <v>67371</v>
      </c>
      <c r="J3013" s="3">
        <v>25.46</v>
      </c>
      <c r="K3013" s="3">
        <v>1715265.66</v>
      </c>
    </row>
    <row r="3014" spans="1:11" x14ac:dyDescent="0.2">
      <c r="A3014" s="1" t="s">
        <v>4128</v>
      </c>
      <c r="B3014" s="2">
        <v>45687</v>
      </c>
      <c r="C3014" s="1" t="s">
        <v>1964</v>
      </c>
      <c r="D3014" s="1" t="s">
        <v>1965</v>
      </c>
      <c r="E3014" s="1" t="s">
        <v>21</v>
      </c>
      <c r="F3014" s="1" t="s">
        <v>152</v>
      </c>
      <c r="G3014" s="1" t="s">
        <v>153</v>
      </c>
      <c r="H3014" s="1" t="s">
        <v>17</v>
      </c>
      <c r="I3014">
        <v>56612</v>
      </c>
      <c r="J3014" s="3">
        <v>13.87</v>
      </c>
      <c r="K3014" s="3">
        <v>785208.44</v>
      </c>
    </row>
    <row r="3015" spans="1:11" x14ac:dyDescent="0.2">
      <c r="A3015" s="1" t="s">
        <v>4129</v>
      </c>
      <c r="B3015" s="2">
        <v>45360</v>
      </c>
      <c r="C3015" s="1" t="s">
        <v>1292</v>
      </c>
      <c r="D3015" s="1" t="s">
        <v>1293</v>
      </c>
      <c r="E3015" s="1" t="s">
        <v>21</v>
      </c>
      <c r="F3015" s="1" t="s">
        <v>184</v>
      </c>
      <c r="G3015" s="1" t="s">
        <v>185</v>
      </c>
      <c r="H3015" s="1" t="s">
        <v>17</v>
      </c>
      <c r="I3015">
        <v>56240</v>
      </c>
      <c r="J3015" s="3">
        <v>9.66</v>
      </c>
      <c r="K3015" s="3">
        <v>543278.4</v>
      </c>
    </row>
    <row r="3016" spans="1:11" x14ac:dyDescent="0.2">
      <c r="A3016" s="1" t="s">
        <v>4130</v>
      </c>
      <c r="B3016" s="2">
        <v>45744</v>
      </c>
      <c r="C3016" s="1" t="s">
        <v>32</v>
      </c>
      <c r="D3016" s="1" t="s">
        <v>33</v>
      </c>
      <c r="E3016" s="1" t="s">
        <v>34</v>
      </c>
      <c r="F3016" s="1" t="s">
        <v>41</v>
      </c>
      <c r="G3016" s="1" t="s">
        <v>42</v>
      </c>
      <c r="H3016" s="1" t="s">
        <v>24</v>
      </c>
      <c r="I3016">
        <v>47303</v>
      </c>
      <c r="J3016" s="3">
        <v>6.56</v>
      </c>
      <c r="K3016" s="3">
        <v>310307.68</v>
      </c>
    </row>
    <row r="3017" spans="1:11" x14ac:dyDescent="0.2">
      <c r="A3017" s="1" t="s">
        <v>4131</v>
      </c>
      <c r="B3017" s="2">
        <v>45616</v>
      </c>
      <c r="C3017" s="1" t="s">
        <v>1171</v>
      </c>
      <c r="D3017" s="1" t="s">
        <v>1172</v>
      </c>
      <c r="E3017" s="1" t="s">
        <v>34</v>
      </c>
      <c r="F3017" s="1" t="s">
        <v>540</v>
      </c>
      <c r="G3017" s="1" t="s">
        <v>541</v>
      </c>
      <c r="H3017" s="1" t="s">
        <v>37</v>
      </c>
      <c r="I3017">
        <v>83939</v>
      </c>
      <c r="J3017" s="3">
        <v>31.31</v>
      </c>
      <c r="K3017" s="3">
        <v>2628130.09</v>
      </c>
    </row>
    <row r="3018" spans="1:11" x14ac:dyDescent="0.2">
      <c r="A3018" s="1" t="s">
        <v>4132</v>
      </c>
      <c r="B3018" s="2">
        <v>45623</v>
      </c>
      <c r="C3018" s="1" t="s">
        <v>424</v>
      </c>
      <c r="D3018" s="1" t="s">
        <v>425</v>
      </c>
      <c r="E3018" s="1" t="s">
        <v>28</v>
      </c>
      <c r="F3018" s="1" t="s">
        <v>35</v>
      </c>
      <c r="G3018" s="1" t="s">
        <v>36</v>
      </c>
      <c r="H3018" s="1" t="s">
        <v>37</v>
      </c>
      <c r="I3018">
        <v>1276</v>
      </c>
      <c r="J3018" s="3">
        <v>10.92</v>
      </c>
      <c r="K3018" s="3">
        <v>13933.92</v>
      </c>
    </row>
    <row r="3019" spans="1:11" x14ac:dyDescent="0.2">
      <c r="A3019" s="1" t="s">
        <v>4133</v>
      </c>
      <c r="B3019" s="2">
        <v>45556</v>
      </c>
      <c r="C3019" s="1" t="s">
        <v>1247</v>
      </c>
      <c r="D3019" s="1" t="s">
        <v>1248</v>
      </c>
      <c r="E3019" s="1" t="s">
        <v>28</v>
      </c>
      <c r="F3019" s="1" t="s">
        <v>184</v>
      </c>
      <c r="G3019" s="1" t="s">
        <v>185</v>
      </c>
      <c r="H3019" s="1" t="s">
        <v>17</v>
      </c>
      <c r="I3019">
        <v>43837</v>
      </c>
      <c r="J3019" s="3">
        <v>36.4</v>
      </c>
      <c r="K3019" s="3">
        <v>1595666.8</v>
      </c>
    </row>
    <row r="3020" spans="1:11" x14ac:dyDescent="0.2">
      <c r="A3020" s="1" t="s">
        <v>4134</v>
      </c>
      <c r="B3020" s="2">
        <v>45994</v>
      </c>
      <c r="C3020" s="1" t="s">
        <v>832</v>
      </c>
      <c r="D3020" s="1" t="s">
        <v>833</v>
      </c>
      <c r="E3020" s="1" t="s">
        <v>28</v>
      </c>
      <c r="F3020" s="1" t="s">
        <v>208</v>
      </c>
      <c r="G3020" s="1" t="s">
        <v>209</v>
      </c>
      <c r="H3020" s="1" t="s">
        <v>17</v>
      </c>
      <c r="I3020">
        <v>52637</v>
      </c>
      <c r="J3020" s="3">
        <v>11.78</v>
      </c>
      <c r="K3020" s="3">
        <v>620063.86</v>
      </c>
    </row>
    <row r="3021" spans="1:11" x14ac:dyDescent="0.2">
      <c r="A3021" s="1" t="s">
        <v>4135</v>
      </c>
      <c r="B3021" s="2">
        <v>45794</v>
      </c>
      <c r="C3021" s="1" t="s">
        <v>1567</v>
      </c>
      <c r="D3021" s="1" t="s">
        <v>1568</v>
      </c>
      <c r="E3021" s="1" t="s">
        <v>34</v>
      </c>
      <c r="F3021" s="1" t="s">
        <v>65</v>
      </c>
      <c r="G3021" s="1" t="s">
        <v>66</v>
      </c>
      <c r="H3021" s="1" t="s">
        <v>48</v>
      </c>
      <c r="I3021">
        <v>40528</v>
      </c>
      <c r="J3021" s="3">
        <v>16.86</v>
      </c>
      <c r="K3021" s="3">
        <v>683302.08</v>
      </c>
    </row>
    <row r="3022" spans="1:11" x14ac:dyDescent="0.2">
      <c r="A3022" s="1" t="s">
        <v>4136</v>
      </c>
      <c r="B3022" s="2">
        <v>45734</v>
      </c>
      <c r="C3022" s="1" t="s">
        <v>543</v>
      </c>
      <c r="D3022" s="1" t="s">
        <v>544</v>
      </c>
      <c r="E3022" s="1" t="s">
        <v>28</v>
      </c>
      <c r="F3022" s="1" t="s">
        <v>237</v>
      </c>
      <c r="G3022" s="1" t="s">
        <v>238</v>
      </c>
      <c r="H3022" s="1" t="s">
        <v>17</v>
      </c>
      <c r="I3022">
        <v>35263</v>
      </c>
      <c r="J3022" s="3">
        <v>10.58</v>
      </c>
      <c r="K3022" s="3">
        <v>373082.54</v>
      </c>
    </row>
    <row r="3023" spans="1:11" x14ac:dyDescent="0.2">
      <c r="A3023" s="1" t="s">
        <v>4137</v>
      </c>
      <c r="B3023" s="2">
        <v>45725</v>
      </c>
      <c r="C3023" s="1" t="s">
        <v>602</v>
      </c>
      <c r="D3023" s="1" t="s">
        <v>603</v>
      </c>
      <c r="E3023" s="1" t="s">
        <v>28</v>
      </c>
      <c r="F3023" s="1" t="s">
        <v>540</v>
      </c>
      <c r="G3023" s="1" t="s">
        <v>541</v>
      </c>
      <c r="H3023" s="1" t="s">
        <v>37</v>
      </c>
      <c r="I3023">
        <v>51430</v>
      </c>
      <c r="J3023" s="3">
        <v>3.13</v>
      </c>
      <c r="K3023" s="3">
        <v>160975.9</v>
      </c>
    </row>
    <row r="3024" spans="1:11" x14ac:dyDescent="0.2">
      <c r="A3024" s="1" t="s">
        <v>4138</v>
      </c>
      <c r="B3024" s="2">
        <v>45829</v>
      </c>
      <c r="C3024" s="1" t="s">
        <v>442</v>
      </c>
      <c r="D3024" s="1" t="s">
        <v>443</v>
      </c>
      <c r="E3024" s="1" t="s">
        <v>34</v>
      </c>
      <c r="F3024" s="1" t="s">
        <v>195</v>
      </c>
      <c r="G3024" s="1" t="s">
        <v>196</v>
      </c>
      <c r="H3024" s="1" t="s">
        <v>48</v>
      </c>
      <c r="I3024">
        <v>18443</v>
      </c>
      <c r="J3024" s="3">
        <v>49.71</v>
      </c>
      <c r="K3024" s="3">
        <v>916801.53</v>
      </c>
    </row>
    <row r="3025" spans="1:11" x14ac:dyDescent="0.2">
      <c r="A3025" s="1" t="s">
        <v>4139</v>
      </c>
      <c r="B3025" s="2">
        <v>45604</v>
      </c>
      <c r="C3025" s="1" t="s">
        <v>171</v>
      </c>
      <c r="D3025" s="1" t="s">
        <v>172</v>
      </c>
      <c r="E3025" s="1" t="s">
        <v>28</v>
      </c>
      <c r="F3025" s="1" t="s">
        <v>70</v>
      </c>
      <c r="G3025" s="1" t="s">
        <v>71</v>
      </c>
      <c r="H3025" s="1" t="s">
        <v>72</v>
      </c>
      <c r="I3025">
        <v>41815</v>
      </c>
      <c r="J3025" s="3">
        <v>29.07</v>
      </c>
      <c r="K3025" s="3">
        <v>1215562.05</v>
      </c>
    </row>
    <row r="3026" spans="1:11" x14ac:dyDescent="0.2">
      <c r="A3026" s="1" t="s">
        <v>4140</v>
      </c>
      <c r="B3026" s="2">
        <v>45720</v>
      </c>
      <c r="C3026" s="1" t="s">
        <v>192</v>
      </c>
      <c r="D3026" s="1" t="s">
        <v>193</v>
      </c>
      <c r="E3026" s="1" t="s">
        <v>37</v>
      </c>
      <c r="F3026" s="1" t="s">
        <v>203</v>
      </c>
      <c r="G3026" s="1" t="s">
        <v>204</v>
      </c>
      <c r="H3026" s="1" t="s">
        <v>72</v>
      </c>
      <c r="I3026">
        <v>22982</v>
      </c>
      <c r="J3026" s="3">
        <v>41.67</v>
      </c>
      <c r="K3026" s="3">
        <v>957659.94</v>
      </c>
    </row>
    <row r="3027" spans="1:11" x14ac:dyDescent="0.2">
      <c r="A3027" s="1" t="s">
        <v>4141</v>
      </c>
      <c r="B3027" s="2">
        <v>45706</v>
      </c>
      <c r="C3027" s="1" t="s">
        <v>2031</v>
      </c>
      <c r="D3027" s="1" t="s">
        <v>2032</v>
      </c>
      <c r="E3027" s="1" t="s">
        <v>14</v>
      </c>
      <c r="F3027" s="1" t="s">
        <v>203</v>
      </c>
      <c r="G3027" s="1" t="s">
        <v>204</v>
      </c>
      <c r="H3027" s="1" t="s">
        <v>72</v>
      </c>
      <c r="I3027">
        <v>50520</v>
      </c>
      <c r="J3027" s="3">
        <v>20.98</v>
      </c>
      <c r="K3027" s="3">
        <v>1059909.6000000001</v>
      </c>
    </row>
    <row r="3028" spans="1:11" x14ac:dyDescent="0.2">
      <c r="A3028" s="1" t="s">
        <v>4142</v>
      </c>
      <c r="B3028" s="2">
        <v>45568</v>
      </c>
      <c r="C3028" s="1" t="s">
        <v>1292</v>
      </c>
      <c r="D3028" s="1" t="s">
        <v>1293</v>
      </c>
      <c r="E3028" s="1" t="s">
        <v>21</v>
      </c>
      <c r="F3028" s="1" t="s">
        <v>412</v>
      </c>
      <c r="G3028" s="1" t="s">
        <v>413</v>
      </c>
      <c r="H3028" s="1" t="s">
        <v>72</v>
      </c>
      <c r="I3028">
        <v>3788</v>
      </c>
      <c r="J3028" s="3">
        <v>8.51</v>
      </c>
      <c r="K3028" s="3">
        <v>32235.88</v>
      </c>
    </row>
    <row r="3029" spans="1:11" x14ac:dyDescent="0.2">
      <c r="A3029" s="1" t="s">
        <v>4143</v>
      </c>
      <c r="B3029" s="2">
        <v>45366</v>
      </c>
      <c r="C3029" s="1" t="s">
        <v>319</v>
      </c>
      <c r="D3029" s="1" t="s">
        <v>320</v>
      </c>
      <c r="E3029" s="1" t="s">
        <v>21</v>
      </c>
      <c r="F3029" s="1" t="s">
        <v>324</v>
      </c>
      <c r="G3029" s="1" t="s">
        <v>325</v>
      </c>
      <c r="H3029" s="1" t="s">
        <v>24</v>
      </c>
      <c r="I3029">
        <v>28867</v>
      </c>
      <c r="J3029" s="3">
        <v>42.33</v>
      </c>
      <c r="K3029" s="3">
        <v>1221940.1100000001</v>
      </c>
    </row>
    <row r="3030" spans="1:11" x14ac:dyDescent="0.2">
      <c r="A3030" s="1" t="s">
        <v>4144</v>
      </c>
      <c r="B3030" s="2">
        <v>46020</v>
      </c>
      <c r="C3030" s="1" t="s">
        <v>688</v>
      </c>
      <c r="D3030" s="1" t="s">
        <v>689</v>
      </c>
      <c r="E3030" s="1" t="s">
        <v>37</v>
      </c>
      <c r="F3030" s="1" t="s">
        <v>394</v>
      </c>
      <c r="G3030" s="1" t="s">
        <v>395</v>
      </c>
      <c r="H3030" s="1" t="s">
        <v>48</v>
      </c>
      <c r="I3030">
        <v>25378</v>
      </c>
      <c r="J3030" s="3">
        <v>43.34</v>
      </c>
      <c r="K3030" s="3">
        <v>1099882.52</v>
      </c>
    </row>
    <row r="3031" spans="1:11" x14ac:dyDescent="0.2">
      <c r="A3031" s="1" t="s">
        <v>4145</v>
      </c>
      <c r="B3031" s="2">
        <v>45469</v>
      </c>
      <c r="C3031" s="1" t="s">
        <v>160</v>
      </c>
      <c r="D3031" s="1" t="s">
        <v>161</v>
      </c>
      <c r="E3031" s="1" t="s">
        <v>21</v>
      </c>
      <c r="F3031" s="1" t="s">
        <v>70</v>
      </c>
      <c r="G3031" s="1" t="s">
        <v>71</v>
      </c>
      <c r="H3031" s="1" t="s">
        <v>72</v>
      </c>
      <c r="I3031">
        <v>21319</v>
      </c>
      <c r="J3031" s="3">
        <v>33.07</v>
      </c>
      <c r="K3031" s="3">
        <v>705019.33</v>
      </c>
    </row>
    <row r="3032" spans="1:11" x14ac:dyDescent="0.2">
      <c r="A3032" s="1" t="s">
        <v>4146</v>
      </c>
      <c r="B3032" s="2">
        <v>45699</v>
      </c>
      <c r="C3032" s="1" t="s">
        <v>1079</v>
      </c>
      <c r="D3032" s="1" t="s">
        <v>1080</v>
      </c>
      <c r="E3032" s="1" t="s">
        <v>14</v>
      </c>
      <c r="F3032" s="1" t="s">
        <v>46</v>
      </c>
      <c r="G3032" s="1" t="s">
        <v>47</v>
      </c>
      <c r="H3032" s="1" t="s">
        <v>48</v>
      </c>
      <c r="I3032">
        <v>33850</v>
      </c>
      <c r="J3032" s="3">
        <v>49.23</v>
      </c>
      <c r="K3032" s="3">
        <v>1666435.5</v>
      </c>
    </row>
    <row r="3033" spans="1:11" x14ac:dyDescent="0.2">
      <c r="A3033" s="1" t="s">
        <v>4147</v>
      </c>
      <c r="B3033" s="2">
        <v>45817</v>
      </c>
      <c r="C3033" s="1" t="s">
        <v>111</v>
      </c>
      <c r="D3033" s="1" t="s">
        <v>112</v>
      </c>
      <c r="E3033" s="1" t="s">
        <v>14</v>
      </c>
      <c r="F3033" s="1" t="s">
        <v>540</v>
      </c>
      <c r="G3033" s="1" t="s">
        <v>541</v>
      </c>
      <c r="H3033" s="1" t="s">
        <v>37</v>
      </c>
      <c r="I3033">
        <v>28716</v>
      </c>
      <c r="J3033" s="3">
        <v>22.42</v>
      </c>
      <c r="K3033" s="3">
        <v>643812.72</v>
      </c>
    </row>
    <row r="3034" spans="1:11" x14ac:dyDescent="0.2">
      <c r="A3034" s="1" t="s">
        <v>4148</v>
      </c>
      <c r="B3034" s="2">
        <v>45439</v>
      </c>
      <c r="C3034" s="1" t="s">
        <v>4149</v>
      </c>
      <c r="D3034" s="1" t="s">
        <v>4150</v>
      </c>
      <c r="E3034" s="1" t="s">
        <v>14</v>
      </c>
      <c r="F3034" s="1" t="s">
        <v>52</v>
      </c>
      <c r="G3034" s="1" t="s">
        <v>53</v>
      </c>
      <c r="H3034" s="1" t="s">
        <v>17</v>
      </c>
      <c r="I3034">
        <v>92366</v>
      </c>
      <c r="J3034" s="3">
        <v>46.54</v>
      </c>
      <c r="K3034" s="3">
        <v>4298713.6399999997</v>
      </c>
    </row>
    <row r="3035" spans="1:11" x14ac:dyDescent="0.2">
      <c r="A3035" s="1" t="s">
        <v>4151</v>
      </c>
      <c r="B3035" s="2">
        <v>45437</v>
      </c>
      <c r="C3035" s="1" t="s">
        <v>820</v>
      </c>
      <c r="D3035" s="1" t="s">
        <v>821</v>
      </c>
      <c r="E3035" s="1" t="s">
        <v>28</v>
      </c>
      <c r="F3035" s="1" t="s">
        <v>458</v>
      </c>
      <c r="G3035" s="1" t="s">
        <v>459</v>
      </c>
      <c r="H3035" s="1" t="s">
        <v>72</v>
      </c>
      <c r="I3035">
        <v>94058</v>
      </c>
      <c r="J3035" s="3">
        <v>39.35</v>
      </c>
      <c r="K3035" s="3">
        <v>3701182.3</v>
      </c>
    </row>
    <row r="3036" spans="1:11" x14ac:dyDescent="0.2">
      <c r="A3036" s="1" t="s">
        <v>4152</v>
      </c>
      <c r="B3036" s="2">
        <v>45297</v>
      </c>
      <c r="C3036" s="1" t="s">
        <v>1085</v>
      </c>
      <c r="D3036" s="1" t="s">
        <v>1086</v>
      </c>
      <c r="E3036" s="1" t="s">
        <v>14</v>
      </c>
      <c r="F3036" s="1" t="s">
        <v>65</v>
      </c>
      <c r="G3036" s="1" t="s">
        <v>66</v>
      </c>
      <c r="H3036" s="1" t="s">
        <v>48</v>
      </c>
      <c r="I3036">
        <v>2083</v>
      </c>
      <c r="J3036" s="3">
        <v>30.64</v>
      </c>
      <c r="K3036" s="3">
        <v>63823.12</v>
      </c>
    </row>
    <row r="3037" spans="1:11" x14ac:dyDescent="0.2">
      <c r="A3037" s="1" t="s">
        <v>4153</v>
      </c>
      <c r="B3037" s="2">
        <v>45666</v>
      </c>
      <c r="C3037" s="1" t="s">
        <v>2059</v>
      </c>
      <c r="D3037" s="1" t="s">
        <v>2060</v>
      </c>
      <c r="E3037" s="1" t="s">
        <v>21</v>
      </c>
      <c r="F3037" s="1" t="s">
        <v>394</v>
      </c>
      <c r="G3037" s="1" t="s">
        <v>395</v>
      </c>
      <c r="H3037" s="1" t="s">
        <v>48</v>
      </c>
      <c r="I3037">
        <v>13713</v>
      </c>
      <c r="J3037" s="3">
        <v>19.75</v>
      </c>
      <c r="K3037" s="3">
        <v>270831.75</v>
      </c>
    </row>
    <row r="3038" spans="1:11" x14ac:dyDescent="0.2">
      <c r="A3038" s="1" t="s">
        <v>4154</v>
      </c>
      <c r="B3038" s="2">
        <v>45934</v>
      </c>
      <c r="C3038" s="1" t="s">
        <v>131</v>
      </c>
      <c r="D3038" s="1" t="s">
        <v>132</v>
      </c>
      <c r="E3038" s="1" t="s">
        <v>37</v>
      </c>
      <c r="F3038" s="1" t="s">
        <v>394</v>
      </c>
      <c r="G3038" s="1" t="s">
        <v>395</v>
      </c>
      <c r="H3038" s="1" t="s">
        <v>48</v>
      </c>
      <c r="I3038">
        <v>44998</v>
      </c>
      <c r="J3038" s="3">
        <v>35.92</v>
      </c>
      <c r="K3038" s="3">
        <v>1616328.16</v>
      </c>
    </row>
    <row r="3039" spans="1:11" x14ac:dyDescent="0.2">
      <c r="A3039" s="1" t="s">
        <v>4155</v>
      </c>
      <c r="B3039" s="2">
        <v>45433</v>
      </c>
      <c r="C3039" s="1" t="s">
        <v>608</v>
      </c>
      <c r="D3039" s="1" t="s">
        <v>609</v>
      </c>
      <c r="E3039" s="1" t="s">
        <v>28</v>
      </c>
      <c r="F3039" s="1" t="s">
        <v>15</v>
      </c>
      <c r="G3039" s="1" t="s">
        <v>16</v>
      </c>
      <c r="H3039" s="1" t="s">
        <v>17</v>
      </c>
      <c r="I3039">
        <v>85978</v>
      </c>
      <c r="J3039" s="3">
        <v>7</v>
      </c>
      <c r="K3039" s="3">
        <v>601846</v>
      </c>
    </row>
    <row r="3040" spans="1:11" x14ac:dyDescent="0.2">
      <c r="A3040" s="1" t="s">
        <v>4156</v>
      </c>
      <c r="B3040" s="2">
        <v>45918</v>
      </c>
      <c r="C3040" s="1" t="s">
        <v>2145</v>
      </c>
      <c r="D3040" s="1" t="s">
        <v>2146</v>
      </c>
      <c r="E3040" s="1" t="s">
        <v>37</v>
      </c>
      <c r="F3040" s="1" t="s">
        <v>189</v>
      </c>
      <c r="G3040" s="1" t="s">
        <v>190</v>
      </c>
      <c r="H3040" s="1" t="s">
        <v>17</v>
      </c>
      <c r="I3040">
        <v>15460</v>
      </c>
      <c r="J3040" s="3">
        <v>6.35</v>
      </c>
      <c r="K3040" s="3">
        <v>98171</v>
      </c>
    </row>
    <row r="3041" spans="1:11" x14ac:dyDescent="0.2">
      <c r="A3041" s="1" t="s">
        <v>4157</v>
      </c>
      <c r="B3041" s="2">
        <v>45387</v>
      </c>
      <c r="C3041" s="1" t="s">
        <v>1007</v>
      </c>
      <c r="D3041" s="1" t="s">
        <v>1008</v>
      </c>
      <c r="E3041" s="1" t="s">
        <v>37</v>
      </c>
      <c r="F3041" s="1" t="s">
        <v>139</v>
      </c>
      <c r="G3041" s="1" t="s">
        <v>140</v>
      </c>
      <c r="H3041" s="1" t="s">
        <v>24</v>
      </c>
      <c r="I3041">
        <v>68732</v>
      </c>
      <c r="J3041" s="3">
        <v>35.590000000000003</v>
      </c>
      <c r="K3041" s="3">
        <v>2446171.88</v>
      </c>
    </row>
    <row r="3042" spans="1:11" x14ac:dyDescent="0.2">
      <c r="A3042" s="1" t="s">
        <v>4158</v>
      </c>
      <c r="B3042" s="2">
        <v>45298</v>
      </c>
      <c r="C3042" s="1" t="s">
        <v>201</v>
      </c>
      <c r="D3042" s="1" t="s">
        <v>202</v>
      </c>
      <c r="E3042" s="1" t="s">
        <v>14</v>
      </c>
      <c r="F3042" s="1" t="s">
        <v>228</v>
      </c>
      <c r="G3042" s="1" t="s">
        <v>229</v>
      </c>
      <c r="H3042" s="1" t="s">
        <v>48</v>
      </c>
      <c r="I3042">
        <v>2098</v>
      </c>
      <c r="J3042" s="3">
        <v>15.3</v>
      </c>
      <c r="K3042" s="3">
        <v>32099.4</v>
      </c>
    </row>
    <row r="3043" spans="1:11" x14ac:dyDescent="0.2">
      <c r="A3043" s="1" t="s">
        <v>4159</v>
      </c>
      <c r="B3043" s="2">
        <v>45584</v>
      </c>
      <c r="C3043" s="1" t="s">
        <v>1507</v>
      </c>
      <c r="D3043" s="1" t="s">
        <v>1508</v>
      </c>
      <c r="E3043" s="1" t="s">
        <v>37</v>
      </c>
      <c r="F3043" s="1" t="s">
        <v>761</v>
      </c>
      <c r="G3043" s="1" t="s">
        <v>762</v>
      </c>
      <c r="H3043" s="1" t="s">
        <v>48</v>
      </c>
      <c r="I3043">
        <v>78127</v>
      </c>
      <c r="J3043" s="3">
        <v>19.989999999999998</v>
      </c>
      <c r="K3043" s="3">
        <v>1561758.73</v>
      </c>
    </row>
    <row r="3044" spans="1:11" x14ac:dyDescent="0.2">
      <c r="A3044" s="1" t="s">
        <v>4160</v>
      </c>
      <c r="B3044" s="2">
        <v>45588</v>
      </c>
      <c r="C3044" s="1" t="s">
        <v>1092</v>
      </c>
      <c r="D3044" s="1" t="s">
        <v>1093</v>
      </c>
      <c r="E3044" s="1" t="s">
        <v>34</v>
      </c>
      <c r="F3044" s="1" t="s">
        <v>217</v>
      </c>
      <c r="G3044" s="1" t="s">
        <v>218</v>
      </c>
      <c r="H3044" s="1" t="s">
        <v>72</v>
      </c>
      <c r="I3044">
        <v>24028</v>
      </c>
      <c r="J3044" s="3">
        <v>13.24</v>
      </c>
      <c r="K3044" s="3">
        <v>318130.71999999997</v>
      </c>
    </row>
    <row r="3045" spans="1:11" x14ac:dyDescent="0.2">
      <c r="A3045" s="1" t="s">
        <v>4161</v>
      </c>
      <c r="B3045" s="2">
        <v>45619</v>
      </c>
      <c r="C3045" s="1" t="s">
        <v>472</v>
      </c>
      <c r="D3045" s="1" t="s">
        <v>473</v>
      </c>
      <c r="E3045" s="1" t="s">
        <v>14</v>
      </c>
      <c r="F3045" s="1" t="s">
        <v>157</v>
      </c>
      <c r="G3045" s="1" t="s">
        <v>158</v>
      </c>
      <c r="H3045" s="1" t="s">
        <v>48</v>
      </c>
      <c r="I3045">
        <v>24149</v>
      </c>
      <c r="J3045" s="3">
        <v>34.450000000000003</v>
      </c>
      <c r="K3045" s="3">
        <v>831933.05</v>
      </c>
    </row>
    <row r="3046" spans="1:11" x14ac:dyDescent="0.2">
      <c r="A3046" s="1" t="s">
        <v>4162</v>
      </c>
      <c r="B3046" s="2">
        <v>45641</v>
      </c>
      <c r="C3046" s="1" t="s">
        <v>2169</v>
      </c>
      <c r="D3046" s="1" t="s">
        <v>2170</v>
      </c>
      <c r="E3046" s="1" t="s">
        <v>28</v>
      </c>
      <c r="F3046" s="1" t="s">
        <v>273</v>
      </c>
      <c r="G3046" s="1" t="s">
        <v>274</v>
      </c>
      <c r="H3046" s="1" t="s">
        <v>24</v>
      </c>
      <c r="I3046">
        <v>49501</v>
      </c>
      <c r="J3046" s="3">
        <v>47.61</v>
      </c>
      <c r="K3046" s="3">
        <v>2356742.61</v>
      </c>
    </row>
    <row r="3047" spans="1:11" x14ac:dyDescent="0.2">
      <c r="A3047" s="1" t="s">
        <v>4163</v>
      </c>
      <c r="B3047" s="2">
        <v>45768</v>
      </c>
      <c r="C3047" s="1" t="s">
        <v>55</v>
      </c>
      <c r="D3047" s="1" t="s">
        <v>56</v>
      </c>
      <c r="E3047" s="1" t="s">
        <v>21</v>
      </c>
      <c r="F3047" s="1" t="s">
        <v>406</v>
      </c>
      <c r="G3047" s="1" t="s">
        <v>407</v>
      </c>
      <c r="H3047" s="1" t="s">
        <v>17</v>
      </c>
      <c r="I3047">
        <v>68805</v>
      </c>
      <c r="J3047" s="3">
        <v>37.58</v>
      </c>
      <c r="K3047" s="3">
        <v>2585691.9</v>
      </c>
    </row>
    <row r="3048" spans="1:11" x14ac:dyDescent="0.2">
      <c r="A3048" s="1" t="s">
        <v>4164</v>
      </c>
      <c r="B3048" s="2">
        <v>45972</v>
      </c>
      <c r="C3048" s="1" t="s">
        <v>975</v>
      </c>
      <c r="D3048" s="1" t="s">
        <v>976</v>
      </c>
      <c r="E3048" s="1" t="s">
        <v>28</v>
      </c>
      <c r="F3048" s="1" t="s">
        <v>22</v>
      </c>
      <c r="G3048" s="1" t="s">
        <v>23</v>
      </c>
      <c r="H3048" s="1" t="s">
        <v>24</v>
      </c>
      <c r="I3048">
        <v>95579</v>
      </c>
      <c r="J3048" s="3">
        <v>3.75</v>
      </c>
      <c r="K3048" s="3">
        <v>358421.25</v>
      </c>
    </row>
    <row r="3049" spans="1:11" x14ac:dyDescent="0.2">
      <c r="A3049" s="1" t="s">
        <v>4165</v>
      </c>
      <c r="B3049" s="2">
        <v>45511</v>
      </c>
      <c r="C3049" s="1" t="s">
        <v>168</v>
      </c>
      <c r="D3049" s="1" t="s">
        <v>169</v>
      </c>
      <c r="E3049" s="1" t="s">
        <v>21</v>
      </c>
      <c r="F3049" s="1" t="s">
        <v>330</v>
      </c>
      <c r="G3049" s="1" t="s">
        <v>331</v>
      </c>
      <c r="H3049" s="1" t="s">
        <v>72</v>
      </c>
      <c r="I3049">
        <v>52461</v>
      </c>
      <c r="J3049" s="3">
        <v>47.36</v>
      </c>
      <c r="K3049" s="3">
        <v>2484552.96</v>
      </c>
    </row>
    <row r="3050" spans="1:11" x14ac:dyDescent="0.2">
      <c r="A3050" s="1" t="s">
        <v>4166</v>
      </c>
      <c r="B3050" s="2">
        <v>45512</v>
      </c>
      <c r="C3050" s="1" t="s">
        <v>254</v>
      </c>
      <c r="D3050" s="1" t="s">
        <v>255</v>
      </c>
      <c r="E3050" s="1" t="s">
        <v>14</v>
      </c>
      <c r="F3050" s="1" t="s">
        <v>113</v>
      </c>
      <c r="G3050" s="1" t="s">
        <v>114</v>
      </c>
      <c r="H3050" s="1" t="s">
        <v>37</v>
      </c>
      <c r="I3050">
        <v>27107</v>
      </c>
      <c r="J3050" s="3">
        <v>5.83</v>
      </c>
      <c r="K3050" s="3">
        <v>158033.81</v>
      </c>
    </row>
    <row r="3051" spans="1:11" x14ac:dyDescent="0.2">
      <c r="A3051" s="1" t="s">
        <v>4167</v>
      </c>
      <c r="B3051" s="2">
        <v>45705</v>
      </c>
      <c r="C3051" s="1" t="s">
        <v>201</v>
      </c>
      <c r="D3051" s="1" t="s">
        <v>202</v>
      </c>
      <c r="E3051" s="1" t="s">
        <v>14</v>
      </c>
      <c r="F3051" s="1" t="s">
        <v>237</v>
      </c>
      <c r="G3051" s="1" t="s">
        <v>238</v>
      </c>
      <c r="H3051" s="1" t="s">
        <v>17</v>
      </c>
      <c r="I3051">
        <v>24494</v>
      </c>
      <c r="J3051" s="3">
        <v>32.869999999999997</v>
      </c>
      <c r="K3051" s="3">
        <v>805117.78</v>
      </c>
    </row>
    <row r="3052" spans="1:11" x14ac:dyDescent="0.2">
      <c r="A3052" s="1" t="s">
        <v>4168</v>
      </c>
      <c r="B3052" s="2">
        <v>45586</v>
      </c>
      <c r="C3052" s="1" t="s">
        <v>1695</v>
      </c>
      <c r="D3052" s="1" t="s">
        <v>1696</v>
      </c>
      <c r="E3052" s="1" t="s">
        <v>34</v>
      </c>
      <c r="F3052" s="1" t="s">
        <v>263</v>
      </c>
      <c r="G3052" s="1" t="s">
        <v>264</v>
      </c>
      <c r="H3052" s="1" t="s">
        <v>17</v>
      </c>
      <c r="I3052">
        <v>90153</v>
      </c>
      <c r="J3052" s="3">
        <v>22.34</v>
      </c>
      <c r="K3052" s="3">
        <v>2014018.02</v>
      </c>
    </row>
    <row r="3053" spans="1:11" x14ac:dyDescent="0.2">
      <c r="A3053" s="1" t="s">
        <v>4169</v>
      </c>
      <c r="B3053" s="2">
        <v>45541</v>
      </c>
      <c r="C3053" s="1" t="s">
        <v>883</v>
      </c>
      <c r="D3053" s="1" t="s">
        <v>884</v>
      </c>
      <c r="E3053" s="1" t="s">
        <v>37</v>
      </c>
      <c r="F3053" s="1" t="s">
        <v>284</v>
      </c>
      <c r="G3053" s="1" t="s">
        <v>285</v>
      </c>
      <c r="H3053" s="1" t="s">
        <v>37</v>
      </c>
      <c r="I3053">
        <v>20607</v>
      </c>
      <c r="J3053" s="3">
        <v>3.45</v>
      </c>
      <c r="K3053" s="3">
        <v>71094.149999999994</v>
      </c>
    </row>
    <row r="3054" spans="1:11" x14ac:dyDescent="0.2">
      <c r="A3054" s="1" t="s">
        <v>4170</v>
      </c>
      <c r="B3054" s="2">
        <v>45992</v>
      </c>
      <c r="C3054" s="1" t="s">
        <v>975</v>
      </c>
      <c r="D3054" s="1" t="s">
        <v>976</v>
      </c>
      <c r="E3054" s="1" t="s">
        <v>28</v>
      </c>
      <c r="F3054" s="1" t="s">
        <v>284</v>
      </c>
      <c r="G3054" s="1" t="s">
        <v>285</v>
      </c>
      <c r="H3054" s="1" t="s">
        <v>37</v>
      </c>
      <c r="I3054">
        <v>78504</v>
      </c>
      <c r="J3054" s="3">
        <v>37.630000000000003</v>
      </c>
      <c r="K3054" s="3">
        <v>2954105.52</v>
      </c>
    </row>
    <row r="3055" spans="1:11" x14ac:dyDescent="0.2">
      <c r="A3055" s="1" t="s">
        <v>4171</v>
      </c>
      <c r="B3055" s="2">
        <v>46019</v>
      </c>
      <c r="C3055" s="1" t="s">
        <v>44</v>
      </c>
      <c r="D3055" s="1" t="s">
        <v>45</v>
      </c>
      <c r="E3055" s="1" t="s">
        <v>34</v>
      </c>
      <c r="F3055" s="1" t="s">
        <v>263</v>
      </c>
      <c r="G3055" s="1" t="s">
        <v>264</v>
      </c>
      <c r="H3055" s="1" t="s">
        <v>17</v>
      </c>
      <c r="I3055">
        <v>56257</v>
      </c>
      <c r="J3055" s="3">
        <v>38.1</v>
      </c>
      <c r="K3055" s="3">
        <v>2143391.7000000002</v>
      </c>
    </row>
    <row r="3056" spans="1:11" x14ac:dyDescent="0.2">
      <c r="A3056" s="1" t="s">
        <v>4172</v>
      </c>
      <c r="B3056" s="2">
        <v>45563</v>
      </c>
      <c r="C3056" s="1" t="s">
        <v>1903</v>
      </c>
      <c r="D3056" s="1" t="s">
        <v>1904</v>
      </c>
      <c r="E3056" s="1" t="s">
        <v>14</v>
      </c>
      <c r="F3056" s="1" t="s">
        <v>81</v>
      </c>
      <c r="G3056" s="1" t="s">
        <v>82</v>
      </c>
      <c r="H3056" s="1" t="s">
        <v>72</v>
      </c>
      <c r="I3056">
        <v>10005</v>
      </c>
      <c r="J3056" s="3">
        <v>32.08</v>
      </c>
      <c r="K3056" s="3">
        <v>320960.40000000002</v>
      </c>
    </row>
    <row r="3057" spans="1:11" x14ac:dyDescent="0.2">
      <c r="A3057" s="1" t="s">
        <v>4173</v>
      </c>
      <c r="B3057" s="2">
        <v>45710</v>
      </c>
      <c r="C3057" s="1" t="s">
        <v>478</v>
      </c>
      <c r="D3057" s="1" t="s">
        <v>479</v>
      </c>
      <c r="E3057" s="1" t="s">
        <v>34</v>
      </c>
      <c r="F3057" s="1" t="s">
        <v>152</v>
      </c>
      <c r="G3057" s="1" t="s">
        <v>153</v>
      </c>
      <c r="H3057" s="1" t="s">
        <v>17</v>
      </c>
      <c r="I3057">
        <v>82305</v>
      </c>
      <c r="J3057" s="3">
        <v>10.68</v>
      </c>
      <c r="K3057" s="3">
        <v>879017.4</v>
      </c>
    </row>
    <row r="3058" spans="1:11" x14ac:dyDescent="0.2">
      <c r="A3058" s="1" t="s">
        <v>4174</v>
      </c>
      <c r="B3058" s="2">
        <v>45911</v>
      </c>
      <c r="C3058" s="1" t="s">
        <v>1332</v>
      </c>
      <c r="D3058" s="1" t="s">
        <v>1333</v>
      </c>
      <c r="E3058" s="1" t="s">
        <v>34</v>
      </c>
      <c r="F3058" s="1" t="s">
        <v>81</v>
      </c>
      <c r="G3058" s="1" t="s">
        <v>82</v>
      </c>
      <c r="H3058" s="1" t="s">
        <v>72</v>
      </c>
      <c r="I3058">
        <v>39259</v>
      </c>
      <c r="J3058" s="3">
        <v>43.96</v>
      </c>
      <c r="K3058" s="3">
        <v>1725825.64</v>
      </c>
    </row>
    <row r="3059" spans="1:11" x14ac:dyDescent="0.2">
      <c r="A3059" s="1" t="s">
        <v>4175</v>
      </c>
      <c r="B3059" s="2">
        <v>45808</v>
      </c>
      <c r="C3059" s="1" t="s">
        <v>472</v>
      </c>
      <c r="D3059" s="1" t="s">
        <v>473</v>
      </c>
      <c r="E3059" s="1" t="s">
        <v>14</v>
      </c>
      <c r="F3059" s="1" t="s">
        <v>157</v>
      </c>
      <c r="G3059" s="1" t="s">
        <v>158</v>
      </c>
      <c r="H3059" s="1" t="s">
        <v>48</v>
      </c>
      <c r="I3059">
        <v>51468</v>
      </c>
      <c r="J3059" s="3">
        <v>41.09</v>
      </c>
      <c r="K3059" s="3">
        <v>2114820.12</v>
      </c>
    </row>
    <row r="3060" spans="1:11" x14ac:dyDescent="0.2">
      <c r="A3060" s="1" t="s">
        <v>4176</v>
      </c>
      <c r="B3060" s="2">
        <v>45577</v>
      </c>
      <c r="C3060" s="1" t="s">
        <v>1412</v>
      </c>
      <c r="D3060" s="1" t="s">
        <v>1413</v>
      </c>
      <c r="E3060" s="1" t="s">
        <v>37</v>
      </c>
      <c r="F3060" s="1" t="s">
        <v>98</v>
      </c>
      <c r="G3060" s="1" t="s">
        <v>99</v>
      </c>
      <c r="H3060" s="1" t="s">
        <v>72</v>
      </c>
      <c r="I3060">
        <v>31024</v>
      </c>
      <c r="J3060" s="3">
        <v>30.82</v>
      </c>
      <c r="K3060" s="3">
        <v>956159.68</v>
      </c>
    </row>
    <row r="3061" spans="1:11" x14ac:dyDescent="0.2">
      <c r="A3061" s="1" t="s">
        <v>4177</v>
      </c>
      <c r="B3061" s="2">
        <v>45747</v>
      </c>
      <c r="C3061" s="1" t="s">
        <v>994</v>
      </c>
      <c r="D3061" s="1" t="s">
        <v>995</v>
      </c>
      <c r="E3061" s="1" t="s">
        <v>21</v>
      </c>
      <c r="F3061" s="1" t="s">
        <v>22</v>
      </c>
      <c r="G3061" s="1" t="s">
        <v>23</v>
      </c>
      <c r="H3061" s="1" t="s">
        <v>24</v>
      </c>
      <c r="I3061">
        <v>12800</v>
      </c>
      <c r="J3061" s="3">
        <v>37.92</v>
      </c>
      <c r="K3061" s="3">
        <v>485376</v>
      </c>
    </row>
    <row r="3062" spans="1:11" x14ac:dyDescent="0.2">
      <c r="A3062" s="1" t="s">
        <v>4178</v>
      </c>
      <c r="B3062" s="2">
        <v>45914</v>
      </c>
      <c r="C3062" s="1" t="s">
        <v>1032</v>
      </c>
      <c r="D3062" s="1" t="s">
        <v>1033</v>
      </c>
      <c r="E3062" s="1" t="s">
        <v>34</v>
      </c>
      <c r="F3062" s="1" t="s">
        <v>15</v>
      </c>
      <c r="G3062" s="1" t="s">
        <v>16</v>
      </c>
      <c r="H3062" s="1" t="s">
        <v>17</v>
      </c>
      <c r="I3062">
        <v>75092</v>
      </c>
      <c r="J3062" s="3">
        <v>13.66</v>
      </c>
      <c r="K3062" s="3">
        <v>1025756.72</v>
      </c>
    </row>
    <row r="3063" spans="1:11" x14ac:dyDescent="0.2">
      <c r="A3063" s="1" t="s">
        <v>4179</v>
      </c>
      <c r="B3063" s="2">
        <v>45400</v>
      </c>
      <c r="C3063" s="1" t="s">
        <v>814</v>
      </c>
      <c r="D3063" s="1" t="s">
        <v>815</v>
      </c>
      <c r="E3063" s="1" t="s">
        <v>14</v>
      </c>
      <c r="F3063" s="1" t="s">
        <v>139</v>
      </c>
      <c r="G3063" s="1" t="s">
        <v>140</v>
      </c>
      <c r="H3063" s="1" t="s">
        <v>24</v>
      </c>
      <c r="I3063">
        <v>75644</v>
      </c>
      <c r="J3063" s="3">
        <v>20.78</v>
      </c>
      <c r="K3063" s="3">
        <v>1571882.32</v>
      </c>
    </row>
    <row r="3064" spans="1:11" x14ac:dyDescent="0.2">
      <c r="A3064" s="1" t="s">
        <v>4180</v>
      </c>
      <c r="B3064" s="2">
        <v>45625</v>
      </c>
      <c r="C3064" s="1" t="s">
        <v>727</v>
      </c>
      <c r="D3064" s="1" t="s">
        <v>728</v>
      </c>
      <c r="E3064" s="1" t="s">
        <v>37</v>
      </c>
      <c r="F3064" s="1" t="s">
        <v>139</v>
      </c>
      <c r="G3064" s="1" t="s">
        <v>140</v>
      </c>
      <c r="H3064" s="1" t="s">
        <v>24</v>
      </c>
      <c r="I3064">
        <v>83514</v>
      </c>
      <c r="J3064" s="3">
        <v>9.06</v>
      </c>
      <c r="K3064" s="3">
        <v>756636.84</v>
      </c>
    </row>
    <row r="3065" spans="1:11" x14ac:dyDescent="0.2">
      <c r="A3065" s="1" t="s">
        <v>4181</v>
      </c>
      <c r="B3065" s="2">
        <v>45927</v>
      </c>
      <c r="C3065" s="1" t="s">
        <v>688</v>
      </c>
      <c r="D3065" s="1" t="s">
        <v>689</v>
      </c>
      <c r="E3065" s="1" t="s">
        <v>37</v>
      </c>
      <c r="F3065" s="1" t="s">
        <v>144</v>
      </c>
      <c r="G3065" s="1" t="s">
        <v>145</v>
      </c>
      <c r="H3065" s="1" t="s">
        <v>24</v>
      </c>
      <c r="I3065">
        <v>1629</v>
      </c>
      <c r="J3065" s="3">
        <v>21.3</v>
      </c>
      <c r="K3065" s="3">
        <v>34697.699999999997</v>
      </c>
    </row>
    <row r="3066" spans="1:11" x14ac:dyDescent="0.2">
      <c r="A3066" s="1" t="s">
        <v>4182</v>
      </c>
      <c r="B3066" s="2">
        <v>45603</v>
      </c>
      <c r="C3066" s="1" t="s">
        <v>730</v>
      </c>
      <c r="D3066" s="1" t="s">
        <v>731</v>
      </c>
      <c r="E3066" s="1" t="s">
        <v>14</v>
      </c>
      <c r="F3066" s="1" t="s">
        <v>108</v>
      </c>
      <c r="G3066" s="1" t="s">
        <v>109</v>
      </c>
      <c r="H3066" s="1" t="s">
        <v>37</v>
      </c>
      <c r="I3066">
        <v>52083</v>
      </c>
      <c r="J3066" s="3">
        <v>22.94</v>
      </c>
      <c r="K3066" s="3">
        <v>1194784.02</v>
      </c>
    </row>
    <row r="3067" spans="1:11" x14ac:dyDescent="0.2">
      <c r="A3067" s="1" t="s">
        <v>4183</v>
      </c>
      <c r="B3067" s="2">
        <v>45845</v>
      </c>
      <c r="C3067" s="1" t="s">
        <v>1797</v>
      </c>
      <c r="D3067" s="1" t="s">
        <v>1798</v>
      </c>
      <c r="E3067" s="1" t="s">
        <v>37</v>
      </c>
      <c r="F3067" s="1" t="s">
        <v>251</v>
      </c>
      <c r="G3067" s="1" t="s">
        <v>252</v>
      </c>
      <c r="H3067" s="1" t="s">
        <v>72</v>
      </c>
      <c r="I3067">
        <v>30400</v>
      </c>
      <c r="J3067" s="3">
        <v>23.94</v>
      </c>
      <c r="K3067" s="3">
        <v>727776</v>
      </c>
    </row>
    <row r="3068" spans="1:11" x14ac:dyDescent="0.2">
      <c r="A3068" s="1" t="s">
        <v>4184</v>
      </c>
      <c r="B3068" s="2">
        <v>45834</v>
      </c>
      <c r="C3068" s="1" t="s">
        <v>1426</v>
      </c>
      <c r="D3068" s="1" t="s">
        <v>1427</v>
      </c>
      <c r="E3068" s="1" t="s">
        <v>28</v>
      </c>
      <c r="F3068" s="1" t="s">
        <v>263</v>
      </c>
      <c r="G3068" s="1" t="s">
        <v>264</v>
      </c>
      <c r="H3068" s="1" t="s">
        <v>17</v>
      </c>
      <c r="I3068">
        <v>16781</v>
      </c>
      <c r="J3068" s="3">
        <v>3.14</v>
      </c>
      <c r="K3068" s="3">
        <v>52692.34</v>
      </c>
    </row>
    <row r="3069" spans="1:11" x14ac:dyDescent="0.2">
      <c r="A3069" s="1" t="s">
        <v>4185</v>
      </c>
      <c r="B3069" s="2">
        <v>45932</v>
      </c>
      <c r="C3069" s="1" t="s">
        <v>243</v>
      </c>
      <c r="D3069" s="1" t="s">
        <v>244</v>
      </c>
      <c r="E3069" s="1" t="s">
        <v>21</v>
      </c>
      <c r="F3069" s="1" t="s">
        <v>540</v>
      </c>
      <c r="G3069" s="1" t="s">
        <v>541</v>
      </c>
      <c r="H3069" s="1" t="s">
        <v>37</v>
      </c>
      <c r="I3069">
        <v>52329</v>
      </c>
      <c r="J3069" s="3">
        <v>48.63</v>
      </c>
      <c r="K3069" s="3">
        <v>2544759.27</v>
      </c>
    </row>
    <row r="3070" spans="1:11" x14ac:dyDescent="0.2">
      <c r="A3070" s="1" t="s">
        <v>4186</v>
      </c>
      <c r="B3070" s="2">
        <v>45481</v>
      </c>
      <c r="C3070" s="1" t="s">
        <v>297</v>
      </c>
      <c r="D3070" s="1" t="s">
        <v>298</v>
      </c>
      <c r="E3070" s="1" t="s">
        <v>21</v>
      </c>
      <c r="F3070" s="1" t="s">
        <v>108</v>
      </c>
      <c r="G3070" s="1" t="s">
        <v>109</v>
      </c>
      <c r="H3070" s="1" t="s">
        <v>37</v>
      </c>
      <c r="I3070">
        <v>9622</v>
      </c>
      <c r="J3070" s="3">
        <v>28.95</v>
      </c>
      <c r="K3070" s="3">
        <v>278556.90000000002</v>
      </c>
    </row>
    <row r="3071" spans="1:11" x14ac:dyDescent="0.2">
      <c r="A3071" s="1" t="s">
        <v>4187</v>
      </c>
      <c r="B3071" s="2">
        <v>45902</v>
      </c>
      <c r="C3071" s="1" t="s">
        <v>1268</v>
      </c>
      <c r="D3071" s="1" t="s">
        <v>1269</v>
      </c>
      <c r="E3071" s="1" t="s">
        <v>34</v>
      </c>
      <c r="F3071" s="1" t="s">
        <v>406</v>
      </c>
      <c r="G3071" s="1" t="s">
        <v>407</v>
      </c>
      <c r="H3071" s="1" t="s">
        <v>17</v>
      </c>
      <c r="I3071">
        <v>75334</v>
      </c>
      <c r="J3071" s="3">
        <v>30.47</v>
      </c>
      <c r="K3071" s="3">
        <v>2295426.98</v>
      </c>
    </row>
    <row r="3072" spans="1:11" x14ac:dyDescent="0.2">
      <c r="A3072" s="1" t="s">
        <v>4188</v>
      </c>
      <c r="B3072" s="2">
        <v>45828</v>
      </c>
      <c r="C3072" s="1" t="s">
        <v>1220</v>
      </c>
      <c r="D3072" s="1" t="s">
        <v>1221</v>
      </c>
      <c r="E3072" s="1" t="s">
        <v>34</v>
      </c>
      <c r="F3072" s="1" t="s">
        <v>152</v>
      </c>
      <c r="G3072" s="1" t="s">
        <v>153</v>
      </c>
      <c r="H3072" s="1" t="s">
        <v>17</v>
      </c>
      <c r="I3072">
        <v>80224</v>
      </c>
      <c r="J3072" s="3">
        <v>30.28</v>
      </c>
      <c r="K3072" s="3">
        <v>2429182.7200000002</v>
      </c>
    </row>
    <row r="3073" spans="1:11" x14ac:dyDescent="0.2">
      <c r="A3073" s="1" t="s">
        <v>4189</v>
      </c>
      <c r="B3073" s="2">
        <v>45313</v>
      </c>
      <c r="C3073" s="1" t="s">
        <v>2781</v>
      </c>
      <c r="D3073" s="1" t="s">
        <v>2782</v>
      </c>
      <c r="E3073" s="1" t="s">
        <v>34</v>
      </c>
      <c r="F3073" s="1" t="s">
        <v>540</v>
      </c>
      <c r="G3073" s="1" t="s">
        <v>541</v>
      </c>
      <c r="H3073" s="1" t="s">
        <v>37</v>
      </c>
      <c r="I3073">
        <v>79810</v>
      </c>
      <c r="J3073" s="3">
        <v>24.66</v>
      </c>
      <c r="K3073" s="3">
        <v>1968114.6</v>
      </c>
    </row>
    <row r="3074" spans="1:11" x14ac:dyDescent="0.2">
      <c r="A3074" s="1" t="s">
        <v>4190</v>
      </c>
      <c r="B3074" s="2">
        <v>45909</v>
      </c>
      <c r="C3074" s="1" t="s">
        <v>1894</v>
      </c>
      <c r="D3074" s="1" t="s">
        <v>1895</v>
      </c>
      <c r="E3074" s="1" t="s">
        <v>28</v>
      </c>
      <c r="F3074" s="1" t="s">
        <v>22</v>
      </c>
      <c r="G3074" s="1" t="s">
        <v>23</v>
      </c>
      <c r="H3074" s="1" t="s">
        <v>24</v>
      </c>
      <c r="I3074">
        <v>8506</v>
      </c>
      <c r="J3074" s="3">
        <v>25.97</v>
      </c>
      <c r="K3074" s="3">
        <v>220900.82</v>
      </c>
    </row>
    <row r="3075" spans="1:11" x14ac:dyDescent="0.2">
      <c r="A3075" s="1" t="s">
        <v>4191</v>
      </c>
      <c r="B3075" s="2">
        <v>45951</v>
      </c>
      <c r="C3075" s="1" t="s">
        <v>313</v>
      </c>
      <c r="D3075" s="1" t="s">
        <v>314</v>
      </c>
      <c r="E3075" s="1" t="s">
        <v>37</v>
      </c>
      <c r="F3075" s="1" t="s">
        <v>463</v>
      </c>
      <c r="G3075" s="1" t="s">
        <v>464</v>
      </c>
      <c r="H3075" s="1" t="s">
        <v>37</v>
      </c>
      <c r="I3075">
        <v>36111</v>
      </c>
      <c r="J3075" s="3">
        <v>2.88</v>
      </c>
      <c r="K3075" s="3">
        <v>103999.67999999999</v>
      </c>
    </row>
    <row r="3076" spans="1:11" x14ac:dyDescent="0.2">
      <c r="A3076" s="1" t="s">
        <v>4192</v>
      </c>
      <c r="B3076" s="2">
        <v>45959</v>
      </c>
      <c r="C3076" s="1" t="s">
        <v>2128</v>
      </c>
      <c r="D3076" s="1" t="s">
        <v>2129</v>
      </c>
      <c r="E3076" s="1" t="s">
        <v>37</v>
      </c>
      <c r="F3076" s="1" t="s">
        <v>22</v>
      </c>
      <c r="G3076" s="1" t="s">
        <v>23</v>
      </c>
      <c r="H3076" s="1" t="s">
        <v>24</v>
      </c>
      <c r="I3076">
        <v>55932</v>
      </c>
      <c r="J3076" s="3">
        <v>16.190000000000001</v>
      </c>
      <c r="K3076" s="3">
        <v>905539.08</v>
      </c>
    </row>
    <row r="3077" spans="1:11" x14ac:dyDescent="0.2">
      <c r="A3077" s="1" t="s">
        <v>4193</v>
      </c>
      <c r="B3077" s="2">
        <v>45952</v>
      </c>
      <c r="C3077" s="1" t="s">
        <v>1854</v>
      </c>
      <c r="D3077" s="1" t="s">
        <v>1855</v>
      </c>
      <c r="E3077" s="1" t="s">
        <v>37</v>
      </c>
      <c r="F3077" s="1" t="s">
        <v>458</v>
      </c>
      <c r="G3077" s="1" t="s">
        <v>459</v>
      </c>
      <c r="H3077" s="1" t="s">
        <v>72</v>
      </c>
      <c r="I3077">
        <v>2334</v>
      </c>
      <c r="J3077" s="3">
        <v>28.1</v>
      </c>
      <c r="K3077" s="3">
        <v>65585.399999999994</v>
      </c>
    </row>
    <row r="3078" spans="1:11" x14ac:dyDescent="0.2">
      <c r="A3078" s="1" t="s">
        <v>4194</v>
      </c>
      <c r="B3078" s="2">
        <v>45723</v>
      </c>
      <c r="C3078" s="1" t="s">
        <v>1023</v>
      </c>
      <c r="D3078" s="1" t="s">
        <v>1024</v>
      </c>
      <c r="E3078" s="1" t="s">
        <v>37</v>
      </c>
      <c r="F3078" s="1" t="s">
        <v>70</v>
      </c>
      <c r="G3078" s="1" t="s">
        <v>71</v>
      </c>
      <c r="H3078" s="1" t="s">
        <v>72</v>
      </c>
      <c r="I3078">
        <v>10608</v>
      </c>
      <c r="J3078" s="3">
        <v>15.22</v>
      </c>
      <c r="K3078" s="3">
        <v>161453.76000000001</v>
      </c>
    </row>
    <row r="3079" spans="1:11" x14ac:dyDescent="0.2">
      <c r="A3079" s="1" t="s">
        <v>4195</v>
      </c>
      <c r="B3079" s="2">
        <v>45572</v>
      </c>
      <c r="C3079" s="1" t="s">
        <v>774</v>
      </c>
      <c r="D3079" s="1" t="s">
        <v>775</v>
      </c>
      <c r="E3079" s="1" t="s">
        <v>37</v>
      </c>
      <c r="F3079" s="1" t="s">
        <v>463</v>
      </c>
      <c r="G3079" s="1" t="s">
        <v>464</v>
      </c>
      <c r="H3079" s="1" t="s">
        <v>37</v>
      </c>
      <c r="I3079">
        <v>46092</v>
      </c>
      <c r="J3079" s="3">
        <v>8.35</v>
      </c>
      <c r="K3079" s="3">
        <v>384868.2</v>
      </c>
    </row>
    <row r="3080" spans="1:11" x14ac:dyDescent="0.2">
      <c r="A3080" s="1" t="s">
        <v>4196</v>
      </c>
      <c r="B3080" s="2">
        <v>45316</v>
      </c>
      <c r="C3080" s="1" t="s">
        <v>2100</v>
      </c>
      <c r="D3080" s="1" t="s">
        <v>2101</v>
      </c>
      <c r="E3080" s="1" t="s">
        <v>37</v>
      </c>
      <c r="F3080" s="1" t="s">
        <v>324</v>
      </c>
      <c r="G3080" s="1" t="s">
        <v>325</v>
      </c>
      <c r="H3080" s="1" t="s">
        <v>24</v>
      </c>
      <c r="I3080">
        <v>71806</v>
      </c>
      <c r="J3080" s="3">
        <v>43.35</v>
      </c>
      <c r="K3080" s="3">
        <v>3112790.1</v>
      </c>
    </row>
    <row r="3081" spans="1:11" x14ac:dyDescent="0.2">
      <c r="A3081" s="1" t="s">
        <v>4197</v>
      </c>
      <c r="B3081" s="2">
        <v>45507</v>
      </c>
      <c r="C3081" s="1" t="s">
        <v>198</v>
      </c>
      <c r="D3081" s="1" t="s">
        <v>199</v>
      </c>
      <c r="E3081" s="1" t="s">
        <v>21</v>
      </c>
      <c r="F3081" s="1" t="s">
        <v>70</v>
      </c>
      <c r="G3081" s="1" t="s">
        <v>71</v>
      </c>
      <c r="H3081" s="1" t="s">
        <v>72</v>
      </c>
      <c r="I3081">
        <v>84595</v>
      </c>
      <c r="J3081" s="3">
        <v>10.48</v>
      </c>
      <c r="K3081" s="3">
        <v>886555.6</v>
      </c>
    </row>
    <row r="3082" spans="1:11" x14ac:dyDescent="0.2">
      <c r="A3082" s="1" t="s">
        <v>4198</v>
      </c>
      <c r="B3082" s="2">
        <v>45776</v>
      </c>
      <c r="C3082" s="1" t="s">
        <v>1695</v>
      </c>
      <c r="D3082" s="1" t="s">
        <v>1696</v>
      </c>
      <c r="E3082" s="1" t="s">
        <v>34</v>
      </c>
      <c r="F3082" s="1" t="s">
        <v>113</v>
      </c>
      <c r="G3082" s="1" t="s">
        <v>114</v>
      </c>
      <c r="H3082" s="1" t="s">
        <v>37</v>
      </c>
      <c r="I3082">
        <v>21746</v>
      </c>
      <c r="J3082" s="3">
        <v>35.979999999999997</v>
      </c>
      <c r="K3082" s="3">
        <v>782421.08</v>
      </c>
    </row>
    <row r="3083" spans="1:11" x14ac:dyDescent="0.2">
      <c r="A3083" s="1" t="s">
        <v>4199</v>
      </c>
      <c r="B3083" s="2">
        <v>45504</v>
      </c>
      <c r="C3083" s="1" t="s">
        <v>920</v>
      </c>
      <c r="D3083" s="1" t="s">
        <v>921</v>
      </c>
      <c r="E3083" s="1" t="s">
        <v>14</v>
      </c>
      <c r="F3083" s="1" t="s">
        <v>65</v>
      </c>
      <c r="G3083" s="1" t="s">
        <v>66</v>
      </c>
      <c r="H3083" s="1" t="s">
        <v>48</v>
      </c>
      <c r="I3083">
        <v>8958</v>
      </c>
      <c r="J3083" s="3">
        <v>26.94</v>
      </c>
      <c r="K3083" s="3">
        <v>241328.52</v>
      </c>
    </row>
    <row r="3084" spans="1:11" x14ac:dyDescent="0.2">
      <c r="A3084" s="1" t="s">
        <v>4200</v>
      </c>
      <c r="B3084" s="2">
        <v>45980</v>
      </c>
      <c r="C3084" s="1" t="s">
        <v>613</v>
      </c>
      <c r="D3084" s="1" t="s">
        <v>614</v>
      </c>
      <c r="E3084" s="1" t="s">
        <v>34</v>
      </c>
      <c r="F3084" s="1" t="s">
        <v>540</v>
      </c>
      <c r="G3084" s="1" t="s">
        <v>541</v>
      </c>
      <c r="H3084" s="1" t="s">
        <v>37</v>
      </c>
      <c r="I3084">
        <v>16983</v>
      </c>
      <c r="J3084" s="3">
        <v>31.43</v>
      </c>
      <c r="K3084" s="3">
        <v>533775.68999999994</v>
      </c>
    </row>
    <row r="3085" spans="1:11" x14ac:dyDescent="0.2">
      <c r="A3085" s="1" t="s">
        <v>4201</v>
      </c>
      <c r="B3085" s="2">
        <v>45721</v>
      </c>
      <c r="C3085" s="1" t="s">
        <v>1337</v>
      </c>
      <c r="D3085" s="1" t="s">
        <v>1338</v>
      </c>
      <c r="E3085" s="1" t="s">
        <v>34</v>
      </c>
      <c r="F3085" s="1" t="s">
        <v>189</v>
      </c>
      <c r="G3085" s="1" t="s">
        <v>190</v>
      </c>
      <c r="H3085" s="1" t="s">
        <v>17</v>
      </c>
      <c r="I3085">
        <v>37058</v>
      </c>
      <c r="J3085" s="3">
        <v>9.06</v>
      </c>
      <c r="K3085" s="3">
        <v>335745.48</v>
      </c>
    </row>
    <row r="3086" spans="1:11" x14ac:dyDescent="0.2">
      <c r="A3086" s="1" t="s">
        <v>4202</v>
      </c>
      <c r="B3086" s="2">
        <v>45345</v>
      </c>
      <c r="C3086" s="1" t="s">
        <v>1489</v>
      </c>
      <c r="D3086" s="1" t="s">
        <v>1490</v>
      </c>
      <c r="E3086" s="1" t="s">
        <v>37</v>
      </c>
      <c r="F3086" s="1" t="s">
        <v>29</v>
      </c>
      <c r="G3086" s="1" t="s">
        <v>30</v>
      </c>
      <c r="H3086" s="1" t="s">
        <v>24</v>
      </c>
      <c r="I3086">
        <v>54517</v>
      </c>
      <c r="J3086" s="3">
        <v>14.75</v>
      </c>
      <c r="K3086" s="3">
        <v>804125.75</v>
      </c>
    </row>
    <row r="3087" spans="1:11" x14ac:dyDescent="0.2">
      <c r="A3087" s="1" t="s">
        <v>4203</v>
      </c>
      <c r="B3087" s="2">
        <v>45323</v>
      </c>
      <c r="C3087" s="1" t="s">
        <v>1061</v>
      </c>
      <c r="D3087" s="1" t="s">
        <v>1062</v>
      </c>
      <c r="E3087" s="1" t="s">
        <v>14</v>
      </c>
      <c r="F3087" s="1" t="s">
        <v>208</v>
      </c>
      <c r="G3087" s="1" t="s">
        <v>209</v>
      </c>
      <c r="H3087" s="1" t="s">
        <v>17</v>
      </c>
      <c r="I3087">
        <v>47637</v>
      </c>
      <c r="J3087" s="3">
        <v>20.13</v>
      </c>
      <c r="K3087" s="3">
        <v>958932.81</v>
      </c>
    </row>
    <row r="3088" spans="1:11" x14ac:dyDescent="0.2">
      <c r="A3088" s="1" t="s">
        <v>4204</v>
      </c>
      <c r="B3088" s="2">
        <v>45827</v>
      </c>
      <c r="C3088" s="1" t="s">
        <v>342</v>
      </c>
      <c r="D3088" s="1" t="s">
        <v>343</v>
      </c>
      <c r="E3088" s="1" t="s">
        <v>37</v>
      </c>
      <c r="F3088" s="1" t="s">
        <v>263</v>
      </c>
      <c r="G3088" s="1" t="s">
        <v>264</v>
      </c>
      <c r="H3088" s="1" t="s">
        <v>17</v>
      </c>
      <c r="I3088">
        <v>67279</v>
      </c>
      <c r="J3088" s="3">
        <v>49.32</v>
      </c>
      <c r="K3088" s="3">
        <v>3318200.28</v>
      </c>
    </row>
    <row r="3089" spans="1:11" x14ac:dyDescent="0.2">
      <c r="A3089" s="1" t="s">
        <v>4205</v>
      </c>
      <c r="B3089" s="2">
        <v>45475</v>
      </c>
      <c r="C3089" s="1" t="s">
        <v>348</v>
      </c>
      <c r="D3089" s="1" t="s">
        <v>349</v>
      </c>
      <c r="E3089" s="1" t="s">
        <v>28</v>
      </c>
      <c r="F3089" s="1" t="s">
        <v>251</v>
      </c>
      <c r="G3089" s="1" t="s">
        <v>252</v>
      </c>
      <c r="H3089" s="1" t="s">
        <v>72</v>
      </c>
      <c r="I3089">
        <v>51546</v>
      </c>
      <c r="J3089" s="3">
        <v>13.14</v>
      </c>
      <c r="K3089" s="3">
        <v>677314.44</v>
      </c>
    </row>
    <row r="3090" spans="1:11" x14ac:dyDescent="0.2">
      <c r="A3090" s="1" t="s">
        <v>4206</v>
      </c>
      <c r="B3090" s="2">
        <v>45920</v>
      </c>
      <c r="C3090" s="1" t="s">
        <v>2002</v>
      </c>
      <c r="D3090" s="1" t="s">
        <v>2003</v>
      </c>
      <c r="E3090" s="1" t="s">
        <v>34</v>
      </c>
      <c r="F3090" s="1" t="s">
        <v>324</v>
      </c>
      <c r="G3090" s="1" t="s">
        <v>325</v>
      </c>
      <c r="H3090" s="1" t="s">
        <v>24</v>
      </c>
      <c r="I3090">
        <v>58405</v>
      </c>
      <c r="J3090" s="3">
        <v>19.96</v>
      </c>
      <c r="K3090" s="3">
        <v>1165763.8</v>
      </c>
    </row>
    <row r="3091" spans="1:11" x14ac:dyDescent="0.2">
      <c r="A3091" s="1" t="s">
        <v>4207</v>
      </c>
      <c r="B3091" s="2">
        <v>45541</v>
      </c>
      <c r="C3091" s="1" t="s">
        <v>316</v>
      </c>
      <c r="D3091" s="1" t="s">
        <v>317</v>
      </c>
      <c r="E3091" s="1" t="s">
        <v>14</v>
      </c>
      <c r="F3091" s="1" t="s">
        <v>273</v>
      </c>
      <c r="G3091" s="1" t="s">
        <v>274</v>
      </c>
      <c r="H3091" s="1" t="s">
        <v>24</v>
      </c>
      <c r="I3091">
        <v>95472</v>
      </c>
      <c r="J3091" s="3">
        <v>46.71</v>
      </c>
      <c r="K3091" s="3">
        <v>4459497.12</v>
      </c>
    </row>
    <row r="3092" spans="1:11" x14ac:dyDescent="0.2">
      <c r="A3092" s="1" t="s">
        <v>4208</v>
      </c>
      <c r="B3092" s="2">
        <v>45978</v>
      </c>
      <c r="C3092" s="1" t="s">
        <v>481</v>
      </c>
      <c r="D3092" s="1" t="s">
        <v>482</v>
      </c>
      <c r="E3092" s="1" t="s">
        <v>34</v>
      </c>
      <c r="F3092" s="1" t="s">
        <v>263</v>
      </c>
      <c r="G3092" s="1" t="s">
        <v>264</v>
      </c>
      <c r="H3092" s="1" t="s">
        <v>17</v>
      </c>
      <c r="I3092">
        <v>39041</v>
      </c>
      <c r="J3092" s="3">
        <v>35.69</v>
      </c>
      <c r="K3092" s="3">
        <v>1393373.29</v>
      </c>
    </row>
    <row r="3093" spans="1:11" x14ac:dyDescent="0.2">
      <c r="A3093" s="1" t="s">
        <v>4209</v>
      </c>
      <c r="B3093" s="2">
        <v>45536</v>
      </c>
      <c r="C3093" s="1" t="s">
        <v>187</v>
      </c>
      <c r="D3093" s="1" t="s">
        <v>188</v>
      </c>
      <c r="E3093" s="1" t="s">
        <v>34</v>
      </c>
      <c r="F3093" s="1" t="s">
        <v>540</v>
      </c>
      <c r="G3093" s="1" t="s">
        <v>541</v>
      </c>
      <c r="H3093" s="1" t="s">
        <v>37</v>
      </c>
      <c r="I3093">
        <v>76267</v>
      </c>
      <c r="J3093" s="3">
        <v>15.26</v>
      </c>
      <c r="K3093" s="3">
        <v>1163834.42</v>
      </c>
    </row>
    <row r="3094" spans="1:11" x14ac:dyDescent="0.2">
      <c r="A3094" s="1" t="s">
        <v>4210</v>
      </c>
      <c r="B3094" s="2">
        <v>45650</v>
      </c>
      <c r="C3094" s="1" t="s">
        <v>1949</v>
      </c>
      <c r="D3094" s="1" t="s">
        <v>1950</v>
      </c>
      <c r="E3094" s="1" t="s">
        <v>14</v>
      </c>
      <c r="F3094" s="1" t="s">
        <v>339</v>
      </c>
      <c r="G3094" s="1" t="s">
        <v>340</v>
      </c>
      <c r="H3094" s="1" t="s">
        <v>24</v>
      </c>
      <c r="I3094">
        <v>34409</v>
      </c>
      <c r="J3094" s="3">
        <v>41.41</v>
      </c>
      <c r="K3094" s="3">
        <v>1424876.69</v>
      </c>
    </row>
    <row r="3095" spans="1:11" x14ac:dyDescent="0.2">
      <c r="A3095" s="1" t="s">
        <v>4211</v>
      </c>
      <c r="B3095" s="2">
        <v>45478</v>
      </c>
      <c r="C3095" s="1" t="s">
        <v>2662</v>
      </c>
      <c r="D3095" s="1" t="s">
        <v>2663</v>
      </c>
      <c r="E3095" s="1" t="s">
        <v>21</v>
      </c>
      <c r="F3095" s="1" t="s">
        <v>195</v>
      </c>
      <c r="G3095" s="1" t="s">
        <v>196</v>
      </c>
      <c r="H3095" s="1" t="s">
        <v>48</v>
      </c>
      <c r="I3095">
        <v>22823</v>
      </c>
      <c r="J3095" s="3">
        <v>33.729999999999997</v>
      </c>
      <c r="K3095" s="3">
        <v>769819.79</v>
      </c>
    </row>
    <row r="3096" spans="1:11" x14ac:dyDescent="0.2">
      <c r="A3096" s="1" t="s">
        <v>4212</v>
      </c>
      <c r="B3096" s="2">
        <v>45704</v>
      </c>
      <c r="C3096" s="1" t="s">
        <v>1640</v>
      </c>
      <c r="D3096" s="1" t="s">
        <v>1641</v>
      </c>
      <c r="E3096" s="1" t="s">
        <v>28</v>
      </c>
      <c r="F3096" s="1" t="s">
        <v>350</v>
      </c>
      <c r="G3096" s="1" t="s">
        <v>351</v>
      </c>
      <c r="H3096" s="1" t="s">
        <v>37</v>
      </c>
      <c r="I3096">
        <v>60139</v>
      </c>
      <c r="J3096" s="3">
        <v>27.3</v>
      </c>
      <c r="K3096" s="3">
        <v>1641794.7</v>
      </c>
    </row>
    <row r="3097" spans="1:11" x14ac:dyDescent="0.2">
      <c r="A3097" s="1" t="s">
        <v>4213</v>
      </c>
      <c r="B3097" s="2">
        <v>45975</v>
      </c>
      <c r="C3097" s="1" t="s">
        <v>1740</v>
      </c>
      <c r="D3097" s="1" t="s">
        <v>1741</v>
      </c>
      <c r="E3097" s="1" t="s">
        <v>21</v>
      </c>
      <c r="F3097" s="1" t="s">
        <v>46</v>
      </c>
      <c r="G3097" s="1" t="s">
        <v>47</v>
      </c>
      <c r="H3097" s="1" t="s">
        <v>48</v>
      </c>
      <c r="I3097">
        <v>32087</v>
      </c>
      <c r="J3097" s="3">
        <v>22.64</v>
      </c>
      <c r="K3097" s="3">
        <v>726449.68</v>
      </c>
    </row>
    <row r="3098" spans="1:11" x14ac:dyDescent="0.2">
      <c r="A3098" s="1" t="s">
        <v>4214</v>
      </c>
      <c r="B3098" s="2">
        <v>45625</v>
      </c>
      <c r="C3098" s="1" t="s">
        <v>877</v>
      </c>
      <c r="D3098" s="1" t="s">
        <v>878</v>
      </c>
      <c r="E3098" s="1" t="s">
        <v>37</v>
      </c>
      <c r="F3098" s="1" t="s">
        <v>458</v>
      </c>
      <c r="G3098" s="1" t="s">
        <v>459</v>
      </c>
      <c r="H3098" s="1" t="s">
        <v>72</v>
      </c>
      <c r="I3098">
        <v>70128</v>
      </c>
      <c r="J3098" s="3">
        <v>31.5</v>
      </c>
      <c r="K3098" s="3">
        <v>2209032</v>
      </c>
    </row>
    <row r="3099" spans="1:11" x14ac:dyDescent="0.2">
      <c r="A3099" s="1" t="s">
        <v>4215</v>
      </c>
      <c r="B3099" s="2">
        <v>45847</v>
      </c>
      <c r="C3099" s="1" t="s">
        <v>932</v>
      </c>
      <c r="D3099" s="1" t="s">
        <v>933</v>
      </c>
      <c r="E3099" s="1" t="s">
        <v>14</v>
      </c>
      <c r="F3099" s="1" t="s">
        <v>15</v>
      </c>
      <c r="G3099" s="1" t="s">
        <v>16</v>
      </c>
      <c r="H3099" s="1" t="s">
        <v>17</v>
      </c>
      <c r="I3099">
        <v>45182</v>
      </c>
      <c r="J3099" s="3">
        <v>24.62</v>
      </c>
      <c r="K3099" s="3">
        <v>1112380.8400000001</v>
      </c>
    </row>
    <row r="3100" spans="1:11" x14ac:dyDescent="0.2">
      <c r="A3100" s="1" t="s">
        <v>4216</v>
      </c>
      <c r="B3100" s="2">
        <v>45825</v>
      </c>
      <c r="C3100" s="1" t="s">
        <v>1426</v>
      </c>
      <c r="D3100" s="1" t="s">
        <v>1427</v>
      </c>
      <c r="E3100" s="1" t="s">
        <v>28</v>
      </c>
      <c r="F3100" s="1" t="s">
        <v>57</v>
      </c>
      <c r="G3100" s="1" t="s">
        <v>58</v>
      </c>
      <c r="H3100" s="1" t="s">
        <v>48</v>
      </c>
      <c r="I3100">
        <v>1105</v>
      </c>
      <c r="J3100" s="3">
        <v>19.88</v>
      </c>
      <c r="K3100" s="3">
        <v>21967.4</v>
      </c>
    </row>
    <row r="3101" spans="1:11" x14ac:dyDescent="0.2">
      <c r="A3101" s="1" t="s">
        <v>4217</v>
      </c>
      <c r="B3101" s="2">
        <v>45774</v>
      </c>
      <c r="C3101" s="1" t="s">
        <v>692</v>
      </c>
      <c r="D3101" s="1" t="s">
        <v>693</v>
      </c>
      <c r="E3101" s="1" t="s">
        <v>28</v>
      </c>
      <c r="F3101" s="1" t="s">
        <v>108</v>
      </c>
      <c r="G3101" s="1" t="s">
        <v>109</v>
      </c>
      <c r="H3101" s="1" t="s">
        <v>37</v>
      </c>
      <c r="I3101">
        <v>42609</v>
      </c>
      <c r="J3101" s="3">
        <v>49.18</v>
      </c>
      <c r="K3101" s="3">
        <v>2095510.62</v>
      </c>
    </row>
    <row r="3102" spans="1:11" x14ac:dyDescent="0.2">
      <c r="A3102" s="1" t="s">
        <v>4218</v>
      </c>
      <c r="B3102" s="2">
        <v>45831</v>
      </c>
      <c r="C3102" s="1" t="s">
        <v>804</v>
      </c>
      <c r="D3102" s="1" t="s">
        <v>805</v>
      </c>
      <c r="E3102" s="1" t="s">
        <v>34</v>
      </c>
      <c r="F3102" s="1" t="s">
        <v>165</v>
      </c>
      <c r="G3102" s="1" t="s">
        <v>166</v>
      </c>
      <c r="H3102" s="1" t="s">
        <v>24</v>
      </c>
      <c r="I3102">
        <v>21701</v>
      </c>
      <c r="J3102" s="3">
        <v>29.93</v>
      </c>
      <c r="K3102" s="3">
        <v>649510.93000000005</v>
      </c>
    </row>
    <row r="3103" spans="1:11" x14ac:dyDescent="0.2">
      <c r="A3103" s="1" t="s">
        <v>4219</v>
      </c>
      <c r="B3103" s="2">
        <v>46001</v>
      </c>
      <c r="C3103" s="1" t="s">
        <v>1207</v>
      </c>
      <c r="D3103" s="1" t="s">
        <v>1208</v>
      </c>
      <c r="E3103" s="1" t="s">
        <v>37</v>
      </c>
      <c r="F3103" s="1" t="s">
        <v>474</v>
      </c>
      <c r="G3103" s="1" t="s">
        <v>475</v>
      </c>
      <c r="H3103" s="1" t="s">
        <v>48</v>
      </c>
      <c r="I3103">
        <v>4308</v>
      </c>
      <c r="J3103" s="3">
        <v>22.9</v>
      </c>
      <c r="K3103" s="3">
        <v>98653.2</v>
      </c>
    </row>
    <row r="3104" spans="1:11" x14ac:dyDescent="0.2">
      <c r="A3104" s="1" t="s">
        <v>4220</v>
      </c>
      <c r="B3104" s="2">
        <v>45307</v>
      </c>
      <c r="C3104" s="1" t="s">
        <v>374</v>
      </c>
      <c r="D3104" s="1" t="s">
        <v>375</v>
      </c>
      <c r="E3104" s="1" t="s">
        <v>14</v>
      </c>
      <c r="F3104" s="1" t="s">
        <v>251</v>
      </c>
      <c r="G3104" s="1" t="s">
        <v>252</v>
      </c>
      <c r="H3104" s="1" t="s">
        <v>72</v>
      </c>
      <c r="I3104">
        <v>75406</v>
      </c>
      <c r="J3104" s="3">
        <v>10.27</v>
      </c>
      <c r="K3104" s="3">
        <v>774419.62</v>
      </c>
    </row>
    <row r="3105" spans="1:11" x14ac:dyDescent="0.2">
      <c r="A3105" s="1" t="s">
        <v>4221</v>
      </c>
      <c r="B3105" s="2">
        <v>45795</v>
      </c>
      <c r="C3105" s="1" t="s">
        <v>345</v>
      </c>
      <c r="D3105" s="1" t="s">
        <v>346</v>
      </c>
      <c r="E3105" s="1" t="s">
        <v>37</v>
      </c>
      <c r="F3105" s="1" t="s">
        <v>195</v>
      </c>
      <c r="G3105" s="1" t="s">
        <v>196</v>
      </c>
      <c r="H3105" s="1" t="s">
        <v>48</v>
      </c>
      <c r="I3105">
        <v>36027</v>
      </c>
      <c r="J3105" s="3">
        <v>25.54</v>
      </c>
      <c r="K3105" s="3">
        <v>920129.58</v>
      </c>
    </row>
    <row r="3106" spans="1:11" x14ac:dyDescent="0.2">
      <c r="A3106" s="1" t="s">
        <v>4222</v>
      </c>
      <c r="B3106" s="2">
        <v>45364</v>
      </c>
      <c r="C3106" s="1" t="s">
        <v>128</v>
      </c>
      <c r="D3106" s="1" t="s">
        <v>129</v>
      </c>
      <c r="E3106" s="1" t="s">
        <v>28</v>
      </c>
      <c r="F3106" s="1" t="s">
        <v>152</v>
      </c>
      <c r="G3106" s="1" t="s">
        <v>153</v>
      </c>
      <c r="H3106" s="1" t="s">
        <v>17</v>
      </c>
      <c r="I3106">
        <v>74851</v>
      </c>
      <c r="J3106" s="3">
        <v>8.86</v>
      </c>
      <c r="K3106" s="3">
        <v>663179.86</v>
      </c>
    </row>
    <row r="3107" spans="1:11" x14ac:dyDescent="0.2">
      <c r="A3107" s="1" t="s">
        <v>4223</v>
      </c>
      <c r="B3107" s="2">
        <v>45470</v>
      </c>
      <c r="C3107" s="1" t="s">
        <v>743</v>
      </c>
      <c r="D3107" s="1" t="s">
        <v>744</v>
      </c>
      <c r="E3107" s="1" t="s">
        <v>14</v>
      </c>
      <c r="F3107" s="1" t="s">
        <v>103</v>
      </c>
      <c r="G3107" s="1" t="s">
        <v>104</v>
      </c>
      <c r="H3107" s="1" t="s">
        <v>37</v>
      </c>
      <c r="I3107">
        <v>31525</v>
      </c>
      <c r="J3107" s="3">
        <v>19.36</v>
      </c>
      <c r="K3107" s="3">
        <v>610324</v>
      </c>
    </row>
    <row r="3108" spans="1:11" x14ac:dyDescent="0.2">
      <c r="A3108" s="1" t="s">
        <v>4224</v>
      </c>
      <c r="B3108" s="2">
        <v>45483</v>
      </c>
      <c r="C3108" s="1" t="s">
        <v>198</v>
      </c>
      <c r="D3108" s="1" t="s">
        <v>199</v>
      </c>
      <c r="E3108" s="1" t="s">
        <v>21</v>
      </c>
      <c r="F3108" s="1" t="s">
        <v>76</v>
      </c>
      <c r="G3108" s="1" t="s">
        <v>77</v>
      </c>
      <c r="H3108" s="1" t="s">
        <v>48</v>
      </c>
      <c r="I3108">
        <v>71417</v>
      </c>
      <c r="J3108" s="3">
        <v>9.36</v>
      </c>
      <c r="K3108" s="3">
        <v>668463.12</v>
      </c>
    </row>
    <row r="3109" spans="1:11" x14ac:dyDescent="0.2">
      <c r="A3109" s="1" t="s">
        <v>4225</v>
      </c>
      <c r="B3109" s="2">
        <v>45522</v>
      </c>
      <c r="C3109" s="1" t="s">
        <v>1708</v>
      </c>
      <c r="D3109" s="1" t="s">
        <v>1709</v>
      </c>
      <c r="E3109" s="1" t="s">
        <v>14</v>
      </c>
      <c r="F3109" s="1" t="s">
        <v>463</v>
      </c>
      <c r="G3109" s="1" t="s">
        <v>464</v>
      </c>
      <c r="H3109" s="1" t="s">
        <v>37</v>
      </c>
      <c r="I3109">
        <v>77865</v>
      </c>
      <c r="J3109" s="3">
        <v>9.44</v>
      </c>
      <c r="K3109" s="3">
        <v>735045.6</v>
      </c>
    </row>
    <row r="3110" spans="1:11" x14ac:dyDescent="0.2">
      <c r="A3110" s="1" t="s">
        <v>4226</v>
      </c>
      <c r="B3110" s="2">
        <v>45671</v>
      </c>
      <c r="C3110" s="1" t="s">
        <v>12</v>
      </c>
      <c r="D3110" s="1" t="s">
        <v>13</v>
      </c>
      <c r="E3110" s="1" t="s">
        <v>14</v>
      </c>
      <c r="F3110" s="1" t="s">
        <v>81</v>
      </c>
      <c r="G3110" s="1" t="s">
        <v>82</v>
      </c>
      <c r="H3110" s="1" t="s">
        <v>72</v>
      </c>
      <c r="I3110">
        <v>90796</v>
      </c>
      <c r="J3110" s="3">
        <v>25.19</v>
      </c>
      <c r="K3110" s="3">
        <v>2287151.2400000002</v>
      </c>
    </row>
    <row r="3111" spans="1:11" x14ac:dyDescent="0.2">
      <c r="A3111" s="1" t="s">
        <v>4227</v>
      </c>
      <c r="B3111" s="2">
        <v>45821</v>
      </c>
      <c r="C3111" s="1" t="s">
        <v>478</v>
      </c>
      <c r="D3111" s="1" t="s">
        <v>479</v>
      </c>
      <c r="E3111" s="1" t="s">
        <v>34</v>
      </c>
      <c r="F3111" s="1" t="s">
        <v>35</v>
      </c>
      <c r="G3111" s="1" t="s">
        <v>36</v>
      </c>
      <c r="H3111" s="1" t="s">
        <v>37</v>
      </c>
      <c r="I3111">
        <v>58995</v>
      </c>
      <c r="J3111" s="3">
        <v>10.98</v>
      </c>
      <c r="K3111" s="3">
        <v>647765.1</v>
      </c>
    </row>
    <row r="3112" spans="1:11" x14ac:dyDescent="0.2">
      <c r="A3112" s="1" t="s">
        <v>4228</v>
      </c>
      <c r="B3112" s="2">
        <v>45295</v>
      </c>
      <c r="C3112" s="1" t="s">
        <v>3354</v>
      </c>
      <c r="D3112" s="1" t="s">
        <v>3355</v>
      </c>
      <c r="E3112" s="1" t="s">
        <v>28</v>
      </c>
      <c r="F3112" s="1" t="s">
        <v>761</v>
      </c>
      <c r="G3112" s="1" t="s">
        <v>762</v>
      </c>
      <c r="H3112" s="1" t="s">
        <v>48</v>
      </c>
      <c r="I3112">
        <v>43285</v>
      </c>
      <c r="J3112" s="3">
        <v>12.59</v>
      </c>
      <c r="K3112" s="3">
        <v>544958.15</v>
      </c>
    </row>
    <row r="3113" spans="1:11" x14ac:dyDescent="0.2">
      <c r="A3113" s="1" t="s">
        <v>4229</v>
      </c>
      <c r="B3113" s="2">
        <v>46008</v>
      </c>
      <c r="C3113" s="1" t="s">
        <v>1516</v>
      </c>
      <c r="D3113" s="1" t="s">
        <v>1517</v>
      </c>
      <c r="E3113" s="1" t="s">
        <v>21</v>
      </c>
      <c r="F3113" s="1" t="s">
        <v>540</v>
      </c>
      <c r="G3113" s="1" t="s">
        <v>541</v>
      </c>
      <c r="H3113" s="1" t="s">
        <v>37</v>
      </c>
      <c r="I3113">
        <v>70231</v>
      </c>
      <c r="J3113" s="3">
        <v>18.989999999999998</v>
      </c>
      <c r="K3113" s="3">
        <v>1333686.69</v>
      </c>
    </row>
    <row r="3114" spans="1:11" x14ac:dyDescent="0.2">
      <c r="A3114" s="1" t="s">
        <v>4230</v>
      </c>
      <c r="B3114" s="2">
        <v>45721</v>
      </c>
      <c r="C3114" s="1" t="s">
        <v>1254</v>
      </c>
      <c r="D3114" s="1" t="s">
        <v>1255</v>
      </c>
      <c r="E3114" s="1" t="s">
        <v>14</v>
      </c>
      <c r="F3114" s="1" t="s">
        <v>176</v>
      </c>
      <c r="G3114" s="1" t="s">
        <v>177</v>
      </c>
      <c r="H3114" s="1" t="s">
        <v>37</v>
      </c>
      <c r="I3114">
        <v>48193</v>
      </c>
      <c r="J3114" s="3">
        <v>35.19</v>
      </c>
      <c r="K3114" s="3">
        <v>1695911.67</v>
      </c>
    </row>
    <row r="3115" spans="1:11" x14ac:dyDescent="0.2">
      <c r="A3115" s="1" t="s">
        <v>4231</v>
      </c>
      <c r="B3115" s="2">
        <v>45349</v>
      </c>
      <c r="C3115" s="1" t="s">
        <v>2300</v>
      </c>
      <c r="D3115" s="1" t="s">
        <v>2301</v>
      </c>
      <c r="E3115" s="1" t="s">
        <v>21</v>
      </c>
      <c r="F3115" s="1" t="s">
        <v>436</v>
      </c>
      <c r="G3115" s="1" t="s">
        <v>437</v>
      </c>
      <c r="H3115" s="1" t="s">
        <v>24</v>
      </c>
      <c r="I3115">
        <v>65794</v>
      </c>
      <c r="J3115" s="3">
        <v>44.12</v>
      </c>
      <c r="K3115" s="3">
        <v>2902831.28</v>
      </c>
    </row>
    <row r="3116" spans="1:11" x14ac:dyDescent="0.2">
      <c r="A3116" s="1" t="s">
        <v>4232</v>
      </c>
      <c r="B3116" s="2">
        <v>45925</v>
      </c>
      <c r="C3116" s="1" t="s">
        <v>1789</v>
      </c>
      <c r="D3116" s="1" t="s">
        <v>1790</v>
      </c>
      <c r="E3116" s="1" t="s">
        <v>21</v>
      </c>
      <c r="F3116" s="1" t="s">
        <v>144</v>
      </c>
      <c r="G3116" s="1" t="s">
        <v>145</v>
      </c>
      <c r="H3116" s="1" t="s">
        <v>24</v>
      </c>
      <c r="I3116">
        <v>54272</v>
      </c>
      <c r="J3116" s="3">
        <v>38.61</v>
      </c>
      <c r="K3116" s="3">
        <v>2095441.9199999999</v>
      </c>
    </row>
    <row r="3117" spans="1:11" x14ac:dyDescent="0.2">
      <c r="A3117" s="1" t="s">
        <v>4233</v>
      </c>
      <c r="B3117" s="2">
        <v>45520</v>
      </c>
      <c r="C3117" s="1" t="s">
        <v>39</v>
      </c>
      <c r="D3117" s="1" t="s">
        <v>40</v>
      </c>
      <c r="E3117" s="1" t="s">
        <v>21</v>
      </c>
      <c r="F3117" s="1" t="s">
        <v>540</v>
      </c>
      <c r="G3117" s="1" t="s">
        <v>541</v>
      </c>
      <c r="H3117" s="1" t="s">
        <v>37</v>
      </c>
      <c r="I3117">
        <v>93172</v>
      </c>
      <c r="J3117" s="3">
        <v>27.2</v>
      </c>
      <c r="K3117" s="3">
        <v>2534278.4</v>
      </c>
    </row>
    <row r="3118" spans="1:11" x14ac:dyDescent="0.2">
      <c r="A3118" s="1" t="s">
        <v>4234</v>
      </c>
      <c r="B3118" s="2">
        <v>45404</v>
      </c>
      <c r="C3118" s="1" t="s">
        <v>1909</v>
      </c>
      <c r="D3118" s="1" t="s">
        <v>1910</v>
      </c>
      <c r="E3118" s="1" t="s">
        <v>37</v>
      </c>
      <c r="F3118" s="1" t="s">
        <v>217</v>
      </c>
      <c r="G3118" s="1" t="s">
        <v>218</v>
      </c>
      <c r="H3118" s="1" t="s">
        <v>72</v>
      </c>
      <c r="I3118">
        <v>18901</v>
      </c>
      <c r="J3118" s="3">
        <v>47.54</v>
      </c>
      <c r="K3118" s="3">
        <v>898553.54</v>
      </c>
    </row>
    <row r="3119" spans="1:11" x14ac:dyDescent="0.2">
      <c r="A3119" s="1" t="s">
        <v>4235</v>
      </c>
      <c r="B3119" s="2">
        <v>45602</v>
      </c>
      <c r="C3119" s="1" t="s">
        <v>573</v>
      </c>
      <c r="D3119" s="1" t="s">
        <v>574</v>
      </c>
      <c r="E3119" s="1" t="s">
        <v>14</v>
      </c>
      <c r="F3119" s="1" t="s">
        <v>176</v>
      </c>
      <c r="G3119" s="1" t="s">
        <v>177</v>
      </c>
      <c r="H3119" s="1" t="s">
        <v>37</v>
      </c>
      <c r="I3119">
        <v>22042</v>
      </c>
      <c r="J3119" s="3">
        <v>6.29</v>
      </c>
      <c r="K3119" s="3">
        <v>138644.18</v>
      </c>
    </row>
    <row r="3120" spans="1:11" x14ac:dyDescent="0.2">
      <c r="A3120" s="1" t="s">
        <v>4236</v>
      </c>
      <c r="B3120" s="2">
        <v>45299</v>
      </c>
      <c r="C3120" s="1" t="s">
        <v>266</v>
      </c>
      <c r="D3120" s="1" t="s">
        <v>267</v>
      </c>
      <c r="E3120" s="1" t="s">
        <v>14</v>
      </c>
      <c r="F3120" s="1" t="s">
        <v>22</v>
      </c>
      <c r="G3120" s="1" t="s">
        <v>23</v>
      </c>
      <c r="H3120" s="1" t="s">
        <v>24</v>
      </c>
      <c r="I3120">
        <v>23230</v>
      </c>
      <c r="J3120" s="3">
        <v>29.18</v>
      </c>
      <c r="K3120" s="3">
        <v>677851.4</v>
      </c>
    </row>
    <row r="3121" spans="1:11" x14ac:dyDescent="0.2">
      <c r="A3121" s="1" t="s">
        <v>4237</v>
      </c>
      <c r="B3121" s="2">
        <v>45388</v>
      </c>
      <c r="C3121" s="1" t="s">
        <v>713</v>
      </c>
      <c r="D3121" s="1" t="s">
        <v>714</v>
      </c>
      <c r="E3121" s="1" t="s">
        <v>34</v>
      </c>
      <c r="F3121" s="1" t="s">
        <v>217</v>
      </c>
      <c r="G3121" s="1" t="s">
        <v>218</v>
      </c>
      <c r="H3121" s="1" t="s">
        <v>72</v>
      </c>
      <c r="I3121">
        <v>93378</v>
      </c>
      <c r="J3121" s="3">
        <v>4.16</v>
      </c>
      <c r="K3121" s="3">
        <v>388452.48</v>
      </c>
    </row>
    <row r="3122" spans="1:11" x14ac:dyDescent="0.2">
      <c r="A3122" s="1" t="s">
        <v>4238</v>
      </c>
      <c r="B3122" s="2">
        <v>45588</v>
      </c>
      <c r="C3122" s="1" t="s">
        <v>801</v>
      </c>
      <c r="D3122" s="1" t="s">
        <v>802</v>
      </c>
      <c r="E3122" s="1" t="s">
        <v>14</v>
      </c>
      <c r="F3122" s="1" t="s">
        <v>70</v>
      </c>
      <c r="G3122" s="1" t="s">
        <v>71</v>
      </c>
      <c r="H3122" s="1" t="s">
        <v>72</v>
      </c>
      <c r="I3122">
        <v>31015</v>
      </c>
      <c r="J3122" s="3">
        <v>8.84</v>
      </c>
      <c r="K3122" s="3">
        <v>274172.59999999998</v>
      </c>
    </row>
    <row r="3123" spans="1:11" x14ac:dyDescent="0.2">
      <c r="A3123" s="1" t="s">
        <v>4239</v>
      </c>
      <c r="B3123" s="2">
        <v>45331</v>
      </c>
      <c r="C3123" s="1" t="s">
        <v>2031</v>
      </c>
      <c r="D3123" s="1" t="s">
        <v>2032</v>
      </c>
      <c r="E3123" s="1" t="s">
        <v>14</v>
      </c>
      <c r="F3123" s="1" t="s">
        <v>81</v>
      </c>
      <c r="G3123" s="1" t="s">
        <v>82</v>
      </c>
      <c r="H3123" s="1" t="s">
        <v>72</v>
      </c>
      <c r="I3123">
        <v>56317</v>
      </c>
      <c r="J3123" s="3">
        <v>9.41</v>
      </c>
      <c r="K3123" s="3">
        <v>529942.97</v>
      </c>
    </row>
    <row r="3124" spans="1:11" x14ac:dyDescent="0.2">
      <c r="A3124" s="1" t="s">
        <v>4240</v>
      </c>
      <c r="B3124" s="2">
        <v>45484</v>
      </c>
      <c r="C3124" s="1" t="s">
        <v>523</v>
      </c>
      <c r="D3124" s="1" t="s">
        <v>524</v>
      </c>
      <c r="E3124" s="1" t="s">
        <v>14</v>
      </c>
      <c r="F3124" s="1" t="s">
        <v>251</v>
      </c>
      <c r="G3124" s="1" t="s">
        <v>252</v>
      </c>
      <c r="H3124" s="1" t="s">
        <v>72</v>
      </c>
      <c r="I3124">
        <v>1074</v>
      </c>
      <c r="J3124" s="3">
        <v>19.2</v>
      </c>
      <c r="K3124" s="3">
        <v>20620.8</v>
      </c>
    </row>
    <row r="3125" spans="1:11" x14ac:dyDescent="0.2">
      <c r="A3125" s="1" t="s">
        <v>4241</v>
      </c>
      <c r="B3125" s="2">
        <v>45826</v>
      </c>
      <c r="C3125" s="1" t="s">
        <v>495</v>
      </c>
      <c r="D3125" s="1" t="s">
        <v>496</v>
      </c>
      <c r="E3125" s="1" t="s">
        <v>37</v>
      </c>
      <c r="F3125" s="1" t="s">
        <v>108</v>
      </c>
      <c r="G3125" s="1" t="s">
        <v>109</v>
      </c>
      <c r="H3125" s="1" t="s">
        <v>37</v>
      </c>
      <c r="I3125">
        <v>7355</v>
      </c>
      <c r="J3125" s="3">
        <v>15.28</v>
      </c>
      <c r="K3125" s="3">
        <v>112384.4</v>
      </c>
    </row>
    <row r="3126" spans="1:11" x14ac:dyDescent="0.2">
      <c r="A3126" s="1" t="s">
        <v>4242</v>
      </c>
      <c r="B3126" s="2">
        <v>45612</v>
      </c>
      <c r="C3126" s="1" t="s">
        <v>90</v>
      </c>
      <c r="D3126" s="1" t="s">
        <v>91</v>
      </c>
      <c r="E3126" s="1" t="s">
        <v>28</v>
      </c>
      <c r="F3126" s="1" t="s">
        <v>165</v>
      </c>
      <c r="G3126" s="1" t="s">
        <v>166</v>
      </c>
      <c r="H3126" s="1" t="s">
        <v>24</v>
      </c>
      <c r="I3126">
        <v>36349</v>
      </c>
      <c r="J3126" s="3">
        <v>32.619999999999997</v>
      </c>
      <c r="K3126" s="3">
        <v>1185704.3799999999</v>
      </c>
    </row>
    <row r="3127" spans="1:11" x14ac:dyDescent="0.2">
      <c r="A3127" s="1" t="s">
        <v>4243</v>
      </c>
      <c r="B3127" s="2">
        <v>45383</v>
      </c>
      <c r="C3127" s="1" t="s">
        <v>1099</v>
      </c>
      <c r="D3127" s="1" t="s">
        <v>1100</v>
      </c>
      <c r="E3127" s="1" t="s">
        <v>34</v>
      </c>
      <c r="F3127" s="1" t="s">
        <v>165</v>
      </c>
      <c r="G3127" s="1" t="s">
        <v>166</v>
      </c>
      <c r="H3127" s="1" t="s">
        <v>24</v>
      </c>
      <c r="I3127">
        <v>62660</v>
      </c>
      <c r="J3127" s="3">
        <v>38.549999999999997</v>
      </c>
      <c r="K3127" s="3">
        <v>2415543</v>
      </c>
    </row>
    <row r="3128" spans="1:11" x14ac:dyDescent="0.2">
      <c r="A3128" s="1" t="s">
        <v>4244</v>
      </c>
      <c r="B3128" s="2">
        <v>45932</v>
      </c>
      <c r="C3128" s="1" t="s">
        <v>969</v>
      </c>
      <c r="D3128" s="1" t="s">
        <v>970</v>
      </c>
      <c r="E3128" s="1" t="s">
        <v>37</v>
      </c>
      <c r="F3128" s="1" t="s">
        <v>284</v>
      </c>
      <c r="G3128" s="1" t="s">
        <v>285</v>
      </c>
      <c r="H3128" s="1" t="s">
        <v>37</v>
      </c>
      <c r="I3128">
        <v>64830</v>
      </c>
      <c r="J3128" s="3">
        <v>21.02</v>
      </c>
      <c r="K3128" s="3">
        <v>1362726.6</v>
      </c>
    </row>
    <row r="3129" spans="1:11" x14ac:dyDescent="0.2">
      <c r="A3129" s="1" t="s">
        <v>4245</v>
      </c>
      <c r="B3129" s="2">
        <v>45802</v>
      </c>
      <c r="C3129" s="1" t="s">
        <v>147</v>
      </c>
      <c r="D3129" s="1" t="s">
        <v>148</v>
      </c>
      <c r="E3129" s="1" t="s">
        <v>37</v>
      </c>
      <c r="F3129" s="1" t="s">
        <v>144</v>
      </c>
      <c r="G3129" s="1" t="s">
        <v>145</v>
      </c>
      <c r="H3129" s="1" t="s">
        <v>24</v>
      </c>
      <c r="I3129">
        <v>36785</v>
      </c>
      <c r="J3129" s="3">
        <v>46.61</v>
      </c>
      <c r="K3129" s="3">
        <v>1714548.85</v>
      </c>
    </row>
    <row r="3130" spans="1:11" x14ac:dyDescent="0.2">
      <c r="A3130" s="1" t="s">
        <v>4246</v>
      </c>
      <c r="B3130" s="2">
        <v>45323</v>
      </c>
      <c r="C3130" s="1" t="s">
        <v>1658</v>
      </c>
      <c r="D3130" s="1" t="s">
        <v>1659</v>
      </c>
      <c r="E3130" s="1" t="s">
        <v>28</v>
      </c>
      <c r="F3130" s="1" t="s">
        <v>189</v>
      </c>
      <c r="G3130" s="1" t="s">
        <v>190</v>
      </c>
      <c r="H3130" s="1" t="s">
        <v>17</v>
      </c>
      <c r="I3130">
        <v>27162</v>
      </c>
      <c r="J3130" s="3">
        <v>43.97</v>
      </c>
      <c r="K3130" s="3">
        <v>1194313.1399999999</v>
      </c>
    </row>
    <row r="3131" spans="1:11" x14ac:dyDescent="0.2">
      <c r="A3131" s="1" t="s">
        <v>4247</v>
      </c>
      <c r="B3131" s="2">
        <v>45806</v>
      </c>
      <c r="C3131" s="1" t="s">
        <v>182</v>
      </c>
      <c r="D3131" s="1" t="s">
        <v>183</v>
      </c>
      <c r="E3131" s="1" t="s">
        <v>14</v>
      </c>
      <c r="F3131" s="1" t="s">
        <v>251</v>
      </c>
      <c r="G3131" s="1" t="s">
        <v>252</v>
      </c>
      <c r="H3131" s="1" t="s">
        <v>72</v>
      </c>
      <c r="I3131">
        <v>36961</v>
      </c>
      <c r="J3131" s="3">
        <v>24.77</v>
      </c>
      <c r="K3131" s="3">
        <v>915523.97</v>
      </c>
    </row>
    <row r="3132" spans="1:11" x14ac:dyDescent="0.2">
      <c r="A3132" s="1" t="s">
        <v>4248</v>
      </c>
      <c r="B3132" s="2">
        <v>45894</v>
      </c>
      <c r="C3132" s="1" t="s">
        <v>160</v>
      </c>
      <c r="D3132" s="1" t="s">
        <v>161</v>
      </c>
      <c r="E3132" s="1" t="s">
        <v>21</v>
      </c>
      <c r="F3132" s="1" t="s">
        <v>217</v>
      </c>
      <c r="G3132" s="1" t="s">
        <v>218</v>
      </c>
      <c r="H3132" s="1" t="s">
        <v>72</v>
      </c>
      <c r="I3132">
        <v>67048</v>
      </c>
      <c r="J3132" s="3">
        <v>28.11</v>
      </c>
      <c r="K3132" s="3">
        <v>1884719.28</v>
      </c>
    </row>
    <row r="3133" spans="1:11" x14ac:dyDescent="0.2">
      <c r="A3133" s="1" t="s">
        <v>4249</v>
      </c>
      <c r="B3133" s="2">
        <v>46007</v>
      </c>
      <c r="C3133" s="1" t="s">
        <v>955</v>
      </c>
      <c r="D3133" s="1" t="s">
        <v>956</v>
      </c>
      <c r="E3133" s="1" t="s">
        <v>28</v>
      </c>
      <c r="F3133" s="1" t="s">
        <v>552</v>
      </c>
      <c r="G3133" s="1" t="s">
        <v>553</v>
      </c>
      <c r="H3133" s="1" t="s">
        <v>37</v>
      </c>
      <c r="I3133">
        <v>94457</v>
      </c>
      <c r="J3133" s="3">
        <v>22.94</v>
      </c>
      <c r="K3133" s="3">
        <v>2166843.58</v>
      </c>
    </row>
    <row r="3134" spans="1:11" x14ac:dyDescent="0.2">
      <c r="A3134" s="1" t="s">
        <v>4250</v>
      </c>
      <c r="B3134" s="2">
        <v>45993</v>
      </c>
      <c r="C3134" s="1" t="s">
        <v>472</v>
      </c>
      <c r="D3134" s="1" t="s">
        <v>473</v>
      </c>
      <c r="E3134" s="1" t="s">
        <v>14</v>
      </c>
      <c r="F3134" s="1" t="s">
        <v>108</v>
      </c>
      <c r="G3134" s="1" t="s">
        <v>109</v>
      </c>
      <c r="H3134" s="1" t="s">
        <v>37</v>
      </c>
      <c r="I3134">
        <v>99991</v>
      </c>
      <c r="J3134" s="3">
        <v>23.2</v>
      </c>
      <c r="K3134" s="3">
        <v>2319791.2000000002</v>
      </c>
    </row>
    <row r="3135" spans="1:11" x14ac:dyDescent="0.2">
      <c r="A3135" s="1" t="s">
        <v>4251</v>
      </c>
      <c r="B3135" s="2">
        <v>45923</v>
      </c>
      <c r="C3135" s="1" t="s">
        <v>1357</v>
      </c>
      <c r="D3135" s="1" t="s">
        <v>1358</v>
      </c>
      <c r="E3135" s="1" t="s">
        <v>37</v>
      </c>
      <c r="F3135" s="1" t="s">
        <v>208</v>
      </c>
      <c r="G3135" s="1" t="s">
        <v>209</v>
      </c>
      <c r="H3135" s="1" t="s">
        <v>17</v>
      </c>
      <c r="I3135">
        <v>9382</v>
      </c>
      <c r="J3135" s="3">
        <v>5.19</v>
      </c>
      <c r="K3135" s="3">
        <v>48692.58</v>
      </c>
    </row>
    <row r="3136" spans="1:11" x14ac:dyDescent="0.2">
      <c r="A3136" s="1" t="s">
        <v>4252</v>
      </c>
      <c r="B3136" s="2">
        <v>45633</v>
      </c>
      <c r="C3136" s="1" t="s">
        <v>660</v>
      </c>
      <c r="D3136" s="1" t="s">
        <v>661</v>
      </c>
      <c r="E3136" s="1" t="s">
        <v>34</v>
      </c>
      <c r="F3136" s="1" t="s">
        <v>157</v>
      </c>
      <c r="G3136" s="1" t="s">
        <v>158</v>
      </c>
      <c r="H3136" s="1" t="s">
        <v>48</v>
      </c>
      <c r="I3136">
        <v>85379</v>
      </c>
      <c r="J3136" s="3">
        <v>40.33</v>
      </c>
      <c r="K3136" s="3">
        <v>3443335.07</v>
      </c>
    </row>
    <row r="3137" spans="1:11" x14ac:dyDescent="0.2">
      <c r="A3137" s="1" t="s">
        <v>4253</v>
      </c>
      <c r="B3137" s="2">
        <v>45429</v>
      </c>
      <c r="C3137" s="1" t="s">
        <v>282</v>
      </c>
      <c r="D3137" s="1" t="s">
        <v>283</v>
      </c>
      <c r="E3137" s="1" t="s">
        <v>21</v>
      </c>
      <c r="F3137" s="1" t="s">
        <v>65</v>
      </c>
      <c r="G3137" s="1" t="s">
        <v>66</v>
      </c>
      <c r="H3137" s="1" t="s">
        <v>48</v>
      </c>
      <c r="I3137">
        <v>78658</v>
      </c>
      <c r="J3137" s="3">
        <v>49.69</v>
      </c>
      <c r="K3137" s="3">
        <v>3908516.02</v>
      </c>
    </row>
    <row r="3138" spans="1:11" x14ac:dyDescent="0.2">
      <c r="A3138" s="1" t="s">
        <v>4254</v>
      </c>
      <c r="B3138" s="2">
        <v>45363</v>
      </c>
      <c r="C3138" s="1" t="s">
        <v>972</v>
      </c>
      <c r="D3138" s="1" t="s">
        <v>973</v>
      </c>
      <c r="E3138" s="1" t="s">
        <v>34</v>
      </c>
      <c r="F3138" s="1" t="s">
        <v>228</v>
      </c>
      <c r="G3138" s="1" t="s">
        <v>229</v>
      </c>
      <c r="H3138" s="1" t="s">
        <v>48</v>
      </c>
      <c r="I3138">
        <v>2608</v>
      </c>
      <c r="J3138" s="3">
        <v>22.49</v>
      </c>
      <c r="K3138" s="3">
        <v>58653.919999999998</v>
      </c>
    </row>
    <row r="3139" spans="1:11" x14ac:dyDescent="0.2">
      <c r="A3139" s="1" t="s">
        <v>4255</v>
      </c>
      <c r="B3139" s="2">
        <v>45726</v>
      </c>
      <c r="C3139" s="1" t="s">
        <v>1454</v>
      </c>
      <c r="D3139" s="1" t="s">
        <v>1455</v>
      </c>
      <c r="E3139" s="1" t="s">
        <v>37</v>
      </c>
      <c r="F3139" s="1" t="s">
        <v>273</v>
      </c>
      <c r="G3139" s="1" t="s">
        <v>274</v>
      </c>
      <c r="H3139" s="1" t="s">
        <v>24</v>
      </c>
      <c r="I3139">
        <v>46977</v>
      </c>
      <c r="J3139" s="3">
        <v>47.59</v>
      </c>
      <c r="K3139" s="3">
        <v>2235635.4300000002</v>
      </c>
    </row>
    <row r="3140" spans="1:11" x14ac:dyDescent="0.2">
      <c r="A3140" s="1" t="s">
        <v>4256</v>
      </c>
      <c r="B3140" s="2">
        <v>45658</v>
      </c>
      <c r="C3140" s="1" t="s">
        <v>150</v>
      </c>
      <c r="D3140" s="1" t="s">
        <v>151</v>
      </c>
      <c r="E3140" s="1" t="s">
        <v>14</v>
      </c>
      <c r="F3140" s="1" t="s">
        <v>394</v>
      </c>
      <c r="G3140" s="1" t="s">
        <v>395</v>
      </c>
      <c r="H3140" s="1" t="s">
        <v>48</v>
      </c>
      <c r="I3140">
        <v>94945</v>
      </c>
      <c r="J3140" s="3">
        <v>16.53</v>
      </c>
      <c r="K3140" s="3">
        <v>1569440.85</v>
      </c>
    </row>
    <row r="3141" spans="1:11" x14ac:dyDescent="0.2">
      <c r="A3141" s="1" t="s">
        <v>4257</v>
      </c>
      <c r="B3141" s="2">
        <v>45720</v>
      </c>
      <c r="C3141" s="1" t="s">
        <v>2442</v>
      </c>
      <c r="D3141" s="1" t="s">
        <v>2443</v>
      </c>
      <c r="E3141" s="1" t="s">
        <v>34</v>
      </c>
      <c r="F3141" s="1" t="s">
        <v>41</v>
      </c>
      <c r="G3141" s="1" t="s">
        <v>42</v>
      </c>
      <c r="H3141" s="1" t="s">
        <v>24</v>
      </c>
      <c r="I3141">
        <v>64737</v>
      </c>
      <c r="J3141" s="3">
        <v>46.09</v>
      </c>
      <c r="K3141" s="3">
        <v>2983728.33</v>
      </c>
    </row>
    <row r="3142" spans="1:11" x14ac:dyDescent="0.2">
      <c r="A3142" s="1" t="s">
        <v>4258</v>
      </c>
      <c r="B3142" s="2">
        <v>45571</v>
      </c>
      <c r="C3142" s="1" t="s">
        <v>570</v>
      </c>
      <c r="D3142" s="1" t="s">
        <v>571</v>
      </c>
      <c r="E3142" s="1" t="s">
        <v>28</v>
      </c>
      <c r="F3142" s="1" t="s">
        <v>65</v>
      </c>
      <c r="G3142" s="1" t="s">
        <v>66</v>
      </c>
      <c r="H3142" s="1" t="s">
        <v>48</v>
      </c>
      <c r="I3142">
        <v>33611</v>
      </c>
      <c r="J3142" s="3">
        <v>24.28</v>
      </c>
      <c r="K3142" s="3">
        <v>816075.08</v>
      </c>
    </row>
    <row r="3143" spans="1:11" x14ac:dyDescent="0.2">
      <c r="A3143" s="1" t="s">
        <v>4259</v>
      </c>
      <c r="B3143" s="2">
        <v>45835</v>
      </c>
      <c r="C3143" s="1" t="s">
        <v>3301</v>
      </c>
      <c r="D3143" s="1" t="s">
        <v>3302</v>
      </c>
      <c r="E3143" s="1" t="s">
        <v>28</v>
      </c>
      <c r="F3143" s="1" t="s">
        <v>22</v>
      </c>
      <c r="G3143" s="1" t="s">
        <v>23</v>
      </c>
      <c r="H3143" s="1" t="s">
        <v>24</v>
      </c>
      <c r="I3143">
        <v>53341</v>
      </c>
      <c r="J3143" s="3">
        <v>11.43</v>
      </c>
      <c r="K3143" s="3">
        <v>609687.63</v>
      </c>
    </row>
    <row r="3144" spans="1:11" x14ac:dyDescent="0.2">
      <c r="A3144" s="1" t="s">
        <v>4260</v>
      </c>
      <c r="B3144" s="2">
        <v>45336</v>
      </c>
      <c r="C3144" s="1" t="s">
        <v>1953</v>
      </c>
      <c r="D3144" s="1" t="s">
        <v>1954</v>
      </c>
      <c r="E3144" s="1" t="s">
        <v>34</v>
      </c>
      <c r="F3144" s="1" t="s">
        <v>540</v>
      </c>
      <c r="G3144" s="1" t="s">
        <v>541</v>
      </c>
      <c r="H3144" s="1" t="s">
        <v>37</v>
      </c>
      <c r="I3144">
        <v>75898</v>
      </c>
      <c r="J3144" s="3">
        <v>38.39</v>
      </c>
      <c r="K3144" s="3">
        <v>2913724.22</v>
      </c>
    </row>
    <row r="3145" spans="1:11" x14ac:dyDescent="0.2">
      <c r="A3145" s="1" t="s">
        <v>4261</v>
      </c>
      <c r="B3145" s="2">
        <v>45936</v>
      </c>
      <c r="C3145" s="1" t="s">
        <v>168</v>
      </c>
      <c r="D3145" s="1" t="s">
        <v>169</v>
      </c>
      <c r="E3145" s="1" t="s">
        <v>21</v>
      </c>
      <c r="F3145" s="1" t="s">
        <v>189</v>
      </c>
      <c r="G3145" s="1" t="s">
        <v>190</v>
      </c>
      <c r="H3145" s="1" t="s">
        <v>17</v>
      </c>
      <c r="I3145">
        <v>14562</v>
      </c>
      <c r="J3145" s="3">
        <v>14.74</v>
      </c>
      <c r="K3145" s="3">
        <v>214643.88</v>
      </c>
    </row>
    <row r="3146" spans="1:11" x14ac:dyDescent="0.2">
      <c r="A3146" s="1" t="s">
        <v>4262</v>
      </c>
      <c r="B3146" s="2">
        <v>45336</v>
      </c>
      <c r="C3146" s="1" t="s">
        <v>1061</v>
      </c>
      <c r="D3146" s="1" t="s">
        <v>1062</v>
      </c>
      <c r="E3146" s="1" t="s">
        <v>14</v>
      </c>
      <c r="F3146" s="1" t="s">
        <v>35</v>
      </c>
      <c r="G3146" s="1" t="s">
        <v>36</v>
      </c>
      <c r="H3146" s="1" t="s">
        <v>37</v>
      </c>
      <c r="I3146">
        <v>87831</v>
      </c>
      <c r="J3146" s="3">
        <v>45.48</v>
      </c>
      <c r="K3146" s="3">
        <v>3994553.88</v>
      </c>
    </row>
    <row r="3147" spans="1:11" x14ac:dyDescent="0.2">
      <c r="A3147" s="1" t="s">
        <v>4263</v>
      </c>
      <c r="B3147" s="2">
        <v>45979</v>
      </c>
      <c r="C3147" s="1" t="s">
        <v>1064</v>
      </c>
      <c r="D3147" s="1" t="s">
        <v>1065</v>
      </c>
      <c r="E3147" s="1" t="s">
        <v>14</v>
      </c>
      <c r="F3147" s="1" t="s">
        <v>324</v>
      </c>
      <c r="G3147" s="1" t="s">
        <v>325</v>
      </c>
      <c r="H3147" s="1" t="s">
        <v>24</v>
      </c>
      <c r="I3147">
        <v>32420</v>
      </c>
      <c r="J3147" s="3">
        <v>49.63</v>
      </c>
      <c r="K3147" s="3">
        <v>1609004.6</v>
      </c>
    </row>
    <row r="3148" spans="1:11" x14ac:dyDescent="0.2">
      <c r="A3148" s="1" t="s">
        <v>4264</v>
      </c>
      <c r="B3148" s="2">
        <v>45936</v>
      </c>
      <c r="C3148" s="1" t="s">
        <v>322</v>
      </c>
      <c r="D3148" s="1" t="s">
        <v>323</v>
      </c>
      <c r="E3148" s="1" t="s">
        <v>14</v>
      </c>
      <c r="F3148" s="1" t="s">
        <v>273</v>
      </c>
      <c r="G3148" s="1" t="s">
        <v>274</v>
      </c>
      <c r="H3148" s="1" t="s">
        <v>24</v>
      </c>
      <c r="I3148">
        <v>54043</v>
      </c>
      <c r="J3148" s="3">
        <v>49.93</v>
      </c>
      <c r="K3148" s="3">
        <v>2698366.99</v>
      </c>
    </row>
    <row r="3149" spans="1:11" x14ac:dyDescent="0.2">
      <c r="A3149" s="1" t="s">
        <v>4265</v>
      </c>
      <c r="B3149" s="2">
        <v>45318</v>
      </c>
      <c r="C3149" s="1" t="s">
        <v>3354</v>
      </c>
      <c r="D3149" s="1" t="s">
        <v>3355</v>
      </c>
      <c r="E3149" s="1" t="s">
        <v>28</v>
      </c>
      <c r="F3149" s="1" t="s">
        <v>273</v>
      </c>
      <c r="G3149" s="1" t="s">
        <v>274</v>
      </c>
      <c r="H3149" s="1" t="s">
        <v>24</v>
      </c>
      <c r="I3149">
        <v>66777</v>
      </c>
      <c r="J3149" s="3">
        <v>24.3</v>
      </c>
      <c r="K3149" s="3">
        <v>1622681.1</v>
      </c>
    </row>
    <row r="3150" spans="1:11" x14ac:dyDescent="0.2">
      <c r="A3150" s="1" t="s">
        <v>4266</v>
      </c>
      <c r="B3150" s="2">
        <v>45901</v>
      </c>
      <c r="C3150" s="1" t="s">
        <v>657</v>
      </c>
      <c r="D3150" s="1" t="s">
        <v>658</v>
      </c>
      <c r="E3150" s="1" t="s">
        <v>37</v>
      </c>
      <c r="F3150" s="1" t="s">
        <v>144</v>
      </c>
      <c r="G3150" s="1" t="s">
        <v>145</v>
      </c>
      <c r="H3150" s="1" t="s">
        <v>24</v>
      </c>
      <c r="I3150">
        <v>7920</v>
      </c>
      <c r="J3150" s="3">
        <v>48.21</v>
      </c>
      <c r="K3150" s="3">
        <v>381823.2</v>
      </c>
    </row>
    <row r="3151" spans="1:11" x14ac:dyDescent="0.2">
      <c r="A3151" s="1" t="s">
        <v>4267</v>
      </c>
      <c r="B3151" s="2">
        <v>45644</v>
      </c>
      <c r="C3151" s="1" t="s">
        <v>1489</v>
      </c>
      <c r="D3151" s="1" t="s">
        <v>1490</v>
      </c>
      <c r="E3151" s="1" t="s">
        <v>37</v>
      </c>
      <c r="F3151" s="1" t="s">
        <v>57</v>
      </c>
      <c r="G3151" s="1" t="s">
        <v>58</v>
      </c>
      <c r="H3151" s="1" t="s">
        <v>48</v>
      </c>
      <c r="I3151">
        <v>74928</v>
      </c>
      <c r="J3151" s="3">
        <v>12.81</v>
      </c>
      <c r="K3151" s="3">
        <v>959827.68</v>
      </c>
    </row>
    <row r="3152" spans="1:11" x14ac:dyDescent="0.2">
      <c r="A3152" s="1" t="s">
        <v>4268</v>
      </c>
      <c r="B3152" s="2">
        <v>45909</v>
      </c>
      <c r="C3152" s="1" t="s">
        <v>3733</v>
      </c>
      <c r="D3152" s="1" t="s">
        <v>3734</v>
      </c>
      <c r="E3152" s="1" t="s">
        <v>14</v>
      </c>
      <c r="F3152" s="1" t="s">
        <v>41</v>
      </c>
      <c r="G3152" s="1" t="s">
        <v>42</v>
      </c>
      <c r="H3152" s="1" t="s">
        <v>24</v>
      </c>
      <c r="I3152">
        <v>50835</v>
      </c>
      <c r="J3152" s="3">
        <v>42.37</v>
      </c>
      <c r="K3152" s="3">
        <v>2153878.9500000002</v>
      </c>
    </row>
    <row r="3153" spans="1:11" x14ac:dyDescent="0.2">
      <c r="A3153" s="1" t="s">
        <v>4269</v>
      </c>
      <c r="B3153" s="2">
        <v>45350</v>
      </c>
      <c r="C3153" s="1" t="s">
        <v>1797</v>
      </c>
      <c r="D3153" s="1" t="s">
        <v>1798</v>
      </c>
      <c r="E3153" s="1" t="s">
        <v>37</v>
      </c>
      <c r="F3153" s="1" t="s">
        <v>217</v>
      </c>
      <c r="G3153" s="1" t="s">
        <v>218</v>
      </c>
      <c r="H3153" s="1" t="s">
        <v>72</v>
      </c>
      <c r="I3153">
        <v>40897</v>
      </c>
      <c r="J3153" s="3">
        <v>38.630000000000003</v>
      </c>
      <c r="K3153" s="3">
        <v>1579851.11</v>
      </c>
    </row>
    <row r="3154" spans="1:11" x14ac:dyDescent="0.2">
      <c r="A3154" s="1" t="s">
        <v>4270</v>
      </c>
      <c r="B3154" s="2">
        <v>45873</v>
      </c>
      <c r="C3154" s="1" t="s">
        <v>573</v>
      </c>
      <c r="D3154" s="1" t="s">
        <v>574</v>
      </c>
      <c r="E3154" s="1" t="s">
        <v>14</v>
      </c>
      <c r="F3154" s="1" t="s">
        <v>22</v>
      </c>
      <c r="G3154" s="1" t="s">
        <v>23</v>
      </c>
      <c r="H3154" s="1" t="s">
        <v>24</v>
      </c>
      <c r="I3154">
        <v>84781</v>
      </c>
      <c r="J3154" s="3">
        <v>16.68</v>
      </c>
      <c r="K3154" s="3">
        <v>1414147.08</v>
      </c>
    </row>
    <row r="3155" spans="1:11" x14ac:dyDescent="0.2">
      <c r="A3155" s="1" t="s">
        <v>4271</v>
      </c>
      <c r="B3155" s="2">
        <v>45459</v>
      </c>
      <c r="C3155" s="1" t="s">
        <v>2050</v>
      </c>
      <c r="D3155" s="1" t="s">
        <v>2051</v>
      </c>
      <c r="E3155" s="1" t="s">
        <v>14</v>
      </c>
      <c r="F3155" s="1" t="s">
        <v>510</v>
      </c>
      <c r="G3155" s="1" t="s">
        <v>511</v>
      </c>
      <c r="H3155" s="1" t="s">
        <v>17</v>
      </c>
      <c r="I3155">
        <v>67342</v>
      </c>
      <c r="J3155" s="3">
        <v>9.49</v>
      </c>
      <c r="K3155" s="3">
        <v>639075.57999999996</v>
      </c>
    </row>
    <row r="3156" spans="1:11" x14ac:dyDescent="0.2">
      <c r="A3156" s="1" t="s">
        <v>4272</v>
      </c>
      <c r="B3156" s="2">
        <v>45896</v>
      </c>
      <c r="C3156" s="1" t="s">
        <v>838</v>
      </c>
      <c r="D3156" s="1" t="s">
        <v>839</v>
      </c>
      <c r="E3156" s="1" t="s">
        <v>28</v>
      </c>
      <c r="F3156" s="1" t="s">
        <v>108</v>
      </c>
      <c r="G3156" s="1" t="s">
        <v>109</v>
      </c>
      <c r="H3156" s="1" t="s">
        <v>37</v>
      </c>
      <c r="I3156">
        <v>2087</v>
      </c>
      <c r="J3156" s="3">
        <v>48.76</v>
      </c>
      <c r="K3156" s="3">
        <v>101762.12</v>
      </c>
    </row>
    <row r="3157" spans="1:11" x14ac:dyDescent="0.2">
      <c r="A3157" s="1" t="s">
        <v>4273</v>
      </c>
      <c r="B3157" s="2">
        <v>45840</v>
      </c>
      <c r="C3157" s="1" t="s">
        <v>2260</v>
      </c>
      <c r="D3157" s="1" t="s">
        <v>2261</v>
      </c>
      <c r="E3157" s="1" t="s">
        <v>14</v>
      </c>
      <c r="F3157" s="1" t="s">
        <v>184</v>
      </c>
      <c r="G3157" s="1" t="s">
        <v>185</v>
      </c>
      <c r="H3157" s="1" t="s">
        <v>17</v>
      </c>
      <c r="I3157">
        <v>63238</v>
      </c>
      <c r="J3157" s="3">
        <v>47.24</v>
      </c>
      <c r="K3157" s="3">
        <v>2987363.12</v>
      </c>
    </row>
    <row r="3158" spans="1:11" x14ac:dyDescent="0.2">
      <c r="A3158" s="1" t="s">
        <v>4274</v>
      </c>
      <c r="B3158" s="2">
        <v>45757</v>
      </c>
      <c r="C3158" s="1" t="s">
        <v>276</v>
      </c>
      <c r="D3158" s="1" t="s">
        <v>277</v>
      </c>
      <c r="E3158" s="1" t="s">
        <v>34</v>
      </c>
      <c r="F3158" s="1" t="s">
        <v>394</v>
      </c>
      <c r="G3158" s="1" t="s">
        <v>395</v>
      </c>
      <c r="H3158" s="1" t="s">
        <v>48</v>
      </c>
      <c r="I3158">
        <v>41277</v>
      </c>
      <c r="J3158" s="3">
        <v>23.93</v>
      </c>
      <c r="K3158" s="3">
        <v>987758.61</v>
      </c>
    </row>
    <row r="3159" spans="1:11" x14ac:dyDescent="0.2">
      <c r="A3159" s="1" t="s">
        <v>4275</v>
      </c>
      <c r="B3159" s="2">
        <v>45457</v>
      </c>
      <c r="C3159" s="1" t="s">
        <v>1068</v>
      </c>
      <c r="D3159" s="1" t="s">
        <v>1069</v>
      </c>
      <c r="E3159" s="1" t="s">
        <v>37</v>
      </c>
      <c r="F3159" s="1" t="s">
        <v>70</v>
      </c>
      <c r="G3159" s="1" t="s">
        <v>71</v>
      </c>
      <c r="H3159" s="1" t="s">
        <v>72</v>
      </c>
      <c r="I3159">
        <v>55802</v>
      </c>
      <c r="J3159" s="3">
        <v>8.49</v>
      </c>
      <c r="K3159" s="3">
        <v>473758.98</v>
      </c>
    </row>
    <row r="3160" spans="1:11" x14ac:dyDescent="0.2">
      <c r="A3160" s="1" t="s">
        <v>4276</v>
      </c>
      <c r="B3160" s="2">
        <v>45668</v>
      </c>
      <c r="C3160" s="1" t="s">
        <v>2613</v>
      </c>
      <c r="D3160" s="1" t="s">
        <v>2614</v>
      </c>
      <c r="E3160" s="1" t="s">
        <v>28</v>
      </c>
      <c r="F3160" s="1" t="s">
        <v>284</v>
      </c>
      <c r="G3160" s="1" t="s">
        <v>285</v>
      </c>
      <c r="H3160" s="1" t="s">
        <v>37</v>
      </c>
      <c r="I3160">
        <v>68730</v>
      </c>
      <c r="J3160" s="3">
        <v>32.130000000000003</v>
      </c>
      <c r="K3160" s="3">
        <v>2208294.9</v>
      </c>
    </row>
    <row r="3161" spans="1:11" x14ac:dyDescent="0.2">
      <c r="A3161" s="1" t="s">
        <v>4277</v>
      </c>
      <c r="B3161" s="2">
        <v>45374</v>
      </c>
      <c r="C3161" s="1" t="s">
        <v>2541</v>
      </c>
      <c r="D3161" s="1" t="s">
        <v>2542</v>
      </c>
      <c r="E3161" s="1" t="s">
        <v>14</v>
      </c>
      <c r="F3161" s="1" t="s">
        <v>552</v>
      </c>
      <c r="G3161" s="1" t="s">
        <v>553</v>
      </c>
      <c r="H3161" s="1" t="s">
        <v>37</v>
      </c>
      <c r="I3161">
        <v>95937</v>
      </c>
      <c r="J3161" s="3">
        <v>35.5</v>
      </c>
      <c r="K3161" s="3">
        <v>3405763.5</v>
      </c>
    </row>
    <row r="3162" spans="1:11" x14ac:dyDescent="0.2">
      <c r="A3162" s="1" t="s">
        <v>4278</v>
      </c>
      <c r="B3162" s="2">
        <v>45786</v>
      </c>
      <c r="C3162" s="1" t="s">
        <v>948</v>
      </c>
      <c r="D3162" s="1" t="s">
        <v>949</v>
      </c>
      <c r="E3162" s="1" t="s">
        <v>21</v>
      </c>
      <c r="F3162" s="1" t="s">
        <v>108</v>
      </c>
      <c r="G3162" s="1" t="s">
        <v>109</v>
      </c>
      <c r="H3162" s="1" t="s">
        <v>37</v>
      </c>
      <c r="I3162">
        <v>12078</v>
      </c>
      <c r="J3162" s="3">
        <v>25.55</v>
      </c>
      <c r="K3162" s="3">
        <v>308592.90000000002</v>
      </c>
    </row>
    <row r="3163" spans="1:11" x14ac:dyDescent="0.2">
      <c r="A3163" s="1" t="s">
        <v>4279</v>
      </c>
      <c r="B3163" s="2">
        <v>45851</v>
      </c>
      <c r="C3163" s="1" t="s">
        <v>1388</v>
      </c>
      <c r="D3163" s="1" t="s">
        <v>1389</v>
      </c>
      <c r="E3163" s="1" t="s">
        <v>28</v>
      </c>
      <c r="F3163" s="1" t="s">
        <v>152</v>
      </c>
      <c r="G3163" s="1" t="s">
        <v>153</v>
      </c>
      <c r="H3163" s="1" t="s">
        <v>17</v>
      </c>
      <c r="I3163">
        <v>12584</v>
      </c>
      <c r="J3163" s="3">
        <v>7.67</v>
      </c>
      <c r="K3163" s="3">
        <v>96519.28</v>
      </c>
    </row>
    <row r="3164" spans="1:11" x14ac:dyDescent="0.2">
      <c r="A3164" s="1" t="s">
        <v>4280</v>
      </c>
      <c r="B3164" s="2">
        <v>45391</v>
      </c>
      <c r="C3164" s="1" t="s">
        <v>702</v>
      </c>
      <c r="D3164" s="1" t="s">
        <v>703</v>
      </c>
      <c r="E3164" s="1" t="s">
        <v>34</v>
      </c>
      <c r="F3164" s="1" t="s">
        <v>165</v>
      </c>
      <c r="G3164" s="1" t="s">
        <v>166</v>
      </c>
      <c r="H3164" s="1" t="s">
        <v>24</v>
      </c>
      <c r="I3164">
        <v>79965</v>
      </c>
      <c r="J3164" s="3">
        <v>14.24</v>
      </c>
      <c r="K3164" s="3">
        <v>1138701.6000000001</v>
      </c>
    </row>
    <row r="3165" spans="1:11" x14ac:dyDescent="0.2">
      <c r="A3165" s="1" t="s">
        <v>4281</v>
      </c>
      <c r="B3165" s="2">
        <v>45615</v>
      </c>
      <c r="C3165" s="1" t="s">
        <v>119</v>
      </c>
      <c r="D3165" s="1" t="s">
        <v>120</v>
      </c>
      <c r="E3165" s="1" t="s">
        <v>28</v>
      </c>
      <c r="F3165" s="1" t="s">
        <v>189</v>
      </c>
      <c r="G3165" s="1" t="s">
        <v>190</v>
      </c>
      <c r="H3165" s="1" t="s">
        <v>17</v>
      </c>
      <c r="I3165">
        <v>77879</v>
      </c>
      <c r="J3165" s="3">
        <v>10.86</v>
      </c>
      <c r="K3165" s="3">
        <v>845765.94</v>
      </c>
    </row>
    <row r="3166" spans="1:11" x14ac:dyDescent="0.2">
      <c r="A3166" s="1" t="s">
        <v>4282</v>
      </c>
      <c r="B3166" s="2">
        <v>45345</v>
      </c>
      <c r="C3166" s="1" t="s">
        <v>391</v>
      </c>
      <c r="D3166" s="1" t="s">
        <v>392</v>
      </c>
      <c r="E3166" s="1" t="s">
        <v>37</v>
      </c>
      <c r="F3166" s="1" t="s">
        <v>268</v>
      </c>
      <c r="G3166" s="1" t="s">
        <v>269</v>
      </c>
      <c r="H3166" s="1" t="s">
        <v>72</v>
      </c>
      <c r="I3166">
        <v>53569</v>
      </c>
      <c r="J3166" s="3">
        <v>46.05</v>
      </c>
      <c r="K3166" s="3">
        <v>2466852.4500000002</v>
      </c>
    </row>
    <row r="3167" spans="1:11" x14ac:dyDescent="0.2">
      <c r="A3167" s="1" t="s">
        <v>4283</v>
      </c>
      <c r="B3167" s="2">
        <v>45425</v>
      </c>
      <c r="C3167" s="1" t="s">
        <v>2628</v>
      </c>
      <c r="D3167" s="1" t="s">
        <v>2629</v>
      </c>
      <c r="E3167" s="1" t="s">
        <v>14</v>
      </c>
      <c r="F3167" s="1" t="s">
        <v>157</v>
      </c>
      <c r="G3167" s="1" t="s">
        <v>158</v>
      </c>
      <c r="H3167" s="1" t="s">
        <v>48</v>
      </c>
      <c r="I3167">
        <v>39332</v>
      </c>
      <c r="J3167" s="3">
        <v>41.4</v>
      </c>
      <c r="K3167" s="3">
        <v>1628344.8</v>
      </c>
    </row>
    <row r="3168" spans="1:11" x14ac:dyDescent="0.2">
      <c r="A3168" s="1" t="s">
        <v>4284</v>
      </c>
      <c r="B3168" s="2">
        <v>45908</v>
      </c>
      <c r="C3168" s="1" t="s">
        <v>767</v>
      </c>
      <c r="D3168" s="1" t="s">
        <v>768</v>
      </c>
      <c r="E3168" s="1" t="s">
        <v>28</v>
      </c>
      <c r="F3168" s="1" t="s">
        <v>184</v>
      </c>
      <c r="G3168" s="1" t="s">
        <v>185</v>
      </c>
      <c r="H3168" s="1" t="s">
        <v>17</v>
      </c>
      <c r="I3168">
        <v>33559</v>
      </c>
      <c r="J3168" s="3">
        <v>10.32</v>
      </c>
      <c r="K3168" s="3">
        <v>346328.88</v>
      </c>
    </row>
    <row r="3169" spans="1:11" x14ac:dyDescent="0.2">
      <c r="A3169" s="1" t="s">
        <v>4285</v>
      </c>
      <c r="B3169" s="2">
        <v>45857</v>
      </c>
      <c r="C3169" s="1" t="s">
        <v>439</v>
      </c>
      <c r="D3169" s="1" t="s">
        <v>440</v>
      </c>
      <c r="E3169" s="1" t="s">
        <v>28</v>
      </c>
      <c r="F3169" s="1" t="s">
        <v>189</v>
      </c>
      <c r="G3169" s="1" t="s">
        <v>190</v>
      </c>
      <c r="H3169" s="1" t="s">
        <v>17</v>
      </c>
      <c r="I3169">
        <v>82897</v>
      </c>
      <c r="J3169" s="3">
        <v>15.59</v>
      </c>
      <c r="K3169" s="3">
        <v>1292364.23</v>
      </c>
    </row>
    <row r="3170" spans="1:11" x14ac:dyDescent="0.2">
      <c r="A3170" s="1" t="s">
        <v>4286</v>
      </c>
      <c r="B3170" s="2">
        <v>45610</v>
      </c>
      <c r="C3170" s="1" t="s">
        <v>1382</v>
      </c>
      <c r="D3170" s="1" t="s">
        <v>1383</v>
      </c>
      <c r="E3170" s="1" t="s">
        <v>37</v>
      </c>
      <c r="F3170" s="1" t="s">
        <v>552</v>
      </c>
      <c r="G3170" s="1" t="s">
        <v>553</v>
      </c>
      <c r="H3170" s="1" t="s">
        <v>37</v>
      </c>
      <c r="I3170">
        <v>37412</v>
      </c>
      <c r="J3170" s="3">
        <v>11.95</v>
      </c>
      <c r="K3170" s="3">
        <v>447073.4</v>
      </c>
    </row>
    <row r="3171" spans="1:11" x14ac:dyDescent="0.2">
      <c r="A3171" s="1" t="s">
        <v>4287</v>
      </c>
      <c r="B3171" s="2">
        <v>45496</v>
      </c>
      <c r="C3171" s="1" t="s">
        <v>44</v>
      </c>
      <c r="D3171" s="1" t="s">
        <v>45</v>
      </c>
      <c r="E3171" s="1" t="s">
        <v>34</v>
      </c>
      <c r="F3171" s="1" t="s">
        <v>412</v>
      </c>
      <c r="G3171" s="1" t="s">
        <v>413</v>
      </c>
      <c r="H3171" s="1" t="s">
        <v>72</v>
      </c>
      <c r="I3171">
        <v>73247</v>
      </c>
      <c r="J3171" s="3">
        <v>41.34</v>
      </c>
      <c r="K3171" s="3">
        <v>3028030.98</v>
      </c>
    </row>
    <row r="3172" spans="1:11" x14ac:dyDescent="0.2">
      <c r="A3172" s="1" t="s">
        <v>4288</v>
      </c>
      <c r="B3172" s="2">
        <v>45968</v>
      </c>
      <c r="C3172" s="1" t="s">
        <v>749</v>
      </c>
      <c r="D3172" s="1" t="s">
        <v>750</v>
      </c>
      <c r="E3172" s="1" t="s">
        <v>28</v>
      </c>
      <c r="F3172" s="1" t="s">
        <v>65</v>
      </c>
      <c r="G3172" s="1" t="s">
        <v>66</v>
      </c>
      <c r="H3172" s="1" t="s">
        <v>48</v>
      </c>
      <c r="I3172">
        <v>43709</v>
      </c>
      <c r="J3172" s="3">
        <v>31.7</v>
      </c>
      <c r="K3172" s="3">
        <v>1385575.3</v>
      </c>
    </row>
    <row r="3173" spans="1:11" x14ac:dyDescent="0.2">
      <c r="A3173" s="1" t="s">
        <v>4289</v>
      </c>
      <c r="B3173" s="2">
        <v>45911</v>
      </c>
      <c r="C3173" s="1" t="s">
        <v>2662</v>
      </c>
      <c r="D3173" s="1" t="s">
        <v>2663</v>
      </c>
      <c r="E3173" s="1" t="s">
        <v>21</v>
      </c>
      <c r="F3173" s="1" t="s">
        <v>113</v>
      </c>
      <c r="G3173" s="1" t="s">
        <v>114</v>
      </c>
      <c r="H3173" s="1" t="s">
        <v>37</v>
      </c>
      <c r="I3173">
        <v>71901</v>
      </c>
      <c r="J3173" s="3">
        <v>47.2</v>
      </c>
      <c r="K3173" s="3">
        <v>3393727.2</v>
      </c>
    </row>
    <row r="3174" spans="1:11" x14ac:dyDescent="0.2">
      <c r="A3174" s="1" t="s">
        <v>4290</v>
      </c>
      <c r="B3174" s="2">
        <v>45447</v>
      </c>
      <c r="C3174" s="1" t="s">
        <v>469</v>
      </c>
      <c r="D3174" s="1" t="s">
        <v>470</v>
      </c>
      <c r="E3174" s="1" t="s">
        <v>21</v>
      </c>
      <c r="F3174" s="1" t="s">
        <v>263</v>
      </c>
      <c r="G3174" s="1" t="s">
        <v>264</v>
      </c>
      <c r="H3174" s="1" t="s">
        <v>17</v>
      </c>
      <c r="I3174">
        <v>73687</v>
      </c>
      <c r="J3174" s="3">
        <v>31.65</v>
      </c>
      <c r="K3174" s="3">
        <v>2332193.5499999998</v>
      </c>
    </row>
    <row r="3175" spans="1:11" x14ac:dyDescent="0.2">
      <c r="A3175" s="1" t="s">
        <v>4291</v>
      </c>
      <c r="B3175" s="2">
        <v>45621</v>
      </c>
      <c r="C3175" s="1" t="s">
        <v>1640</v>
      </c>
      <c r="D3175" s="1" t="s">
        <v>1641</v>
      </c>
      <c r="E3175" s="1" t="s">
        <v>28</v>
      </c>
      <c r="F3175" s="1" t="s">
        <v>251</v>
      </c>
      <c r="G3175" s="1" t="s">
        <v>252</v>
      </c>
      <c r="H3175" s="1" t="s">
        <v>72</v>
      </c>
      <c r="I3175">
        <v>10619</v>
      </c>
      <c r="J3175" s="3">
        <v>43.53</v>
      </c>
      <c r="K3175" s="3">
        <v>462245.07</v>
      </c>
    </row>
    <row r="3176" spans="1:11" x14ac:dyDescent="0.2">
      <c r="A3176" s="1" t="s">
        <v>4292</v>
      </c>
      <c r="B3176" s="2">
        <v>45559</v>
      </c>
      <c r="C3176" s="1" t="s">
        <v>1076</v>
      </c>
      <c r="D3176" s="1" t="s">
        <v>1077</v>
      </c>
      <c r="E3176" s="1" t="s">
        <v>34</v>
      </c>
      <c r="F3176" s="1" t="s">
        <v>108</v>
      </c>
      <c r="G3176" s="1" t="s">
        <v>109</v>
      </c>
      <c r="H3176" s="1" t="s">
        <v>37</v>
      </c>
      <c r="I3176">
        <v>71150</v>
      </c>
      <c r="J3176" s="3">
        <v>32.21</v>
      </c>
      <c r="K3176" s="3">
        <v>2291741.5</v>
      </c>
    </row>
    <row r="3177" spans="1:11" x14ac:dyDescent="0.2">
      <c r="A3177" s="1" t="s">
        <v>4293</v>
      </c>
      <c r="B3177" s="2">
        <v>45638</v>
      </c>
      <c r="C3177" s="1" t="s">
        <v>297</v>
      </c>
      <c r="D3177" s="1" t="s">
        <v>298</v>
      </c>
      <c r="E3177" s="1" t="s">
        <v>21</v>
      </c>
      <c r="F3177" s="1" t="s">
        <v>139</v>
      </c>
      <c r="G3177" s="1" t="s">
        <v>140</v>
      </c>
      <c r="H3177" s="1" t="s">
        <v>24</v>
      </c>
      <c r="I3177">
        <v>42555</v>
      </c>
      <c r="J3177" s="3">
        <v>24.29</v>
      </c>
      <c r="K3177" s="3">
        <v>1033660.95</v>
      </c>
    </row>
    <row r="3178" spans="1:11" x14ac:dyDescent="0.2">
      <c r="A3178" s="1" t="s">
        <v>4294</v>
      </c>
      <c r="B3178" s="2">
        <v>45526</v>
      </c>
      <c r="C3178" s="1" t="s">
        <v>2785</v>
      </c>
      <c r="D3178" s="1" t="s">
        <v>2786</v>
      </c>
      <c r="E3178" s="1" t="s">
        <v>14</v>
      </c>
      <c r="F3178" s="1" t="s">
        <v>189</v>
      </c>
      <c r="G3178" s="1" t="s">
        <v>190</v>
      </c>
      <c r="H3178" s="1" t="s">
        <v>17</v>
      </c>
      <c r="I3178">
        <v>2802</v>
      </c>
      <c r="J3178" s="3">
        <v>15.46</v>
      </c>
      <c r="K3178" s="3">
        <v>43318.92</v>
      </c>
    </row>
    <row r="3179" spans="1:11" x14ac:dyDescent="0.2">
      <c r="A3179" s="1" t="s">
        <v>4295</v>
      </c>
      <c r="B3179" s="2">
        <v>45360</v>
      </c>
      <c r="C3179" s="1" t="s">
        <v>291</v>
      </c>
      <c r="D3179" s="1" t="s">
        <v>292</v>
      </c>
      <c r="E3179" s="1" t="s">
        <v>14</v>
      </c>
      <c r="F3179" s="1" t="s">
        <v>22</v>
      </c>
      <c r="G3179" s="1" t="s">
        <v>23</v>
      </c>
      <c r="H3179" s="1" t="s">
        <v>24</v>
      </c>
      <c r="I3179">
        <v>69749</v>
      </c>
      <c r="J3179" s="3">
        <v>13.52</v>
      </c>
      <c r="K3179" s="3">
        <v>943006.48</v>
      </c>
    </row>
    <row r="3180" spans="1:11" x14ac:dyDescent="0.2">
      <c r="A3180" s="1" t="s">
        <v>4296</v>
      </c>
      <c r="B3180" s="2">
        <v>45579</v>
      </c>
      <c r="C3180" s="1" t="s">
        <v>2481</v>
      </c>
      <c r="D3180" s="1" t="s">
        <v>2482</v>
      </c>
      <c r="E3180" s="1" t="s">
        <v>21</v>
      </c>
      <c r="F3180" s="1" t="s">
        <v>251</v>
      </c>
      <c r="G3180" s="1" t="s">
        <v>252</v>
      </c>
      <c r="H3180" s="1" t="s">
        <v>72</v>
      </c>
      <c r="I3180">
        <v>74627</v>
      </c>
      <c r="J3180" s="3">
        <v>41.45</v>
      </c>
      <c r="K3180" s="3">
        <v>3093289.15</v>
      </c>
    </row>
    <row r="3181" spans="1:11" x14ac:dyDescent="0.2">
      <c r="A3181" s="1" t="s">
        <v>4297</v>
      </c>
      <c r="B3181" s="2">
        <v>45910</v>
      </c>
      <c r="C3181" s="1" t="s">
        <v>1421</v>
      </c>
      <c r="D3181" s="1" t="s">
        <v>1422</v>
      </c>
      <c r="E3181" s="1" t="s">
        <v>21</v>
      </c>
      <c r="F3181" s="1" t="s">
        <v>139</v>
      </c>
      <c r="G3181" s="1" t="s">
        <v>140</v>
      </c>
      <c r="H3181" s="1" t="s">
        <v>24</v>
      </c>
      <c r="I3181">
        <v>52142</v>
      </c>
      <c r="J3181" s="3">
        <v>25.91</v>
      </c>
      <c r="K3181" s="3">
        <v>1350999.22</v>
      </c>
    </row>
    <row r="3182" spans="1:11" x14ac:dyDescent="0.2">
      <c r="A3182" s="1" t="s">
        <v>4298</v>
      </c>
      <c r="B3182" s="2">
        <v>45789</v>
      </c>
      <c r="C3182" s="1" t="s">
        <v>50</v>
      </c>
      <c r="D3182" s="1" t="s">
        <v>51</v>
      </c>
      <c r="E3182" s="1" t="s">
        <v>21</v>
      </c>
      <c r="F3182" s="1" t="s">
        <v>324</v>
      </c>
      <c r="G3182" s="1" t="s">
        <v>325</v>
      </c>
      <c r="H3182" s="1" t="s">
        <v>24</v>
      </c>
      <c r="I3182">
        <v>88763</v>
      </c>
      <c r="J3182" s="3">
        <v>48.82</v>
      </c>
      <c r="K3182" s="3">
        <v>4333409.66</v>
      </c>
    </row>
    <row r="3183" spans="1:11" x14ac:dyDescent="0.2">
      <c r="A3183" s="1" t="s">
        <v>4299</v>
      </c>
      <c r="B3183" s="2">
        <v>45539</v>
      </c>
      <c r="C3183" s="1" t="s">
        <v>1161</v>
      </c>
      <c r="D3183" s="1" t="s">
        <v>1162</v>
      </c>
      <c r="E3183" s="1" t="s">
        <v>21</v>
      </c>
      <c r="F3183" s="1" t="s">
        <v>463</v>
      </c>
      <c r="G3183" s="1" t="s">
        <v>464</v>
      </c>
      <c r="H3183" s="1" t="s">
        <v>37</v>
      </c>
      <c r="I3183">
        <v>65216</v>
      </c>
      <c r="J3183" s="3">
        <v>8.2100000000000009</v>
      </c>
      <c r="K3183" s="3">
        <v>535423.36</v>
      </c>
    </row>
    <row r="3184" spans="1:11" x14ac:dyDescent="0.2">
      <c r="A3184" s="1" t="s">
        <v>4300</v>
      </c>
      <c r="B3184" s="2">
        <v>45467</v>
      </c>
      <c r="C3184" s="1" t="s">
        <v>851</v>
      </c>
      <c r="D3184" s="1" t="s">
        <v>852</v>
      </c>
      <c r="E3184" s="1" t="s">
        <v>21</v>
      </c>
      <c r="F3184" s="1" t="s">
        <v>540</v>
      </c>
      <c r="G3184" s="1" t="s">
        <v>541</v>
      </c>
      <c r="H3184" s="1" t="s">
        <v>37</v>
      </c>
      <c r="I3184">
        <v>89673</v>
      </c>
      <c r="J3184" s="3">
        <v>43.62</v>
      </c>
      <c r="K3184" s="3">
        <v>3911536.26</v>
      </c>
    </row>
    <row r="3185" spans="1:11" x14ac:dyDescent="0.2">
      <c r="A3185" s="1" t="s">
        <v>4301</v>
      </c>
      <c r="B3185" s="2">
        <v>45562</v>
      </c>
      <c r="C3185" s="1" t="s">
        <v>1402</v>
      </c>
      <c r="D3185" s="1" t="s">
        <v>1403</v>
      </c>
      <c r="E3185" s="1" t="s">
        <v>34</v>
      </c>
      <c r="F3185" s="1" t="s">
        <v>29</v>
      </c>
      <c r="G3185" s="1" t="s">
        <v>30</v>
      </c>
      <c r="H3185" s="1" t="s">
        <v>24</v>
      </c>
      <c r="I3185">
        <v>11699</v>
      </c>
      <c r="J3185" s="3">
        <v>24.87</v>
      </c>
      <c r="K3185" s="3">
        <v>290954.13</v>
      </c>
    </row>
    <row r="3186" spans="1:11" x14ac:dyDescent="0.2">
      <c r="A3186" s="1" t="s">
        <v>4302</v>
      </c>
      <c r="B3186" s="2">
        <v>45917</v>
      </c>
      <c r="C3186" s="1" t="s">
        <v>963</v>
      </c>
      <c r="D3186" s="1" t="s">
        <v>964</v>
      </c>
      <c r="E3186" s="1" t="s">
        <v>37</v>
      </c>
      <c r="F3186" s="1" t="s">
        <v>35</v>
      </c>
      <c r="G3186" s="1" t="s">
        <v>36</v>
      </c>
      <c r="H3186" s="1" t="s">
        <v>37</v>
      </c>
      <c r="I3186">
        <v>2363</v>
      </c>
      <c r="J3186" s="3">
        <v>5.4</v>
      </c>
      <c r="K3186" s="3">
        <v>12760.2</v>
      </c>
    </row>
    <row r="3187" spans="1:11" x14ac:dyDescent="0.2">
      <c r="A3187" s="1" t="s">
        <v>4303</v>
      </c>
      <c r="B3187" s="2">
        <v>45641</v>
      </c>
      <c r="C3187" s="1" t="s">
        <v>692</v>
      </c>
      <c r="D3187" s="1" t="s">
        <v>693</v>
      </c>
      <c r="E3187" s="1" t="s">
        <v>28</v>
      </c>
      <c r="F3187" s="1" t="s">
        <v>15</v>
      </c>
      <c r="G3187" s="1" t="s">
        <v>16</v>
      </c>
      <c r="H3187" s="1" t="s">
        <v>17</v>
      </c>
      <c r="I3187">
        <v>24483</v>
      </c>
      <c r="J3187" s="3">
        <v>9.99</v>
      </c>
      <c r="K3187" s="3">
        <v>244585.17</v>
      </c>
    </row>
    <row r="3188" spans="1:11" x14ac:dyDescent="0.2">
      <c r="A3188" s="1" t="s">
        <v>4304</v>
      </c>
      <c r="B3188" s="2">
        <v>45406</v>
      </c>
      <c r="C3188" s="1" t="s">
        <v>2601</v>
      </c>
      <c r="D3188" s="1" t="s">
        <v>2602</v>
      </c>
      <c r="E3188" s="1" t="s">
        <v>21</v>
      </c>
      <c r="F3188" s="1" t="s">
        <v>65</v>
      </c>
      <c r="G3188" s="1" t="s">
        <v>66</v>
      </c>
      <c r="H3188" s="1" t="s">
        <v>48</v>
      </c>
      <c r="I3188">
        <v>79697</v>
      </c>
      <c r="J3188" s="3">
        <v>47.42</v>
      </c>
      <c r="K3188" s="3">
        <v>3779231.74</v>
      </c>
    </row>
    <row r="3189" spans="1:11" x14ac:dyDescent="0.2">
      <c r="A3189" s="1" t="s">
        <v>4305</v>
      </c>
      <c r="B3189" s="2">
        <v>45533</v>
      </c>
      <c r="C3189" s="1" t="s">
        <v>1781</v>
      </c>
      <c r="D3189" s="1" t="s">
        <v>1782</v>
      </c>
      <c r="E3189" s="1" t="s">
        <v>37</v>
      </c>
      <c r="F3189" s="1" t="s">
        <v>41</v>
      </c>
      <c r="G3189" s="1" t="s">
        <v>42</v>
      </c>
      <c r="H3189" s="1" t="s">
        <v>24</v>
      </c>
      <c r="I3189">
        <v>91067</v>
      </c>
      <c r="J3189" s="3">
        <v>17.41</v>
      </c>
      <c r="K3189" s="3">
        <v>1585476.47</v>
      </c>
    </row>
    <row r="3190" spans="1:11" x14ac:dyDescent="0.2">
      <c r="A3190" s="1" t="s">
        <v>4306</v>
      </c>
      <c r="B3190" s="2">
        <v>45897</v>
      </c>
      <c r="C3190" s="1" t="s">
        <v>2109</v>
      </c>
      <c r="D3190" s="1" t="s">
        <v>2110</v>
      </c>
      <c r="E3190" s="1" t="s">
        <v>28</v>
      </c>
      <c r="F3190" s="1" t="s">
        <v>761</v>
      </c>
      <c r="G3190" s="1" t="s">
        <v>762</v>
      </c>
      <c r="H3190" s="1" t="s">
        <v>48</v>
      </c>
      <c r="I3190">
        <v>12258</v>
      </c>
      <c r="J3190" s="3">
        <v>3.68</v>
      </c>
      <c r="K3190" s="3">
        <v>45109.440000000002</v>
      </c>
    </row>
    <row r="3191" spans="1:11" x14ac:dyDescent="0.2">
      <c r="A3191" s="1" t="s">
        <v>4307</v>
      </c>
      <c r="B3191" s="2">
        <v>45386</v>
      </c>
      <c r="C3191" s="1" t="s">
        <v>287</v>
      </c>
      <c r="D3191" s="1" t="s">
        <v>288</v>
      </c>
      <c r="E3191" s="1" t="s">
        <v>21</v>
      </c>
      <c r="F3191" s="1" t="s">
        <v>176</v>
      </c>
      <c r="G3191" s="1" t="s">
        <v>177</v>
      </c>
      <c r="H3191" s="1" t="s">
        <v>37</v>
      </c>
      <c r="I3191">
        <v>78867</v>
      </c>
      <c r="J3191" s="3">
        <v>4.6399999999999997</v>
      </c>
      <c r="K3191" s="3">
        <v>365942.88</v>
      </c>
    </row>
    <row r="3192" spans="1:11" x14ac:dyDescent="0.2">
      <c r="A3192" s="1" t="s">
        <v>4308</v>
      </c>
      <c r="B3192" s="2">
        <v>45898</v>
      </c>
      <c r="C3192" s="1" t="s">
        <v>716</v>
      </c>
      <c r="D3192" s="1" t="s">
        <v>717</v>
      </c>
      <c r="E3192" s="1" t="s">
        <v>34</v>
      </c>
      <c r="F3192" s="1" t="s">
        <v>203</v>
      </c>
      <c r="G3192" s="1" t="s">
        <v>204</v>
      </c>
      <c r="H3192" s="1" t="s">
        <v>72</v>
      </c>
      <c r="I3192">
        <v>30402</v>
      </c>
      <c r="J3192" s="3">
        <v>19.350000000000001</v>
      </c>
      <c r="K3192" s="3">
        <v>588278.69999999995</v>
      </c>
    </row>
    <row r="3193" spans="1:11" x14ac:dyDescent="0.2">
      <c r="A3193" s="1" t="s">
        <v>4309</v>
      </c>
      <c r="B3193" s="2">
        <v>45299</v>
      </c>
      <c r="C3193" s="1" t="s">
        <v>505</v>
      </c>
      <c r="D3193" s="1" t="s">
        <v>506</v>
      </c>
      <c r="E3193" s="1" t="s">
        <v>21</v>
      </c>
      <c r="F3193" s="1" t="s">
        <v>184</v>
      </c>
      <c r="G3193" s="1" t="s">
        <v>185</v>
      </c>
      <c r="H3193" s="1" t="s">
        <v>17</v>
      </c>
      <c r="I3193">
        <v>56872</v>
      </c>
      <c r="J3193" s="3">
        <v>7.28</v>
      </c>
      <c r="K3193" s="3">
        <v>414028.16</v>
      </c>
    </row>
    <row r="3194" spans="1:11" x14ac:dyDescent="0.2">
      <c r="A3194" s="1" t="s">
        <v>4310</v>
      </c>
      <c r="B3194" s="2">
        <v>45343</v>
      </c>
      <c r="C3194" s="1" t="s">
        <v>657</v>
      </c>
      <c r="D3194" s="1" t="s">
        <v>658</v>
      </c>
      <c r="E3194" s="1" t="s">
        <v>37</v>
      </c>
      <c r="F3194" s="1" t="s">
        <v>350</v>
      </c>
      <c r="G3194" s="1" t="s">
        <v>351</v>
      </c>
      <c r="H3194" s="1" t="s">
        <v>37</v>
      </c>
      <c r="I3194">
        <v>99285</v>
      </c>
      <c r="J3194" s="3">
        <v>3.9</v>
      </c>
      <c r="K3194" s="3">
        <v>387211.5</v>
      </c>
    </row>
    <row r="3195" spans="1:11" x14ac:dyDescent="0.2">
      <c r="A3195" s="1" t="s">
        <v>4311</v>
      </c>
      <c r="B3195" s="2">
        <v>45711</v>
      </c>
      <c r="C3195" s="1" t="s">
        <v>2293</v>
      </c>
      <c r="D3195" s="1" t="s">
        <v>2294</v>
      </c>
      <c r="E3195" s="1" t="s">
        <v>34</v>
      </c>
      <c r="F3195" s="1" t="s">
        <v>22</v>
      </c>
      <c r="G3195" s="1" t="s">
        <v>23</v>
      </c>
      <c r="H3195" s="1" t="s">
        <v>24</v>
      </c>
      <c r="I3195">
        <v>30220</v>
      </c>
      <c r="J3195" s="3">
        <v>14.29</v>
      </c>
      <c r="K3195" s="3">
        <v>431843.8</v>
      </c>
    </row>
    <row r="3196" spans="1:11" x14ac:dyDescent="0.2">
      <c r="A3196" s="1" t="s">
        <v>4312</v>
      </c>
      <c r="B3196" s="2">
        <v>45677</v>
      </c>
      <c r="C3196" s="1" t="s">
        <v>445</v>
      </c>
      <c r="D3196" s="1" t="s">
        <v>446</v>
      </c>
      <c r="E3196" s="1" t="s">
        <v>34</v>
      </c>
      <c r="F3196" s="1" t="s">
        <v>339</v>
      </c>
      <c r="G3196" s="1" t="s">
        <v>340</v>
      </c>
      <c r="H3196" s="1" t="s">
        <v>24</v>
      </c>
      <c r="I3196">
        <v>95652</v>
      </c>
      <c r="J3196" s="3">
        <v>33.450000000000003</v>
      </c>
      <c r="K3196" s="3">
        <v>3199559.4</v>
      </c>
    </row>
    <row r="3197" spans="1:11" x14ac:dyDescent="0.2">
      <c r="A3197" s="1" t="s">
        <v>4313</v>
      </c>
      <c r="B3197" s="2">
        <v>45616</v>
      </c>
      <c r="C3197" s="1" t="s">
        <v>2991</v>
      </c>
      <c r="D3197" s="1" t="s">
        <v>2992</v>
      </c>
      <c r="E3197" s="1" t="s">
        <v>37</v>
      </c>
      <c r="F3197" s="1" t="s">
        <v>57</v>
      </c>
      <c r="G3197" s="1" t="s">
        <v>58</v>
      </c>
      <c r="H3197" s="1" t="s">
        <v>48</v>
      </c>
      <c r="I3197">
        <v>94890</v>
      </c>
      <c r="J3197" s="3">
        <v>29.01</v>
      </c>
      <c r="K3197" s="3">
        <v>2752758.9</v>
      </c>
    </row>
    <row r="3198" spans="1:11" x14ac:dyDescent="0.2">
      <c r="A3198" s="1" t="s">
        <v>4314</v>
      </c>
      <c r="B3198" s="2">
        <v>45613</v>
      </c>
      <c r="C3198" s="1" t="s">
        <v>1223</v>
      </c>
      <c r="D3198" s="1" t="s">
        <v>1224</v>
      </c>
      <c r="E3198" s="1" t="s">
        <v>37</v>
      </c>
      <c r="F3198" s="1" t="s">
        <v>251</v>
      </c>
      <c r="G3198" s="1" t="s">
        <v>252</v>
      </c>
      <c r="H3198" s="1" t="s">
        <v>72</v>
      </c>
      <c r="I3198">
        <v>74749</v>
      </c>
      <c r="J3198" s="3">
        <v>2.73</v>
      </c>
      <c r="K3198" s="3">
        <v>204064.77</v>
      </c>
    </row>
    <row r="3199" spans="1:11" x14ac:dyDescent="0.2">
      <c r="A3199" s="1" t="s">
        <v>4315</v>
      </c>
      <c r="B3199" s="2">
        <v>45737</v>
      </c>
      <c r="C3199" s="1" t="s">
        <v>1513</v>
      </c>
      <c r="D3199" s="1" t="s">
        <v>1514</v>
      </c>
      <c r="E3199" s="1" t="s">
        <v>28</v>
      </c>
      <c r="F3199" s="1" t="s">
        <v>189</v>
      </c>
      <c r="G3199" s="1" t="s">
        <v>190</v>
      </c>
      <c r="H3199" s="1" t="s">
        <v>17</v>
      </c>
      <c r="I3199">
        <v>21125</v>
      </c>
      <c r="J3199" s="3">
        <v>37.31</v>
      </c>
      <c r="K3199" s="3">
        <v>788173.75</v>
      </c>
    </row>
    <row r="3200" spans="1:11" x14ac:dyDescent="0.2">
      <c r="A3200" s="1" t="s">
        <v>4316</v>
      </c>
      <c r="B3200" s="2">
        <v>45705</v>
      </c>
      <c r="C3200" s="1" t="s">
        <v>532</v>
      </c>
      <c r="D3200" s="1" t="s">
        <v>533</v>
      </c>
      <c r="E3200" s="1" t="s">
        <v>28</v>
      </c>
      <c r="F3200" s="1" t="s">
        <v>237</v>
      </c>
      <c r="G3200" s="1" t="s">
        <v>238</v>
      </c>
      <c r="H3200" s="1" t="s">
        <v>17</v>
      </c>
      <c r="I3200">
        <v>83077</v>
      </c>
      <c r="J3200" s="3">
        <v>20.73</v>
      </c>
      <c r="K3200" s="3">
        <v>1722186.21</v>
      </c>
    </row>
    <row r="3201" spans="1:11" x14ac:dyDescent="0.2">
      <c r="A3201" s="1" t="s">
        <v>4317</v>
      </c>
      <c r="B3201" s="2">
        <v>45814</v>
      </c>
      <c r="C3201" s="1" t="s">
        <v>1108</v>
      </c>
      <c r="D3201" s="1" t="s">
        <v>1109</v>
      </c>
      <c r="E3201" s="1" t="s">
        <v>21</v>
      </c>
      <c r="F3201" s="1" t="s">
        <v>195</v>
      </c>
      <c r="G3201" s="1" t="s">
        <v>196</v>
      </c>
      <c r="H3201" s="1" t="s">
        <v>48</v>
      </c>
      <c r="I3201">
        <v>3643</v>
      </c>
      <c r="J3201" s="3">
        <v>49.86</v>
      </c>
      <c r="K3201" s="3">
        <v>181639.98</v>
      </c>
    </row>
    <row r="3202" spans="1:11" x14ac:dyDescent="0.2">
      <c r="A3202" s="1" t="s">
        <v>4318</v>
      </c>
      <c r="B3202" s="2">
        <v>45849</v>
      </c>
      <c r="C3202" s="1" t="s">
        <v>817</v>
      </c>
      <c r="D3202" s="1" t="s">
        <v>818</v>
      </c>
      <c r="E3202" s="1" t="s">
        <v>14</v>
      </c>
      <c r="F3202" s="1" t="s">
        <v>144</v>
      </c>
      <c r="G3202" s="1" t="s">
        <v>145</v>
      </c>
      <c r="H3202" s="1" t="s">
        <v>24</v>
      </c>
      <c r="I3202">
        <v>6315</v>
      </c>
      <c r="J3202" s="3">
        <v>39.82</v>
      </c>
      <c r="K3202" s="3">
        <v>251463.3</v>
      </c>
    </row>
    <row r="3203" spans="1:11" x14ac:dyDescent="0.2">
      <c r="A3203" s="1" t="s">
        <v>4319</v>
      </c>
      <c r="B3203" s="2">
        <v>45490</v>
      </c>
      <c r="C3203" s="1" t="s">
        <v>1272</v>
      </c>
      <c r="D3203" s="1" t="s">
        <v>1273</v>
      </c>
      <c r="E3203" s="1" t="s">
        <v>34</v>
      </c>
      <c r="F3203" s="1" t="s">
        <v>217</v>
      </c>
      <c r="G3203" s="1" t="s">
        <v>218</v>
      </c>
      <c r="H3203" s="1" t="s">
        <v>72</v>
      </c>
      <c r="I3203">
        <v>59575</v>
      </c>
      <c r="J3203" s="3">
        <v>24.84</v>
      </c>
      <c r="K3203" s="3">
        <v>1479843</v>
      </c>
    </row>
    <row r="3204" spans="1:11" x14ac:dyDescent="0.2">
      <c r="A3204" s="1" t="s">
        <v>4320</v>
      </c>
      <c r="B3204" s="2">
        <v>45311</v>
      </c>
      <c r="C3204" s="1" t="s">
        <v>913</v>
      </c>
      <c r="D3204" s="1" t="s">
        <v>914</v>
      </c>
      <c r="E3204" s="1" t="s">
        <v>37</v>
      </c>
      <c r="F3204" s="1" t="s">
        <v>15</v>
      </c>
      <c r="G3204" s="1" t="s">
        <v>16</v>
      </c>
      <c r="H3204" s="1" t="s">
        <v>17</v>
      </c>
      <c r="I3204">
        <v>65210</v>
      </c>
      <c r="J3204" s="3">
        <v>18.649999999999999</v>
      </c>
      <c r="K3204" s="3">
        <v>1216166.5</v>
      </c>
    </row>
    <row r="3205" spans="1:11" x14ac:dyDescent="0.2">
      <c r="A3205" s="1" t="s">
        <v>4321</v>
      </c>
      <c r="B3205" s="2">
        <v>45807</v>
      </c>
      <c r="C3205" s="1" t="s">
        <v>1382</v>
      </c>
      <c r="D3205" s="1" t="s">
        <v>1383</v>
      </c>
      <c r="E3205" s="1" t="s">
        <v>37</v>
      </c>
      <c r="F3205" s="1" t="s">
        <v>228</v>
      </c>
      <c r="G3205" s="1" t="s">
        <v>229</v>
      </c>
      <c r="H3205" s="1" t="s">
        <v>48</v>
      </c>
      <c r="I3205">
        <v>78841</v>
      </c>
      <c r="J3205" s="3">
        <v>47.78</v>
      </c>
      <c r="K3205" s="3">
        <v>3767022.98</v>
      </c>
    </row>
    <row r="3206" spans="1:11" x14ac:dyDescent="0.2">
      <c r="A3206" s="1" t="s">
        <v>4322</v>
      </c>
      <c r="B3206" s="2">
        <v>45375</v>
      </c>
      <c r="C3206" s="1" t="s">
        <v>63</v>
      </c>
      <c r="D3206" s="1" t="s">
        <v>64</v>
      </c>
      <c r="E3206" s="1" t="s">
        <v>37</v>
      </c>
      <c r="F3206" s="1" t="s">
        <v>113</v>
      </c>
      <c r="G3206" s="1" t="s">
        <v>114</v>
      </c>
      <c r="H3206" s="1" t="s">
        <v>37</v>
      </c>
      <c r="I3206">
        <v>79566</v>
      </c>
      <c r="J3206" s="3">
        <v>38.79</v>
      </c>
      <c r="K3206" s="3">
        <v>3086365.14</v>
      </c>
    </row>
    <row r="3207" spans="1:11" x14ac:dyDescent="0.2">
      <c r="A3207" s="1" t="s">
        <v>4323</v>
      </c>
      <c r="B3207" s="2">
        <v>45474</v>
      </c>
      <c r="C3207" s="1" t="s">
        <v>1483</v>
      </c>
      <c r="D3207" s="1" t="s">
        <v>1484</v>
      </c>
      <c r="E3207" s="1" t="s">
        <v>21</v>
      </c>
      <c r="F3207" s="1" t="s">
        <v>350</v>
      </c>
      <c r="G3207" s="1" t="s">
        <v>351</v>
      </c>
      <c r="H3207" s="1" t="s">
        <v>37</v>
      </c>
      <c r="I3207">
        <v>20651</v>
      </c>
      <c r="J3207" s="3">
        <v>37.32</v>
      </c>
      <c r="K3207" s="3">
        <v>770695.32</v>
      </c>
    </row>
    <row r="3208" spans="1:11" x14ac:dyDescent="0.2">
      <c r="A3208" s="1" t="s">
        <v>4324</v>
      </c>
      <c r="B3208" s="2">
        <v>45485</v>
      </c>
      <c r="C3208" s="1" t="s">
        <v>774</v>
      </c>
      <c r="D3208" s="1" t="s">
        <v>775</v>
      </c>
      <c r="E3208" s="1" t="s">
        <v>37</v>
      </c>
      <c r="F3208" s="1" t="s">
        <v>263</v>
      </c>
      <c r="G3208" s="1" t="s">
        <v>264</v>
      </c>
      <c r="H3208" s="1" t="s">
        <v>17</v>
      </c>
      <c r="I3208">
        <v>14528</v>
      </c>
      <c r="J3208" s="3">
        <v>49.86</v>
      </c>
      <c r="K3208" s="3">
        <v>724366.08</v>
      </c>
    </row>
    <row r="3209" spans="1:11" x14ac:dyDescent="0.2">
      <c r="A3209" s="1" t="s">
        <v>4325</v>
      </c>
      <c r="B3209" s="2">
        <v>46011</v>
      </c>
      <c r="C3209" s="1" t="s">
        <v>2181</v>
      </c>
      <c r="D3209" s="1" t="s">
        <v>2182</v>
      </c>
      <c r="E3209" s="1" t="s">
        <v>14</v>
      </c>
      <c r="F3209" s="1" t="s">
        <v>237</v>
      </c>
      <c r="G3209" s="1" t="s">
        <v>238</v>
      </c>
      <c r="H3209" s="1" t="s">
        <v>17</v>
      </c>
      <c r="I3209">
        <v>65581</v>
      </c>
      <c r="J3209" s="3">
        <v>5.78</v>
      </c>
      <c r="K3209" s="3">
        <v>379058.18</v>
      </c>
    </row>
    <row r="3210" spans="1:11" x14ac:dyDescent="0.2">
      <c r="A3210" s="1" t="s">
        <v>4326</v>
      </c>
      <c r="B3210" s="2">
        <v>45958</v>
      </c>
      <c r="C3210" s="1" t="s">
        <v>1276</v>
      </c>
      <c r="D3210" s="1" t="s">
        <v>1277</v>
      </c>
      <c r="E3210" s="1" t="s">
        <v>37</v>
      </c>
      <c r="F3210" s="1" t="s">
        <v>22</v>
      </c>
      <c r="G3210" s="1" t="s">
        <v>23</v>
      </c>
      <c r="H3210" s="1" t="s">
        <v>24</v>
      </c>
      <c r="I3210">
        <v>97362</v>
      </c>
      <c r="J3210" s="3">
        <v>2.34</v>
      </c>
      <c r="K3210" s="3">
        <v>227827.08</v>
      </c>
    </row>
    <row r="3211" spans="1:11" x14ac:dyDescent="0.2">
      <c r="A3211" s="1" t="s">
        <v>4327</v>
      </c>
      <c r="B3211" s="2">
        <v>45857</v>
      </c>
      <c r="C3211" s="1" t="s">
        <v>2771</v>
      </c>
      <c r="D3211" s="1" t="s">
        <v>2772</v>
      </c>
      <c r="E3211" s="1" t="s">
        <v>37</v>
      </c>
      <c r="F3211" s="1" t="s">
        <v>108</v>
      </c>
      <c r="G3211" s="1" t="s">
        <v>109</v>
      </c>
      <c r="H3211" s="1" t="s">
        <v>37</v>
      </c>
      <c r="I3211">
        <v>50686</v>
      </c>
      <c r="J3211" s="3">
        <v>43.77</v>
      </c>
      <c r="K3211" s="3">
        <v>2218526.2200000002</v>
      </c>
    </row>
    <row r="3212" spans="1:11" x14ac:dyDescent="0.2">
      <c r="A3212" s="1" t="s">
        <v>4328</v>
      </c>
      <c r="B3212" s="2">
        <v>45640</v>
      </c>
      <c r="C3212" s="1" t="s">
        <v>1254</v>
      </c>
      <c r="D3212" s="1" t="s">
        <v>1255</v>
      </c>
      <c r="E3212" s="1" t="s">
        <v>14</v>
      </c>
      <c r="F3212" s="1" t="s">
        <v>139</v>
      </c>
      <c r="G3212" s="1" t="s">
        <v>140</v>
      </c>
      <c r="H3212" s="1" t="s">
        <v>24</v>
      </c>
      <c r="I3212">
        <v>32245</v>
      </c>
      <c r="J3212" s="3">
        <v>35.15</v>
      </c>
      <c r="K3212" s="3">
        <v>1133411.75</v>
      </c>
    </row>
    <row r="3213" spans="1:11" x14ac:dyDescent="0.2">
      <c r="A3213" s="1" t="s">
        <v>4329</v>
      </c>
      <c r="B3213" s="2">
        <v>45646</v>
      </c>
      <c r="C3213" s="1" t="s">
        <v>1050</v>
      </c>
      <c r="D3213" s="1" t="s">
        <v>1051</v>
      </c>
      <c r="E3213" s="1" t="s">
        <v>14</v>
      </c>
      <c r="F3213" s="1" t="s">
        <v>139</v>
      </c>
      <c r="G3213" s="1" t="s">
        <v>140</v>
      </c>
      <c r="H3213" s="1" t="s">
        <v>24</v>
      </c>
      <c r="I3213">
        <v>62134</v>
      </c>
      <c r="J3213" s="3">
        <v>44.9</v>
      </c>
      <c r="K3213" s="3">
        <v>2789816.6</v>
      </c>
    </row>
    <row r="3214" spans="1:11" x14ac:dyDescent="0.2">
      <c r="A3214" s="1" t="s">
        <v>4330</v>
      </c>
      <c r="B3214" s="2">
        <v>45378</v>
      </c>
      <c r="C3214" s="1" t="s">
        <v>1507</v>
      </c>
      <c r="D3214" s="1" t="s">
        <v>1508</v>
      </c>
      <c r="E3214" s="1" t="s">
        <v>37</v>
      </c>
      <c r="F3214" s="1" t="s">
        <v>113</v>
      </c>
      <c r="G3214" s="1" t="s">
        <v>114</v>
      </c>
      <c r="H3214" s="1" t="s">
        <v>37</v>
      </c>
      <c r="I3214">
        <v>1055</v>
      </c>
      <c r="J3214" s="3">
        <v>27.02</v>
      </c>
      <c r="K3214" s="3">
        <v>28506.1</v>
      </c>
    </row>
    <row r="3215" spans="1:11" x14ac:dyDescent="0.2">
      <c r="A3215" s="1" t="s">
        <v>4331</v>
      </c>
      <c r="B3215" s="2">
        <v>45408</v>
      </c>
      <c r="C3215" s="1" t="s">
        <v>520</v>
      </c>
      <c r="D3215" s="1" t="s">
        <v>521</v>
      </c>
      <c r="E3215" s="1" t="s">
        <v>37</v>
      </c>
      <c r="F3215" s="1" t="s">
        <v>510</v>
      </c>
      <c r="G3215" s="1" t="s">
        <v>511</v>
      </c>
      <c r="H3215" s="1" t="s">
        <v>17</v>
      </c>
      <c r="I3215">
        <v>66748</v>
      </c>
      <c r="J3215" s="3">
        <v>11.25</v>
      </c>
      <c r="K3215" s="3">
        <v>750915</v>
      </c>
    </row>
    <row r="3216" spans="1:11" x14ac:dyDescent="0.2">
      <c r="A3216" s="1" t="s">
        <v>4332</v>
      </c>
      <c r="B3216" s="2">
        <v>45701</v>
      </c>
      <c r="C3216" s="1" t="s">
        <v>1949</v>
      </c>
      <c r="D3216" s="1" t="s">
        <v>1950</v>
      </c>
      <c r="E3216" s="1" t="s">
        <v>14</v>
      </c>
      <c r="F3216" s="1" t="s">
        <v>228</v>
      </c>
      <c r="G3216" s="1" t="s">
        <v>229</v>
      </c>
      <c r="H3216" s="1" t="s">
        <v>48</v>
      </c>
      <c r="I3216">
        <v>20885</v>
      </c>
      <c r="J3216" s="3">
        <v>13.65</v>
      </c>
      <c r="K3216" s="3">
        <v>285080.25</v>
      </c>
    </row>
    <row r="3217" spans="1:11" x14ac:dyDescent="0.2">
      <c r="A3217" s="1" t="s">
        <v>4333</v>
      </c>
      <c r="B3217" s="2">
        <v>45339</v>
      </c>
      <c r="C3217" s="1" t="s">
        <v>2686</v>
      </c>
      <c r="D3217" s="1" t="s">
        <v>2687</v>
      </c>
      <c r="E3217" s="1" t="s">
        <v>21</v>
      </c>
      <c r="F3217" s="1" t="s">
        <v>284</v>
      </c>
      <c r="G3217" s="1" t="s">
        <v>285</v>
      </c>
      <c r="H3217" s="1" t="s">
        <v>37</v>
      </c>
      <c r="I3217">
        <v>66711</v>
      </c>
      <c r="J3217" s="3">
        <v>15.44</v>
      </c>
      <c r="K3217" s="3">
        <v>1030017.84</v>
      </c>
    </row>
    <row r="3218" spans="1:11" x14ac:dyDescent="0.2">
      <c r="A3218" s="1" t="s">
        <v>4334</v>
      </c>
      <c r="B3218" s="2">
        <v>45493</v>
      </c>
      <c r="C3218" s="1" t="s">
        <v>297</v>
      </c>
      <c r="D3218" s="1" t="s">
        <v>298</v>
      </c>
      <c r="E3218" s="1" t="s">
        <v>21</v>
      </c>
      <c r="F3218" s="1" t="s">
        <v>52</v>
      </c>
      <c r="G3218" s="1" t="s">
        <v>53</v>
      </c>
      <c r="H3218" s="1" t="s">
        <v>17</v>
      </c>
      <c r="I3218">
        <v>97750</v>
      </c>
      <c r="J3218" s="3">
        <v>12.29</v>
      </c>
      <c r="K3218" s="3">
        <v>1201347.5</v>
      </c>
    </row>
    <row r="3219" spans="1:11" x14ac:dyDescent="0.2">
      <c r="A3219" s="1" t="s">
        <v>4335</v>
      </c>
      <c r="B3219" s="2">
        <v>45764</v>
      </c>
      <c r="C3219" s="1" t="s">
        <v>2104</v>
      </c>
      <c r="D3219" s="1" t="s">
        <v>2105</v>
      </c>
      <c r="E3219" s="1" t="s">
        <v>34</v>
      </c>
      <c r="F3219" s="1" t="s">
        <v>510</v>
      </c>
      <c r="G3219" s="1" t="s">
        <v>511</v>
      </c>
      <c r="H3219" s="1" t="s">
        <v>17</v>
      </c>
      <c r="I3219">
        <v>22448</v>
      </c>
      <c r="J3219" s="3">
        <v>33.93</v>
      </c>
      <c r="K3219" s="3">
        <v>761660.64</v>
      </c>
    </row>
    <row r="3220" spans="1:11" x14ac:dyDescent="0.2">
      <c r="A3220" s="1" t="s">
        <v>4336</v>
      </c>
      <c r="B3220" s="2">
        <v>45375</v>
      </c>
      <c r="C3220" s="1" t="s">
        <v>866</v>
      </c>
      <c r="D3220" s="1" t="s">
        <v>867</v>
      </c>
      <c r="E3220" s="1" t="s">
        <v>14</v>
      </c>
      <c r="F3220" s="1" t="s">
        <v>35</v>
      </c>
      <c r="G3220" s="1" t="s">
        <v>36</v>
      </c>
      <c r="H3220" s="1" t="s">
        <v>37</v>
      </c>
      <c r="I3220">
        <v>92838</v>
      </c>
      <c r="J3220" s="3">
        <v>34.700000000000003</v>
      </c>
      <c r="K3220" s="3">
        <v>3221478.6</v>
      </c>
    </row>
    <row r="3221" spans="1:11" x14ac:dyDescent="0.2">
      <c r="A3221" s="1" t="s">
        <v>4337</v>
      </c>
      <c r="B3221" s="2">
        <v>45561</v>
      </c>
      <c r="C3221" s="1" t="s">
        <v>1028</v>
      </c>
      <c r="D3221" s="1" t="s">
        <v>1029</v>
      </c>
      <c r="E3221" s="1" t="s">
        <v>14</v>
      </c>
      <c r="F3221" s="1" t="s">
        <v>237</v>
      </c>
      <c r="G3221" s="1" t="s">
        <v>238</v>
      </c>
      <c r="H3221" s="1" t="s">
        <v>17</v>
      </c>
      <c r="I3221">
        <v>59426</v>
      </c>
      <c r="J3221" s="3">
        <v>12.73</v>
      </c>
      <c r="K3221" s="3">
        <v>756492.98</v>
      </c>
    </row>
    <row r="3222" spans="1:11" x14ac:dyDescent="0.2">
      <c r="A3222" s="1" t="s">
        <v>4338</v>
      </c>
      <c r="B3222" s="2">
        <v>45847</v>
      </c>
      <c r="C3222" s="1" t="s">
        <v>835</v>
      </c>
      <c r="D3222" s="1" t="s">
        <v>836</v>
      </c>
      <c r="E3222" s="1" t="s">
        <v>21</v>
      </c>
      <c r="F3222" s="1" t="s">
        <v>176</v>
      </c>
      <c r="G3222" s="1" t="s">
        <v>177</v>
      </c>
      <c r="H3222" s="1" t="s">
        <v>37</v>
      </c>
      <c r="I3222">
        <v>99975</v>
      </c>
      <c r="J3222" s="3">
        <v>44.34</v>
      </c>
      <c r="K3222" s="3">
        <v>4432891.5</v>
      </c>
    </row>
    <row r="3223" spans="1:11" x14ac:dyDescent="0.2">
      <c r="A3223" s="1" t="s">
        <v>4339</v>
      </c>
      <c r="B3223" s="2">
        <v>45975</v>
      </c>
      <c r="C3223" s="1" t="s">
        <v>866</v>
      </c>
      <c r="D3223" s="1" t="s">
        <v>867</v>
      </c>
      <c r="E3223" s="1" t="s">
        <v>14</v>
      </c>
      <c r="F3223" s="1" t="s">
        <v>165</v>
      </c>
      <c r="G3223" s="1" t="s">
        <v>166</v>
      </c>
      <c r="H3223" s="1" t="s">
        <v>24</v>
      </c>
      <c r="I3223">
        <v>19372</v>
      </c>
      <c r="J3223" s="3">
        <v>18.89</v>
      </c>
      <c r="K3223" s="3">
        <v>365937.08</v>
      </c>
    </row>
    <row r="3224" spans="1:11" x14ac:dyDescent="0.2">
      <c r="A3224" s="1" t="s">
        <v>4340</v>
      </c>
      <c r="B3224" s="2">
        <v>45403</v>
      </c>
      <c r="C3224" s="1" t="s">
        <v>929</v>
      </c>
      <c r="D3224" s="1" t="s">
        <v>930</v>
      </c>
      <c r="E3224" s="1" t="s">
        <v>28</v>
      </c>
      <c r="F3224" s="1" t="s">
        <v>35</v>
      </c>
      <c r="G3224" s="1" t="s">
        <v>36</v>
      </c>
      <c r="H3224" s="1" t="s">
        <v>37</v>
      </c>
      <c r="I3224">
        <v>8929</v>
      </c>
      <c r="J3224" s="3">
        <v>37.22</v>
      </c>
      <c r="K3224" s="3">
        <v>332337.38</v>
      </c>
    </row>
    <row r="3225" spans="1:11" x14ac:dyDescent="0.2">
      <c r="A3225" s="1" t="s">
        <v>4341</v>
      </c>
      <c r="B3225" s="2">
        <v>45939</v>
      </c>
      <c r="C3225" s="1" t="s">
        <v>1105</v>
      </c>
      <c r="D3225" s="1" t="s">
        <v>1106</v>
      </c>
      <c r="E3225" s="1" t="s">
        <v>34</v>
      </c>
      <c r="F3225" s="1" t="s">
        <v>761</v>
      </c>
      <c r="G3225" s="1" t="s">
        <v>762</v>
      </c>
      <c r="H3225" s="1" t="s">
        <v>48</v>
      </c>
      <c r="I3225">
        <v>25312</v>
      </c>
      <c r="J3225" s="3">
        <v>7.49</v>
      </c>
      <c r="K3225" s="3">
        <v>189586.88</v>
      </c>
    </row>
    <row r="3226" spans="1:11" x14ac:dyDescent="0.2">
      <c r="A3226" s="1" t="s">
        <v>4342</v>
      </c>
      <c r="B3226" s="2">
        <v>45366</v>
      </c>
      <c r="C3226" s="1" t="s">
        <v>448</v>
      </c>
      <c r="D3226" s="1" t="s">
        <v>449</v>
      </c>
      <c r="E3226" s="1" t="s">
        <v>28</v>
      </c>
      <c r="F3226" s="1" t="s">
        <v>76</v>
      </c>
      <c r="G3226" s="1" t="s">
        <v>77</v>
      </c>
      <c r="H3226" s="1" t="s">
        <v>48</v>
      </c>
      <c r="I3226">
        <v>98745</v>
      </c>
      <c r="J3226" s="3">
        <v>15.19</v>
      </c>
      <c r="K3226" s="3">
        <v>1499936.55</v>
      </c>
    </row>
    <row r="3227" spans="1:11" x14ac:dyDescent="0.2">
      <c r="A3227" s="1" t="s">
        <v>4343</v>
      </c>
      <c r="B3227" s="2">
        <v>45530</v>
      </c>
      <c r="C3227" s="1" t="s">
        <v>1402</v>
      </c>
      <c r="D3227" s="1" t="s">
        <v>1403</v>
      </c>
      <c r="E3227" s="1" t="s">
        <v>34</v>
      </c>
      <c r="F3227" s="1" t="s">
        <v>412</v>
      </c>
      <c r="G3227" s="1" t="s">
        <v>413</v>
      </c>
      <c r="H3227" s="1" t="s">
        <v>72</v>
      </c>
      <c r="I3227">
        <v>82342</v>
      </c>
      <c r="J3227" s="3">
        <v>17.95</v>
      </c>
      <c r="K3227" s="3">
        <v>1478038.9</v>
      </c>
    </row>
    <row r="3228" spans="1:11" x14ac:dyDescent="0.2">
      <c r="A3228" s="1" t="s">
        <v>4344</v>
      </c>
      <c r="B3228" s="2">
        <v>45312</v>
      </c>
      <c r="C3228" s="1" t="s">
        <v>2326</v>
      </c>
      <c r="D3228" s="1" t="s">
        <v>2327</v>
      </c>
      <c r="E3228" s="1" t="s">
        <v>37</v>
      </c>
      <c r="F3228" s="1" t="s">
        <v>189</v>
      </c>
      <c r="G3228" s="1" t="s">
        <v>190</v>
      </c>
      <c r="H3228" s="1" t="s">
        <v>17</v>
      </c>
      <c r="I3228">
        <v>51141</v>
      </c>
      <c r="J3228" s="3">
        <v>12.38</v>
      </c>
      <c r="K3228" s="3">
        <v>633125.57999999996</v>
      </c>
    </row>
    <row r="3229" spans="1:11" x14ac:dyDescent="0.2">
      <c r="A3229" s="1" t="s">
        <v>4345</v>
      </c>
      <c r="B3229" s="2">
        <v>45746</v>
      </c>
      <c r="C3229" s="1" t="s">
        <v>1393</v>
      </c>
      <c r="D3229" s="1" t="s">
        <v>1394</v>
      </c>
      <c r="E3229" s="1" t="s">
        <v>28</v>
      </c>
      <c r="F3229" s="1" t="s">
        <v>463</v>
      </c>
      <c r="G3229" s="1" t="s">
        <v>464</v>
      </c>
      <c r="H3229" s="1" t="s">
        <v>37</v>
      </c>
      <c r="I3229">
        <v>83957</v>
      </c>
      <c r="J3229" s="3">
        <v>24.77</v>
      </c>
      <c r="K3229" s="3">
        <v>2079614.89</v>
      </c>
    </row>
    <row r="3230" spans="1:11" x14ac:dyDescent="0.2">
      <c r="A3230" s="1" t="s">
        <v>4346</v>
      </c>
      <c r="B3230" s="2">
        <v>46018</v>
      </c>
      <c r="C3230" s="1" t="s">
        <v>1640</v>
      </c>
      <c r="D3230" s="1" t="s">
        <v>1641</v>
      </c>
      <c r="E3230" s="1" t="s">
        <v>28</v>
      </c>
      <c r="F3230" s="1" t="s">
        <v>65</v>
      </c>
      <c r="G3230" s="1" t="s">
        <v>66</v>
      </c>
      <c r="H3230" s="1" t="s">
        <v>48</v>
      </c>
      <c r="I3230">
        <v>44181</v>
      </c>
      <c r="J3230" s="3">
        <v>20.91</v>
      </c>
      <c r="K3230" s="3">
        <v>923824.71</v>
      </c>
    </row>
    <row r="3231" spans="1:11" x14ac:dyDescent="0.2">
      <c r="A3231" s="1" t="s">
        <v>4347</v>
      </c>
      <c r="B3231" s="2">
        <v>45511</v>
      </c>
      <c r="C3231" s="1" t="s">
        <v>206</v>
      </c>
      <c r="D3231" s="1" t="s">
        <v>207</v>
      </c>
      <c r="E3231" s="1" t="s">
        <v>14</v>
      </c>
      <c r="F3231" s="1" t="s">
        <v>35</v>
      </c>
      <c r="G3231" s="1" t="s">
        <v>36</v>
      </c>
      <c r="H3231" s="1" t="s">
        <v>37</v>
      </c>
      <c r="I3231">
        <v>53029</v>
      </c>
      <c r="J3231" s="3">
        <v>24.32</v>
      </c>
      <c r="K3231" s="3">
        <v>1289665.28</v>
      </c>
    </row>
    <row r="3232" spans="1:11" x14ac:dyDescent="0.2">
      <c r="A3232" s="1" t="s">
        <v>4348</v>
      </c>
      <c r="B3232" s="2">
        <v>45422</v>
      </c>
      <c r="C3232" s="1" t="s">
        <v>472</v>
      </c>
      <c r="D3232" s="1" t="s">
        <v>473</v>
      </c>
      <c r="E3232" s="1" t="s">
        <v>14</v>
      </c>
      <c r="F3232" s="1" t="s">
        <v>81</v>
      </c>
      <c r="G3232" s="1" t="s">
        <v>82</v>
      </c>
      <c r="H3232" s="1" t="s">
        <v>72</v>
      </c>
      <c r="I3232">
        <v>42095</v>
      </c>
      <c r="J3232" s="3">
        <v>18.2</v>
      </c>
      <c r="K3232" s="3">
        <v>766129</v>
      </c>
    </row>
    <row r="3233" spans="1:11" x14ac:dyDescent="0.2">
      <c r="A3233" s="1" t="s">
        <v>4349</v>
      </c>
      <c r="B3233" s="2">
        <v>45304</v>
      </c>
      <c r="C3233" s="1" t="s">
        <v>1885</v>
      </c>
      <c r="D3233" s="1" t="s">
        <v>1886</v>
      </c>
      <c r="E3233" s="1" t="s">
        <v>28</v>
      </c>
      <c r="F3233" s="1" t="s">
        <v>35</v>
      </c>
      <c r="G3233" s="1" t="s">
        <v>36</v>
      </c>
      <c r="H3233" s="1" t="s">
        <v>37</v>
      </c>
      <c r="I3233">
        <v>78297</v>
      </c>
      <c r="J3233" s="3">
        <v>30.44</v>
      </c>
      <c r="K3233" s="3">
        <v>2383360.6800000002</v>
      </c>
    </row>
    <row r="3234" spans="1:11" x14ac:dyDescent="0.2">
      <c r="A3234" s="1" t="s">
        <v>4350</v>
      </c>
      <c r="B3234" s="2">
        <v>45347</v>
      </c>
      <c r="C3234" s="1" t="s">
        <v>1800</v>
      </c>
      <c r="D3234" s="1" t="s">
        <v>1801</v>
      </c>
      <c r="E3234" s="1" t="s">
        <v>34</v>
      </c>
      <c r="F3234" s="1" t="s">
        <v>217</v>
      </c>
      <c r="G3234" s="1" t="s">
        <v>218</v>
      </c>
      <c r="H3234" s="1" t="s">
        <v>72</v>
      </c>
      <c r="I3234">
        <v>27119</v>
      </c>
      <c r="J3234" s="3">
        <v>31.9</v>
      </c>
      <c r="K3234" s="3">
        <v>865096.1</v>
      </c>
    </row>
    <row r="3235" spans="1:11" x14ac:dyDescent="0.2">
      <c r="A3235" s="1" t="s">
        <v>4351</v>
      </c>
      <c r="B3235" s="2">
        <v>45382</v>
      </c>
      <c r="C3235" s="1" t="s">
        <v>439</v>
      </c>
      <c r="D3235" s="1" t="s">
        <v>440</v>
      </c>
      <c r="E3235" s="1" t="s">
        <v>28</v>
      </c>
      <c r="F3235" s="1" t="s">
        <v>458</v>
      </c>
      <c r="G3235" s="1" t="s">
        <v>459</v>
      </c>
      <c r="H3235" s="1" t="s">
        <v>72</v>
      </c>
      <c r="I3235">
        <v>89911</v>
      </c>
      <c r="J3235" s="3">
        <v>3.96</v>
      </c>
      <c r="K3235" s="3">
        <v>356047.56</v>
      </c>
    </row>
    <row r="3236" spans="1:11" x14ac:dyDescent="0.2">
      <c r="A3236" s="1" t="s">
        <v>4352</v>
      </c>
      <c r="B3236" s="2">
        <v>45481</v>
      </c>
      <c r="C3236" s="1" t="s">
        <v>587</v>
      </c>
      <c r="D3236" s="1" t="s">
        <v>588</v>
      </c>
      <c r="E3236" s="1" t="s">
        <v>21</v>
      </c>
      <c r="F3236" s="1" t="s">
        <v>273</v>
      </c>
      <c r="G3236" s="1" t="s">
        <v>274</v>
      </c>
      <c r="H3236" s="1" t="s">
        <v>24</v>
      </c>
      <c r="I3236">
        <v>44623</v>
      </c>
      <c r="J3236" s="3">
        <v>27.57</v>
      </c>
      <c r="K3236" s="3">
        <v>1230256.1100000001</v>
      </c>
    </row>
    <row r="3237" spans="1:11" x14ac:dyDescent="0.2">
      <c r="A3237" s="1" t="s">
        <v>4353</v>
      </c>
      <c r="B3237" s="2">
        <v>45623</v>
      </c>
      <c r="C3237" s="1" t="s">
        <v>90</v>
      </c>
      <c r="D3237" s="1" t="s">
        <v>91</v>
      </c>
      <c r="E3237" s="1" t="s">
        <v>28</v>
      </c>
      <c r="F3237" s="1" t="s">
        <v>474</v>
      </c>
      <c r="G3237" s="1" t="s">
        <v>475</v>
      </c>
      <c r="H3237" s="1" t="s">
        <v>48</v>
      </c>
      <c r="I3237">
        <v>94482</v>
      </c>
      <c r="J3237" s="3">
        <v>40.57</v>
      </c>
      <c r="K3237" s="3">
        <v>3833134.74</v>
      </c>
    </row>
    <row r="3238" spans="1:11" x14ac:dyDescent="0.2">
      <c r="A3238" s="1" t="s">
        <v>4354</v>
      </c>
      <c r="B3238" s="2">
        <v>45428</v>
      </c>
      <c r="C3238" s="1" t="s">
        <v>12</v>
      </c>
      <c r="D3238" s="1" t="s">
        <v>13</v>
      </c>
      <c r="E3238" s="1" t="s">
        <v>14</v>
      </c>
      <c r="F3238" s="1" t="s">
        <v>406</v>
      </c>
      <c r="G3238" s="1" t="s">
        <v>407</v>
      </c>
      <c r="H3238" s="1" t="s">
        <v>17</v>
      </c>
      <c r="I3238">
        <v>59441</v>
      </c>
      <c r="J3238" s="3">
        <v>30.12</v>
      </c>
      <c r="K3238" s="3">
        <v>1790362.92</v>
      </c>
    </row>
    <row r="3239" spans="1:11" x14ac:dyDescent="0.2">
      <c r="A3239" s="1" t="s">
        <v>4355</v>
      </c>
      <c r="B3239" s="2">
        <v>45538</v>
      </c>
      <c r="C3239" s="1" t="s">
        <v>698</v>
      </c>
      <c r="D3239" s="1" t="s">
        <v>699</v>
      </c>
      <c r="E3239" s="1" t="s">
        <v>28</v>
      </c>
      <c r="F3239" s="1" t="s">
        <v>176</v>
      </c>
      <c r="G3239" s="1" t="s">
        <v>177</v>
      </c>
      <c r="H3239" s="1" t="s">
        <v>37</v>
      </c>
      <c r="I3239">
        <v>83132</v>
      </c>
      <c r="J3239" s="3">
        <v>23.9</v>
      </c>
      <c r="K3239" s="3">
        <v>1986854.8</v>
      </c>
    </row>
    <row r="3240" spans="1:11" x14ac:dyDescent="0.2">
      <c r="A3240" s="1" t="s">
        <v>4356</v>
      </c>
      <c r="B3240" s="2">
        <v>45930</v>
      </c>
      <c r="C3240" s="1" t="s">
        <v>1272</v>
      </c>
      <c r="D3240" s="1" t="s">
        <v>1273</v>
      </c>
      <c r="E3240" s="1" t="s">
        <v>34</v>
      </c>
      <c r="F3240" s="1" t="s">
        <v>228</v>
      </c>
      <c r="G3240" s="1" t="s">
        <v>229</v>
      </c>
      <c r="H3240" s="1" t="s">
        <v>48</v>
      </c>
      <c r="I3240">
        <v>31654</v>
      </c>
      <c r="J3240" s="3">
        <v>47.58</v>
      </c>
      <c r="K3240" s="3">
        <v>1506097.32</v>
      </c>
    </row>
    <row r="3241" spans="1:11" x14ac:dyDescent="0.2">
      <c r="A3241" s="1" t="s">
        <v>4357</v>
      </c>
      <c r="B3241" s="2">
        <v>46011</v>
      </c>
      <c r="C3241" s="1" t="s">
        <v>746</v>
      </c>
      <c r="D3241" s="1" t="s">
        <v>747</v>
      </c>
      <c r="E3241" s="1" t="s">
        <v>37</v>
      </c>
      <c r="F3241" s="1" t="s">
        <v>394</v>
      </c>
      <c r="G3241" s="1" t="s">
        <v>395</v>
      </c>
      <c r="H3241" s="1" t="s">
        <v>48</v>
      </c>
      <c r="I3241">
        <v>34681</v>
      </c>
      <c r="J3241" s="3">
        <v>8.81</v>
      </c>
      <c r="K3241" s="3">
        <v>305539.61</v>
      </c>
    </row>
    <row r="3242" spans="1:11" x14ac:dyDescent="0.2">
      <c r="A3242" s="1" t="s">
        <v>4358</v>
      </c>
      <c r="B3242" s="2">
        <v>45621</v>
      </c>
      <c r="C3242" s="1" t="s">
        <v>1161</v>
      </c>
      <c r="D3242" s="1" t="s">
        <v>1162</v>
      </c>
      <c r="E3242" s="1" t="s">
        <v>21</v>
      </c>
      <c r="F3242" s="1" t="s">
        <v>324</v>
      </c>
      <c r="G3242" s="1" t="s">
        <v>325</v>
      </c>
      <c r="H3242" s="1" t="s">
        <v>24</v>
      </c>
      <c r="I3242">
        <v>14137</v>
      </c>
      <c r="J3242" s="3">
        <v>37.799999999999997</v>
      </c>
      <c r="K3242" s="3">
        <v>534378.6</v>
      </c>
    </row>
    <row r="3243" spans="1:11" x14ac:dyDescent="0.2">
      <c r="A3243" s="1" t="s">
        <v>4359</v>
      </c>
      <c r="B3243" s="2">
        <v>45439</v>
      </c>
      <c r="C3243" s="1" t="s">
        <v>1750</v>
      </c>
      <c r="D3243" s="1" t="s">
        <v>1751</v>
      </c>
      <c r="E3243" s="1" t="s">
        <v>14</v>
      </c>
      <c r="F3243" s="1" t="s">
        <v>458</v>
      </c>
      <c r="G3243" s="1" t="s">
        <v>459</v>
      </c>
      <c r="H3243" s="1" t="s">
        <v>72</v>
      </c>
      <c r="I3243">
        <v>95439</v>
      </c>
      <c r="J3243" s="3">
        <v>6.77</v>
      </c>
      <c r="K3243" s="3">
        <v>646122.03</v>
      </c>
    </row>
    <row r="3244" spans="1:11" x14ac:dyDescent="0.2">
      <c r="A3244" s="1" t="s">
        <v>4360</v>
      </c>
      <c r="B3244" s="2">
        <v>45337</v>
      </c>
      <c r="C3244" s="1" t="s">
        <v>266</v>
      </c>
      <c r="D3244" s="1" t="s">
        <v>267</v>
      </c>
      <c r="E3244" s="1" t="s">
        <v>14</v>
      </c>
      <c r="F3244" s="1" t="s">
        <v>81</v>
      </c>
      <c r="G3244" s="1" t="s">
        <v>82</v>
      </c>
      <c r="H3244" s="1" t="s">
        <v>72</v>
      </c>
      <c r="I3244">
        <v>23743</v>
      </c>
      <c r="J3244" s="3">
        <v>19.28</v>
      </c>
      <c r="K3244" s="3">
        <v>457765.04</v>
      </c>
    </row>
    <row r="3245" spans="1:11" x14ac:dyDescent="0.2">
      <c r="A3245" s="1" t="s">
        <v>4361</v>
      </c>
      <c r="B3245" s="2">
        <v>45934</v>
      </c>
      <c r="C3245" s="1" t="s">
        <v>371</v>
      </c>
      <c r="D3245" s="1" t="s">
        <v>372</v>
      </c>
      <c r="E3245" s="1" t="s">
        <v>14</v>
      </c>
      <c r="F3245" s="1" t="s">
        <v>540</v>
      </c>
      <c r="G3245" s="1" t="s">
        <v>541</v>
      </c>
      <c r="H3245" s="1" t="s">
        <v>37</v>
      </c>
      <c r="I3245">
        <v>50522</v>
      </c>
      <c r="J3245" s="3">
        <v>31.9</v>
      </c>
      <c r="K3245" s="3">
        <v>1611651.8</v>
      </c>
    </row>
    <row r="3246" spans="1:11" x14ac:dyDescent="0.2">
      <c r="A3246" s="1" t="s">
        <v>4362</v>
      </c>
      <c r="B3246" s="2">
        <v>45713</v>
      </c>
      <c r="C3246" s="1" t="s">
        <v>681</v>
      </c>
      <c r="D3246" s="1" t="s">
        <v>682</v>
      </c>
      <c r="E3246" s="1" t="s">
        <v>28</v>
      </c>
      <c r="F3246" s="1" t="s">
        <v>35</v>
      </c>
      <c r="G3246" s="1" t="s">
        <v>36</v>
      </c>
      <c r="H3246" s="1" t="s">
        <v>37</v>
      </c>
      <c r="I3246">
        <v>89801</v>
      </c>
      <c r="J3246" s="3">
        <v>21.24</v>
      </c>
      <c r="K3246" s="3">
        <v>1907373.24</v>
      </c>
    </row>
    <row r="3247" spans="1:11" x14ac:dyDescent="0.2">
      <c r="A3247" s="1" t="s">
        <v>4363</v>
      </c>
      <c r="B3247" s="2">
        <v>45401</v>
      </c>
      <c r="C3247" s="1" t="s">
        <v>1757</v>
      </c>
      <c r="D3247" s="1" t="s">
        <v>1758</v>
      </c>
      <c r="E3247" s="1" t="s">
        <v>37</v>
      </c>
      <c r="F3247" s="1" t="s">
        <v>98</v>
      </c>
      <c r="G3247" s="1" t="s">
        <v>99</v>
      </c>
      <c r="H3247" s="1" t="s">
        <v>72</v>
      </c>
      <c r="I3247">
        <v>15421</v>
      </c>
      <c r="J3247" s="3">
        <v>13.42</v>
      </c>
      <c r="K3247" s="3">
        <v>206949.82</v>
      </c>
    </row>
    <row r="3248" spans="1:11" x14ac:dyDescent="0.2">
      <c r="A3248" s="1" t="s">
        <v>4364</v>
      </c>
      <c r="B3248" s="2">
        <v>45588</v>
      </c>
      <c r="C3248" s="1" t="s">
        <v>857</v>
      </c>
      <c r="D3248" s="1" t="s">
        <v>858</v>
      </c>
      <c r="E3248" s="1" t="s">
        <v>34</v>
      </c>
      <c r="F3248" s="1" t="s">
        <v>203</v>
      </c>
      <c r="G3248" s="1" t="s">
        <v>204</v>
      </c>
      <c r="H3248" s="1" t="s">
        <v>72</v>
      </c>
      <c r="I3248">
        <v>42259</v>
      </c>
      <c r="J3248" s="3">
        <v>24.13</v>
      </c>
      <c r="K3248" s="3">
        <v>1019709.67</v>
      </c>
    </row>
    <row r="3249" spans="1:11" x14ac:dyDescent="0.2">
      <c r="A3249" s="1" t="s">
        <v>4365</v>
      </c>
      <c r="B3249" s="2">
        <v>45689</v>
      </c>
      <c r="C3249" s="1" t="s">
        <v>201</v>
      </c>
      <c r="D3249" s="1" t="s">
        <v>202</v>
      </c>
      <c r="E3249" s="1" t="s">
        <v>14</v>
      </c>
      <c r="F3249" s="1" t="s">
        <v>208</v>
      </c>
      <c r="G3249" s="1" t="s">
        <v>209</v>
      </c>
      <c r="H3249" s="1" t="s">
        <v>17</v>
      </c>
      <c r="I3249">
        <v>55318</v>
      </c>
      <c r="J3249" s="3">
        <v>47.59</v>
      </c>
      <c r="K3249" s="3">
        <v>2632583.62</v>
      </c>
    </row>
    <row r="3250" spans="1:11" x14ac:dyDescent="0.2">
      <c r="A3250" s="1" t="s">
        <v>4366</v>
      </c>
      <c r="B3250" s="2">
        <v>45367</v>
      </c>
      <c r="C3250" s="1" t="s">
        <v>966</v>
      </c>
      <c r="D3250" s="1" t="s">
        <v>967</v>
      </c>
      <c r="E3250" s="1" t="s">
        <v>34</v>
      </c>
      <c r="F3250" s="1" t="s">
        <v>76</v>
      </c>
      <c r="G3250" s="1" t="s">
        <v>77</v>
      </c>
      <c r="H3250" s="1" t="s">
        <v>48</v>
      </c>
      <c r="I3250">
        <v>3980</v>
      </c>
      <c r="J3250" s="3">
        <v>49.1</v>
      </c>
      <c r="K3250" s="3">
        <v>195418</v>
      </c>
    </row>
    <row r="3251" spans="1:11" x14ac:dyDescent="0.2">
      <c r="A3251" s="1" t="s">
        <v>4367</v>
      </c>
      <c r="B3251" s="2">
        <v>45427</v>
      </c>
      <c r="C3251" s="1" t="s">
        <v>2785</v>
      </c>
      <c r="D3251" s="1" t="s">
        <v>2786</v>
      </c>
      <c r="E3251" s="1" t="s">
        <v>14</v>
      </c>
      <c r="F3251" s="1" t="s">
        <v>339</v>
      </c>
      <c r="G3251" s="1" t="s">
        <v>340</v>
      </c>
      <c r="H3251" s="1" t="s">
        <v>24</v>
      </c>
      <c r="I3251">
        <v>82814</v>
      </c>
      <c r="J3251" s="3">
        <v>27.28</v>
      </c>
      <c r="K3251" s="3">
        <v>2259165.92</v>
      </c>
    </row>
    <row r="3252" spans="1:11" x14ac:dyDescent="0.2">
      <c r="A3252" s="1" t="s">
        <v>4368</v>
      </c>
      <c r="B3252" s="2">
        <v>45649</v>
      </c>
      <c r="C3252" s="1" t="s">
        <v>1885</v>
      </c>
      <c r="D3252" s="1" t="s">
        <v>1886</v>
      </c>
      <c r="E3252" s="1" t="s">
        <v>28</v>
      </c>
      <c r="F3252" s="1" t="s">
        <v>35</v>
      </c>
      <c r="G3252" s="1" t="s">
        <v>36</v>
      </c>
      <c r="H3252" s="1" t="s">
        <v>37</v>
      </c>
      <c r="I3252">
        <v>38388</v>
      </c>
      <c r="J3252" s="3">
        <v>49.64</v>
      </c>
      <c r="K3252" s="3">
        <v>1905580.32</v>
      </c>
    </row>
    <row r="3253" spans="1:11" x14ac:dyDescent="0.2">
      <c r="A3253" s="1" t="s">
        <v>4369</v>
      </c>
      <c r="B3253" s="2">
        <v>45467</v>
      </c>
      <c r="C3253" s="1" t="s">
        <v>1164</v>
      </c>
      <c r="D3253" s="1" t="s">
        <v>1165</v>
      </c>
      <c r="E3253" s="1" t="s">
        <v>37</v>
      </c>
      <c r="F3253" s="1" t="s">
        <v>57</v>
      </c>
      <c r="G3253" s="1" t="s">
        <v>58</v>
      </c>
      <c r="H3253" s="1" t="s">
        <v>48</v>
      </c>
      <c r="I3253">
        <v>22726</v>
      </c>
      <c r="J3253" s="3">
        <v>19.47</v>
      </c>
      <c r="K3253" s="3">
        <v>442475.22</v>
      </c>
    </row>
    <row r="3254" spans="1:11" x14ac:dyDescent="0.2">
      <c r="A3254" s="1" t="s">
        <v>4370</v>
      </c>
      <c r="B3254" s="2">
        <v>45474</v>
      </c>
      <c r="C3254" s="1" t="s">
        <v>377</v>
      </c>
      <c r="D3254" s="1" t="s">
        <v>378</v>
      </c>
      <c r="E3254" s="1" t="s">
        <v>37</v>
      </c>
      <c r="F3254" s="1" t="s">
        <v>284</v>
      </c>
      <c r="G3254" s="1" t="s">
        <v>285</v>
      </c>
      <c r="H3254" s="1" t="s">
        <v>37</v>
      </c>
      <c r="I3254">
        <v>64646</v>
      </c>
      <c r="J3254" s="3">
        <v>49.25</v>
      </c>
      <c r="K3254" s="3">
        <v>3183815.5</v>
      </c>
    </row>
    <row r="3255" spans="1:11" x14ac:dyDescent="0.2">
      <c r="A3255" s="1" t="s">
        <v>4371</v>
      </c>
      <c r="B3255" s="2">
        <v>45297</v>
      </c>
      <c r="C3255" s="1" t="s">
        <v>310</v>
      </c>
      <c r="D3255" s="1" t="s">
        <v>311</v>
      </c>
      <c r="E3255" s="1" t="s">
        <v>37</v>
      </c>
      <c r="F3255" s="1" t="s">
        <v>330</v>
      </c>
      <c r="G3255" s="1" t="s">
        <v>331</v>
      </c>
      <c r="H3255" s="1" t="s">
        <v>72</v>
      </c>
      <c r="I3255">
        <v>26767</v>
      </c>
      <c r="J3255" s="3">
        <v>9.5</v>
      </c>
      <c r="K3255" s="3">
        <v>254286.5</v>
      </c>
    </row>
    <row r="3256" spans="1:11" x14ac:dyDescent="0.2">
      <c r="A3256" s="1" t="s">
        <v>4372</v>
      </c>
      <c r="B3256" s="2">
        <v>45607</v>
      </c>
      <c r="C3256" s="1" t="s">
        <v>916</v>
      </c>
      <c r="D3256" s="1" t="s">
        <v>917</v>
      </c>
      <c r="E3256" s="1" t="s">
        <v>28</v>
      </c>
      <c r="F3256" s="1" t="s">
        <v>70</v>
      </c>
      <c r="G3256" s="1" t="s">
        <v>71</v>
      </c>
      <c r="H3256" s="1" t="s">
        <v>72</v>
      </c>
      <c r="I3256">
        <v>80256</v>
      </c>
      <c r="J3256" s="3">
        <v>24.57</v>
      </c>
      <c r="K3256" s="3">
        <v>1971889.92</v>
      </c>
    </row>
    <row r="3257" spans="1:11" x14ac:dyDescent="0.2">
      <c r="A3257" s="1" t="s">
        <v>4373</v>
      </c>
      <c r="B3257" s="2">
        <v>45406</v>
      </c>
      <c r="C3257" s="1" t="s">
        <v>979</v>
      </c>
      <c r="D3257" s="1" t="s">
        <v>980</v>
      </c>
      <c r="E3257" s="1" t="s">
        <v>37</v>
      </c>
      <c r="F3257" s="1" t="s">
        <v>152</v>
      </c>
      <c r="G3257" s="1" t="s">
        <v>153</v>
      </c>
      <c r="H3257" s="1" t="s">
        <v>17</v>
      </c>
      <c r="I3257">
        <v>96844</v>
      </c>
      <c r="J3257" s="3">
        <v>49.98</v>
      </c>
      <c r="K3257" s="3">
        <v>4840263.12</v>
      </c>
    </row>
    <row r="3258" spans="1:11" x14ac:dyDescent="0.2">
      <c r="A3258" s="1" t="s">
        <v>4374</v>
      </c>
      <c r="B3258" s="2">
        <v>45717</v>
      </c>
      <c r="C3258" s="1" t="s">
        <v>469</v>
      </c>
      <c r="D3258" s="1" t="s">
        <v>470</v>
      </c>
      <c r="E3258" s="1" t="s">
        <v>21</v>
      </c>
      <c r="F3258" s="1" t="s">
        <v>46</v>
      </c>
      <c r="G3258" s="1" t="s">
        <v>47</v>
      </c>
      <c r="H3258" s="1" t="s">
        <v>48</v>
      </c>
      <c r="I3258">
        <v>52265</v>
      </c>
      <c r="J3258" s="3">
        <v>11.83</v>
      </c>
      <c r="K3258" s="3">
        <v>618294.94999999995</v>
      </c>
    </row>
    <row r="3259" spans="1:11" x14ac:dyDescent="0.2">
      <c r="A3259" s="1" t="s">
        <v>4375</v>
      </c>
      <c r="B3259" s="2">
        <v>45679</v>
      </c>
      <c r="C3259" s="1" t="s">
        <v>1718</v>
      </c>
      <c r="D3259" s="1" t="s">
        <v>1719</v>
      </c>
      <c r="E3259" s="1" t="s">
        <v>21</v>
      </c>
      <c r="F3259" s="1" t="s">
        <v>144</v>
      </c>
      <c r="G3259" s="1" t="s">
        <v>145</v>
      </c>
      <c r="H3259" s="1" t="s">
        <v>24</v>
      </c>
      <c r="I3259">
        <v>21629</v>
      </c>
      <c r="J3259" s="3">
        <v>5.91</v>
      </c>
      <c r="K3259" s="3">
        <v>127827.39</v>
      </c>
    </row>
    <row r="3260" spans="1:11" x14ac:dyDescent="0.2">
      <c r="A3260" s="1" t="s">
        <v>4376</v>
      </c>
      <c r="B3260" s="2">
        <v>46007</v>
      </c>
      <c r="C3260" s="1" t="s">
        <v>1885</v>
      </c>
      <c r="D3260" s="1" t="s">
        <v>1886</v>
      </c>
      <c r="E3260" s="1" t="s">
        <v>28</v>
      </c>
      <c r="F3260" s="1" t="s">
        <v>70</v>
      </c>
      <c r="G3260" s="1" t="s">
        <v>71</v>
      </c>
      <c r="H3260" s="1" t="s">
        <v>72</v>
      </c>
      <c r="I3260">
        <v>11988</v>
      </c>
      <c r="J3260" s="3">
        <v>6.12</v>
      </c>
      <c r="K3260" s="3">
        <v>73366.559999999998</v>
      </c>
    </row>
    <row r="3261" spans="1:11" x14ac:dyDescent="0.2">
      <c r="A3261" s="1" t="s">
        <v>4377</v>
      </c>
      <c r="B3261" s="2">
        <v>45743</v>
      </c>
      <c r="C3261" s="1" t="s">
        <v>2050</v>
      </c>
      <c r="D3261" s="1" t="s">
        <v>2051</v>
      </c>
      <c r="E3261" s="1" t="s">
        <v>14</v>
      </c>
      <c r="F3261" s="1" t="s">
        <v>339</v>
      </c>
      <c r="G3261" s="1" t="s">
        <v>340</v>
      </c>
      <c r="H3261" s="1" t="s">
        <v>24</v>
      </c>
      <c r="I3261">
        <v>57973</v>
      </c>
      <c r="J3261" s="3">
        <v>27.72</v>
      </c>
      <c r="K3261" s="3">
        <v>1607011.56</v>
      </c>
    </row>
    <row r="3262" spans="1:11" x14ac:dyDescent="0.2">
      <c r="A3262" s="1" t="s">
        <v>4378</v>
      </c>
      <c r="B3262" s="2">
        <v>45526</v>
      </c>
      <c r="C3262" s="1" t="s">
        <v>466</v>
      </c>
      <c r="D3262" s="1" t="s">
        <v>467</v>
      </c>
      <c r="E3262" s="1" t="s">
        <v>28</v>
      </c>
      <c r="F3262" s="1" t="s">
        <v>412</v>
      </c>
      <c r="G3262" s="1" t="s">
        <v>413</v>
      </c>
      <c r="H3262" s="1" t="s">
        <v>72</v>
      </c>
      <c r="I3262">
        <v>67906</v>
      </c>
      <c r="J3262" s="3">
        <v>12.08</v>
      </c>
      <c r="K3262" s="3">
        <v>820304.48</v>
      </c>
    </row>
    <row r="3263" spans="1:11" x14ac:dyDescent="0.2">
      <c r="A3263" s="1" t="s">
        <v>4379</v>
      </c>
      <c r="B3263" s="2">
        <v>45631</v>
      </c>
      <c r="C3263" s="1" t="s">
        <v>994</v>
      </c>
      <c r="D3263" s="1" t="s">
        <v>995</v>
      </c>
      <c r="E3263" s="1" t="s">
        <v>21</v>
      </c>
      <c r="F3263" s="1" t="s">
        <v>394</v>
      </c>
      <c r="G3263" s="1" t="s">
        <v>395</v>
      </c>
      <c r="H3263" s="1" t="s">
        <v>48</v>
      </c>
      <c r="I3263">
        <v>20831</v>
      </c>
      <c r="J3263" s="3">
        <v>11.2</v>
      </c>
      <c r="K3263" s="3">
        <v>233307.2</v>
      </c>
    </row>
    <row r="3264" spans="1:11" x14ac:dyDescent="0.2">
      <c r="A3264" s="1" t="s">
        <v>4380</v>
      </c>
      <c r="B3264" s="2">
        <v>45375</v>
      </c>
      <c r="C3264" s="1" t="s">
        <v>1507</v>
      </c>
      <c r="D3264" s="1" t="s">
        <v>1508</v>
      </c>
      <c r="E3264" s="1" t="s">
        <v>37</v>
      </c>
      <c r="F3264" s="1" t="s">
        <v>189</v>
      </c>
      <c r="G3264" s="1" t="s">
        <v>190</v>
      </c>
      <c r="H3264" s="1" t="s">
        <v>17</v>
      </c>
      <c r="I3264">
        <v>41219</v>
      </c>
      <c r="J3264" s="3">
        <v>26.45</v>
      </c>
      <c r="K3264" s="3">
        <v>1090242.55</v>
      </c>
    </row>
    <row r="3265" spans="1:11" x14ac:dyDescent="0.2">
      <c r="A3265" s="1" t="s">
        <v>4381</v>
      </c>
      <c r="B3265" s="2">
        <v>45458</v>
      </c>
      <c r="C3265" s="1" t="s">
        <v>1421</v>
      </c>
      <c r="D3265" s="1" t="s">
        <v>1422</v>
      </c>
      <c r="E3265" s="1" t="s">
        <v>21</v>
      </c>
      <c r="F3265" s="1" t="s">
        <v>65</v>
      </c>
      <c r="G3265" s="1" t="s">
        <v>66</v>
      </c>
      <c r="H3265" s="1" t="s">
        <v>48</v>
      </c>
      <c r="I3265">
        <v>98675</v>
      </c>
      <c r="J3265" s="3">
        <v>49.74</v>
      </c>
      <c r="K3265" s="3">
        <v>4908094.5</v>
      </c>
    </row>
    <row r="3266" spans="1:11" x14ac:dyDescent="0.2">
      <c r="A3266" s="1" t="s">
        <v>4382</v>
      </c>
      <c r="B3266" s="2">
        <v>45534</v>
      </c>
      <c r="C3266" s="1" t="s">
        <v>271</v>
      </c>
      <c r="D3266" s="1" t="s">
        <v>272</v>
      </c>
      <c r="E3266" s="1" t="s">
        <v>37</v>
      </c>
      <c r="F3266" s="1" t="s">
        <v>57</v>
      </c>
      <c r="G3266" s="1" t="s">
        <v>58</v>
      </c>
      <c r="H3266" s="1" t="s">
        <v>48</v>
      </c>
      <c r="I3266">
        <v>63306</v>
      </c>
      <c r="J3266" s="3">
        <v>3.14</v>
      </c>
      <c r="K3266" s="3">
        <v>198780.84</v>
      </c>
    </row>
    <row r="3267" spans="1:11" x14ac:dyDescent="0.2">
      <c r="A3267" s="1" t="s">
        <v>4383</v>
      </c>
      <c r="B3267" s="2">
        <v>45821</v>
      </c>
      <c r="C3267" s="1" t="s">
        <v>1161</v>
      </c>
      <c r="D3267" s="1" t="s">
        <v>1162</v>
      </c>
      <c r="E3267" s="1" t="s">
        <v>21</v>
      </c>
      <c r="F3267" s="1" t="s">
        <v>263</v>
      </c>
      <c r="G3267" s="1" t="s">
        <v>264</v>
      </c>
      <c r="H3267" s="1" t="s">
        <v>17</v>
      </c>
      <c r="I3267">
        <v>13438</v>
      </c>
      <c r="J3267" s="3">
        <v>43.96</v>
      </c>
      <c r="K3267" s="3">
        <v>590734.48</v>
      </c>
    </row>
    <row r="3268" spans="1:11" x14ac:dyDescent="0.2">
      <c r="A3268" s="1" t="s">
        <v>4384</v>
      </c>
      <c r="B3268" s="2">
        <v>45764</v>
      </c>
      <c r="C3268" s="1" t="s">
        <v>1023</v>
      </c>
      <c r="D3268" s="1" t="s">
        <v>1024</v>
      </c>
      <c r="E3268" s="1" t="s">
        <v>37</v>
      </c>
      <c r="F3268" s="1" t="s">
        <v>510</v>
      </c>
      <c r="G3268" s="1" t="s">
        <v>511</v>
      </c>
      <c r="H3268" s="1" t="s">
        <v>17</v>
      </c>
      <c r="I3268">
        <v>39051</v>
      </c>
      <c r="J3268" s="3">
        <v>3.11</v>
      </c>
      <c r="K3268" s="3">
        <v>121448.61</v>
      </c>
    </row>
    <row r="3269" spans="1:11" x14ac:dyDescent="0.2">
      <c r="A3269" s="1" t="s">
        <v>4385</v>
      </c>
      <c r="B3269" s="2">
        <v>45468</v>
      </c>
      <c r="C3269" s="1" t="s">
        <v>397</v>
      </c>
      <c r="D3269" s="1" t="s">
        <v>398</v>
      </c>
      <c r="E3269" s="1" t="s">
        <v>34</v>
      </c>
      <c r="F3269" s="1" t="s">
        <v>203</v>
      </c>
      <c r="G3269" s="1" t="s">
        <v>204</v>
      </c>
      <c r="H3269" s="1" t="s">
        <v>72</v>
      </c>
      <c r="I3269">
        <v>88287</v>
      </c>
      <c r="J3269" s="3">
        <v>26.67</v>
      </c>
      <c r="K3269" s="3">
        <v>2354614.29</v>
      </c>
    </row>
    <row r="3270" spans="1:11" x14ac:dyDescent="0.2">
      <c r="A3270" s="1" t="s">
        <v>4386</v>
      </c>
      <c r="B3270" s="2">
        <v>45551</v>
      </c>
      <c r="C3270" s="1" t="s">
        <v>353</v>
      </c>
      <c r="D3270" s="1" t="s">
        <v>354</v>
      </c>
      <c r="E3270" s="1" t="s">
        <v>14</v>
      </c>
      <c r="F3270" s="1" t="s">
        <v>176</v>
      </c>
      <c r="G3270" s="1" t="s">
        <v>177</v>
      </c>
      <c r="H3270" s="1" t="s">
        <v>37</v>
      </c>
      <c r="I3270">
        <v>49819</v>
      </c>
      <c r="J3270" s="3">
        <v>33.4</v>
      </c>
      <c r="K3270" s="3">
        <v>1663954.6</v>
      </c>
    </row>
    <row r="3271" spans="1:11" x14ac:dyDescent="0.2">
      <c r="A3271" s="1" t="s">
        <v>4387</v>
      </c>
      <c r="B3271" s="2">
        <v>45399</v>
      </c>
      <c r="C3271" s="1" t="s">
        <v>1591</v>
      </c>
      <c r="D3271" s="1" t="s">
        <v>1592</v>
      </c>
      <c r="E3271" s="1" t="s">
        <v>34</v>
      </c>
      <c r="F3271" s="1" t="s">
        <v>251</v>
      </c>
      <c r="G3271" s="1" t="s">
        <v>252</v>
      </c>
      <c r="H3271" s="1" t="s">
        <v>72</v>
      </c>
      <c r="I3271">
        <v>88901</v>
      </c>
      <c r="J3271" s="3">
        <v>17.79</v>
      </c>
      <c r="K3271" s="3">
        <v>1581548.79</v>
      </c>
    </row>
    <row r="3272" spans="1:11" x14ac:dyDescent="0.2">
      <c r="A3272" s="1" t="s">
        <v>4388</v>
      </c>
      <c r="B3272" s="2">
        <v>45737</v>
      </c>
      <c r="C3272" s="1" t="s">
        <v>342</v>
      </c>
      <c r="D3272" s="1" t="s">
        <v>343</v>
      </c>
      <c r="E3272" s="1" t="s">
        <v>37</v>
      </c>
      <c r="F3272" s="1" t="s">
        <v>350</v>
      </c>
      <c r="G3272" s="1" t="s">
        <v>351</v>
      </c>
      <c r="H3272" s="1" t="s">
        <v>37</v>
      </c>
      <c r="I3272">
        <v>1117</v>
      </c>
      <c r="J3272" s="3">
        <v>9.0299999999999994</v>
      </c>
      <c r="K3272" s="3">
        <v>10086.51</v>
      </c>
    </row>
    <row r="3273" spans="1:11" x14ac:dyDescent="0.2">
      <c r="A3273" s="1" t="s">
        <v>4389</v>
      </c>
      <c r="B3273" s="2">
        <v>45582</v>
      </c>
      <c r="C3273" s="1" t="s">
        <v>576</v>
      </c>
      <c r="D3273" s="1" t="s">
        <v>577</v>
      </c>
      <c r="E3273" s="1" t="s">
        <v>14</v>
      </c>
      <c r="F3273" s="1" t="s">
        <v>108</v>
      </c>
      <c r="G3273" s="1" t="s">
        <v>109</v>
      </c>
      <c r="H3273" s="1" t="s">
        <v>37</v>
      </c>
      <c r="I3273">
        <v>81375</v>
      </c>
      <c r="J3273" s="3">
        <v>31.2</v>
      </c>
      <c r="K3273" s="3">
        <v>2538900</v>
      </c>
    </row>
    <row r="3274" spans="1:11" x14ac:dyDescent="0.2">
      <c r="A3274" s="1" t="s">
        <v>4390</v>
      </c>
      <c r="B3274" s="2">
        <v>45454</v>
      </c>
      <c r="C3274" s="1" t="s">
        <v>2109</v>
      </c>
      <c r="D3274" s="1" t="s">
        <v>2110</v>
      </c>
      <c r="E3274" s="1" t="s">
        <v>28</v>
      </c>
      <c r="F3274" s="1" t="s">
        <v>81</v>
      </c>
      <c r="G3274" s="1" t="s">
        <v>82</v>
      </c>
      <c r="H3274" s="1" t="s">
        <v>72</v>
      </c>
      <c r="I3274">
        <v>39627</v>
      </c>
      <c r="J3274" s="3">
        <v>47.7</v>
      </c>
      <c r="K3274" s="3">
        <v>1890207.9</v>
      </c>
    </row>
    <row r="3275" spans="1:11" x14ac:dyDescent="0.2">
      <c r="A3275" s="1" t="s">
        <v>4391</v>
      </c>
      <c r="B3275" s="2">
        <v>45870</v>
      </c>
      <c r="C3275" s="1" t="s">
        <v>559</v>
      </c>
      <c r="D3275" s="1" t="s">
        <v>560</v>
      </c>
      <c r="E3275" s="1" t="s">
        <v>14</v>
      </c>
      <c r="F3275" s="1" t="s">
        <v>139</v>
      </c>
      <c r="G3275" s="1" t="s">
        <v>140</v>
      </c>
      <c r="H3275" s="1" t="s">
        <v>24</v>
      </c>
      <c r="I3275">
        <v>56741</v>
      </c>
      <c r="J3275" s="3">
        <v>37.549999999999997</v>
      </c>
      <c r="K3275" s="3">
        <v>2130624.5499999998</v>
      </c>
    </row>
    <row r="3276" spans="1:11" x14ac:dyDescent="0.2">
      <c r="A3276" s="1" t="s">
        <v>4392</v>
      </c>
      <c r="B3276" s="2">
        <v>45569</v>
      </c>
      <c r="C3276" s="1" t="s">
        <v>1105</v>
      </c>
      <c r="D3276" s="1" t="s">
        <v>1106</v>
      </c>
      <c r="E3276" s="1" t="s">
        <v>34</v>
      </c>
      <c r="F3276" s="1" t="s">
        <v>52</v>
      </c>
      <c r="G3276" s="1" t="s">
        <v>53</v>
      </c>
      <c r="H3276" s="1" t="s">
        <v>17</v>
      </c>
      <c r="I3276">
        <v>43062</v>
      </c>
      <c r="J3276" s="3">
        <v>44.63</v>
      </c>
      <c r="K3276" s="3">
        <v>1921857.06</v>
      </c>
    </row>
    <row r="3277" spans="1:11" x14ac:dyDescent="0.2">
      <c r="A3277" s="1" t="s">
        <v>4393</v>
      </c>
      <c r="B3277" s="2">
        <v>45348</v>
      </c>
      <c r="C3277" s="1" t="s">
        <v>44</v>
      </c>
      <c r="D3277" s="1" t="s">
        <v>45</v>
      </c>
      <c r="E3277" s="1" t="s">
        <v>34</v>
      </c>
      <c r="F3277" s="1" t="s">
        <v>70</v>
      </c>
      <c r="G3277" s="1" t="s">
        <v>71</v>
      </c>
      <c r="H3277" s="1" t="s">
        <v>72</v>
      </c>
      <c r="I3277">
        <v>69931</v>
      </c>
      <c r="J3277" s="3">
        <v>4.0599999999999996</v>
      </c>
      <c r="K3277" s="3">
        <v>283919.86</v>
      </c>
    </row>
    <row r="3278" spans="1:11" x14ac:dyDescent="0.2">
      <c r="A3278" s="1" t="s">
        <v>4394</v>
      </c>
      <c r="B3278" s="2">
        <v>45391</v>
      </c>
      <c r="C3278" s="1" t="s">
        <v>307</v>
      </c>
      <c r="D3278" s="1" t="s">
        <v>308</v>
      </c>
      <c r="E3278" s="1" t="s">
        <v>14</v>
      </c>
      <c r="F3278" s="1" t="s">
        <v>165</v>
      </c>
      <c r="G3278" s="1" t="s">
        <v>166</v>
      </c>
      <c r="H3278" s="1" t="s">
        <v>24</v>
      </c>
      <c r="I3278">
        <v>28586</v>
      </c>
      <c r="J3278" s="3">
        <v>3.8</v>
      </c>
      <c r="K3278" s="3">
        <v>108626.8</v>
      </c>
    </row>
    <row r="3279" spans="1:11" x14ac:dyDescent="0.2">
      <c r="A3279" s="1" t="s">
        <v>4395</v>
      </c>
      <c r="B3279" s="2">
        <v>45604</v>
      </c>
      <c r="C3279" s="1" t="s">
        <v>287</v>
      </c>
      <c r="D3279" s="1" t="s">
        <v>288</v>
      </c>
      <c r="E3279" s="1" t="s">
        <v>21</v>
      </c>
      <c r="F3279" s="1" t="s">
        <v>195</v>
      </c>
      <c r="G3279" s="1" t="s">
        <v>196</v>
      </c>
      <c r="H3279" s="1" t="s">
        <v>48</v>
      </c>
      <c r="I3279">
        <v>41562</v>
      </c>
      <c r="J3279" s="3">
        <v>25.26</v>
      </c>
      <c r="K3279" s="3">
        <v>1049856.1200000001</v>
      </c>
    </row>
    <row r="3280" spans="1:11" x14ac:dyDescent="0.2">
      <c r="A3280" s="1" t="s">
        <v>4396</v>
      </c>
      <c r="B3280" s="2">
        <v>45494</v>
      </c>
      <c r="C3280" s="1" t="s">
        <v>223</v>
      </c>
      <c r="D3280" s="1" t="s">
        <v>224</v>
      </c>
      <c r="E3280" s="1" t="s">
        <v>28</v>
      </c>
      <c r="F3280" s="1" t="s">
        <v>324</v>
      </c>
      <c r="G3280" s="1" t="s">
        <v>325</v>
      </c>
      <c r="H3280" s="1" t="s">
        <v>24</v>
      </c>
      <c r="I3280">
        <v>36871</v>
      </c>
      <c r="J3280" s="3">
        <v>44.44</v>
      </c>
      <c r="K3280" s="3">
        <v>1638547.24</v>
      </c>
    </row>
    <row r="3281" spans="1:11" x14ac:dyDescent="0.2">
      <c r="A3281" s="1" t="s">
        <v>4397</v>
      </c>
      <c r="B3281" s="2">
        <v>45688</v>
      </c>
      <c r="C3281" s="1" t="s">
        <v>3733</v>
      </c>
      <c r="D3281" s="1" t="s">
        <v>3734</v>
      </c>
      <c r="E3281" s="1" t="s">
        <v>14</v>
      </c>
      <c r="F3281" s="1" t="s">
        <v>394</v>
      </c>
      <c r="G3281" s="1" t="s">
        <v>395</v>
      </c>
      <c r="H3281" s="1" t="s">
        <v>48</v>
      </c>
      <c r="I3281">
        <v>8774</v>
      </c>
      <c r="J3281" s="3">
        <v>49.85</v>
      </c>
      <c r="K3281" s="3">
        <v>437383.9</v>
      </c>
    </row>
    <row r="3282" spans="1:11" x14ac:dyDescent="0.2">
      <c r="A3282" s="1" t="s">
        <v>4398</v>
      </c>
      <c r="B3282" s="2">
        <v>45374</v>
      </c>
      <c r="C3282" s="1" t="s">
        <v>1194</v>
      </c>
      <c r="D3282" s="1" t="s">
        <v>1195</v>
      </c>
      <c r="E3282" s="1" t="s">
        <v>28</v>
      </c>
      <c r="F3282" s="1" t="s">
        <v>57</v>
      </c>
      <c r="G3282" s="1" t="s">
        <v>58</v>
      </c>
      <c r="H3282" s="1" t="s">
        <v>48</v>
      </c>
      <c r="I3282">
        <v>28080</v>
      </c>
      <c r="J3282" s="3">
        <v>20.87</v>
      </c>
      <c r="K3282" s="3">
        <v>586029.6</v>
      </c>
    </row>
    <row r="3283" spans="1:11" x14ac:dyDescent="0.2">
      <c r="A3283" s="1" t="s">
        <v>4399</v>
      </c>
      <c r="B3283" s="2">
        <v>45577</v>
      </c>
      <c r="C3283" s="1" t="s">
        <v>300</v>
      </c>
      <c r="D3283" s="1" t="s">
        <v>301</v>
      </c>
      <c r="E3283" s="1" t="s">
        <v>14</v>
      </c>
      <c r="F3283" s="1" t="s">
        <v>463</v>
      </c>
      <c r="G3283" s="1" t="s">
        <v>464</v>
      </c>
      <c r="H3283" s="1" t="s">
        <v>37</v>
      </c>
      <c r="I3283">
        <v>17167</v>
      </c>
      <c r="J3283" s="3">
        <v>44.12</v>
      </c>
      <c r="K3283" s="3">
        <v>757408.04</v>
      </c>
    </row>
    <row r="3284" spans="1:11" x14ac:dyDescent="0.2">
      <c r="A3284" s="1" t="s">
        <v>4400</v>
      </c>
      <c r="B3284" s="2">
        <v>45355</v>
      </c>
      <c r="C3284" s="1" t="s">
        <v>327</v>
      </c>
      <c r="D3284" s="1" t="s">
        <v>328</v>
      </c>
      <c r="E3284" s="1" t="s">
        <v>21</v>
      </c>
      <c r="F3284" s="1" t="s">
        <v>268</v>
      </c>
      <c r="G3284" s="1" t="s">
        <v>269</v>
      </c>
      <c r="H3284" s="1" t="s">
        <v>72</v>
      </c>
      <c r="I3284">
        <v>34229</v>
      </c>
      <c r="J3284" s="3">
        <v>30.34</v>
      </c>
      <c r="K3284" s="3">
        <v>1038507.86</v>
      </c>
    </row>
    <row r="3285" spans="1:11" x14ac:dyDescent="0.2">
      <c r="A3285" s="1" t="s">
        <v>4401</v>
      </c>
      <c r="B3285" s="2">
        <v>45567</v>
      </c>
      <c r="C3285" s="1" t="s">
        <v>1622</v>
      </c>
      <c r="D3285" s="1" t="s">
        <v>1623</v>
      </c>
      <c r="E3285" s="1" t="s">
        <v>21</v>
      </c>
      <c r="F3285" s="1" t="s">
        <v>228</v>
      </c>
      <c r="G3285" s="1" t="s">
        <v>229</v>
      </c>
      <c r="H3285" s="1" t="s">
        <v>48</v>
      </c>
      <c r="I3285">
        <v>52732</v>
      </c>
      <c r="J3285" s="3">
        <v>7.48</v>
      </c>
      <c r="K3285" s="3">
        <v>394435.36</v>
      </c>
    </row>
    <row r="3286" spans="1:11" x14ac:dyDescent="0.2">
      <c r="A3286" s="1" t="s">
        <v>4402</v>
      </c>
      <c r="B3286" s="2">
        <v>45735</v>
      </c>
      <c r="C3286" s="1" t="s">
        <v>3086</v>
      </c>
      <c r="D3286" s="1" t="s">
        <v>3087</v>
      </c>
      <c r="E3286" s="1" t="s">
        <v>28</v>
      </c>
      <c r="F3286" s="1" t="s">
        <v>268</v>
      </c>
      <c r="G3286" s="1" t="s">
        <v>269</v>
      </c>
      <c r="H3286" s="1" t="s">
        <v>72</v>
      </c>
      <c r="I3286">
        <v>34213</v>
      </c>
      <c r="J3286" s="3">
        <v>34.85</v>
      </c>
      <c r="K3286" s="3">
        <v>1192323.05</v>
      </c>
    </row>
    <row r="3287" spans="1:11" x14ac:dyDescent="0.2">
      <c r="A3287" s="1" t="s">
        <v>4403</v>
      </c>
      <c r="B3287" s="2">
        <v>45622</v>
      </c>
      <c r="C3287" s="1" t="s">
        <v>1244</v>
      </c>
      <c r="D3287" s="1" t="s">
        <v>1245</v>
      </c>
      <c r="E3287" s="1" t="s">
        <v>28</v>
      </c>
      <c r="F3287" s="1" t="s">
        <v>463</v>
      </c>
      <c r="G3287" s="1" t="s">
        <v>464</v>
      </c>
      <c r="H3287" s="1" t="s">
        <v>37</v>
      </c>
      <c r="I3287">
        <v>63092</v>
      </c>
      <c r="J3287" s="3">
        <v>46.54</v>
      </c>
      <c r="K3287" s="3">
        <v>2936301.68</v>
      </c>
    </row>
    <row r="3288" spans="1:11" x14ac:dyDescent="0.2">
      <c r="A3288" s="1" t="s">
        <v>4404</v>
      </c>
      <c r="B3288" s="2">
        <v>45575</v>
      </c>
      <c r="C3288" s="1" t="s">
        <v>979</v>
      </c>
      <c r="D3288" s="1" t="s">
        <v>980</v>
      </c>
      <c r="E3288" s="1" t="s">
        <v>37</v>
      </c>
      <c r="F3288" s="1" t="s">
        <v>195</v>
      </c>
      <c r="G3288" s="1" t="s">
        <v>196</v>
      </c>
      <c r="H3288" s="1" t="s">
        <v>48</v>
      </c>
      <c r="I3288">
        <v>17190</v>
      </c>
      <c r="J3288" s="3">
        <v>37.43</v>
      </c>
      <c r="K3288" s="3">
        <v>643421.69999999995</v>
      </c>
    </row>
    <row r="3289" spans="1:11" x14ac:dyDescent="0.2">
      <c r="A3289" s="1" t="s">
        <v>4405</v>
      </c>
      <c r="B3289" s="2">
        <v>45751</v>
      </c>
      <c r="C3289" s="1" t="s">
        <v>294</v>
      </c>
      <c r="D3289" s="1" t="s">
        <v>295</v>
      </c>
      <c r="E3289" s="1" t="s">
        <v>37</v>
      </c>
      <c r="F3289" s="1" t="s">
        <v>394</v>
      </c>
      <c r="G3289" s="1" t="s">
        <v>395</v>
      </c>
      <c r="H3289" s="1" t="s">
        <v>48</v>
      </c>
      <c r="I3289">
        <v>26062</v>
      </c>
      <c r="J3289" s="3">
        <v>26.91</v>
      </c>
      <c r="K3289" s="3">
        <v>701328.42</v>
      </c>
    </row>
    <row r="3290" spans="1:11" x14ac:dyDescent="0.2">
      <c r="A3290" s="1" t="s">
        <v>4406</v>
      </c>
      <c r="B3290" s="2">
        <v>45556</v>
      </c>
      <c r="C3290" s="1" t="s">
        <v>1099</v>
      </c>
      <c r="D3290" s="1" t="s">
        <v>1100</v>
      </c>
      <c r="E3290" s="1" t="s">
        <v>34</v>
      </c>
      <c r="F3290" s="1" t="s">
        <v>217</v>
      </c>
      <c r="G3290" s="1" t="s">
        <v>218</v>
      </c>
      <c r="H3290" s="1" t="s">
        <v>72</v>
      </c>
      <c r="I3290">
        <v>84509</v>
      </c>
      <c r="J3290" s="3">
        <v>36.79</v>
      </c>
      <c r="K3290" s="3">
        <v>3109086.11</v>
      </c>
    </row>
    <row r="3291" spans="1:11" x14ac:dyDescent="0.2">
      <c r="A3291" s="1" t="s">
        <v>4407</v>
      </c>
      <c r="B3291" s="2">
        <v>45362</v>
      </c>
      <c r="C3291" s="1" t="s">
        <v>63</v>
      </c>
      <c r="D3291" s="1" t="s">
        <v>64</v>
      </c>
      <c r="E3291" s="1" t="s">
        <v>37</v>
      </c>
      <c r="F3291" s="1" t="s">
        <v>237</v>
      </c>
      <c r="G3291" s="1" t="s">
        <v>238</v>
      </c>
      <c r="H3291" s="1" t="s">
        <v>17</v>
      </c>
      <c r="I3291">
        <v>9555</v>
      </c>
      <c r="J3291" s="3">
        <v>40.450000000000003</v>
      </c>
      <c r="K3291" s="3">
        <v>386499.75</v>
      </c>
    </row>
    <row r="3292" spans="1:11" x14ac:dyDescent="0.2">
      <c r="A3292" s="1" t="s">
        <v>4408</v>
      </c>
      <c r="B3292" s="2">
        <v>45469</v>
      </c>
      <c r="C3292" s="1" t="s">
        <v>2766</v>
      </c>
      <c r="D3292" s="1" t="s">
        <v>2767</v>
      </c>
      <c r="E3292" s="1" t="s">
        <v>37</v>
      </c>
      <c r="F3292" s="1" t="s">
        <v>394</v>
      </c>
      <c r="G3292" s="1" t="s">
        <v>395</v>
      </c>
      <c r="H3292" s="1" t="s">
        <v>48</v>
      </c>
      <c r="I3292">
        <v>9628</v>
      </c>
      <c r="J3292" s="3">
        <v>24.99</v>
      </c>
      <c r="K3292" s="3">
        <v>240603.72</v>
      </c>
    </row>
    <row r="3293" spans="1:11" x14ac:dyDescent="0.2">
      <c r="A3293" s="1" t="s">
        <v>4409</v>
      </c>
      <c r="B3293" s="2">
        <v>45592</v>
      </c>
      <c r="C3293" s="1" t="s">
        <v>633</v>
      </c>
      <c r="D3293" s="1" t="s">
        <v>634</v>
      </c>
      <c r="E3293" s="1" t="s">
        <v>34</v>
      </c>
      <c r="F3293" s="1" t="s">
        <v>57</v>
      </c>
      <c r="G3293" s="1" t="s">
        <v>58</v>
      </c>
      <c r="H3293" s="1" t="s">
        <v>48</v>
      </c>
      <c r="I3293">
        <v>48600</v>
      </c>
      <c r="J3293" s="3">
        <v>31.36</v>
      </c>
      <c r="K3293" s="3">
        <v>1524096</v>
      </c>
    </row>
    <row r="3294" spans="1:11" x14ac:dyDescent="0.2">
      <c r="A3294" s="1" t="s">
        <v>4410</v>
      </c>
      <c r="B3294" s="2">
        <v>45890</v>
      </c>
      <c r="C3294" s="1" t="s">
        <v>1079</v>
      </c>
      <c r="D3294" s="1" t="s">
        <v>1080</v>
      </c>
      <c r="E3294" s="1" t="s">
        <v>14</v>
      </c>
      <c r="F3294" s="1" t="s">
        <v>152</v>
      </c>
      <c r="G3294" s="1" t="s">
        <v>153</v>
      </c>
      <c r="H3294" s="1" t="s">
        <v>17</v>
      </c>
      <c r="I3294">
        <v>8440</v>
      </c>
      <c r="J3294" s="3">
        <v>20.16</v>
      </c>
      <c r="K3294" s="3">
        <v>170150.39999999999</v>
      </c>
    </row>
    <row r="3295" spans="1:11" x14ac:dyDescent="0.2">
      <c r="A3295" s="1" t="s">
        <v>4411</v>
      </c>
      <c r="B3295" s="2">
        <v>45631</v>
      </c>
      <c r="C3295" s="1" t="s">
        <v>863</v>
      </c>
      <c r="D3295" s="1" t="s">
        <v>864</v>
      </c>
      <c r="E3295" s="1" t="s">
        <v>37</v>
      </c>
      <c r="F3295" s="1" t="s">
        <v>81</v>
      </c>
      <c r="G3295" s="1" t="s">
        <v>82</v>
      </c>
      <c r="H3295" s="1" t="s">
        <v>72</v>
      </c>
      <c r="I3295">
        <v>88740</v>
      </c>
      <c r="J3295" s="3">
        <v>48.79</v>
      </c>
      <c r="K3295" s="3">
        <v>4329624.5999999996</v>
      </c>
    </row>
    <row r="3296" spans="1:11" x14ac:dyDescent="0.2">
      <c r="A3296" s="1" t="s">
        <v>4412</v>
      </c>
      <c r="B3296" s="2">
        <v>45837</v>
      </c>
      <c r="C3296" s="1" t="s">
        <v>743</v>
      </c>
      <c r="D3296" s="1" t="s">
        <v>744</v>
      </c>
      <c r="E3296" s="1" t="s">
        <v>14</v>
      </c>
      <c r="F3296" s="1" t="s">
        <v>330</v>
      </c>
      <c r="G3296" s="1" t="s">
        <v>331</v>
      </c>
      <c r="H3296" s="1" t="s">
        <v>72</v>
      </c>
      <c r="I3296">
        <v>57399</v>
      </c>
      <c r="J3296" s="3">
        <v>48.51</v>
      </c>
      <c r="K3296" s="3">
        <v>2784425.49</v>
      </c>
    </row>
    <row r="3297" spans="1:11" x14ac:dyDescent="0.2">
      <c r="A3297" s="1" t="s">
        <v>4413</v>
      </c>
      <c r="B3297" s="2">
        <v>45722</v>
      </c>
      <c r="C3297" s="1" t="s">
        <v>1197</v>
      </c>
      <c r="D3297" s="1" t="s">
        <v>1198</v>
      </c>
      <c r="E3297" s="1" t="s">
        <v>34</v>
      </c>
      <c r="F3297" s="1" t="s">
        <v>52</v>
      </c>
      <c r="G3297" s="1" t="s">
        <v>53</v>
      </c>
      <c r="H3297" s="1" t="s">
        <v>17</v>
      </c>
      <c r="I3297">
        <v>65586</v>
      </c>
      <c r="J3297" s="3">
        <v>26.13</v>
      </c>
      <c r="K3297" s="3">
        <v>1713762.18</v>
      </c>
    </row>
    <row r="3298" spans="1:11" x14ac:dyDescent="0.2">
      <c r="A3298" s="1" t="s">
        <v>4414</v>
      </c>
      <c r="B3298" s="2">
        <v>45394</v>
      </c>
      <c r="C3298" s="1" t="s">
        <v>734</v>
      </c>
      <c r="D3298" s="1" t="s">
        <v>735</v>
      </c>
      <c r="E3298" s="1" t="s">
        <v>28</v>
      </c>
      <c r="F3298" s="1" t="s">
        <v>237</v>
      </c>
      <c r="G3298" s="1" t="s">
        <v>238</v>
      </c>
      <c r="H3298" s="1" t="s">
        <v>17</v>
      </c>
      <c r="I3298">
        <v>1779</v>
      </c>
      <c r="J3298" s="3">
        <v>20.16</v>
      </c>
      <c r="K3298" s="3">
        <v>35864.639999999999</v>
      </c>
    </row>
    <row r="3299" spans="1:11" x14ac:dyDescent="0.2">
      <c r="A3299" s="1" t="s">
        <v>4415</v>
      </c>
      <c r="B3299" s="2">
        <v>45759</v>
      </c>
      <c r="C3299" s="1" t="s">
        <v>1793</v>
      </c>
      <c r="D3299" s="1" t="s">
        <v>1794</v>
      </c>
      <c r="E3299" s="1" t="s">
        <v>37</v>
      </c>
      <c r="F3299" s="1" t="s">
        <v>330</v>
      </c>
      <c r="G3299" s="1" t="s">
        <v>331</v>
      </c>
      <c r="H3299" s="1" t="s">
        <v>72</v>
      </c>
      <c r="I3299">
        <v>69741</v>
      </c>
      <c r="J3299" s="3">
        <v>42.83</v>
      </c>
      <c r="K3299" s="3">
        <v>2987007.03</v>
      </c>
    </row>
    <row r="3300" spans="1:11" x14ac:dyDescent="0.2">
      <c r="A3300" s="1" t="s">
        <v>4416</v>
      </c>
      <c r="B3300" s="2">
        <v>45963</v>
      </c>
      <c r="C3300" s="1" t="s">
        <v>96</v>
      </c>
      <c r="D3300" s="1" t="s">
        <v>97</v>
      </c>
      <c r="E3300" s="1" t="s">
        <v>21</v>
      </c>
      <c r="F3300" s="1" t="s">
        <v>228</v>
      </c>
      <c r="G3300" s="1" t="s">
        <v>229</v>
      </c>
      <c r="H3300" s="1" t="s">
        <v>48</v>
      </c>
      <c r="I3300">
        <v>52830</v>
      </c>
      <c r="J3300" s="3">
        <v>17.2</v>
      </c>
      <c r="K3300" s="3">
        <v>908676</v>
      </c>
    </row>
    <row r="3301" spans="1:11" x14ac:dyDescent="0.2">
      <c r="A3301" s="1" t="s">
        <v>4417</v>
      </c>
      <c r="B3301" s="2">
        <v>45758</v>
      </c>
      <c r="C3301" s="1" t="s">
        <v>1302</v>
      </c>
      <c r="D3301" s="1" t="s">
        <v>1303</v>
      </c>
      <c r="E3301" s="1" t="s">
        <v>37</v>
      </c>
      <c r="F3301" s="1" t="s">
        <v>237</v>
      </c>
      <c r="G3301" s="1" t="s">
        <v>238</v>
      </c>
      <c r="H3301" s="1" t="s">
        <v>17</v>
      </c>
      <c r="I3301">
        <v>14751</v>
      </c>
      <c r="J3301" s="3">
        <v>31.83</v>
      </c>
      <c r="K3301" s="3">
        <v>469524.33</v>
      </c>
    </row>
    <row r="3302" spans="1:11" x14ac:dyDescent="0.2">
      <c r="A3302" s="1" t="s">
        <v>4418</v>
      </c>
      <c r="B3302" s="2">
        <v>45933</v>
      </c>
      <c r="C3302" s="1" t="s">
        <v>1679</v>
      </c>
      <c r="D3302" s="1" t="s">
        <v>1680</v>
      </c>
      <c r="E3302" s="1" t="s">
        <v>37</v>
      </c>
      <c r="F3302" s="1" t="s">
        <v>15</v>
      </c>
      <c r="G3302" s="1" t="s">
        <v>16</v>
      </c>
      <c r="H3302" s="1" t="s">
        <v>17</v>
      </c>
      <c r="I3302">
        <v>11545</v>
      </c>
      <c r="J3302" s="3">
        <v>12.78</v>
      </c>
      <c r="K3302" s="3">
        <v>147545.1</v>
      </c>
    </row>
    <row r="3303" spans="1:11" x14ac:dyDescent="0.2">
      <c r="A3303" s="1" t="s">
        <v>4419</v>
      </c>
      <c r="B3303" s="2">
        <v>45415</v>
      </c>
      <c r="C3303" s="1" t="s">
        <v>266</v>
      </c>
      <c r="D3303" s="1" t="s">
        <v>267</v>
      </c>
      <c r="E3303" s="1" t="s">
        <v>14</v>
      </c>
      <c r="F3303" s="1" t="s">
        <v>41</v>
      </c>
      <c r="G3303" s="1" t="s">
        <v>42</v>
      </c>
      <c r="H3303" s="1" t="s">
        <v>24</v>
      </c>
      <c r="I3303">
        <v>49359</v>
      </c>
      <c r="J3303" s="3">
        <v>27.04</v>
      </c>
      <c r="K3303" s="3">
        <v>1334667.3600000001</v>
      </c>
    </row>
    <row r="3304" spans="1:11" x14ac:dyDescent="0.2">
      <c r="A3304" s="1" t="s">
        <v>4420</v>
      </c>
      <c r="B3304" s="2">
        <v>45830</v>
      </c>
      <c r="C3304" s="1" t="s">
        <v>1449</v>
      </c>
      <c r="D3304" s="1" t="s">
        <v>1450</v>
      </c>
      <c r="E3304" s="1" t="s">
        <v>28</v>
      </c>
      <c r="F3304" s="1" t="s">
        <v>237</v>
      </c>
      <c r="G3304" s="1" t="s">
        <v>238</v>
      </c>
      <c r="H3304" s="1" t="s">
        <v>17</v>
      </c>
      <c r="I3304">
        <v>27176</v>
      </c>
      <c r="J3304" s="3">
        <v>8.7799999999999994</v>
      </c>
      <c r="K3304" s="3">
        <v>238605.28</v>
      </c>
    </row>
    <row r="3305" spans="1:11" x14ac:dyDescent="0.2">
      <c r="A3305" s="1" t="s">
        <v>4421</v>
      </c>
      <c r="B3305" s="2">
        <v>45890</v>
      </c>
      <c r="C3305" s="1" t="s">
        <v>472</v>
      </c>
      <c r="D3305" s="1" t="s">
        <v>473</v>
      </c>
      <c r="E3305" s="1" t="s">
        <v>14</v>
      </c>
      <c r="F3305" s="1" t="s">
        <v>15</v>
      </c>
      <c r="G3305" s="1" t="s">
        <v>16</v>
      </c>
      <c r="H3305" s="1" t="s">
        <v>17</v>
      </c>
      <c r="I3305">
        <v>43722</v>
      </c>
      <c r="J3305" s="3">
        <v>41.23</v>
      </c>
      <c r="K3305" s="3">
        <v>1802658.06</v>
      </c>
    </row>
    <row r="3306" spans="1:11" x14ac:dyDescent="0.2">
      <c r="A3306" s="1" t="s">
        <v>4422</v>
      </c>
      <c r="B3306" s="2">
        <v>45341</v>
      </c>
      <c r="C3306" s="1" t="s">
        <v>713</v>
      </c>
      <c r="D3306" s="1" t="s">
        <v>714</v>
      </c>
      <c r="E3306" s="1" t="s">
        <v>34</v>
      </c>
      <c r="F3306" s="1" t="s">
        <v>81</v>
      </c>
      <c r="G3306" s="1" t="s">
        <v>82</v>
      </c>
      <c r="H3306" s="1" t="s">
        <v>72</v>
      </c>
      <c r="I3306">
        <v>91375</v>
      </c>
      <c r="J3306" s="3">
        <v>20.87</v>
      </c>
      <c r="K3306" s="3">
        <v>1906996.25</v>
      </c>
    </row>
    <row r="3307" spans="1:11" x14ac:dyDescent="0.2">
      <c r="A3307" s="1" t="s">
        <v>4423</v>
      </c>
      <c r="B3307" s="2">
        <v>45686</v>
      </c>
      <c r="C3307" s="1" t="s">
        <v>860</v>
      </c>
      <c r="D3307" s="1" t="s">
        <v>861</v>
      </c>
      <c r="E3307" s="1" t="s">
        <v>21</v>
      </c>
      <c r="F3307" s="1" t="s">
        <v>113</v>
      </c>
      <c r="G3307" s="1" t="s">
        <v>114</v>
      </c>
      <c r="H3307" s="1" t="s">
        <v>37</v>
      </c>
      <c r="I3307">
        <v>58611</v>
      </c>
      <c r="J3307" s="3">
        <v>27.61</v>
      </c>
      <c r="K3307" s="3">
        <v>1618249.71</v>
      </c>
    </row>
    <row r="3308" spans="1:11" x14ac:dyDescent="0.2">
      <c r="A3308" s="1" t="s">
        <v>4424</v>
      </c>
      <c r="B3308" s="2">
        <v>45574</v>
      </c>
      <c r="C3308" s="1" t="s">
        <v>583</v>
      </c>
      <c r="D3308" s="1" t="s">
        <v>584</v>
      </c>
      <c r="E3308" s="1" t="s">
        <v>37</v>
      </c>
      <c r="F3308" s="1" t="s">
        <v>98</v>
      </c>
      <c r="G3308" s="1" t="s">
        <v>99</v>
      </c>
      <c r="H3308" s="1" t="s">
        <v>72</v>
      </c>
      <c r="I3308">
        <v>44294</v>
      </c>
      <c r="J3308" s="3">
        <v>5.31</v>
      </c>
      <c r="K3308" s="3">
        <v>235201.14</v>
      </c>
    </row>
    <row r="3309" spans="1:11" x14ac:dyDescent="0.2">
      <c r="A3309" s="1" t="s">
        <v>4425</v>
      </c>
      <c r="B3309" s="2">
        <v>45929</v>
      </c>
      <c r="C3309" s="1" t="s">
        <v>576</v>
      </c>
      <c r="D3309" s="1" t="s">
        <v>577</v>
      </c>
      <c r="E3309" s="1" t="s">
        <v>14</v>
      </c>
      <c r="F3309" s="1" t="s">
        <v>350</v>
      </c>
      <c r="G3309" s="1" t="s">
        <v>351</v>
      </c>
      <c r="H3309" s="1" t="s">
        <v>37</v>
      </c>
      <c r="I3309">
        <v>49344</v>
      </c>
      <c r="J3309" s="3">
        <v>8.6</v>
      </c>
      <c r="K3309" s="3">
        <v>424358.40000000002</v>
      </c>
    </row>
    <row r="3310" spans="1:11" x14ac:dyDescent="0.2">
      <c r="A3310" s="1" t="s">
        <v>4426</v>
      </c>
      <c r="B3310" s="2">
        <v>45411</v>
      </c>
      <c r="C3310" s="1" t="s">
        <v>1903</v>
      </c>
      <c r="D3310" s="1" t="s">
        <v>1904</v>
      </c>
      <c r="E3310" s="1" t="s">
        <v>14</v>
      </c>
      <c r="F3310" s="1" t="s">
        <v>189</v>
      </c>
      <c r="G3310" s="1" t="s">
        <v>190</v>
      </c>
      <c r="H3310" s="1" t="s">
        <v>17</v>
      </c>
      <c r="I3310">
        <v>5840</v>
      </c>
      <c r="J3310" s="3">
        <v>36.479999999999997</v>
      </c>
      <c r="K3310" s="3">
        <v>213043.20000000001</v>
      </c>
    </row>
    <row r="3311" spans="1:11" x14ac:dyDescent="0.2">
      <c r="A3311" s="1" t="s">
        <v>4427</v>
      </c>
      <c r="B3311" s="2">
        <v>45881</v>
      </c>
      <c r="C3311" s="1" t="s">
        <v>984</v>
      </c>
      <c r="D3311" s="1" t="s">
        <v>985</v>
      </c>
      <c r="E3311" s="1" t="s">
        <v>14</v>
      </c>
      <c r="F3311" s="1" t="s">
        <v>228</v>
      </c>
      <c r="G3311" s="1" t="s">
        <v>229</v>
      </c>
      <c r="H3311" s="1" t="s">
        <v>48</v>
      </c>
      <c r="I3311">
        <v>14694</v>
      </c>
      <c r="J3311" s="3">
        <v>30.18</v>
      </c>
      <c r="K3311" s="3">
        <v>443464.92</v>
      </c>
    </row>
    <row r="3312" spans="1:11" x14ac:dyDescent="0.2">
      <c r="A3312" s="1" t="s">
        <v>4428</v>
      </c>
      <c r="B3312" s="2">
        <v>45467</v>
      </c>
      <c r="C3312" s="1" t="s">
        <v>801</v>
      </c>
      <c r="D3312" s="1" t="s">
        <v>802</v>
      </c>
      <c r="E3312" s="1" t="s">
        <v>14</v>
      </c>
      <c r="F3312" s="1" t="s">
        <v>268</v>
      </c>
      <c r="G3312" s="1" t="s">
        <v>269</v>
      </c>
      <c r="H3312" s="1" t="s">
        <v>72</v>
      </c>
      <c r="I3312">
        <v>61437</v>
      </c>
      <c r="J3312" s="3">
        <v>28.93</v>
      </c>
      <c r="K3312" s="3">
        <v>1777372.41</v>
      </c>
    </row>
    <row r="3313" spans="1:11" x14ac:dyDescent="0.2">
      <c r="A3313" s="1" t="s">
        <v>4429</v>
      </c>
      <c r="B3313" s="2">
        <v>45541</v>
      </c>
      <c r="C3313" s="1" t="s">
        <v>2766</v>
      </c>
      <c r="D3313" s="1" t="s">
        <v>2767</v>
      </c>
      <c r="E3313" s="1" t="s">
        <v>37</v>
      </c>
      <c r="F3313" s="1" t="s">
        <v>184</v>
      </c>
      <c r="G3313" s="1" t="s">
        <v>185</v>
      </c>
      <c r="H3313" s="1" t="s">
        <v>17</v>
      </c>
      <c r="I3313">
        <v>21867</v>
      </c>
      <c r="J3313" s="3">
        <v>22.31</v>
      </c>
      <c r="K3313" s="3">
        <v>487852.77</v>
      </c>
    </row>
    <row r="3314" spans="1:11" x14ac:dyDescent="0.2">
      <c r="A3314" s="1" t="s">
        <v>4430</v>
      </c>
      <c r="B3314" s="2">
        <v>45545</v>
      </c>
      <c r="C3314" s="1" t="s">
        <v>3221</v>
      </c>
      <c r="D3314" s="1" t="s">
        <v>3222</v>
      </c>
      <c r="E3314" s="1" t="s">
        <v>37</v>
      </c>
      <c r="F3314" s="1" t="s">
        <v>237</v>
      </c>
      <c r="G3314" s="1" t="s">
        <v>238</v>
      </c>
      <c r="H3314" s="1" t="s">
        <v>17</v>
      </c>
      <c r="I3314">
        <v>1761</v>
      </c>
      <c r="J3314" s="3">
        <v>43.27</v>
      </c>
      <c r="K3314" s="3">
        <v>76198.47</v>
      </c>
    </row>
    <row r="3315" spans="1:11" x14ac:dyDescent="0.2">
      <c r="A3315" s="1" t="s">
        <v>4431</v>
      </c>
      <c r="B3315" s="2">
        <v>45971</v>
      </c>
      <c r="C3315" s="1" t="s">
        <v>1164</v>
      </c>
      <c r="D3315" s="1" t="s">
        <v>1165</v>
      </c>
      <c r="E3315" s="1" t="s">
        <v>37</v>
      </c>
      <c r="F3315" s="1" t="s">
        <v>474</v>
      </c>
      <c r="G3315" s="1" t="s">
        <v>475</v>
      </c>
      <c r="H3315" s="1" t="s">
        <v>48</v>
      </c>
      <c r="I3315">
        <v>14316</v>
      </c>
      <c r="J3315" s="3">
        <v>34.46</v>
      </c>
      <c r="K3315" s="3">
        <v>493329.36</v>
      </c>
    </row>
    <row r="3316" spans="1:11" x14ac:dyDescent="0.2">
      <c r="A3316" s="1" t="s">
        <v>4432</v>
      </c>
      <c r="B3316" s="2">
        <v>45438</v>
      </c>
      <c r="C3316" s="1" t="s">
        <v>1157</v>
      </c>
      <c r="D3316" s="1" t="s">
        <v>1158</v>
      </c>
      <c r="E3316" s="1" t="s">
        <v>28</v>
      </c>
      <c r="F3316" s="1" t="s">
        <v>552</v>
      </c>
      <c r="G3316" s="1" t="s">
        <v>553</v>
      </c>
      <c r="H3316" s="1" t="s">
        <v>37</v>
      </c>
      <c r="I3316">
        <v>32795</v>
      </c>
      <c r="J3316" s="3">
        <v>30.81</v>
      </c>
      <c r="K3316" s="3">
        <v>1010413.95</v>
      </c>
    </row>
    <row r="3317" spans="1:11" x14ac:dyDescent="0.2">
      <c r="A3317" s="1" t="s">
        <v>4433</v>
      </c>
      <c r="B3317" s="2">
        <v>45984</v>
      </c>
      <c r="C3317" s="1" t="s">
        <v>916</v>
      </c>
      <c r="D3317" s="1" t="s">
        <v>917</v>
      </c>
      <c r="E3317" s="1" t="s">
        <v>28</v>
      </c>
      <c r="F3317" s="1" t="s">
        <v>184</v>
      </c>
      <c r="G3317" s="1" t="s">
        <v>185</v>
      </c>
      <c r="H3317" s="1" t="s">
        <v>17</v>
      </c>
      <c r="I3317">
        <v>1588</v>
      </c>
      <c r="J3317" s="3">
        <v>37.79</v>
      </c>
      <c r="K3317" s="3">
        <v>60010.52</v>
      </c>
    </row>
    <row r="3318" spans="1:11" x14ac:dyDescent="0.2">
      <c r="A3318" s="1" t="s">
        <v>4434</v>
      </c>
      <c r="B3318" s="2">
        <v>45716</v>
      </c>
      <c r="C3318" s="1" t="s">
        <v>2207</v>
      </c>
      <c r="D3318" s="1" t="s">
        <v>2208</v>
      </c>
      <c r="E3318" s="1" t="s">
        <v>37</v>
      </c>
      <c r="F3318" s="1" t="s">
        <v>76</v>
      </c>
      <c r="G3318" s="1" t="s">
        <v>77</v>
      </c>
      <c r="H3318" s="1" t="s">
        <v>48</v>
      </c>
      <c r="I3318">
        <v>40327</v>
      </c>
      <c r="J3318" s="3">
        <v>11.07</v>
      </c>
      <c r="K3318" s="3">
        <v>446419.89</v>
      </c>
    </row>
    <row r="3319" spans="1:11" x14ac:dyDescent="0.2">
      <c r="A3319" s="1" t="s">
        <v>4435</v>
      </c>
      <c r="B3319" s="2">
        <v>45845</v>
      </c>
      <c r="C3319" s="1" t="s">
        <v>520</v>
      </c>
      <c r="D3319" s="1" t="s">
        <v>521</v>
      </c>
      <c r="E3319" s="1" t="s">
        <v>37</v>
      </c>
      <c r="F3319" s="1" t="s">
        <v>339</v>
      </c>
      <c r="G3319" s="1" t="s">
        <v>340</v>
      </c>
      <c r="H3319" s="1" t="s">
        <v>24</v>
      </c>
      <c r="I3319">
        <v>56020</v>
      </c>
      <c r="J3319" s="3">
        <v>23.77</v>
      </c>
      <c r="K3319" s="3">
        <v>1331595.3999999999</v>
      </c>
    </row>
    <row r="3320" spans="1:11" x14ac:dyDescent="0.2">
      <c r="A3320" s="1" t="s">
        <v>4436</v>
      </c>
      <c r="B3320" s="2">
        <v>45848</v>
      </c>
      <c r="C3320" s="1" t="s">
        <v>287</v>
      </c>
      <c r="D3320" s="1" t="s">
        <v>288</v>
      </c>
      <c r="E3320" s="1" t="s">
        <v>21</v>
      </c>
      <c r="F3320" s="1" t="s">
        <v>144</v>
      </c>
      <c r="G3320" s="1" t="s">
        <v>145</v>
      </c>
      <c r="H3320" s="1" t="s">
        <v>24</v>
      </c>
      <c r="I3320">
        <v>8911</v>
      </c>
      <c r="J3320" s="3">
        <v>10.35</v>
      </c>
      <c r="K3320" s="3">
        <v>92228.85</v>
      </c>
    </row>
    <row r="3321" spans="1:11" x14ac:dyDescent="0.2">
      <c r="A3321" s="1" t="s">
        <v>4437</v>
      </c>
      <c r="B3321" s="2">
        <v>45831</v>
      </c>
      <c r="C3321" s="1" t="s">
        <v>643</v>
      </c>
      <c r="D3321" s="1" t="s">
        <v>644</v>
      </c>
      <c r="E3321" s="1" t="s">
        <v>37</v>
      </c>
      <c r="F3321" s="1" t="s">
        <v>41</v>
      </c>
      <c r="G3321" s="1" t="s">
        <v>42</v>
      </c>
      <c r="H3321" s="1" t="s">
        <v>24</v>
      </c>
      <c r="I3321">
        <v>80543</v>
      </c>
      <c r="J3321" s="3">
        <v>42.7</v>
      </c>
      <c r="K3321" s="3">
        <v>3439186.1</v>
      </c>
    </row>
    <row r="3322" spans="1:11" x14ac:dyDescent="0.2">
      <c r="A3322" s="1" t="s">
        <v>4438</v>
      </c>
      <c r="B3322" s="2">
        <v>45903</v>
      </c>
      <c r="C3322" s="1" t="s">
        <v>2319</v>
      </c>
      <c r="D3322" s="1" t="s">
        <v>2320</v>
      </c>
      <c r="E3322" s="1" t="s">
        <v>21</v>
      </c>
      <c r="F3322" s="1" t="s">
        <v>189</v>
      </c>
      <c r="G3322" s="1" t="s">
        <v>190</v>
      </c>
      <c r="H3322" s="1" t="s">
        <v>17</v>
      </c>
      <c r="I3322">
        <v>67299</v>
      </c>
      <c r="J3322" s="3">
        <v>7.28</v>
      </c>
      <c r="K3322" s="3">
        <v>489936.72</v>
      </c>
    </row>
    <row r="3323" spans="1:11" x14ac:dyDescent="0.2">
      <c r="A3323" s="1" t="s">
        <v>4439</v>
      </c>
      <c r="B3323" s="2">
        <v>45338</v>
      </c>
      <c r="C3323" s="1" t="s">
        <v>1881</v>
      </c>
      <c r="D3323" s="1" t="s">
        <v>1882</v>
      </c>
      <c r="E3323" s="1" t="s">
        <v>34</v>
      </c>
      <c r="F3323" s="1" t="s">
        <v>203</v>
      </c>
      <c r="G3323" s="1" t="s">
        <v>204</v>
      </c>
      <c r="H3323" s="1" t="s">
        <v>72</v>
      </c>
      <c r="I3323">
        <v>17257</v>
      </c>
      <c r="J3323" s="3">
        <v>11.47</v>
      </c>
      <c r="K3323" s="3">
        <v>197937.79</v>
      </c>
    </row>
    <row r="3324" spans="1:11" x14ac:dyDescent="0.2">
      <c r="A3324" s="1" t="s">
        <v>4440</v>
      </c>
      <c r="B3324" s="2">
        <v>45415</v>
      </c>
      <c r="C3324" s="1" t="s">
        <v>1972</v>
      </c>
      <c r="D3324" s="1" t="s">
        <v>1973</v>
      </c>
      <c r="E3324" s="1" t="s">
        <v>28</v>
      </c>
      <c r="F3324" s="1" t="s">
        <v>113</v>
      </c>
      <c r="G3324" s="1" t="s">
        <v>114</v>
      </c>
      <c r="H3324" s="1" t="s">
        <v>37</v>
      </c>
      <c r="I3324">
        <v>74454</v>
      </c>
      <c r="J3324" s="3">
        <v>10.06</v>
      </c>
      <c r="K3324" s="3">
        <v>749007.24</v>
      </c>
    </row>
    <row r="3325" spans="1:11" x14ac:dyDescent="0.2">
      <c r="A3325" s="1" t="s">
        <v>4441</v>
      </c>
      <c r="B3325" s="2">
        <v>45944</v>
      </c>
      <c r="C3325" s="1" t="s">
        <v>994</v>
      </c>
      <c r="D3325" s="1" t="s">
        <v>995</v>
      </c>
      <c r="E3325" s="1" t="s">
        <v>21</v>
      </c>
      <c r="F3325" s="1" t="s">
        <v>22</v>
      </c>
      <c r="G3325" s="1" t="s">
        <v>23</v>
      </c>
      <c r="H3325" s="1" t="s">
        <v>24</v>
      </c>
      <c r="I3325">
        <v>10858</v>
      </c>
      <c r="J3325" s="3">
        <v>20.8</v>
      </c>
      <c r="K3325" s="3">
        <v>225846.39999999999</v>
      </c>
    </row>
    <row r="3326" spans="1:11" x14ac:dyDescent="0.2">
      <c r="A3326" s="1" t="s">
        <v>4442</v>
      </c>
      <c r="B3326" s="2">
        <v>45562</v>
      </c>
      <c r="C3326" s="1" t="s">
        <v>2534</v>
      </c>
      <c r="D3326" s="1" t="s">
        <v>2535</v>
      </c>
      <c r="E3326" s="1" t="s">
        <v>14</v>
      </c>
      <c r="F3326" s="1" t="s">
        <v>189</v>
      </c>
      <c r="G3326" s="1" t="s">
        <v>190</v>
      </c>
      <c r="H3326" s="1" t="s">
        <v>17</v>
      </c>
      <c r="I3326">
        <v>60273</v>
      </c>
      <c r="J3326" s="3">
        <v>42.82</v>
      </c>
      <c r="K3326" s="3">
        <v>2580889.86</v>
      </c>
    </row>
    <row r="3327" spans="1:11" x14ac:dyDescent="0.2">
      <c r="A3327" s="1" t="s">
        <v>4443</v>
      </c>
      <c r="B3327" s="2">
        <v>45777</v>
      </c>
      <c r="C3327" s="1" t="s">
        <v>576</v>
      </c>
      <c r="D3327" s="1" t="s">
        <v>577</v>
      </c>
      <c r="E3327" s="1" t="s">
        <v>14</v>
      </c>
      <c r="F3327" s="1" t="s">
        <v>165</v>
      </c>
      <c r="G3327" s="1" t="s">
        <v>166</v>
      </c>
      <c r="H3327" s="1" t="s">
        <v>24</v>
      </c>
      <c r="I3327">
        <v>10851</v>
      </c>
      <c r="J3327" s="3">
        <v>19.25</v>
      </c>
      <c r="K3327" s="3">
        <v>208881.75</v>
      </c>
    </row>
    <row r="3328" spans="1:11" x14ac:dyDescent="0.2">
      <c r="A3328" s="1" t="s">
        <v>4444</v>
      </c>
      <c r="B3328" s="2">
        <v>45501</v>
      </c>
      <c r="C3328" s="1" t="s">
        <v>282</v>
      </c>
      <c r="D3328" s="1" t="s">
        <v>283</v>
      </c>
      <c r="E3328" s="1" t="s">
        <v>21</v>
      </c>
      <c r="F3328" s="1" t="s">
        <v>165</v>
      </c>
      <c r="G3328" s="1" t="s">
        <v>166</v>
      </c>
      <c r="H3328" s="1" t="s">
        <v>24</v>
      </c>
      <c r="I3328">
        <v>84561</v>
      </c>
      <c r="J3328" s="3">
        <v>45.94</v>
      </c>
      <c r="K3328" s="3">
        <v>3884732.34</v>
      </c>
    </row>
    <row r="3329" spans="1:11" x14ac:dyDescent="0.2">
      <c r="A3329" s="1" t="s">
        <v>4445</v>
      </c>
      <c r="B3329" s="2">
        <v>45872</v>
      </c>
      <c r="C3329" s="1" t="s">
        <v>1438</v>
      </c>
      <c r="D3329" s="1" t="s">
        <v>1439</v>
      </c>
      <c r="E3329" s="1" t="s">
        <v>34</v>
      </c>
      <c r="F3329" s="1" t="s">
        <v>184</v>
      </c>
      <c r="G3329" s="1" t="s">
        <v>185</v>
      </c>
      <c r="H3329" s="1" t="s">
        <v>17</v>
      </c>
      <c r="I3329">
        <v>85513</v>
      </c>
      <c r="J3329" s="3">
        <v>17.66</v>
      </c>
      <c r="K3329" s="3">
        <v>1510159.58</v>
      </c>
    </row>
    <row r="3330" spans="1:11" x14ac:dyDescent="0.2">
      <c r="A3330" s="1" t="s">
        <v>4446</v>
      </c>
      <c r="B3330" s="2">
        <v>45594</v>
      </c>
      <c r="C3330" s="1" t="s">
        <v>1498</v>
      </c>
      <c r="D3330" s="1" t="s">
        <v>1499</v>
      </c>
      <c r="E3330" s="1" t="s">
        <v>14</v>
      </c>
      <c r="F3330" s="1" t="s">
        <v>540</v>
      </c>
      <c r="G3330" s="1" t="s">
        <v>541</v>
      </c>
      <c r="H3330" s="1" t="s">
        <v>37</v>
      </c>
      <c r="I3330">
        <v>80554</v>
      </c>
      <c r="J3330" s="3">
        <v>29.26</v>
      </c>
      <c r="K3330" s="3">
        <v>2357010.04</v>
      </c>
    </row>
    <row r="3331" spans="1:11" x14ac:dyDescent="0.2">
      <c r="A3331" s="1" t="s">
        <v>4447</v>
      </c>
      <c r="B3331" s="2">
        <v>45927</v>
      </c>
      <c r="C3331" s="1" t="s">
        <v>2242</v>
      </c>
      <c r="D3331" s="1" t="s">
        <v>2243</v>
      </c>
      <c r="E3331" s="1" t="s">
        <v>34</v>
      </c>
      <c r="F3331" s="1" t="s">
        <v>474</v>
      </c>
      <c r="G3331" s="1" t="s">
        <v>475</v>
      </c>
      <c r="H3331" s="1" t="s">
        <v>48</v>
      </c>
      <c r="I3331">
        <v>83923</v>
      </c>
      <c r="J3331" s="3">
        <v>48.11</v>
      </c>
      <c r="K3331" s="3">
        <v>4037535.53</v>
      </c>
    </row>
    <row r="3332" spans="1:11" x14ac:dyDescent="0.2">
      <c r="A3332" s="1" t="s">
        <v>4448</v>
      </c>
      <c r="B3332" s="2">
        <v>45388</v>
      </c>
      <c r="C3332" s="1" t="s">
        <v>942</v>
      </c>
      <c r="D3332" s="1" t="s">
        <v>943</v>
      </c>
      <c r="E3332" s="1" t="s">
        <v>28</v>
      </c>
      <c r="F3332" s="1" t="s">
        <v>139</v>
      </c>
      <c r="G3332" s="1" t="s">
        <v>140</v>
      </c>
      <c r="H3332" s="1" t="s">
        <v>24</v>
      </c>
      <c r="I3332">
        <v>6351</v>
      </c>
      <c r="J3332" s="3">
        <v>47.41</v>
      </c>
      <c r="K3332" s="3">
        <v>301100.90999999997</v>
      </c>
    </row>
    <row r="3333" spans="1:11" x14ac:dyDescent="0.2">
      <c r="A3333" s="1" t="s">
        <v>4449</v>
      </c>
      <c r="B3333" s="2">
        <v>45392</v>
      </c>
      <c r="C3333" s="1" t="s">
        <v>811</v>
      </c>
      <c r="D3333" s="1" t="s">
        <v>812</v>
      </c>
      <c r="E3333" s="1" t="s">
        <v>14</v>
      </c>
      <c r="F3333" s="1" t="s">
        <v>474</v>
      </c>
      <c r="G3333" s="1" t="s">
        <v>475</v>
      </c>
      <c r="H3333" s="1" t="s">
        <v>48</v>
      </c>
      <c r="I3333">
        <v>76253</v>
      </c>
      <c r="J3333" s="3">
        <v>47.28</v>
      </c>
      <c r="K3333" s="3">
        <v>3605241.84</v>
      </c>
    </row>
    <row r="3334" spans="1:11" x14ac:dyDescent="0.2">
      <c r="A3334" s="1" t="s">
        <v>4450</v>
      </c>
      <c r="B3334" s="2">
        <v>45323</v>
      </c>
      <c r="C3334" s="1" t="s">
        <v>1201</v>
      </c>
      <c r="D3334" s="1" t="s">
        <v>1202</v>
      </c>
      <c r="E3334" s="1" t="s">
        <v>37</v>
      </c>
      <c r="F3334" s="1" t="s">
        <v>113</v>
      </c>
      <c r="G3334" s="1" t="s">
        <v>114</v>
      </c>
      <c r="H3334" s="1" t="s">
        <v>37</v>
      </c>
      <c r="I3334">
        <v>43636</v>
      </c>
      <c r="J3334" s="3">
        <v>48.87</v>
      </c>
      <c r="K3334" s="3">
        <v>2132491.3199999998</v>
      </c>
    </row>
    <row r="3335" spans="1:11" x14ac:dyDescent="0.2">
      <c r="A3335" s="1" t="s">
        <v>4451</v>
      </c>
      <c r="B3335" s="2">
        <v>45737</v>
      </c>
      <c r="C3335" s="1" t="s">
        <v>1800</v>
      </c>
      <c r="D3335" s="1" t="s">
        <v>1801</v>
      </c>
      <c r="E3335" s="1" t="s">
        <v>34</v>
      </c>
      <c r="F3335" s="1" t="s">
        <v>552</v>
      </c>
      <c r="G3335" s="1" t="s">
        <v>553</v>
      </c>
      <c r="H3335" s="1" t="s">
        <v>37</v>
      </c>
      <c r="I3335">
        <v>84356</v>
      </c>
      <c r="J3335" s="3">
        <v>33.03</v>
      </c>
      <c r="K3335" s="3">
        <v>2786278.68</v>
      </c>
    </row>
    <row r="3336" spans="1:11" x14ac:dyDescent="0.2">
      <c r="A3336" s="1" t="s">
        <v>4452</v>
      </c>
      <c r="B3336" s="2">
        <v>45307</v>
      </c>
      <c r="C3336" s="1" t="s">
        <v>1814</v>
      </c>
      <c r="D3336" s="1" t="s">
        <v>1815</v>
      </c>
      <c r="E3336" s="1" t="s">
        <v>14</v>
      </c>
      <c r="F3336" s="1" t="s">
        <v>41</v>
      </c>
      <c r="G3336" s="1" t="s">
        <v>42</v>
      </c>
      <c r="H3336" s="1" t="s">
        <v>24</v>
      </c>
      <c r="I3336">
        <v>87736</v>
      </c>
      <c r="J3336" s="3">
        <v>4.2</v>
      </c>
      <c r="K3336" s="3">
        <v>368491.2</v>
      </c>
    </row>
    <row r="3337" spans="1:11" x14ac:dyDescent="0.2">
      <c r="A3337" s="1" t="s">
        <v>4453</v>
      </c>
      <c r="B3337" s="2">
        <v>45538</v>
      </c>
      <c r="C3337" s="1" t="s">
        <v>716</v>
      </c>
      <c r="D3337" s="1" t="s">
        <v>717</v>
      </c>
      <c r="E3337" s="1" t="s">
        <v>34</v>
      </c>
      <c r="F3337" s="1" t="s">
        <v>29</v>
      </c>
      <c r="G3337" s="1" t="s">
        <v>30</v>
      </c>
      <c r="H3337" s="1" t="s">
        <v>24</v>
      </c>
      <c r="I3337">
        <v>81685</v>
      </c>
      <c r="J3337" s="3">
        <v>20</v>
      </c>
      <c r="K3337" s="3">
        <v>1633700</v>
      </c>
    </row>
    <row r="3338" spans="1:11" x14ac:dyDescent="0.2">
      <c r="A3338" s="1" t="s">
        <v>4454</v>
      </c>
      <c r="B3338" s="2">
        <v>45430</v>
      </c>
      <c r="C3338" s="1" t="s">
        <v>206</v>
      </c>
      <c r="D3338" s="1" t="s">
        <v>207</v>
      </c>
      <c r="E3338" s="1" t="s">
        <v>14</v>
      </c>
      <c r="F3338" s="1" t="s">
        <v>29</v>
      </c>
      <c r="G3338" s="1" t="s">
        <v>30</v>
      </c>
      <c r="H3338" s="1" t="s">
        <v>24</v>
      </c>
      <c r="I3338">
        <v>98888</v>
      </c>
      <c r="J3338" s="3">
        <v>7.21</v>
      </c>
      <c r="K3338" s="3">
        <v>712982.48</v>
      </c>
    </row>
    <row r="3339" spans="1:11" x14ac:dyDescent="0.2">
      <c r="A3339" s="1" t="s">
        <v>4455</v>
      </c>
      <c r="B3339" s="2">
        <v>45442</v>
      </c>
      <c r="C3339" s="1" t="s">
        <v>555</v>
      </c>
      <c r="D3339" s="1" t="s">
        <v>556</v>
      </c>
      <c r="E3339" s="1" t="s">
        <v>21</v>
      </c>
      <c r="F3339" s="1" t="s">
        <v>350</v>
      </c>
      <c r="G3339" s="1" t="s">
        <v>351</v>
      </c>
      <c r="H3339" s="1" t="s">
        <v>37</v>
      </c>
      <c r="I3339">
        <v>59415</v>
      </c>
      <c r="J3339" s="3">
        <v>14.31</v>
      </c>
      <c r="K3339" s="3">
        <v>850228.65</v>
      </c>
    </row>
    <row r="3340" spans="1:11" x14ac:dyDescent="0.2">
      <c r="A3340" s="1" t="s">
        <v>4456</v>
      </c>
      <c r="B3340" s="2">
        <v>45826</v>
      </c>
      <c r="C3340" s="1" t="s">
        <v>68</v>
      </c>
      <c r="D3340" s="1" t="s">
        <v>69</v>
      </c>
      <c r="E3340" s="1" t="s">
        <v>14</v>
      </c>
      <c r="F3340" s="1" t="s">
        <v>29</v>
      </c>
      <c r="G3340" s="1" t="s">
        <v>30</v>
      </c>
      <c r="H3340" s="1" t="s">
        <v>24</v>
      </c>
      <c r="I3340">
        <v>9147</v>
      </c>
      <c r="J3340" s="3">
        <v>37.08</v>
      </c>
      <c r="K3340" s="3">
        <v>339170.76</v>
      </c>
    </row>
    <row r="3341" spans="1:11" x14ac:dyDescent="0.2">
      <c r="A3341" s="1" t="s">
        <v>4457</v>
      </c>
      <c r="B3341" s="2">
        <v>45963</v>
      </c>
      <c r="C3341" s="1" t="s">
        <v>1442</v>
      </c>
      <c r="D3341" s="1" t="s">
        <v>1443</v>
      </c>
      <c r="E3341" s="1" t="s">
        <v>14</v>
      </c>
      <c r="F3341" s="1" t="s">
        <v>189</v>
      </c>
      <c r="G3341" s="1" t="s">
        <v>190</v>
      </c>
      <c r="H3341" s="1" t="s">
        <v>17</v>
      </c>
      <c r="I3341">
        <v>52905</v>
      </c>
      <c r="J3341" s="3">
        <v>13.4</v>
      </c>
      <c r="K3341" s="3">
        <v>708927</v>
      </c>
    </row>
    <row r="3342" spans="1:11" x14ac:dyDescent="0.2">
      <c r="A3342" s="1" t="s">
        <v>4458</v>
      </c>
      <c r="B3342" s="2">
        <v>45826</v>
      </c>
      <c r="C3342" s="1" t="s">
        <v>526</v>
      </c>
      <c r="D3342" s="1" t="s">
        <v>527</v>
      </c>
      <c r="E3342" s="1" t="s">
        <v>34</v>
      </c>
      <c r="F3342" s="1" t="s">
        <v>458</v>
      </c>
      <c r="G3342" s="1" t="s">
        <v>459</v>
      </c>
      <c r="H3342" s="1" t="s">
        <v>72</v>
      </c>
      <c r="I3342">
        <v>95971</v>
      </c>
      <c r="J3342" s="3">
        <v>9.82</v>
      </c>
      <c r="K3342" s="3">
        <v>942435.22</v>
      </c>
    </row>
    <row r="3343" spans="1:11" x14ac:dyDescent="0.2">
      <c r="A3343" s="1" t="s">
        <v>4459</v>
      </c>
      <c r="B3343" s="2">
        <v>45696</v>
      </c>
      <c r="C3343" s="1" t="s">
        <v>1085</v>
      </c>
      <c r="D3343" s="1" t="s">
        <v>1086</v>
      </c>
      <c r="E3343" s="1" t="s">
        <v>14</v>
      </c>
      <c r="F3343" s="1" t="s">
        <v>70</v>
      </c>
      <c r="G3343" s="1" t="s">
        <v>71</v>
      </c>
      <c r="H3343" s="1" t="s">
        <v>72</v>
      </c>
      <c r="I3343">
        <v>45682</v>
      </c>
      <c r="J3343" s="3">
        <v>25.77</v>
      </c>
      <c r="K3343" s="3">
        <v>1177225.1399999999</v>
      </c>
    </row>
    <row r="3344" spans="1:11" x14ac:dyDescent="0.2">
      <c r="A3344" s="1" t="s">
        <v>4460</v>
      </c>
      <c r="B3344" s="2">
        <v>45442</v>
      </c>
      <c r="C3344" s="1" t="s">
        <v>2314</v>
      </c>
      <c r="D3344" s="1" t="s">
        <v>2315</v>
      </c>
      <c r="E3344" s="1" t="s">
        <v>21</v>
      </c>
      <c r="F3344" s="1" t="s">
        <v>330</v>
      </c>
      <c r="G3344" s="1" t="s">
        <v>331</v>
      </c>
      <c r="H3344" s="1" t="s">
        <v>72</v>
      </c>
      <c r="I3344">
        <v>91907</v>
      </c>
      <c r="J3344" s="3">
        <v>17.64</v>
      </c>
      <c r="K3344" s="3">
        <v>1621239.48</v>
      </c>
    </row>
    <row r="3345" spans="1:11" x14ac:dyDescent="0.2">
      <c r="A3345" s="1" t="s">
        <v>4461</v>
      </c>
      <c r="B3345" s="2">
        <v>45750</v>
      </c>
      <c r="C3345" s="1" t="s">
        <v>722</v>
      </c>
      <c r="D3345" s="1" t="s">
        <v>723</v>
      </c>
      <c r="E3345" s="1" t="s">
        <v>21</v>
      </c>
      <c r="F3345" s="1" t="s">
        <v>406</v>
      </c>
      <c r="G3345" s="1" t="s">
        <v>407</v>
      </c>
      <c r="H3345" s="1" t="s">
        <v>17</v>
      </c>
      <c r="I3345">
        <v>55679</v>
      </c>
      <c r="J3345" s="3">
        <v>13.14</v>
      </c>
      <c r="K3345" s="3">
        <v>731622.06</v>
      </c>
    </row>
    <row r="3346" spans="1:11" x14ac:dyDescent="0.2">
      <c r="A3346" s="1" t="s">
        <v>4462</v>
      </c>
      <c r="B3346" s="2">
        <v>46009</v>
      </c>
      <c r="C3346" s="1" t="s">
        <v>2781</v>
      </c>
      <c r="D3346" s="1" t="s">
        <v>2782</v>
      </c>
      <c r="E3346" s="1" t="s">
        <v>34</v>
      </c>
      <c r="F3346" s="1" t="s">
        <v>52</v>
      </c>
      <c r="G3346" s="1" t="s">
        <v>53</v>
      </c>
      <c r="H3346" s="1" t="s">
        <v>17</v>
      </c>
      <c r="I3346">
        <v>19768</v>
      </c>
      <c r="J3346" s="3">
        <v>17.45</v>
      </c>
      <c r="K3346" s="3">
        <v>344951.6</v>
      </c>
    </row>
    <row r="3347" spans="1:11" x14ac:dyDescent="0.2">
      <c r="A3347" s="1" t="s">
        <v>4463</v>
      </c>
      <c r="B3347" s="2">
        <v>45912</v>
      </c>
      <c r="C3347" s="1" t="s">
        <v>1050</v>
      </c>
      <c r="D3347" s="1" t="s">
        <v>1051</v>
      </c>
      <c r="E3347" s="1" t="s">
        <v>14</v>
      </c>
      <c r="F3347" s="1" t="s">
        <v>76</v>
      </c>
      <c r="G3347" s="1" t="s">
        <v>77</v>
      </c>
      <c r="H3347" s="1" t="s">
        <v>48</v>
      </c>
      <c r="I3347">
        <v>36298</v>
      </c>
      <c r="J3347" s="3">
        <v>45.82</v>
      </c>
      <c r="K3347" s="3">
        <v>1663174.36</v>
      </c>
    </row>
    <row r="3348" spans="1:11" x14ac:dyDescent="0.2">
      <c r="A3348" s="1" t="s">
        <v>4464</v>
      </c>
      <c r="B3348" s="2">
        <v>45368</v>
      </c>
      <c r="C3348" s="1" t="s">
        <v>74</v>
      </c>
      <c r="D3348" s="1" t="s">
        <v>75</v>
      </c>
      <c r="E3348" s="1" t="s">
        <v>37</v>
      </c>
      <c r="F3348" s="1" t="s">
        <v>113</v>
      </c>
      <c r="G3348" s="1" t="s">
        <v>114</v>
      </c>
      <c r="H3348" s="1" t="s">
        <v>37</v>
      </c>
      <c r="I3348">
        <v>23634</v>
      </c>
      <c r="J3348" s="3">
        <v>15.35</v>
      </c>
      <c r="K3348" s="3">
        <v>362781.9</v>
      </c>
    </row>
    <row r="3349" spans="1:11" x14ac:dyDescent="0.2">
      <c r="A3349" s="1" t="s">
        <v>4465</v>
      </c>
      <c r="B3349" s="2">
        <v>45448</v>
      </c>
      <c r="C3349" s="1" t="s">
        <v>1154</v>
      </c>
      <c r="D3349" s="1" t="s">
        <v>1155</v>
      </c>
      <c r="E3349" s="1" t="s">
        <v>37</v>
      </c>
      <c r="F3349" s="1" t="s">
        <v>284</v>
      </c>
      <c r="G3349" s="1" t="s">
        <v>285</v>
      </c>
      <c r="H3349" s="1" t="s">
        <v>37</v>
      </c>
      <c r="I3349">
        <v>95478</v>
      </c>
      <c r="J3349" s="3">
        <v>5.64</v>
      </c>
      <c r="K3349" s="3">
        <v>538495.92000000004</v>
      </c>
    </row>
    <row r="3350" spans="1:11" x14ac:dyDescent="0.2">
      <c r="A3350" s="1" t="s">
        <v>4466</v>
      </c>
      <c r="B3350" s="2">
        <v>45891</v>
      </c>
      <c r="C3350" s="1" t="s">
        <v>1643</v>
      </c>
      <c r="D3350" s="1" t="s">
        <v>1644</v>
      </c>
      <c r="E3350" s="1" t="s">
        <v>28</v>
      </c>
      <c r="F3350" s="1" t="s">
        <v>139</v>
      </c>
      <c r="G3350" s="1" t="s">
        <v>140</v>
      </c>
      <c r="H3350" s="1" t="s">
        <v>24</v>
      </c>
      <c r="I3350">
        <v>38893</v>
      </c>
      <c r="J3350" s="3">
        <v>23.95</v>
      </c>
      <c r="K3350" s="3">
        <v>931487.35</v>
      </c>
    </row>
    <row r="3351" spans="1:11" x14ac:dyDescent="0.2">
      <c r="A3351" s="1" t="s">
        <v>4467</v>
      </c>
      <c r="B3351" s="2">
        <v>45937</v>
      </c>
      <c r="C3351" s="1" t="s">
        <v>1718</v>
      </c>
      <c r="D3351" s="1" t="s">
        <v>1719</v>
      </c>
      <c r="E3351" s="1" t="s">
        <v>21</v>
      </c>
      <c r="F3351" s="1" t="s">
        <v>474</v>
      </c>
      <c r="G3351" s="1" t="s">
        <v>475</v>
      </c>
      <c r="H3351" s="1" t="s">
        <v>48</v>
      </c>
      <c r="I3351">
        <v>14343</v>
      </c>
      <c r="J3351" s="3">
        <v>41.98</v>
      </c>
      <c r="K3351" s="3">
        <v>602119.14</v>
      </c>
    </row>
    <row r="3352" spans="1:11" x14ac:dyDescent="0.2">
      <c r="A3352" s="1" t="s">
        <v>4468</v>
      </c>
      <c r="B3352" s="2">
        <v>45394</v>
      </c>
      <c r="C3352" s="1" t="s">
        <v>1578</v>
      </c>
      <c r="D3352" s="1" t="s">
        <v>1579</v>
      </c>
      <c r="E3352" s="1" t="s">
        <v>28</v>
      </c>
      <c r="F3352" s="1" t="s">
        <v>41</v>
      </c>
      <c r="G3352" s="1" t="s">
        <v>42</v>
      </c>
      <c r="H3352" s="1" t="s">
        <v>24</v>
      </c>
      <c r="I3352">
        <v>33268</v>
      </c>
      <c r="J3352" s="3">
        <v>46.22</v>
      </c>
      <c r="K3352" s="3">
        <v>1537646.96</v>
      </c>
    </row>
    <row r="3353" spans="1:11" x14ac:dyDescent="0.2">
      <c r="A3353" s="1" t="s">
        <v>4469</v>
      </c>
      <c r="B3353" s="2">
        <v>45356</v>
      </c>
      <c r="C3353" s="1" t="s">
        <v>984</v>
      </c>
      <c r="D3353" s="1" t="s">
        <v>985</v>
      </c>
      <c r="E3353" s="1" t="s">
        <v>14</v>
      </c>
      <c r="F3353" s="1" t="s">
        <v>152</v>
      </c>
      <c r="G3353" s="1" t="s">
        <v>153</v>
      </c>
      <c r="H3353" s="1" t="s">
        <v>17</v>
      </c>
      <c r="I3353">
        <v>76493</v>
      </c>
      <c r="J3353" s="3">
        <v>46.1</v>
      </c>
      <c r="K3353" s="3">
        <v>3526327.3</v>
      </c>
    </row>
    <row r="3354" spans="1:11" x14ac:dyDescent="0.2">
      <c r="A3354" s="1" t="s">
        <v>4470</v>
      </c>
      <c r="B3354" s="2">
        <v>45750</v>
      </c>
      <c r="C3354" s="1" t="s">
        <v>368</v>
      </c>
      <c r="D3354" s="1" t="s">
        <v>369</v>
      </c>
      <c r="E3354" s="1" t="s">
        <v>37</v>
      </c>
      <c r="F3354" s="1" t="s">
        <v>184</v>
      </c>
      <c r="G3354" s="1" t="s">
        <v>185</v>
      </c>
      <c r="H3354" s="1" t="s">
        <v>17</v>
      </c>
      <c r="I3354">
        <v>7668</v>
      </c>
      <c r="J3354" s="3">
        <v>34.69</v>
      </c>
      <c r="K3354" s="3">
        <v>266002.92</v>
      </c>
    </row>
    <row r="3355" spans="1:11" x14ac:dyDescent="0.2">
      <c r="A3355" s="1" t="s">
        <v>4471</v>
      </c>
      <c r="B3355" s="2">
        <v>45549</v>
      </c>
      <c r="C3355" s="1" t="s">
        <v>1854</v>
      </c>
      <c r="D3355" s="1" t="s">
        <v>1855</v>
      </c>
      <c r="E3355" s="1" t="s">
        <v>37</v>
      </c>
      <c r="F3355" s="1" t="s">
        <v>228</v>
      </c>
      <c r="G3355" s="1" t="s">
        <v>229</v>
      </c>
      <c r="H3355" s="1" t="s">
        <v>48</v>
      </c>
      <c r="I3355">
        <v>66831</v>
      </c>
      <c r="J3355" s="3">
        <v>37.14</v>
      </c>
      <c r="K3355" s="3">
        <v>2482103.34</v>
      </c>
    </row>
    <row r="3356" spans="1:11" x14ac:dyDescent="0.2">
      <c r="A3356" s="1" t="s">
        <v>4472</v>
      </c>
      <c r="B3356" s="2">
        <v>45333</v>
      </c>
      <c r="C3356" s="1" t="s">
        <v>722</v>
      </c>
      <c r="D3356" s="1" t="s">
        <v>723</v>
      </c>
      <c r="E3356" s="1" t="s">
        <v>21</v>
      </c>
      <c r="F3356" s="1" t="s">
        <v>113</v>
      </c>
      <c r="G3356" s="1" t="s">
        <v>114</v>
      </c>
      <c r="H3356" s="1" t="s">
        <v>37</v>
      </c>
      <c r="I3356">
        <v>87014</v>
      </c>
      <c r="J3356" s="3">
        <v>47.11</v>
      </c>
      <c r="K3356" s="3">
        <v>4099229.54</v>
      </c>
    </row>
    <row r="3357" spans="1:11" x14ac:dyDescent="0.2">
      <c r="A3357" s="1" t="s">
        <v>4473</v>
      </c>
      <c r="B3357" s="2">
        <v>45529</v>
      </c>
      <c r="C3357" s="1" t="s">
        <v>397</v>
      </c>
      <c r="D3357" s="1" t="s">
        <v>398</v>
      </c>
      <c r="E3357" s="1" t="s">
        <v>34</v>
      </c>
      <c r="F3357" s="1" t="s">
        <v>29</v>
      </c>
      <c r="G3357" s="1" t="s">
        <v>30</v>
      </c>
      <c r="H3357" s="1" t="s">
        <v>24</v>
      </c>
      <c r="I3357">
        <v>68848</v>
      </c>
      <c r="J3357" s="3">
        <v>25.44</v>
      </c>
      <c r="K3357" s="3">
        <v>1751493.12</v>
      </c>
    </row>
    <row r="3358" spans="1:11" x14ac:dyDescent="0.2">
      <c r="A3358" s="1" t="s">
        <v>4474</v>
      </c>
      <c r="B3358" s="2">
        <v>45382</v>
      </c>
      <c r="C3358" s="1" t="s">
        <v>3064</v>
      </c>
      <c r="D3358" s="1" t="s">
        <v>3065</v>
      </c>
      <c r="E3358" s="1" t="s">
        <v>37</v>
      </c>
      <c r="F3358" s="1" t="s">
        <v>474</v>
      </c>
      <c r="G3358" s="1" t="s">
        <v>475</v>
      </c>
      <c r="H3358" s="1" t="s">
        <v>48</v>
      </c>
      <c r="I3358">
        <v>45970</v>
      </c>
      <c r="J3358" s="3">
        <v>36.590000000000003</v>
      </c>
      <c r="K3358" s="3">
        <v>1682042.3</v>
      </c>
    </row>
    <row r="3359" spans="1:11" x14ac:dyDescent="0.2">
      <c r="A3359" s="1" t="s">
        <v>4475</v>
      </c>
      <c r="B3359" s="2">
        <v>45873</v>
      </c>
      <c r="C3359" s="1" t="s">
        <v>469</v>
      </c>
      <c r="D3359" s="1" t="s">
        <v>470</v>
      </c>
      <c r="E3359" s="1" t="s">
        <v>21</v>
      </c>
      <c r="F3359" s="1" t="s">
        <v>540</v>
      </c>
      <c r="G3359" s="1" t="s">
        <v>541</v>
      </c>
      <c r="H3359" s="1" t="s">
        <v>37</v>
      </c>
      <c r="I3359">
        <v>5785</v>
      </c>
      <c r="J3359" s="3">
        <v>31.23</v>
      </c>
      <c r="K3359" s="3">
        <v>180665.55</v>
      </c>
    </row>
    <row r="3360" spans="1:11" x14ac:dyDescent="0.2">
      <c r="A3360" s="1" t="s">
        <v>4476</v>
      </c>
      <c r="B3360" s="2">
        <v>45936</v>
      </c>
      <c r="C3360" s="1" t="s">
        <v>1841</v>
      </c>
      <c r="D3360" s="1" t="s">
        <v>1842</v>
      </c>
      <c r="E3360" s="1" t="s">
        <v>14</v>
      </c>
      <c r="F3360" s="1" t="s">
        <v>81</v>
      </c>
      <c r="G3360" s="1" t="s">
        <v>82</v>
      </c>
      <c r="H3360" s="1" t="s">
        <v>72</v>
      </c>
      <c r="I3360">
        <v>50036</v>
      </c>
      <c r="J3360" s="3">
        <v>7.25</v>
      </c>
      <c r="K3360" s="3">
        <v>362761</v>
      </c>
    </row>
    <row r="3361" spans="1:11" x14ac:dyDescent="0.2">
      <c r="A3361" s="1" t="s">
        <v>4477</v>
      </c>
      <c r="B3361" s="2">
        <v>46015</v>
      </c>
      <c r="C3361" s="1" t="s">
        <v>770</v>
      </c>
      <c r="D3361" s="1" t="s">
        <v>771</v>
      </c>
      <c r="E3361" s="1" t="s">
        <v>34</v>
      </c>
      <c r="F3361" s="1" t="s">
        <v>436</v>
      </c>
      <c r="G3361" s="1" t="s">
        <v>437</v>
      </c>
      <c r="H3361" s="1" t="s">
        <v>24</v>
      </c>
      <c r="I3361">
        <v>83051</v>
      </c>
      <c r="J3361" s="3">
        <v>46.64</v>
      </c>
      <c r="K3361" s="3">
        <v>3873498.64</v>
      </c>
    </row>
    <row r="3362" spans="1:11" x14ac:dyDescent="0.2">
      <c r="A3362" s="1" t="s">
        <v>4478</v>
      </c>
      <c r="B3362" s="2">
        <v>45557</v>
      </c>
      <c r="C3362" s="1" t="s">
        <v>936</v>
      </c>
      <c r="D3362" s="1" t="s">
        <v>937</v>
      </c>
      <c r="E3362" s="1" t="s">
        <v>28</v>
      </c>
      <c r="F3362" s="1" t="s">
        <v>284</v>
      </c>
      <c r="G3362" s="1" t="s">
        <v>285</v>
      </c>
      <c r="H3362" s="1" t="s">
        <v>37</v>
      </c>
      <c r="I3362">
        <v>66942</v>
      </c>
      <c r="J3362" s="3">
        <v>44.49</v>
      </c>
      <c r="K3362" s="3">
        <v>2978249.58</v>
      </c>
    </row>
    <row r="3363" spans="1:11" x14ac:dyDescent="0.2">
      <c r="A3363" s="1" t="s">
        <v>4479</v>
      </c>
      <c r="B3363" s="2">
        <v>45780</v>
      </c>
      <c r="C3363" s="1" t="s">
        <v>3301</v>
      </c>
      <c r="D3363" s="1" t="s">
        <v>3302</v>
      </c>
      <c r="E3363" s="1" t="s">
        <v>28</v>
      </c>
      <c r="F3363" s="1" t="s">
        <v>463</v>
      </c>
      <c r="G3363" s="1" t="s">
        <v>464</v>
      </c>
      <c r="H3363" s="1" t="s">
        <v>37</v>
      </c>
      <c r="I3363">
        <v>41873</v>
      </c>
      <c r="J3363" s="3">
        <v>29.58</v>
      </c>
      <c r="K3363" s="3">
        <v>1238603.3400000001</v>
      </c>
    </row>
    <row r="3364" spans="1:11" x14ac:dyDescent="0.2">
      <c r="A3364" s="1" t="s">
        <v>4480</v>
      </c>
      <c r="B3364" s="2">
        <v>45698</v>
      </c>
      <c r="C3364" s="1" t="s">
        <v>890</v>
      </c>
      <c r="D3364" s="1" t="s">
        <v>891</v>
      </c>
      <c r="E3364" s="1" t="s">
        <v>37</v>
      </c>
      <c r="F3364" s="1" t="s">
        <v>350</v>
      </c>
      <c r="G3364" s="1" t="s">
        <v>351</v>
      </c>
      <c r="H3364" s="1" t="s">
        <v>37</v>
      </c>
      <c r="I3364">
        <v>93478</v>
      </c>
      <c r="J3364" s="3">
        <v>38.520000000000003</v>
      </c>
      <c r="K3364" s="3">
        <v>3600772.56</v>
      </c>
    </row>
    <row r="3365" spans="1:11" x14ac:dyDescent="0.2">
      <c r="A3365" s="1" t="s">
        <v>4481</v>
      </c>
      <c r="B3365" s="2">
        <v>45903</v>
      </c>
      <c r="C3365" s="1" t="s">
        <v>1233</v>
      </c>
      <c r="D3365" s="1" t="s">
        <v>1234</v>
      </c>
      <c r="E3365" s="1" t="s">
        <v>14</v>
      </c>
      <c r="F3365" s="1" t="s">
        <v>324</v>
      </c>
      <c r="G3365" s="1" t="s">
        <v>325</v>
      </c>
      <c r="H3365" s="1" t="s">
        <v>24</v>
      </c>
      <c r="I3365">
        <v>90710</v>
      </c>
      <c r="J3365" s="3">
        <v>11.13</v>
      </c>
      <c r="K3365" s="3">
        <v>1009602.3</v>
      </c>
    </row>
    <row r="3366" spans="1:11" x14ac:dyDescent="0.2">
      <c r="A3366" s="1" t="s">
        <v>4482</v>
      </c>
      <c r="B3366" s="2">
        <v>45980</v>
      </c>
      <c r="C3366" s="1" t="s">
        <v>727</v>
      </c>
      <c r="D3366" s="1" t="s">
        <v>728</v>
      </c>
      <c r="E3366" s="1" t="s">
        <v>37</v>
      </c>
      <c r="F3366" s="1" t="s">
        <v>761</v>
      </c>
      <c r="G3366" s="1" t="s">
        <v>762</v>
      </c>
      <c r="H3366" s="1" t="s">
        <v>48</v>
      </c>
      <c r="I3366">
        <v>59166</v>
      </c>
      <c r="J3366" s="3">
        <v>28.25</v>
      </c>
      <c r="K3366" s="3">
        <v>1671439.5</v>
      </c>
    </row>
    <row r="3367" spans="1:11" x14ac:dyDescent="0.2">
      <c r="A3367" s="1" t="s">
        <v>4483</v>
      </c>
      <c r="B3367" s="2">
        <v>45838</v>
      </c>
      <c r="C3367" s="1" t="s">
        <v>1023</v>
      </c>
      <c r="D3367" s="1" t="s">
        <v>1024</v>
      </c>
      <c r="E3367" s="1" t="s">
        <v>37</v>
      </c>
      <c r="F3367" s="1" t="s">
        <v>273</v>
      </c>
      <c r="G3367" s="1" t="s">
        <v>274</v>
      </c>
      <c r="H3367" s="1" t="s">
        <v>24</v>
      </c>
      <c r="I3367">
        <v>83507</v>
      </c>
      <c r="J3367" s="3">
        <v>18.77</v>
      </c>
      <c r="K3367" s="3">
        <v>1567426.39</v>
      </c>
    </row>
    <row r="3368" spans="1:11" x14ac:dyDescent="0.2">
      <c r="A3368" s="1" t="s">
        <v>4484</v>
      </c>
      <c r="B3368" s="2">
        <v>45839</v>
      </c>
      <c r="C3368" s="1" t="s">
        <v>1092</v>
      </c>
      <c r="D3368" s="1" t="s">
        <v>1093</v>
      </c>
      <c r="E3368" s="1" t="s">
        <v>34</v>
      </c>
      <c r="F3368" s="1" t="s">
        <v>406</v>
      </c>
      <c r="G3368" s="1" t="s">
        <v>407</v>
      </c>
      <c r="H3368" s="1" t="s">
        <v>17</v>
      </c>
      <c r="I3368">
        <v>81724</v>
      </c>
      <c r="J3368" s="3">
        <v>32.1</v>
      </c>
      <c r="K3368" s="3">
        <v>2623340.4</v>
      </c>
    </row>
    <row r="3369" spans="1:11" x14ac:dyDescent="0.2">
      <c r="A3369" s="1" t="s">
        <v>4485</v>
      </c>
      <c r="B3369" s="2">
        <v>45862</v>
      </c>
      <c r="C3369" s="1" t="s">
        <v>282</v>
      </c>
      <c r="D3369" s="1" t="s">
        <v>283</v>
      </c>
      <c r="E3369" s="1" t="s">
        <v>21</v>
      </c>
      <c r="F3369" s="1" t="s">
        <v>41</v>
      </c>
      <c r="G3369" s="1" t="s">
        <v>42</v>
      </c>
      <c r="H3369" s="1" t="s">
        <v>24</v>
      </c>
      <c r="I3369">
        <v>91159</v>
      </c>
      <c r="J3369" s="3">
        <v>12.58</v>
      </c>
      <c r="K3369" s="3">
        <v>1146780.22</v>
      </c>
    </row>
    <row r="3370" spans="1:11" x14ac:dyDescent="0.2">
      <c r="A3370" s="1" t="s">
        <v>4486</v>
      </c>
      <c r="B3370" s="2">
        <v>45602</v>
      </c>
      <c r="C3370" s="1" t="s">
        <v>798</v>
      </c>
      <c r="D3370" s="1" t="s">
        <v>799</v>
      </c>
      <c r="E3370" s="1" t="s">
        <v>34</v>
      </c>
      <c r="F3370" s="1" t="s">
        <v>157</v>
      </c>
      <c r="G3370" s="1" t="s">
        <v>158</v>
      </c>
      <c r="H3370" s="1" t="s">
        <v>48</v>
      </c>
      <c r="I3370">
        <v>39410</v>
      </c>
      <c r="J3370" s="3">
        <v>32.340000000000003</v>
      </c>
      <c r="K3370" s="3">
        <v>1274519.3999999999</v>
      </c>
    </row>
    <row r="3371" spans="1:11" x14ac:dyDescent="0.2">
      <c r="A3371" s="1" t="s">
        <v>4487</v>
      </c>
      <c r="B3371" s="2">
        <v>45931</v>
      </c>
      <c r="C3371" s="1" t="s">
        <v>374</v>
      </c>
      <c r="D3371" s="1" t="s">
        <v>375</v>
      </c>
      <c r="E3371" s="1" t="s">
        <v>14</v>
      </c>
      <c r="F3371" s="1" t="s">
        <v>406</v>
      </c>
      <c r="G3371" s="1" t="s">
        <v>407</v>
      </c>
      <c r="H3371" s="1" t="s">
        <v>17</v>
      </c>
      <c r="I3371">
        <v>83527</v>
      </c>
      <c r="J3371" s="3">
        <v>11.98</v>
      </c>
      <c r="K3371" s="3">
        <v>1000653.46</v>
      </c>
    </row>
    <row r="3372" spans="1:11" x14ac:dyDescent="0.2">
      <c r="A3372" s="1" t="s">
        <v>4488</v>
      </c>
      <c r="B3372" s="2">
        <v>46003</v>
      </c>
      <c r="C3372" s="1" t="s">
        <v>466</v>
      </c>
      <c r="D3372" s="1" t="s">
        <v>467</v>
      </c>
      <c r="E3372" s="1" t="s">
        <v>28</v>
      </c>
      <c r="F3372" s="1" t="s">
        <v>350</v>
      </c>
      <c r="G3372" s="1" t="s">
        <v>351</v>
      </c>
      <c r="H3372" s="1" t="s">
        <v>37</v>
      </c>
      <c r="I3372">
        <v>55049</v>
      </c>
      <c r="J3372" s="3">
        <v>33.369999999999997</v>
      </c>
      <c r="K3372" s="3">
        <v>1836985.13</v>
      </c>
    </row>
    <row r="3373" spans="1:11" x14ac:dyDescent="0.2">
      <c r="A3373" s="1" t="s">
        <v>4489</v>
      </c>
      <c r="B3373" s="2">
        <v>45800</v>
      </c>
      <c r="C3373" s="1" t="s">
        <v>719</v>
      </c>
      <c r="D3373" s="1" t="s">
        <v>720</v>
      </c>
      <c r="E3373" s="1" t="s">
        <v>37</v>
      </c>
      <c r="F3373" s="1" t="s">
        <v>65</v>
      </c>
      <c r="G3373" s="1" t="s">
        <v>66</v>
      </c>
      <c r="H3373" s="1" t="s">
        <v>48</v>
      </c>
      <c r="I3373">
        <v>23288</v>
      </c>
      <c r="J3373" s="3">
        <v>10.97</v>
      </c>
      <c r="K3373" s="3">
        <v>255469.36</v>
      </c>
    </row>
    <row r="3374" spans="1:11" x14ac:dyDescent="0.2">
      <c r="A3374" s="1" t="s">
        <v>4490</v>
      </c>
      <c r="B3374" s="2">
        <v>45520</v>
      </c>
      <c r="C3374" s="1" t="s">
        <v>2211</v>
      </c>
      <c r="D3374" s="1" t="s">
        <v>2212</v>
      </c>
      <c r="E3374" s="1" t="s">
        <v>21</v>
      </c>
      <c r="F3374" s="1" t="s">
        <v>52</v>
      </c>
      <c r="G3374" s="1" t="s">
        <v>53</v>
      </c>
      <c r="H3374" s="1" t="s">
        <v>17</v>
      </c>
      <c r="I3374">
        <v>61149</v>
      </c>
      <c r="J3374" s="3">
        <v>10.71</v>
      </c>
      <c r="K3374" s="3">
        <v>654905.79</v>
      </c>
    </row>
    <row r="3375" spans="1:11" x14ac:dyDescent="0.2">
      <c r="A3375" s="1" t="s">
        <v>4491</v>
      </c>
      <c r="B3375" s="2">
        <v>45503</v>
      </c>
      <c r="C3375" s="1" t="s">
        <v>857</v>
      </c>
      <c r="D3375" s="1" t="s">
        <v>858</v>
      </c>
      <c r="E3375" s="1" t="s">
        <v>34</v>
      </c>
      <c r="F3375" s="1" t="s">
        <v>152</v>
      </c>
      <c r="G3375" s="1" t="s">
        <v>153</v>
      </c>
      <c r="H3375" s="1" t="s">
        <v>17</v>
      </c>
      <c r="I3375">
        <v>66011</v>
      </c>
      <c r="J3375" s="3">
        <v>44.45</v>
      </c>
      <c r="K3375" s="3">
        <v>2934188.95</v>
      </c>
    </row>
    <row r="3376" spans="1:11" x14ac:dyDescent="0.2">
      <c r="A3376" s="1" t="s">
        <v>4492</v>
      </c>
      <c r="B3376" s="2">
        <v>45355</v>
      </c>
      <c r="C3376" s="1" t="s">
        <v>767</v>
      </c>
      <c r="D3376" s="1" t="s">
        <v>768</v>
      </c>
      <c r="E3376" s="1" t="s">
        <v>28</v>
      </c>
      <c r="F3376" s="1" t="s">
        <v>284</v>
      </c>
      <c r="G3376" s="1" t="s">
        <v>285</v>
      </c>
      <c r="H3376" s="1" t="s">
        <v>37</v>
      </c>
      <c r="I3376">
        <v>77244</v>
      </c>
      <c r="J3376" s="3">
        <v>46.53</v>
      </c>
      <c r="K3376" s="3">
        <v>3594163.32</v>
      </c>
    </row>
    <row r="3377" spans="1:11" x14ac:dyDescent="0.2">
      <c r="A3377" s="1" t="s">
        <v>4493</v>
      </c>
      <c r="B3377" s="2">
        <v>45616</v>
      </c>
      <c r="C3377" s="1" t="s">
        <v>1272</v>
      </c>
      <c r="D3377" s="1" t="s">
        <v>1273</v>
      </c>
      <c r="E3377" s="1" t="s">
        <v>34</v>
      </c>
      <c r="F3377" s="1" t="s">
        <v>57</v>
      </c>
      <c r="G3377" s="1" t="s">
        <v>58</v>
      </c>
      <c r="H3377" s="1" t="s">
        <v>48</v>
      </c>
      <c r="I3377">
        <v>77599</v>
      </c>
      <c r="J3377" s="3">
        <v>14.62</v>
      </c>
      <c r="K3377" s="3">
        <v>1134497.3799999999</v>
      </c>
    </row>
    <row r="3378" spans="1:11" x14ac:dyDescent="0.2">
      <c r="A3378" s="1" t="s">
        <v>4494</v>
      </c>
      <c r="B3378" s="2">
        <v>45310</v>
      </c>
      <c r="C3378" s="1" t="s">
        <v>362</v>
      </c>
      <c r="D3378" s="1" t="s">
        <v>363</v>
      </c>
      <c r="E3378" s="1" t="s">
        <v>37</v>
      </c>
      <c r="F3378" s="1" t="s">
        <v>273</v>
      </c>
      <c r="G3378" s="1" t="s">
        <v>274</v>
      </c>
      <c r="H3378" s="1" t="s">
        <v>24</v>
      </c>
      <c r="I3378">
        <v>44208</v>
      </c>
      <c r="J3378" s="3">
        <v>18.34</v>
      </c>
      <c r="K3378" s="3">
        <v>810774.72</v>
      </c>
    </row>
    <row r="3379" spans="1:11" x14ac:dyDescent="0.2">
      <c r="A3379" s="1" t="s">
        <v>4495</v>
      </c>
      <c r="B3379" s="2">
        <v>45402</v>
      </c>
      <c r="C3379" s="1" t="s">
        <v>1223</v>
      </c>
      <c r="D3379" s="1" t="s">
        <v>1224</v>
      </c>
      <c r="E3379" s="1" t="s">
        <v>37</v>
      </c>
      <c r="F3379" s="1" t="s">
        <v>284</v>
      </c>
      <c r="G3379" s="1" t="s">
        <v>285</v>
      </c>
      <c r="H3379" s="1" t="s">
        <v>37</v>
      </c>
      <c r="I3379">
        <v>82873</v>
      </c>
      <c r="J3379" s="3">
        <v>14.88</v>
      </c>
      <c r="K3379" s="3">
        <v>1233150.24</v>
      </c>
    </row>
    <row r="3380" spans="1:11" x14ac:dyDescent="0.2">
      <c r="A3380" s="1" t="s">
        <v>4496</v>
      </c>
      <c r="B3380" s="2">
        <v>45898</v>
      </c>
      <c r="C3380" s="1" t="s">
        <v>1121</v>
      </c>
      <c r="D3380" s="1" t="s">
        <v>1122</v>
      </c>
      <c r="E3380" s="1" t="s">
        <v>28</v>
      </c>
      <c r="F3380" s="1" t="s">
        <v>189</v>
      </c>
      <c r="G3380" s="1" t="s">
        <v>190</v>
      </c>
      <c r="H3380" s="1" t="s">
        <v>17</v>
      </c>
      <c r="I3380">
        <v>90175</v>
      </c>
      <c r="J3380" s="3">
        <v>20.65</v>
      </c>
      <c r="K3380" s="3">
        <v>1862113.75</v>
      </c>
    </row>
    <row r="3381" spans="1:11" x14ac:dyDescent="0.2">
      <c r="A3381" s="1" t="s">
        <v>4497</v>
      </c>
      <c r="B3381" s="2">
        <v>45627</v>
      </c>
      <c r="C3381" s="1" t="s">
        <v>1909</v>
      </c>
      <c r="D3381" s="1" t="s">
        <v>1910</v>
      </c>
      <c r="E3381" s="1" t="s">
        <v>37</v>
      </c>
      <c r="F3381" s="1" t="s">
        <v>251</v>
      </c>
      <c r="G3381" s="1" t="s">
        <v>252</v>
      </c>
      <c r="H3381" s="1" t="s">
        <v>72</v>
      </c>
      <c r="I3381">
        <v>14063</v>
      </c>
      <c r="J3381" s="3">
        <v>10.06</v>
      </c>
      <c r="K3381" s="3">
        <v>141473.78</v>
      </c>
    </row>
    <row r="3382" spans="1:11" x14ac:dyDescent="0.2">
      <c r="A3382" s="1" t="s">
        <v>4498</v>
      </c>
      <c r="B3382" s="2">
        <v>45641</v>
      </c>
      <c r="C3382" s="1" t="s">
        <v>2326</v>
      </c>
      <c r="D3382" s="1" t="s">
        <v>2327</v>
      </c>
      <c r="E3382" s="1" t="s">
        <v>37</v>
      </c>
      <c r="F3382" s="1" t="s">
        <v>237</v>
      </c>
      <c r="G3382" s="1" t="s">
        <v>238</v>
      </c>
      <c r="H3382" s="1" t="s">
        <v>17</v>
      </c>
      <c r="I3382">
        <v>84576</v>
      </c>
      <c r="J3382" s="3">
        <v>17.02</v>
      </c>
      <c r="K3382" s="3">
        <v>1439483.52</v>
      </c>
    </row>
    <row r="3383" spans="1:11" x14ac:dyDescent="0.2">
      <c r="A3383" s="1" t="s">
        <v>4499</v>
      </c>
      <c r="B3383" s="2">
        <v>45488</v>
      </c>
      <c r="C3383" s="1" t="s">
        <v>923</v>
      </c>
      <c r="D3383" s="1" t="s">
        <v>924</v>
      </c>
      <c r="E3383" s="1" t="s">
        <v>37</v>
      </c>
      <c r="F3383" s="1" t="s">
        <v>510</v>
      </c>
      <c r="G3383" s="1" t="s">
        <v>511</v>
      </c>
      <c r="H3383" s="1" t="s">
        <v>17</v>
      </c>
      <c r="I3383">
        <v>2518</v>
      </c>
      <c r="J3383" s="3">
        <v>20.6</v>
      </c>
      <c r="K3383" s="3">
        <v>51870.8</v>
      </c>
    </row>
    <row r="3384" spans="1:11" x14ac:dyDescent="0.2">
      <c r="A3384" s="1" t="s">
        <v>4500</v>
      </c>
      <c r="B3384" s="2">
        <v>46002</v>
      </c>
      <c r="C3384" s="1" t="s">
        <v>636</v>
      </c>
      <c r="D3384" s="1" t="s">
        <v>637</v>
      </c>
      <c r="E3384" s="1" t="s">
        <v>21</v>
      </c>
      <c r="F3384" s="1" t="s">
        <v>165</v>
      </c>
      <c r="G3384" s="1" t="s">
        <v>166</v>
      </c>
      <c r="H3384" s="1" t="s">
        <v>24</v>
      </c>
      <c r="I3384">
        <v>80928</v>
      </c>
      <c r="J3384" s="3">
        <v>49.39</v>
      </c>
      <c r="K3384" s="3">
        <v>3997033.92</v>
      </c>
    </row>
    <row r="3385" spans="1:11" x14ac:dyDescent="0.2">
      <c r="A3385" s="1" t="s">
        <v>4501</v>
      </c>
      <c r="B3385" s="2">
        <v>45349</v>
      </c>
      <c r="C3385" s="1" t="s">
        <v>498</v>
      </c>
      <c r="D3385" s="1" t="s">
        <v>499</v>
      </c>
      <c r="E3385" s="1" t="s">
        <v>14</v>
      </c>
      <c r="F3385" s="1" t="s">
        <v>176</v>
      </c>
      <c r="G3385" s="1" t="s">
        <v>177</v>
      </c>
      <c r="H3385" s="1" t="s">
        <v>37</v>
      </c>
      <c r="I3385">
        <v>48518</v>
      </c>
      <c r="J3385" s="3">
        <v>18.68</v>
      </c>
      <c r="K3385" s="3">
        <v>906316.24</v>
      </c>
    </row>
    <row r="3386" spans="1:11" x14ac:dyDescent="0.2">
      <c r="A3386" s="1" t="s">
        <v>4502</v>
      </c>
      <c r="B3386" s="2">
        <v>45817</v>
      </c>
      <c r="C3386" s="1" t="s">
        <v>1483</v>
      </c>
      <c r="D3386" s="1" t="s">
        <v>1484</v>
      </c>
      <c r="E3386" s="1" t="s">
        <v>21</v>
      </c>
      <c r="F3386" s="1" t="s">
        <v>330</v>
      </c>
      <c r="G3386" s="1" t="s">
        <v>331</v>
      </c>
      <c r="H3386" s="1" t="s">
        <v>72</v>
      </c>
      <c r="I3386">
        <v>19157</v>
      </c>
      <c r="J3386" s="3">
        <v>16.239999999999998</v>
      </c>
      <c r="K3386" s="3">
        <v>311109.68</v>
      </c>
    </row>
    <row r="3387" spans="1:11" x14ac:dyDescent="0.2">
      <c r="A3387" s="1" t="s">
        <v>4503</v>
      </c>
      <c r="B3387" s="2">
        <v>45466</v>
      </c>
      <c r="C3387" s="1" t="s">
        <v>282</v>
      </c>
      <c r="D3387" s="1" t="s">
        <v>283</v>
      </c>
      <c r="E3387" s="1" t="s">
        <v>21</v>
      </c>
      <c r="F3387" s="1" t="s">
        <v>761</v>
      </c>
      <c r="G3387" s="1" t="s">
        <v>762</v>
      </c>
      <c r="H3387" s="1" t="s">
        <v>48</v>
      </c>
      <c r="I3387">
        <v>26033</v>
      </c>
      <c r="J3387" s="3">
        <v>21.21</v>
      </c>
      <c r="K3387" s="3">
        <v>552159.93000000005</v>
      </c>
    </row>
    <row r="3388" spans="1:11" x14ac:dyDescent="0.2">
      <c r="A3388" s="1" t="s">
        <v>4504</v>
      </c>
      <c r="B3388" s="2">
        <v>45315</v>
      </c>
      <c r="C3388" s="1" t="s">
        <v>883</v>
      </c>
      <c r="D3388" s="1" t="s">
        <v>884</v>
      </c>
      <c r="E3388" s="1" t="s">
        <v>37</v>
      </c>
      <c r="F3388" s="1" t="s">
        <v>251</v>
      </c>
      <c r="G3388" s="1" t="s">
        <v>252</v>
      </c>
      <c r="H3388" s="1" t="s">
        <v>72</v>
      </c>
      <c r="I3388">
        <v>97870</v>
      </c>
      <c r="J3388" s="3">
        <v>42.88</v>
      </c>
      <c r="K3388" s="3">
        <v>4196665.5999999996</v>
      </c>
    </row>
    <row r="3389" spans="1:11" x14ac:dyDescent="0.2">
      <c r="A3389" s="1" t="s">
        <v>4505</v>
      </c>
      <c r="B3389" s="2">
        <v>45498</v>
      </c>
      <c r="C3389" s="1" t="s">
        <v>1666</v>
      </c>
      <c r="D3389" s="1" t="s">
        <v>1667</v>
      </c>
      <c r="E3389" s="1" t="s">
        <v>28</v>
      </c>
      <c r="F3389" s="1" t="s">
        <v>157</v>
      </c>
      <c r="G3389" s="1" t="s">
        <v>158</v>
      </c>
      <c r="H3389" s="1" t="s">
        <v>48</v>
      </c>
      <c r="I3389">
        <v>62902</v>
      </c>
      <c r="J3389" s="3">
        <v>13.58</v>
      </c>
      <c r="K3389" s="3">
        <v>854209.16</v>
      </c>
    </row>
    <row r="3390" spans="1:11" x14ac:dyDescent="0.2">
      <c r="A3390" s="1" t="s">
        <v>4506</v>
      </c>
      <c r="B3390" s="2">
        <v>45786</v>
      </c>
      <c r="C3390" s="1" t="s">
        <v>1854</v>
      </c>
      <c r="D3390" s="1" t="s">
        <v>1855</v>
      </c>
      <c r="E3390" s="1" t="s">
        <v>37</v>
      </c>
      <c r="F3390" s="1" t="s">
        <v>108</v>
      </c>
      <c r="G3390" s="1" t="s">
        <v>109</v>
      </c>
      <c r="H3390" s="1" t="s">
        <v>37</v>
      </c>
      <c r="I3390">
        <v>1035</v>
      </c>
      <c r="J3390" s="3">
        <v>5.26</v>
      </c>
      <c r="K3390" s="3">
        <v>5444.1</v>
      </c>
    </row>
    <row r="3391" spans="1:11" x14ac:dyDescent="0.2">
      <c r="A3391" s="1" t="s">
        <v>4507</v>
      </c>
      <c r="B3391" s="2">
        <v>45786</v>
      </c>
      <c r="C3391" s="1" t="s">
        <v>1050</v>
      </c>
      <c r="D3391" s="1" t="s">
        <v>1051</v>
      </c>
      <c r="E3391" s="1" t="s">
        <v>14</v>
      </c>
      <c r="F3391" s="1" t="s">
        <v>184</v>
      </c>
      <c r="G3391" s="1" t="s">
        <v>185</v>
      </c>
      <c r="H3391" s="1" t="s">
        <v>17</v>
      </c>
      <c r="I3391">
        <v>65645</v>
      </c>
      <c r="J3391" s="3">
        <v>4.01</v>
      </c>
      <c r="K3391" s="3">
        <v>263236.45</v>
      </c>
    </row>
    <row r="3392" spans="1:11" x14ac:dyDescent="0.2">
      <c r="A3392" s="1" t="s">
        <v>4508</v>
      </c>
      <c r="B3392" s="2">
        <v>45641</v>
      </c>
      <c r="C3392" s="1" t="s">
        <v>431</v>
      </c>
      <c r="D3392" s="1" t="s">
        <v>432</v>
      </c>
      <c r="E3392" s="1" t="s">
        <v>14</v>
      </c>
      <c r="F3392" s="1" t="s">
        <v>203</v>
      </c>
      <c r="G3392" s="1" t="s">
        <v>204</v>
      </c>
      <c r="H3392" s="1" t="s">
        <v>72</v>
      </c>
      <c r="I3392">
        <v>15927</v>
      </c>
      <c r="J3392" s="3">
        <v>6.1</v>
      </c>
      <c r="K3392" s="3">
        <v>97154.7</v>
      </c>
    </row>
    <row r="3393" spans="1:11" x14ac:dyDescent="0.2">
      <c r="A3393" s="1" t="s">
        <v>4509</v>
      </c>
      <c r="B3393" s="2">
        <v>45557</v>
      </c>
      <c r="C3393" s="1" t="s">
        <v>508</v>
      </c>
      <c r="D3393" s="1" t="s">
        <v>509</v>
      </c>
      <c r="E3393" s="1" t="s">
        <v>34</v>
      </c>
      <c r="F3393" s="1" t="s">
        <v>46</v>
      </c>
      <c r="G3393" s="1" t="s">
        <v>47</v>
      </c>
      <c r="H3393" s="1" t="s">
        <v>48</v>
      </c>
      <c r="I3393">
        <v>46146</v>
      </c>
      <c r="J3393" s="3">
        <v>15.63</v>
      </c>
      <c r="K3393" s="3">
        <v>721261.98</v>
      </c>
    </row>
    <row r="3394" spans="1:11" x14ac:dyDescent="0.2">
      <c r="A3394" s="1" t="s">
        <v>4510</v>
      </c>
      <c r="B3394" s="2">
        <v>45378</v>
      </c>
      <c r="C3394" s="1" t="s">
        <v>1701</v>
      </c>
      <c r="D3394" s="1" t="s">
        <v>1702</v>
      </c>
      <c r="E3394" s="1" t="s">
        <v>34</v>
      </c>
      <c r="F3394" s="1" t="s">
        <v>176</v>
      </c>
      <c r="G3394" s="1" t="s">
        <v>177</v>
      </c>
      <c r="H3394" s="1" t="s">
        <v>37</v>
      </c>
      <c r="I3394">
        <v>48858</v>
      </c>
      <c r="J3394" s="3">
        <v>19.25</v>
      </c>
      <c r="K3394" s="3">
        <v>940516.5</v>
      </c>
    </row>
    <row r="3395" spans="1:11" x14ac:dyDescent="0.2">
      <c r="A3395" s="1" t="s">
        <v>4511</v>
      </c>
      <c r="B3395" s="2">
        <v>45773</v>
      </c>
      <c r="C3395" s="1" t="s">
        <v>2442</v>
      </c>
      <c r="D3395" s="1" t="s">
        <v>2443</v>
      </c>
      <c r="E3395" s="1" t="s">
        <v>34</v>
      </c>
      <c r="F3395" s="1" t="s">
        <v>436</v>
      </c>
      <c r="G3395" s="1" t="s">
        <v>437</v>
      </c>
      <c r="H3395" s="1" t="s">
        <v>24</v>
      </c>
      <c r="I3395">
        <v>15919</v>
      </c>
      <c r="J3395" s="3">
        <v>20.350000000000001</v>
      </c>
      <c r="K3395" s="3">
        <v>323951.65000000002</v>
      </c>
    </row>
    <row r="3396" spans="1:11" x14ac:dyDescent="0.2">
      <c r="A3396" s="1" t="s">
        <v>4512</v>
      </c>
      <c r="B3396" s="2">
        <v>45589</v>
      </c>
      <c r="C3396" s="1" t="s">
        <v>1017</v>
      </c>
      <c r="D3396" s="1" t="s">
        <v>1018</v>
      </c>
      <c r="E3396" s="1" t="s">
        <v>34</v>
      </c>
      <c r="F3396" s="1" t="s">
        <v>540</v>
      </c>
      <c r="G3396" s="1" t="s">
        <v>541</v>
      </c>
      <c r="H3396" s="1" t="s">
        <v>37</v>
      </c>
      <c r="I3396">
        <v>40896</v>
      </c>
      <c r="J3396" s="3">
        <v>29.32</v>
      </c>
      <c r="K3396" s="3">
        <v>1199070.72</v>
      </c>
    </row>
    <row r="3397" spans="1:11" x14ac:dyDescent="0.2">
      <c r="A3397" s="1" t="s">
        <v>4513</v>
      </c>
      <c r="B3397" s="2">
        <v>45298</v>
      </c>
      <c r="C3397" s="1" t="s">
        <v>3170</v>
      </c>
      <c r="D3397" s="1" t="s">
        <v>3171</v>
      </c>
      <c r="E3397" s="1" t="s">
        <v>34</v>
      </c>
      <c r="F3397" s="1" t="s">
        <v>474</v>
      </c>
      <c r="G3397" s="1" t="s">
        <v>475</v>
      </c>
      <c r="H3397" s="1" t="s">
        <v>48</v>
      </c>
      <c r="I3397">
        <v>67765</v>
      </c>
      <c r="J3397" s="3">
        <v>6.34</v>
      </c>
      <c r="K3397" s="3">
        <v>429630.1</v>
      </c>
    </row>
    <row r="3398" spans="1:11" x14ac:dyDescent="0.2">
      <c r="A3398" s="1" t="s">
        <v>4514</v>
      </c>
      <c r="B3398" s="2">
        <v>45772</v>
      </c>
      <c r="C3398" s="1" t="s">
        <v>215</v>
      </c>
      <c r="D3398" s="1" t="s">
        <v>216</v>
      </c>
      <c r="E3398" s="1" t="s">
        <v>21</v>
      </c>
      <c r="F3398" s="1" t="s">
        <v>394</v>
      </c>
      <c r="G3398" s="1" t="s">
        <v>395</v>
      </c>
      <c r="H3398" s="1" t="s">
        <v>48</v>
      </c>
      <c r="I3398">
        <v>10127</v>
      </c>
      <c r="J3398" s="3">
        <v>44.72</v>
      </c>
      <c r="K3398" s="3">
        <v>452879.44</v>
      </c>
    </row>
    <row r="3399" spans="1:11" x14ac:dyDescent="0.2">
      <c r="A3399" s="1" t="s">
        <v>4515</v>
      </c>
      <c r="B3399" s="2">
        <v>45655</v>
      </c>
      <c r="C3399" s="1" t="s">
        <v>1747</v>
      </c>
      <c r="D3399" s="1" t="s">
        <v>1748</v>
      </c>
      <c r="E3399" s="1" t="s">
        <v>37</v>
      </c>
      <c r="F3399" s="1" t="s">
        <v>165</v>
      </c>
      <c r="G3399" s="1" t="s">
        <v>166</v>
      </c>
      <c r="H3399" s="1" t="s">
        <v>24</v>
      </c>
      <c r="I3399">
        <v>9424</v>
      </c>
      <c r="J3399" s="3">
        <v>2.52</v>
      </c>
      <c r="K3399" s="3">
        <v>23748.48</v>
      </c>
    </row>
    <row r="3400" spans="1:11" x14ac:dyDescent="0.2">
      <c r="A3400" s="1" t="s">
        <v>4516</v>
      </c>
      <c r="B3400" s="2">
        <v>45335</v>
      </c>
      <c r="C3400" s="1" t="s">
        <v>179</v>
      </c>
      <c r="D3400" s="1" t="s">
        <v>180</v>
      </c>
      <c r="E3400" s="1" t="s">
        <v>37</v>
      </c>
      <c r="F3400" s="1" t="s">
        <v>268</v>
      </c>
      <c r="G3400" s="1" t="s">
        <v>269</v>
      </c>
      <c r="H3400" s="1" t="s">
        <v>72</v>
      </c>
      <c r="I3400">
        <v>65613</v>
      </c>
      <c r="J3400" s="3">
        <v>14.35</v>
      </c>
      <c r="K3400" s="3">
        <v>941546.55</v>
      </c>
    </row>
    <row r="3401" spans="1:11" x14ac:dyDescent="0.2">
      <c r="A3401" s="1" t="s">
        <v>4517</v>
      </c>
      <c r="B3401" s="2">
        <v>45788</v>
      </c>
      <c r="C3401" s="1" t="s">
        <v>93</v>
      </c>
      <c r="D3401" s="1" t="s">
        <v>94</v>
      </c>
      <c r="E3401" s="1" t="s">
        <v>34</v>
      </c>
      <c r="F3401" s="1" t="s">
        <v>436</v>
      </c>
      <c r="G3401" s="1" t="s">
        <v>437</v>
      </c>
      <c r="H3401" s="1" t="s">
        <v>24</v>
      </c>
      <c r="I3401">
        <v>3221</v>
      </c>
      <c r="J3401" s="3">
        <v>35.700000000000003</v>
      </c>
      <c r="K3401" s="3">
        <v>114989.7</v>
      </c>
    </row>
    <row r="3402" spans="1:11" x14ac:dyDescent="0.2">
      <c r="A3402" s="1" t="s">
        <v>4518</v>
      </c>
      <c r="B3402" s="2">
        <v>45865</v>
      </c>
      <c r="C3402" s="1" t="s">
        <v>681</v>
      </c>
      <c r="D3402" s="1" t="s">
        <v>682</v>
      </c>
      <c r="E3402" s="1" t="s">
        <v>28</v>
      </c>
      <c r="F3402" s="1" t="s">
        <v>98</v>
      </c>
      <c r="G3402" s="1" t="s">
        <v>99</v>
      </c>
      <c r="H3402" s="1" t="s">
        <v>72</v>
      </c>
      <c r="I3402">
        <v>8058</v>
      </c>
      <c r="J3402" s="3">
        <v>20.38</v>
      </c>
      <c r="K3402" s="3">
        <v>164222.04</v>
      </c>
    </row>
    <row r="3403" spans="1:11" x14ac:dyDescent="0.2">
      <c r="A3403" s="1" t="s">
        <v>4519</v>
      </c>
      <c r="B3403" s="2">
        <v>45916</v>
      </c>
      <c r="C3403" s="1" t="s">
        <v>1498</v>
      </c>
      <c r="D3403" s="1" t="s">
        <v>1499</v>
      </c>
      <c r="E3403" s="1" t="s">
        <v>14</v>
      </c>
      <c r="F3403" s="1" t="s">
        <v>15</v>
      </c>
      <c r="G3403" s="1" t="s">
        <v>16</v>
      </c>
      <c r="H3403" s="1" t="s">
        <v>17</v>
      </c>
      <c r="I3403">
        <v>34755</v>
      </c>
      <c r="J3403" s="3">
        <v>7.85</v>
      </c>
      <c r="K3403" s="3">
        <v>272826.75</v>
      </c>
    </row>
    <row r="3404" spans="1:11" x14ac:dyDescent="0.2">
      <c r="A3404" s="1" t="s">
        <v>4520</v>
      </c>
      <c r="B3404" s="2">
        <v>45809</v>
      </c>
      <c r="C3404" s="1" t="s">
        <v>759</v>
      </c>
      <c r="D3404" s="1" t="s">
        <v>760</v>
      </c>
      <c r="E3404" s="1" t="s">
        <v>37</v>
      </c>
      <c r="F3404" s="1" t="s">
        <v>189</v>
      </c>
      <c r="G3404" s="1" t="s">
        <v>190</v>
      </c>
      <c r="H3404" s="1" t="s">
        <v>17</v>
      </c>
      <c r="I3404">
        <v>21075</v>
      </c>
      <c r="J3404" s="3">
        <v>9.75</v>
      </c>
      <c r="K3404" s="3">
        <v>205481.25</v>
      </c>
    </row>
    <row r="3405" spans="1:11" x14ac:dyDescent="0.2">
      <c r="A3405" s="1" t="s">
        <v>4521</v>
      </c>
      <c r="B3405" s="2">
        <v>45931</v>
      </c>
      <c r="C3405" s="1" t="s">
        <v>294</v>
      </c>
      <c r="D3405" s="1" t="s">
        <v>295</v>
      </c>
      <c r="E3405" s="1" t="s">
        <v>37</v>
      </c>
      <c r="F3405" s="1" t="s">
        <v>394</v>
      </c>
      <c r="G3405" s="1" t="s">
        <v>395</v>
      </c>
      <c r="H3405" s="1" t="s">
        <v>48</v>
      </c>
      <c r="I3405">
        <v>55731</v>
      </c>
      <c r="J3405" s="3">
        <v>23.08</v>
      </c>
      <c r="K3405" s="3">
        <v>1286271.48</v>
      </c>
    </row>
    <row r="3406" spans="1:11" x14ac:dyDescent="0.2">
      <c r="A3406" s="1" t="s">
        <v>4522</v>
      </c>
      <c r="B3406" s="2">
        <v>45454</v>
      </c>
      <c r="C3406" s="1" t="s">
        <v>39</v>
      </c>
      <c r="D3406" s="1" t="s">
        <v>40</v>
      </c>
      <c r="E3406" s="1" t="s">
        <v>21</v>
      </c>
      <c r="F3406" s="1" t="s">
        <v>139</v>
      </c>
      <c r="G3406" s="1" t="s">
        <v>140</v>
      </c>
      <c r="H3406" s="1" t="s">
        <v>24</v>
      </c>
      <c r="I3406">
        <v>23962</v>
      </c>
      <c r="J3406" s="3">
        <v>20.89</v>
      </c>
      <c r="K3406" s="3">
        <v>500566.18</v>
      </c>
    </row>
    <row r="3407" spans="1:11" x14ac:dyDescent="0.2">
      <c r="A3407" s="1" t="s">
        <v>4523</v>
      </c>
      <c r="B3407" s="2">
        <v>45666</v>
      </c>
      <c r="C3407" s="1" t="s">
        <v>1841</v>
      </c>
      <c r="D3407" s="1" t="s">
        <v>1842</v>
      </c>
      <c r="E3407" s="1" t="s">
        <v>14</v>
      </c>
      <c r="F3407" s="1" t="s">
        <v>113</v>
      </c>
      <c r="G3407" s="1" t="s">
        <v>114</v>
      </c>
      <c r="H3407" s="1" t="s">
        <v>37</v>
      </c>
      <c r="I3407">
        <v>17499</v>
      </c>
      <c r="J3407" s="3">
        <v>39.369999999999997</v>
      </c>
      <c r="K3407" s="3">
        <v>688935.63</v>
      </c>
    </row>
    <row r="3408" spans="1:11" x14ac:dyDescent="0.2">
      <c r="A3408" s="1" t="s">
        <v>4524</v>
      </c>
      <c r="B3408" s="2">
        <v>45369</v>
      </c>
      <c r="C3408" s="1" t="s">
        <v>1230</v>
      </c>
      <c r="D3408" s="1" t="s">
        <v>1231</v>
      </c>
      <c r="E3408" s="1" t="s">
        <v>21</v>
      </c>
      <c r="F3408" s="1" t="s">
        <v>144</v>
      </c>
      <c r="G3408" s="1" t="s">
        <v>145</v>
      </c>
      <c r="H3408" s="1" t="s">
        <v>24</v>
      </c>
      <c r="I3408">
        <v>26005</v>
      </c>
      <c r="J3408" s="3">
        <v>11.15</v>
      </c>
      <c r="K3408" s="3">
        <v>289955.75</v>
      </c>
    </row>
    <row r="3409" spans="1:11" x14ac:dyDescent="0.2">
      <c r="A3409" s="1" t="s">
        <v>4525</v>
      </c>
      <c r="B3409" s="2">
        <v>45447</v>
      </c>
      <c r="C3409" s="1" t="s">
        <v>1272</v>
      </c>
      <c r="D3409" s="1" t="s">
        <v>1273</v>
      </c>
      <c r="E3409" s="1" t="s">
        <v>34</v>
      </c>
      <c r="F3409" s="1" t="s">
        <v>65</v>
      </c>
      <c r="G3409" s="1" t="s">
        <v>66</v>
      </c>
      <c r="H3409" s="1" t="s">
        <v>48</v>
      </c>
      <c r="I3409">
        <v>59226</v>
      </c>
      <c r="J3409" s="3">
        <v>9.91</v>
      </c>
      <c r="K3409" s="3">
        <v>586929.66</v>
      </c>
    </row>
    <row r="3410" spans="1:11" x14ac:dyDescent="0.2">
      <c r="A3410" s="1" t="s">
        <v>4526</v>
      </c>
      <c r="B3410" s="2">
        <v>45911</v>
      </c>
      <c r="C3410" s="1" t="s">
        <v>1516</v>
      </c>
      <c r="D3410" s="1" t="s">
        <v>1517</v>
      </c>
      <c r="E3410" s="1" t="s">
        <v>21</v>
      </c>
      <c r="F3410" s="1" t="s">
        <v>22</v>
      </c>
      <c r="G3410" s="1" t="s">
        <v>23</v>
      </c>
      <c r="H3410" s="1" t="s">
        <v>24</v>
      </c>
      <c r="I3410">
        <v>18736</v>
      </c>
      <c r="J3410" s="3">
        <v>34.85</v>
      </c>
      <c r="K3410" s="3">
        <v>652949.6</v>
      </c>
    </row>
    <row r="3411" spans="1:11" x14ac:dyDescent="0.2">
      <c r="A3411" s="1" t="s">
        <v>4527</v>
      </c>
      <c r="B3411" s="2">
        <v>45449</v>
      </c>
      <c r="C3411" s="1" t="s">
        <v>1032</v>
      </c>
      <c r="D3411" s="1" t="s">
        <v>1033</v>
      </c>
      <c r="E3411" s="1" t="s">
        <v>34</v>
      </c>
      <c r="F3411" s="1" t="s">
        <v>412</v>
      </c>
      <c r="G3411" s="1" t="s">
        <v>413</v>
      </c>
      <c r="H3411" s="1" t="s">
        <v>72</v>
      </c>
      <c r="I3411">
        <v>40169</v>
      </c>
      <c r="J3411" s="3">
        <v>30.98</v>
      </c>
      <c r="K3411" s="3">
        <v>1244435.6200000001</v>
      </c>
    </row>
    <row r="3412" spans="1:11" x14ac:dyDescent="0.2">
      <c r="A3412" s="1" t="s">
        <v>4528</v>
      </c>
      <c r="B3412" s="2">
        <v>45522</v>
      </c>
      <c r="C3412" s="1" t="s">
        <v>226</v>
      </c>
      <c r="D3412" s="1" t="s">
        <v>227</v>
      </c>
      <c r="E3412" s="1" t="s">
        <v>34</v>
      </c>
      <c r="F3412" s="1" t="s">
        <v>152</v>
      </c>
      <c r="G3412" s="1" t="s">
        <v>153</v>
      </c>
      <c r="H3412" s="1" t="s">
        <v>17</v>
      </c>
      <c r="I3412">
        <v>26661</v>
      </c>
      <c r="J3412" s="3">
        <v>8.1999999999999993</v>
      </c>
      <c r="K3412" s="3">
        <v>218620.2</v>
      </c>
    </row>
    <row r="3413" spans="1:11" x14ac:dyDescent="0.2">
      <c r="A3413" s="1" t="s">
        <v>4529</v>
      </c>
      <c r="B3413" s="2">
        <v>45400</v>
      </c>
      <c r="C3413" s="1" t="s">
        <v>79</v>
      </c>
      <c r="D3413" s="1" t="s">
        <v>80</v>
      </c>
      <c r="E3413" s="1" t="s">
        <v>34</v>
      </c>
      <c r="F3413" s="1" t="s">
        <v>350</v>
      </c>
      <c r="G3413" s="1" t="s">
        <v>351</v>
      </c>
      <c r="H3413" s="1" t="s">
        <v>37</v>
      </c>
      <c r="I3413">
        <v>48378</v>
      </c>
      <c r="J3413" s="3">
        <v>15.27</v>
      </c>
      <c r="K3413" s="3">
        <v>738732.06</v>
      </c>
    </row>
    <row r="3414" spans="1:11" x14ac:dyDescent="0.2">
      <c r="A3414" s="1" t="s">
        <v>4530</v>
      </c>
      <c r="B3414" s="2">
        <v>45759</v>
      </c>
      <c r="C3414" s="1" t="s">
        <v>1695</v>
      </c>
      <c r="D3414" s="1" t="s">
        <v>1696</v>
      </c>
      <c r="E3414" s="1" t="s">
        <v>34</v>
      </c>
      <c r="F3414" s="1" t="s">
        <v>350</v>
      </c>
      <c r="G3414" s="1" t="s">
        <v>351</v>
      </c>
      <c r="H3414" s="1" t="s">
        <v>37</v>
      </c>
      <c r="I3414">
        <v>82046</v>
      </c>
      <c r="J3414" s="3">
        <v>23.83</v>
      </c>
      <c r="K3414" s="3">
        <v>1955156.18</v>
      </c>
    </row>
    <row r="3415" spans="1:11" x14ac:dyDescent="0.2">
      <c r="A3415" s="1" t="s">
        <v>4531</v>
      </c>
      <c r="B3415" s="2">
        <v>45462</v>
      </c>
      <c r="C3415" s="1" t="s">
        <v>1747</v>
      </c>
      <c r="D3415" s="1" t="s">
        <v>1748</v>
      </c>
      <c r="E3415" s="1" t="s">
        <v>37</v>
      </c>
      <c r="F3415" s="1" t="s">
        <v>65</v>
      </c>
      <c r="G3415" s="1" t="s">
        <v>66</v>
      </c>
      <c r="H3415" s="1" t="s">
        <v>48</v>
      </c>
      <c r="I3415">
        <v>78643</v>
      </c>
      <c r="J3415" s="3">
        <v>29.42</v>
      </c>
      <c r="K3415" s="3">
        <v>2313677.06</v>
      </c>
    </row>
    <row r="3416" spans="1:11" x14ac:dyDescent="0.2">
      <c r="A3416" s="1" t="s">
        <v>4532</v>
      </c>
      <c r="B3416" s="2">
        <v>45583</v>
      </c>
      <c r="C3416" s="1" t="s">
        <v>1261</v>
      </c>
      <c r="D3416" s="1" t="s">
        <v>1262</v>
      </c>
      <c r="E3416" s="1" t="s">
        <v>28</v>
      </c>
      <c r="F3416" s="1" t="s">
        <v>552</v>
      </c>
      <c r="G3416" s="1" t="s">
        <v>553</v>
      </c>
      <c r="H3416" s="1" t="s">
        <v>37</v>
      </c>
      <c r="I3416">
        <v>60288</v>
      </c>
      <c r="J3416" s="3">
        <v>2.84</v>
      </c>
      <c r="K3416" s="3">
        <v>171217.92000000001</v>
      </c>
    </row>
    <row r="3417" spans="1:11" x14ac:dyDescent="0.2">
      <c r="A3417" s="1" t="s">
        <v>4533</v>
      </c>
      <c r="B3417" s="2">
        <v>45492</v>
      </c>
      <c r="C3417" s="1" t="s">
        <v>19</v>
      </c>
      <c r="D3417" s="1" t="s">
        <v>20</v>
      </c>
      <c r="E3417" s="1" t="s">
        <v>21</v>
      </c>
      <c r="F3417" s="1" t="s">
        <v>208</v>
      </c>
      <c r="G3417" s="1" t="s">
        <v>209</v>
      </c>
      <c r="H3417" s="1" t="s">
        <v>17</v>
      </c>
      <c r="I3417">
        <v>1215</v>
      </c>
      <c r="J3417" s="3">
        <v>27.52</v>
      </c>
      <c r="K3417" s="3">
        <v>33436.800000000003</v>
      </c>
    </row>
    <row r="3418" spans="1:11" x14ac:dyDescent="0.2">
      <c r="A3418" s="1" t="s">
        <v>4534</v>
      </c>
      <c r="B3418" s="2">
        <v>45328</v>
      </c>
      <c r="C3418" s="1" t="s">
        <v>1032</v>
      </c>
      <c r="D3418" s="1" t="s">
        <v>1033</v>
      </c>
      <c r="E3418" s="1" t="s">
        <v>34</v>
      </c>
      <c r="F3418" s="1" t="s">
        <v>139</v>
      </c>
      <c r="G3418" s="1" t="s">
        <v>140</v>
      </c>
      <c r="H3418" s="1" t="s">
        <v>24</v>
      </c>
      <c r="I3418">
        <v>15276</v>
      </c>
      <c r="J3418" s="3">
        <v>12.87</v>
      </c>
      <c r="K3418" s="3">
        <v>196602.12</v>
      </c>
    </row>
    <row r="3419" spans="1:11" x14ac:dyDescent="0.2">
      <c r="A3419" s="1" t="s">
        <v>4535</v>
      </c>
      <c r="B3419" s="2">
        <v>45761</v>
      </c>
      <c r="C3419" s="1" t="s">
        <v>1220</v>
      </c>
      <c r="D3419" s="1" t="s">
        <v>1221</v>
      </c>
      <c r="E3419" s="1" t="s">
        <v>34</v>
      </c>
      <c r="F3419" s="1" t="s">
        <v>176</v>
      </c>
      <c r="G3419" s="1" t="s">
        <v>177</v>
      </c>
      <c r="H3419" s="1" t="s">
        <v>37</v>
      </c>
      <c r="I3419">
        <v>99733</v>
      </c>
      <c r="J3419" s="3">
        <v>37.71</v>
      </c>
      <c r="K3419" s="3">
        <v>3760931.43</v>
      </c>
    </row>
    <row r="3420" spans="1:11" x14ac:dyDescent="0.2">
      <c r="A3420" s="1" t="s">
        <v>4536</v>
      </c>
      <c r="B3420" s="2">
        <v>45499</v>
      </c>
      <c r="C3420" s="1" t="s">
        <v>1017</v>
      </c>
      <c r="D3420" s="1" t="s">
        <v>1018</v>
      </c>
      <c r="E3420" s="1" t="s">
        <v>34</v>
      </c>
      <c r="F3420" s="1" t="s">
        <v>76</v>
      </c>
      <c r="G3420" s="1" t="s">
        <v>77</v>
      </c>
      <c r="H3420" s="1" t="s">
        <v>48</v>
      </c>
      <c r="I3420">
        <v>30799</v>
      </c>
      <c r="J3420" s="3">
        <v>28.67</v>
      </c>
      <c r="K3420" s="3">
        <v>883007.33</v>
      </c>
    </row>
    <row r="3421" spans="1:11" x14ac:dyDescent="0.2">
      <c r="A3421" s="1" t="s">
        <v>4537</v>
      </c>
      <c r="B3421" s="2">
        <v>45374</v>
      </c>
      <c r="C3421" s="1" t="s">
        <v>333</v>
      </c>
      <c r="D3421" s="1" t="s">
        <v>334</v>
      </c>
      <c r="E3421" s="1" t="s">
        <v>21</v>
      </c>
      <c r="F3421" s="1" t="s">
        <v>76</v>
      </c>
      <c r="G3421" s="1" t="s">
        <v>77</v>
      </c>
      <c r="H3421" s="1" t="s">
        <v>48</v>
      </c>
      <c r="I3421">
        <v>92004</v>
      </c>
      <c r="J3421" s="3">
        <v>30.26</v>
      </c>
      <c r="K3421" s="3">
        <v>2784041.04</v>
      </c>
    </row>
    <row r="3422" spans="1:11" x14ac:dyDescent="0.2">
      <c r="A3422" s="1" t="s">
        <v>4538</v>
      </c>
      <c r="B3422" s="2">
        <v>45610</v>
      </c>
      <c r="C3422" s="1" t="s">
        <v>1412</v>
      </c>
      <c r="D3422" s="1" t="s">
        <v>1413</v>
      </c>
      <c r="E3422" s="1" t="s">
        <v>37</v>
      </c>
      <c r="F3422" s="1" t="s">
        <v>57</v>
      </c>
      <c r="G3422" s="1" t="s">
        <v>58</v>
      </c>
      <c r="H3422" s="1" t="s">
        <v>48</v>
      </c>
      <c r="I3422">
        <v>32163</v>
      </c>
      <c r="J3422" s="3">
        <v>23.44</v>
      </c>
      <c r="K3422" s="3">
        <v>753900.72</v>
      </c>
    </row>
    <row r="3423" spans="1:11" x14ac:dyDescent="0.2">
      <c r="A3423" s="1" t="s">
        <v>4539</v>
      </c>
      <c r="B3423" s="2">
        <v>45724</v>
      </c>
      <c r="C3423" s="1" t="s">
        <v>1337</v>
      </c>
      <c r="D3423" s="1" t="s">
        <v>1338</v>
      </c>
      <c r="E3423" s="1" t="s">
        <v>34</v>
      </c>
      <c r="F3423" s="1" t="s">
        <v>552</v>
      </c>
      <c r="G3423" s="1" t="s">
        <v>553</v>
      </c>
      <c r="H3423" s="1" t="s">
        <v>37</v>
      </c>
      <c r="I3423">
        <v>9483</v>
      </c>
      <c r="J3423" s="3">
        <v>31.95</v>
      </c>
      <c r="K3423" s="3">
        <v>302981.84999999998</v>
      </c>
    </row>
    <row r="3424" spans="1:11" x14ac:dyDescent="0.2">
      <c r="A3424" s="1" t="s">
        <v>4540</v>
      </c>
      <c r="B3424" s="2">
        <v>45339</v>
      </c>
      <c r="C3424" s="1" t="s">
        <v>951</v>
      </c>
      <c r="D3424" s="1" t="s">
        <v>952</v>
      </c>
      <c r="E3424" s="1" t="s">
        <v>14</v>
      </c>
      <c r="F3424" s="1" t="s">
        <v>406</v>
      </c>
      <c r="G3424" s="1" t="s">
        <v>407</v>
      </c>
      <c r="H3424" s="1" t="s">
        <v>17</v>
      </c>
      <c r="I3424">
        <v>61613</v>
      </c>
      <c r="J3424" s="3">
        <v>9.68</v>
      </c>
      <c r="K3424" s="3">
        <v>596413.84</v>
      </c>
    </row>
    <row r="3425" spans="1:11" x14ac:dyDescent="0.2">
      <c r="A3425" s="1" t="s">
        <v>4541</v>
      </c>
      <c r="B3425" s="2">
        <v>45929</v>
      </c>
      <c r="C3425" s="1" t="s">
        <v>276</v>
      </c>
      <c r="D3425" s="1" t="s">
        <v>277</v>
      </c>
      <c r="E3425" s="1" t="s">
        <v>34</v>
      </c>
      <c r="F3425" s="1" t="s">
        <v>552</v>
      </c>
      <c r="G3425" s="1" t="s">
        <v>553</v>
      </c>
      <c r="H3425" s="1" t="s">
        <v>37</v>
      </c>
      <c r="I3425">
        <v>13596</v>
      </c>
      <c r="J3425" s="3">
        <v>17.21</v>
      </c>
      <c r="K3425" s="3">
        <v>233987.16</v>
      </c>
    </row>
    <row r="3426" spans="1:11" x14ac:dyDescent="0.2">
      <c r="A3426" s="1" t="s">
        <v>4542</v>
      </c>
      <c r="B3426" s="2">
        <v>45692</v>
      </c>
      <c r="C3426" s="1" t="s">
        <v>1230</v>
      </c>
      <c r="D3426" s="1" t="s">
        <v>1231</v>
      </c>
      <c r="E3426" s="1" t="s">
        <v>21</v>
      </c>
      <c r="F3426" s="1" t="s">
        <v>184</v>
      </c>
      <c r="G3426" s="1" t="s">
        <v>185</v>
      </c>
      <c r="H3426" s="1" t="s">
        <v>17</v>
      </c>
      <c r="I3426">
        <v>26294</v>
      </c>
      <c r="J3426" s="3">
        <v>33.270000000000003</v>
      </c>
      <c r="K3426" s="3">
        <v>874801.38</v>
      </c>
    </row>
    <row r="3427" spans="1:11" x14ac:dyDescent="0.2">
      <c r="A3427" s="1" t="s">
        <v>4543</v>
      </c>
      <c r="B3427" s="2">
        <v>45390</v>
      </c>
      <c r="C3427" s="1" t="s">
        <v>3221</v>
      </c>
      <c r="D3427" s="1" t="s">
        <v>3222</v>
      </c>
      <c r="E3427" s="1" t="s">
        <v>37</v>
      </c>
      <c r="F3427" s="1" t="s">
        <v>552</v>
      </c>
      <c r="G3427" s="1" t="s">
        <v>553</v>
      </c>
      <c r="H3427" s="1" t="s">
        <v>37</v>
      </c>
      <c r="I3427">
        <v>17407</v>
      </c>
      <c r="J3427" s="3">
        <v>13.79</v>
      </c>
      <c r="K3427" s="3">
        <v>240042.53</v>
      </c>
    </row>
    <row r="3428" spans="1:11" x14ac:dyDescent="0.2">
      <c r="A3428" s="1" t="s">
        <v>4544</v>
      </c>
      <c r="B3428" s="2">
        <v>45343</v>
      </c>
      <c r="C3428" s="1" t="s">
        <v>1489</v>
      </c>
      <c r="D3428" s="1" t="s">
        <v>1490</v>
      </c>
      <c r="E3428" s="1" t="s">
        <v>37</v>
      </c>
      <c r="F3428" s="1" t="s">
        <v>98</v>
      </c>
      <c r="G3428" s="1" t="s">
        <v>99</v>
      </c>
      <c r="H3428" s="1" t="s">
        <v>72</v>
      </c>
      <c r="I3428">
        <v>35171</v>
      </c>
      <c r="J3428" s="3">
        <v>37.01</v>
      </c>
      <c r="K3428" s="3">
        <v>1301678.71</v>
      </c>
    </row>
    <row r="3429" spans="1:11" x14ac:dyDescent="0.2">
      <c r="A3429" s="1" t="s">
        <v>4545</v>
      </c>
      <c r="B3429" s="2">
        <v>45787</v>
      </c>
      <c r="C3429" s="1" t="s">
        <v>215</v>
      </c>
      <c r="D3429" s="1" t="s">
        <v>216</v>
      </c>
      <c r="E3429" s="1" t="s">
        <v>21</v>
      </c>
      <c r="F3429" s="1" t="s">
        <v>35</v>
      </c>
      <c r="G3429" s="1" t="s">
        <v>36</v>
      </c>
      <c r="H3429" s="1" t="s">
        <v>37</v>
      </c>
      <c r="I3429">
        <v>74922</v>
      </c>
      <c r="J3429" s="3">
        <v>41.52</v>
      </c>
      <c r="K3429" s="3">
        <v>3110761.44</v>
      </c>
    </row>
    <row r="3430" spans="1:11" x14ac:dyDescent="0.2">
      <c r="A3430" s="1" t="s">
        <v>4546</v>
      </c>
      <c r="B3430" s="2">
        <v>45858</v>
      </c>
      <c r="C3430" s="1" t="s">
        <v>2541</v>
      </c>
      <c r="D3430" s="1" t="s">
        <v>2542</v>
      </c>
      <c r="E3430" s="1" t="s">
        <v>14</v>
      </c>
      <c r="F3430" s="1" t="s">
        <v>144</v>
      </c>
      <c r="G3430" s="1" t="s">
        <v>145</v>
      </c>
      <c r="H3430" s="1" t="s">
        <v>24</v>
      </c>
      <c r="I3430">
        <v>79790</v>
      </c>
      <c r="J3430" s="3">
        <v>19.05</v>
      </c>
      <c r="K3430" s="3">
        <v>1519999.5</v>
      </c>
    </row>
    <row r="3431" spans="1:11" x14ac:dyDescent="0.2">
      <c r="A3431" s="1" t="s">
        <v>4547</v>
      </c>
      <c r="B3431" s="2">
        <v>45843</v>
      </c>
      <c r="C3431" s="1" t="s">
        <v>593</v>
      </c>
      <c r="D3431" s="1" t="s">
        <v>594</v>
      </c>
      <c r="E3431" s="1" t="s">
        <v>37</v>
      </c>
      <c r="F3431" s="1" t="s">
        <v>208</v>
      </c>
      <c r="G3431" s="1" t="s">
        <v>209</v>
      </c>
      <c r="H3431" s="1" t="s">
        <v>17</v>
      </c>
      <c r="I3431">
        <v>84989</v>
      </c>
      <c r="J3431" s="3">
        <v>25.36</v>
      </c>
      <c r="K3431" s="3">
        <v>2155321.04</v>
      </c>
    </row>
    <row r="3432" spans="1:11" x14ac:dyDescent="0.2">
      <c r="A3432" s="1" t="s">
        <v>4548</v>
      </c>
      <c r="B3432" s="2">
        <v>45587</v>
      </c>
      <c r="C3432" s="1" t="s">
        <v>613</v>
      </c>
      <c r="D3432" s="1" t="s">
        <v>614</v>
      </c>
      <c r="E3432" s="1" t="s">
        <v>34</v>
      </c>
      <c r="F3432" s="1" t="s">
        <v>458</v>
      </c>
      <c r="G3432" s="1" t="s">
        <v>459</v>
      </c>
      <c r="H3432" s="1" t="s">
        <v>72</v>
      </c>
      <c r="I3432">
        <v>28368</v>
      </c>
      <c r="J3432" s="3">
        <v>11.01</v>
      </c>
      <c r="K3432" s="3">
        <v>312331.68</v>
      </c>
    </row>
    <row r="3433" spans="1:11" x14ac:dyDescent="0.2">
      <c r="A3433" s="1" t="s">
        <v>4549</v>
      </c>
      <c r="B3433" s="2">
        <v>45540</v>
      </c>
      <c r="C3433" s="1" t="s">
        <v>955</v>
      </c>
      <c r="D3433" s="1" t="s">
        <v>956</v>
      </c>
      <c r="E3433" s="1" t="s">
        <v>28</v>
      </c>
      <c r="F3433" s="1" t="s">
        <v>339</v>
      </c>
      <c r="G3433" s="1" t="s">
        <v>340</v>
      </c>
      <c r="H3433" s="1" t="s">
        <v>24</v>
      </c>
      <c r="I3433">
        <v>50228</v>
      </c>
      <c r="J3433" s="3">
        <v>39.799999999999997</v>
      </c>
      <c r="K3433" s="3">
        <v>1999074.4</v>
      </c>
    </row>
    <row r="3434" spans="1:11" x14ac:dyDescent="0.2">
      <c r="A3434" s="1" t="s">
        <v>4550</v>
      </c>
      <c r="B3434" s="2">
        <v>45433</v>
      </c>
      <c r="C3434" s="1" t="s">
        <v>2571</v>
      </c>
      <c r="D3434" s="1" t="s">
        <v>2572</v>
      </c>
      <c r="E3434" s="1" t="s">
        <v>34</v>
      </c>
      <c r="F3434" s="1" t="s">
        <v>46</v>
      </c>
      <c r="G3434" s="1" t="s">
        <v>47</v>
      </c>
      <c r="H3434" s="1" t="s">
        <v>48</v>
      </c>
      <c r="I3434">
        <v>85347</v>
      </c>
      <c r="J3434" s="3">
        <v>19.399999999999999</v>
      </c>
      <c r="K3434" s="3">
        <v>1655731.8</v>
      </c>
    </row>
    <row r="3435" spans="1:11" x14ac:dyDescent="0.2">
      <c r="A3435" s="1" t="s">
        <v>4551</v>
      </c>
      <c r="B3435" s="2">
        <v>45785</v>
      </c>
      <c r="C3435" s="1" t="s">
        <v>2785</v>
      </c>
      <c r="D3435" s="1" t="s">
        <v>2786</v>
      </c>
      <c r="E3435" s="1" t="s">
        <v>14</v>
      </c>
      <c r="F3435" s="1" t="s">
        <v>330</v>
      </c>
      <c r="G3435" s="1" t="s">
        <v>331</v>
      </c>
      <c r="H3435" s="1" t="s">
        <v>72</v>
      </c>
      <c r="I3435">
        <v>25012</v>
      </c>
      <c r="J3435" s="3">
        <v>19.239999999999998</v>
      </c>
      <c r="K3435" s="3">
        <v>481230.88</v>
      </c>
    </row>
    <row r="3436" spans="1:11" x14ac:dyDescent="0.2">
      <c r="A3436" s="1" t="s">
        <v>4552</v>
      </c>
      <c r="B3436" s="2">
        <v>45459</v>
      </c>
      <c r="C3436" s="1" t="s">
        <v>1563</v>
      </c>
      <c r="D3436" s="1" t="s">
        <v>1564</v>
      </c>
      <c r="E3436" s="1" t="s">
        <v>14</v>
      </c>
      <c r="F3436" s="1" t="s">
        <v>98</v>
      </c>
      <c r="G3436" s="1" t="s">
        <v>99</v>
      </c>
      <c r="H3436" s="1" t="s">
        <v>72</v>
      </c>
      <c r="I3436">
        <v>5388</v>
      </c>
      <c r="J3436" s="3">
        <v>7.4</v>
      </c>
      <c r="K3436" s="3">
        <v>39871.199999999997</v>
      </c>
    </row>
    <row r="3437" spans="1:11" x14ac:dyDescent="0.2">
      <c r="A3437" s="1" t="s">
        <v>4553</v>
      </c>
      <c r="B3437" s="2">
        <v>45719</v>
      </c>
      <c r="C3437" s="1" t="s">
        <v>187</v>
      </c>
      <c r="D3437" s="1" t="s">
        <v>188</v>
      </c>
      <c r="E3437" s="1" t="s">
        <v>34</v>
      </c>
      <c r="F3437" s="1" t="s">
        <v>189</v>
      </c>
      <c r="G3437" s="1" t="s">
        <v>190</v>
      </c>
      <c r="H3437" s="1" t="s">
        <v>17</v>
      </c>
      <c r="I3437">
        <v>88162</v>
      </c>
      <c r="J3437" s="3">
        <v>32.83</v>
      </c>
      <c r="K3437" s="3">
        <v>2894358.46</v>
      </c>
    </row>
    <row r="3438" spans="1:11" x14ac:dyDescent="0.2">
      <c r="A3438" s="1" t="s">
        <v>4554</v>
      </c>
      <c r="B3438" s="2">
        <v>45668</v>
      </c>
      <c r="C3438" s="1" t="s">
        <v>1567</v>
      </c>
      <c r="D3438" s="1" t="s">
        <v>1568</v>
      </c>
      <c r="E3438" s="1" t="s">
        <v>34</v>
      </c>
      <c r="F3438" s="1" t="s">
        <v>263</v>
      </c>
      <c r="G3438" s="1" t="s">
        <v>264</v>
      </c>
      <c r="H3438" s="1" t="s">
        <v>17</v>
      </c>
      <c r="I3438">
        <v>79673</v>
      </c>
      <c r="J3438" s="3">
        <v>26.87</v>
      </c>
      <c r="K3438" s="3">
        <v>2140813.5099999998</v>
      </c>
    </row>
    <row r="3439" spans="1:11" x14ac:dyDescent="0.2">
      <c r="A3439" s="1" t="s">
        <v>4555</v>
      </c>
      <c r="B3439" s="2">
        <v>45676</v>
      </c>
      <c r="C3439" s="1" t="s">
        <v>1454</v>
      </c>
      <c r="D3439" s="1" t="s">
        <v>1455</v>
      </c>
      <c r="E3439" s="1" t="s">
        <v>37</v>
      </c>
      <c r="F3439" s="1" t="s">
        <v>152</v>
      </c>
      <c r="G3439" s="1" t="s">
        <v>153</v>
      </c>
      <c r="H3439" s="1" t="s">
        <v>17</v>
      </c>
      <c r="I3439">
        <v>59068</v>
      </c>
      <c r="J3439" s="3">
        <v>11.46</v>
      </c>
      <c r="K3439" s="3">
        <v>676919.28</v>
      </c>
    </row>
    <row r="3440" spans="1:11" x14ac:dyDescent="0.2">
      <c r="A3440" s="1" t="s">
        <v>4556</v>
      </c>
      <c r="B3440" s="2">
        <v>45545</v>
      </c>
      <c r="C3440" s="1" t="s">
        <v>1220</v>
      </c>
      <c r="D3440" s="1" t="s">
        <v>1221</v>
      </c>
      <c r="E3440" s="1" t="s">
        <v>34</v>
      </c>
      <c r="F3440" s="1" t="s">
        <v>458</v>
      </c>
      <c r="G3440" s="1" t="s">
        <v>459</v>
      </c>
      <c r="H3440" s="1" t="s">
        <v>72</v>
      </c>
      <c r="I3440">
        <v>70358</v>
      </c>
      <c r="J3440" s="3">
        <v>24.26</v>
      </c>
      <c r="K3440" s="3">
        <v>1706885.08</v>
      </c>
    </row>
    <row r="3441" spans="1:11" x14ac:dyDescent="0.2">
      <c r="A3441" s="1" t="s">
        <v>4557</v>
      </c>
      <c r="B3441" s="2">
        <v>45856</v>
      </c>
      <c r="C3441" s="1" t="s">
        <v>860</v>
      </c>
      <c r="D3441" s="1" t="s">
        <v>861</v>
      </c>
      <c r="E3441" s="1" t="s">
        <v>21</v>
      </c>
      <c r="F3441" s="1" t="s">
        <v>81</v>
      </c>
      <c r="G3441" s="1" t="s">
        <v>82</v>
      </c>
      <c r="H3441" s="1" t="s">
        <v>72</v>
      </c>
      <c r="I3441">
        <v>16419</v>
      </c>
      <c r="J3441" s="3">
        <v>23.79</v>
      </c>
      <c r="K3441" s="3">
        <v>390608.01</v>
      </c>
    </row>
    <row r="3442" spans="1:11" x14ac:dyDescent="0.2">
      <c r="A3442" s="1" t="s">
        <v>4558</v>
      </c>
      <c r="B3442" s="2">
        <v>45479</v>
      </c>
      <c r="C3442" s="1" t="s">
        <v>377</v>
      </c>
      <c r="D3442" s="1" t="s">
        <v>378</v>
      </c>
      <c r="E3442" s="1" t="s">
        <v>37</v>
      </c>
      <c r="F3442" s="1" t="s">
        <v>330</v>
      </c>
      <c r="G3442" s="1" t="s">
        <v>331</v>
      </c>
      <c r="H3442" s="1" t="s">
        <v>72</v>
      </c>
      <c r="I3442">
        <v>62541</v>
      </c>
      <c r="J3442" s="3">
        <v>35.119999999999997</v>
      </c>
      <c r="K3442" s="3">
        <v>2196439.92</v>
      </c>
    </row>
    <row r="3443" spans="1:11" x14ac:dyDescent="0.2">
      <c r="A3443" s="1" t="s">
        <v>4559</v>
      </c>
      <c r="B3443" s="2">
        <v>45981</v>
      </c>
      <c r="C3443" s="1" t="s">
        <v>249</v>
      </c>
      <c r="D3443" s="1" t="s">
        <v>250</v>
      </c>
      <c r="E3443" s="1" t="s">
        <v>21</v>
      </c>
      <c r="F3443" s="1" t="s">
        <v>46</v>
      </c>
      <c r="G3443" s="1" t="s">
        <v>47</v>
      </c>
      <c r="H3443" s="1" t="s">
        <v>48</v>
      </c>
      <c r="I3443">
        <v>6703</v>
      </c>
      <c r="J3443" s="3">
        <v>31.31</v>
      </c>
      <c r="K3443" s="3">
        <v>209870.93</v>
      </c>
    </row>
    <row r="3444" spans="1:11" x14ac:dyDescent="0.2">
      <c r="A3444" s="1" t="s">
        <v>4560</v>
      </c>
      <c r="B3444" s="2">
        <v>46021</v>
      </c>
      <c r="C3444" s="1" t="s">
        <v>678</v>
      </c>
      <c r="D3444" s="1" t="s">
        <v>679</v>
      </c>
      <c r="E3444" s="1" t="s">
        <v>28</v>
      </c>
      <c r="F3444" s="1" t="s">
        <v>761</v>
      </c>
      <c r="G3444" s="1" t="s">
        <v>762</v>
      </c>
      <c r="H3444" s="1" t="s">
        <v>48</v>
      </c>
      <c r="I3444">
        <v>7559</v>
      </c>
      <c r="J3444" s="3">
        <v>15.59</v>
      </c>
      <c r="K3444" s="3">
        <v>117844.81</v>
      </c>
    </row>
    <row r="3445" spans="1:11" x14ac:dyDescent="0.2">
      <c r="A3445" s="1" t="s">
        <v>4561</v>
      </c>
      <c r="B3445" s="2">
        <v>45678</v>
      </c>
      <c r="C3445" s="1" t="s">
        <v>2991</v>
      </c>
      <c r="D3445" s="1" t="s">
        <v>2992</v>
      </c>
      <c r="E3445" s="1" t="s">
        <v>37</v>
      </c>
      <c r="F3445" s="1" t="s">
        <v>22</v>
      </c>
      <c r="G3445" s="1" t="s">
        <v>23</v>
      </c>
      <c r="H3445" s="1" t="s">
        <v>24</v>
      </c>
      <c r="I3445">
        <v>3126</v>
      </c>
      <c r="J3445" s="3">
        <v>43.54</v>
      </c>
      <c r="K3445" s="3">
        <v>136106.04</v>
      </c>
    </row>
    <row r="3446" spans="1:11" x14ac:dyDescent="0.2">
      <c r="A3446" s="1" t="s">
        <v>4562</v>
      </c>
      <c r="B3446" s="2">
        <v>45750</v>
      </c>
      <c r="C3446" s="1" t="s">
        <v>1793</v>
      </c>
      <c r="D3446" s="1" t="s">
        <v>1794</v>
      </c>
      <c r="E3446" s="1" t="s">
        <v>37</v>
      </c>
      <c r="F3446" s="1" t="s">
        <v>217</v>
      </c>
      <c r="G3446" s="1" t="s">
        <v>218</v>
      </c>
      <c r="H3446" s="1" t="s">
        <v>72</v>
      </c>
      <c r="I3446">
        <v>85867</v>
      </c>
      <c r="J3446" s="3">
        <v>42.72</v>
      </c>
      <c r="K3446" s="3">
        <v>3668238.24</v>
      </c>
    </row>
    <row r="3447" spans="1:11" x14ac:dyDescent="0.2">
      <c r="A3447" s="1" t="s">
        <v>4563</v>
      </c>
      <c r="B3447" s="2">
        <v>45346</v>
      </c>
      <c r="C3447" s="1" t="s">
        <v>905</v>
      </c>
      <c r="D3447" s="1" t="s">
        <v>906</v>
      </c>
      <c r="E3447" s="1" t="s">
        <v>14</v>
      </c>
      <c r="F3447" s="1" t="s">
        <v>474</v>
      </c>
      <c r="G3447" s="1" t="s">
        <v>475</v>
      </c>
      <c r="H3447" s="1" t="s">
        <v>48</v>
      </c>
      <c r="I3447">
        <v>83577</v>
      </c>
      <c r="J3447" s="3">
        <v>23.36</v>
      </c>
      <c r="K3447" s="3">
        <v>1952358.72</v>
      </c>
    </row>
    <row r="3448" spans="1:11" x14ac:dyDescent="0.2">
      <c r="A3448" s="1" t="s">
        <v>4564</v>
      </c>
      <c r="B3448" s="2">
        <v>45333</v>
      </c>
      <c r="C3448" s="1" t="s">
        <v>1460</v>
      </c>
      <c r="D3448" s="1" t="s">
        <v>1461</v>
      </c>
      <c r="E3448" s="1" t="s">
        <v>37</v>
      </c>
      <c r="F3448" s="1" t="s">
        <v>263</v>
      </c>
      <c r="G3448" s="1" t="s">
        <v>264</v>
      </c>
      <c r="H3448" s="1" t="s">
        <v>17</v>
      </c>
      <c r="I3448">
        <v>84380</v>
      </c>
      <c r="J3448" s="3">
        <v>21.97</v>
      </c>
      <c r="K3448" s="3">
        <v>1853828.6</v>
      </c>
    </row>
    <row r="3449" spans="1:11" x14ac:dyDescent="0.2">
      <c r="A3449" s="1" t="s">
        <v>4565</v>
      </c>
      <c r="B3449" s="2">
        <v>45914</v>
      </c>
      <c r="C3449" s="1" t="s">
        <v>1302</v>
      </c>
      <c r="D3449" s="1" t="s">
        <v>1303</v>
      </c>
      <c r="E3449" s="1" t="s">
        <v>37</v>
      </c>
      <c r="F3449" s="1" t="s">
        <v>203</v>
      </c>
      <c r="G3449" s="1" t="s">
        <v>204</v>
      </c>
      <c r="H3449" s="1" t="s">
        <v>72</v>
      </c>
      <c r="I3449">
        <v>55272</v>
      </c>
      <c r="J3449" s="3">
        <v>28.51</v>
      </c>
      <c r="K3449" s="3">
        <v>1575804.72</v>
      </c>
    </row>
    <row r="3450" spans="1:11" x14ac:dyDescent="0.2">
      <c r="A3450" s="1" t="s">
        <v>4566</v>
      </c>
      <c r="B3450" s="2">
        <v>45951</v>
      </c>
      <c r="C3450" s="1" t="s">
        <v>469</v>
      </c>
      <c r="D3450" s="1" t="s">
        <v>470</v>
      </c>
      <c r="E3450" s="1" t="s">
        <v>21</v>
      </c>
      <c r="F3450" s="1" t="s">
        <v>98</v>
      </c>
      <c r="G3450" s="1" t="s">
        <v>99</v>
      </c>
      <c r="H3450" s="1" t="s">
        <v>72</v>
      </c>
      <c r="I3450">
        <v>79431</v>
      </c>
      <c r="J3450" s="3">
        <v>8.64</v>
      </c>
      <c r="K3450" s="3">
        <v>686283.84</v>
      </c>
    </row>
    <row r="3451" spans="1:11" x14ac:dyDescent="0.2">
      <c r="A3451" s="1" t="s">
        <v>4567</v>
      </c>
      <c r="B3451" s="2">
        <v>45621</v>
      </c>
      <c r="C3451" s="1" t="s">
        <v>517</v>
      </c>
      <c r="D3451" s="1" t="s">
        <v>518</v>
      </c>
      <c r="E3451" s="1" t="s">
        <v>21</v>
      </c>
      <c r="F3451" s="1" t="s">
        <v>273</v>
      </c>
      <c r="G3451" s="1" t="s">
        <v>274</v>
      </c>
      <c r="H3451" s="1" t="s">
        <v>24</v>
      </c>
      <c r="I3451">
        <v>71492</v>
      </c>
      <c r="J3451" s="3">
        <v>35.479999999999997</v>
      </c>
      <c r="K3451" s="3">
        <v>2536536.16</v>
      </c>
    </row>
    <row r="3452" spans="1:11" x14ac:dyDescent="0.2">
      <c r="A3452" s="1" t="s">
        <v>4568</v>
      </c>
      <c r="B3452" s="2">
        <v>45685</v>
      </c>
      <c r="C3452" s="1" t="s">
        <v>4024</v>
      </c>
      <c r="D3452" s="1" t="s">
        <v>4025</v>
      </c>
      <c r="E3452" s="1" t="s">
        <v>28</v>
      </c>
      <c r="F3452" s="1" t="s">
        <v>165</v>
      </c>
      <c r="G3452" s="1" t="s">
        <v>166</v>
      </c>
      <c r="H3452" s="1" t="s">
        <v>24</v>
      </c>
      <c r="I3452">
        <v>79365</v>
      </c>
      <c r="J3452" s="3">
        <v>2.89</v>
      </c>
      <c r="K3452" s="3">
        <v>229364.85</v>
      </c>
    </row>
    <row r="3453" spans="1:11" x14ac:dyDescent="0.2">
      <c r="A3453" s="1" t="s">
        <v>4569</v>
      </c>
      <c r="B3453" s="2">
        <v>45694</v>
      </c>
      <c r="C3453" s="1" t="s">
        <v>648</v>
      </c>
      <c r="D3453" s="1" t="s">
        <v>649</v>
      </c>
      <c r="E3453" s="1" t="s">
        <v>28</v>
      </c>
      <c r="F3453" s="1" t="s">
        <v>394</v>
      </c>
      <c r="G3453" s="1" t="s">
        <v>395</v>
      </c>
      <c r="H3453" s="1" t="s">
        <v>48</v>
      </c>
      <c r="I3453">
        <v>88677</v>
      </c>
      <c r="J3453" s="3">
        <v>43.45</v>
      </c>
      <c r="K3453" s="3">
        <v>3853015.65</v>
      </c>
    </row>
    <row r="3454" spans="1:11" x14ac:dyDescent="0.2">
      <c r="A3454" s="1" t="s">
        <v>4570</v>
      </c>
      <c r="B3454" s="2">
        <v>45358</v>
      </c>
      <c r="C3454" s="1" t="s">
        <v>211</v>
      </c>
      <c r="D3454" s="1" t="s">
        <v>212</v>
      </c>
      <c r="E3454" s="1" t="s">
        <v>37</v>
      </c>
      <c r="F3454" s="1" t="s">
        <v>81</v>
      </c>
      <c r="G3454" s="1" t="s">
        <v>82</v>
      </c>
      <c r="H3454" s="1" t="s">
        <v>72</v>
      </c>
      <c r="I3454">
        <v>12436</v>
      </c>
      <c r="J3454" s="3">
        <v>4.82</v>
      </c>
      <c r="K3454" s="3">
        <v>59941.52</v>
      </c>
    </row>
    <row r="3455" spans="1:11" x14ac:dyDescent="0.2">
      <c r="A3455" s="1" t="s">
        <v>4571</v>
      </c>
      <c r="B3455" s="2">
        <v>45585</v>
      </c>
      <c r="C3455" s="1" t="s">
        <v>1121</v>
      </c>
      <c r="D3455" s="1" t="s">
        <v>1122</v>
      </c>
      <c r="E3455" s="1" t="s">
        <v>28</v>
      </c>
      <c r="F3455" s="1" t="s">
        <v>57</v>
      </c>
      <c r="G3455" s="1" t="s">
        <v>58</v>
      </c>
      <c r="H3455" s="1" t="s">
        <v>48</v>
      </c>
      <c r="I3455">
        <v>91952</v>
      </c>
      <c r="J3455" s="3">
        <v>38.369999999999997</v>
      </c>
      <c r="K3455" s="3">
        <v>3528198.24</v>
      </c>
    </row>
    <row r="3456" spans="1:11" x14ac:dyDescent="0.2">
      <c r="A3456" s="1" t="s">
        <v>4572</v>
      </c>
      <c r="B3456" s="2">
        <v>45676</v>
      </c>
      <c r="C3456" s="1" t="s">
        <v>266</v>
      </c>
      <c r="D3456" s="1" t="s">
        <v>267</v>
      </c>
      <c r="E3456" s="1" t="s">
        <v>14</v>
      </c>
      <c r="F3456" s="1" t="s">
        <v>189</v>
      </c>
      <c r="G3456" s="1" t="s">
        <v>190</v>
      </c>
      <c r="H3456" s="1" t="s">
        <v>17</v>
      </c>
      <c r="I3456">
        <v>69852</v>
      </c>
      <c r="J3456" s="3">
        <v>36.03</v>
      </c>
      <c r="K3456" s="3">
        <v>2516767.56</v>
      </c>
    </row>
    <row r="3457" spans="1:11" x14ac:dyDescent="0.2">
      <c r="A3457" s="1" t="s">
        <v>4573</v>
      </c>
      <c r="B3457" s="2">
        <v>45821</v>
      </c>
      <c r="C3457" s="1" t="s">
        <v>297</v>
      </c>
      <c r="D3457" s="1" t="s">
        <v>298</v>
      </c>
      <c r="E3457" s="1" t="s">
        <v>21</v>
      </c>
      <c r="F3457" s="1" t="s">
        <v>339</v>
      </c>
      <c r="G3457" s="1" t="s">
        <v>340</v>
      </c>
      <c r="H3457" s="1" t="s">
        <v>24</v>
      </c>
      <c r="I3457">
        <v>61687</v>
      </c>
      <c r="J3457" s="3">
        <v>38.33</v>
      </c>
      <c r="K3457" s="3">
        <v>2364462.71</v>
      </c>
    </row>
    <row r="3458" spans="1:11" x14ac:dyDescent="0.2">
      <c r="A3458" s="1" t="s">
        <v>4574</v>
      </c>
      <c r="B3458" s="2">
        <v>45696</v>
      </c>
      <c r="C3458" s="1" t="s">
        <v>2686</v>
      </c>
      <c r="D3458" s="1" t="s">
        <v>2687</v>
      </c>
      <c r="E3458" s="1" t="s">
        <v>21</v>
      </c>
      <c r="F3458" s="1" t="s">
        <v>761</v>
      </c>
      <c r="G3458" s="1" t="s">
        <v>762</v>
      </c>
      <c r="H3458" s="1" t="s">
        <v>48</v>
      </c>
      <c r="I3458">
        <v>7988</v>
      </c>
      <c r="J3458" s="3">
        <v>34.71</v>
      </c>
      <c r="K3458" s="3">
        <v>277263.48</v>
      </c>
    </row>
    <row r="3459" spans="1:11" x14ac:dyDescent="0.2">
      <c r="A3459" s="1" t="s">
        <v>4575</v>
      </c>
      <c r="B3459" s="2">
        <v>45988</v>
      </c>
      <c r="C3459" s="1" t="s">
        <v>348</v>
      </c>
      <c r="D3459" s="1" t="s">
        <v>349</v>
      </c>
      <c r="E3459" s="1" t="s">
        <v>28</v>
      </c>
      <c r="F3459" s="1" t="s">
        <v>152</v>
      </c>
      <c r="G3459" s="1" t="s">
        <v>153</v>
      </c>
      <c r="H3459" s="1" t="s">
        <v>17</v>
      </c>
      <c r="I3459">
        <v>62483</v>
      </c>
      <c r="J3459" s="3">
        <v>48.37</v>
      </c>
      <c r="K3459" s="3">
        <v>3022302.71</v>
      </c>
    </row>
    <row r="3460" spans="1:11" x14ac:dyDescent="0.2">
      <c r="A3460" s="1" t="s">
        <v>4576</v>
      </c>
      <c r="B3460" s="2">
        <v>45760</v>
      </c>
      <c r="C3460" s="1" t="s">
        <v>1216</v>
      </c>
      <c r="D3460" s="1" t="s">
        <v>1217</v>
      </c>
      <c r="E3460" s="1" t="s">
        <v>37</v>
      </c>
      <c r="F3460" s="1" t="s">
        <v>176</v>
      </c>
      <c r="G3460" s="1" t="s">
        <v>177</v>
      </c>
      <c r="H3460" s="1" t="s">
        <v>37</v>
      </c>
      <c r="I3460">
        <v>57623</v>
      </c>
      <c r="J3460" s="3">
        <v>40.74</v>
      </c>
      <c r="K3460" s="3">
        <v>2347561.02</v>
      </c>
    </row>
    <row r="3461" spans="1:11" x14ac:dyDescent="0.2">
      <c r="A3461" s="1" t="s">
        <v>4577</v>
      </c>
      <c r="B3461" s="2">
        <v>45512</v>
      </c>
      <c r="C3461" s="1" t="s">
        <v>684</v>
      </c>
      <c r="D3461" s="1" t="s">
        <v>685</v>
      </c>
      <c r="E3461" s="1" t="s">
        <v>37</v>
      </c>
      <c r="F3461" s="1" t="s">
        <v>474</v>
      </c>
      <c r="G3461" s="1" t="s">
        <v>475</v>
      </c>
      <c r="H3461" s="1" t="s">
        <v>48</v>
      </c>
      <c r="I3461">
        <v>82640</v>
      </c>
      <c r="J3461" s="3">
        <v>4.5599999999999996</v>
      </c>
      <c r="K3461" s="3">
        <v>376838.40000000002</v>
      </c>
    </row>
    <row r="3462" spans="1:11" x14ac:dyDescent="0.2">
      <c r="A3462" s="1" t="s">
        <v>4578</v>
      </c>
      <c r="B3462" s="2">
        <v>45772</v>
      </c>
      <c r="C3462" s="1" t="s">
        <v>1216</v>
      </c>
      <c r="D3462" s="1" t="s">
        <v>1217</v>
      </c>
      <c r="E3462" s="1" t="s">
        <v>37</v>
      </c>
      <c r="F3462" s="1" t="s">
        <v>406</v>
      </c>
      <c r="G3462" s="1" t="s">
        <v>407</v>
      </c>
      <c r="H3462" s="1" t="s">
        <v>17</v>
      </c>
      <c r="I3462">
        <v>6644</v>
      </c>
      <c r="J3462" s="3">
        <v>29.31</v>
      </c>
      <c r="K3462" s="3">
        <v>194735.64</v>
      </c>
    </row>
    <row r="3463" spans="1:11" x14ac:dyDescent="0.2">
      <c r="A3463" s="1" t="s">
        <v>4579</v>
      </c>
      <c r="B3463" s="2">
        <v>45467</v>
      </c>
      <c r="C3463" s="1" t="s">
        <v>4149</v>
      </c>
      <c r="D3463" s="1" t="s">
        <v>4150</v>
      </c>
      <c r="E3463" s="1" t="s">
        <v>14</v>
      </c>
      <c r="F3463" s="1" t="s">
        <v>237</v>
      </c>
      <c r="G3463" s="1" t="s">
        <v>238</v>
      </c>
      <c r="H3463" s="1" t="s">
        <v>17</v>
      </c>
      <c r="I3463">
        <v>90784</v>
      </c>
      <c r="J3463" s="3">
        <v>46.62</v>
      </c>
      <c r="K3463" s="3">
        <v>4232350.08</v>
      </c>
    </row>
    <row r="3464" spans="1:11" x14ac:dyDescent="0.2">
      <c r="A3464" s="1" t="s">
        <v>4580</v>
      </c>
      <c r="B3464" s="2">
        <v>45371</v>
      </c>
      <c r="C3464" s="1" t="s">
        <v>336</v>
      </c>
      <c r="D3464" s="1" t="s">
        <v>337</v>
      </c>
      <c r="E3464" s="1" t="s">
        <v>21</v>
      </c>
      <c r="F3464" s="1" t="s">
        <v>108</v>
      </c>
      <c r="G3464" s="1" t="s">
        <v>109</v>
      </c>
      <c r="H3464" s="1" t="s">
        <v>37</v>
      </c>
      <c r="I3464">
        <v>36902</v>
      </c>
      <c r="J3464" s="3">
        <v>31.99</v>
      </c>
      <c r="K3464" s="3">
        <v>1180494.98</v>
      </c>
    </row>
    <row r="3465" spans="1:11" x14ac:dyDescent="0.2">
      <c r="A3465" s="1" t="s">
        <v>4581</v>
      </c>
      <c r="B3465" s="2">
        <v>45844</v>
      </c>
      <c r="C3465" s="1" t="s">
        <v>678</v>
      </c>
      <c r="D3465" s="1" t="s">
        <v>679</v>
      </c>
      <c r="E3465" s="1" t="s">
        <v>28</v>
      </c>
      <c r="F3465" s="1" t="s">
        <v>228</v>
      </c>
      <c r="G3465" s="1" t="s">
        <v>229</v>
      </c>
      <c r="H3465" s="1" t="s">
        <v>48</v>
      </c>
      <c r="I3465">
        <v>96043</v>
      </c>
      <c r="J3465" s="3">
        <v>6.63</v>
      </c>
      <c r="K3465" s="3">
        <v>636765.09</v>
      </c>
    </row>
    <row r="3466" spans="1:11" x14ac:dyDescent="0.2">
      <c r="A3466" s="1" t="s">
        <v>4582</v>
      </c>
      <c r="B3466" s="2">
        <v>45348</v>
      </c>
      <c r="C3466" s="1" t="s">
        <v>890</v>
      </c>
      <c r="D3466" s="1" t="s">
        <v>891</v>
      </c>
      <c r="E3466" s="1" t="s">
        <v>37</v>
      </c>
      <c r="F3466" s="1" t="s">
        <v>41</v>
      </c>
      <c r="G3466" s="1" t="s">
        <v>42</v>
      </c>
      <c r="H3466" s="1" t="s">
        <v>24</v>
      </c>
      <c r="I3466">
        <v>55360</v>
      </c>
      <c r="J3466" s="3">
        <v>38.700000000000003</v>
      </c>
      <c r="K3466" s="3">
        <v>2142432</v>
      </c>
    </row>
    <row r="3467" spans="1:11" x14ac:dyDescent="0.2">
      <c r="A3467" s="1" t="s">
        <v>4583</v>
      </c>
      <c r="B3467" s="2">
        <v>45717</v>
      </c>
      <c r="C3467" s="1" t="s">
        <v>783</v>
      </c>
      <c r="D3467" s="1" t="s">
        <v>784</v>
      </c>
      <c r="E3467" s="1" t="s">
        <v>14</v>
      </c>
      <c r="F3467" s="1" t="s">
        <v>436</v>
      </c>
      <c r="G3467" s="1" t="s">
        <v>437</v>
      </c>
      <c r="H3467" s="1" t="s">
        <v>24</v>
      </c>
      <c r="I3467">
        <v>13688</v>
      </c>
      <c r="J3467" s="3">
        <v>47.43</v>
      </c>
      <c r="K3467" s="3">
        <v>649221.84</v>
      </c>
    </row>
    <row r="3468" spans="1:11" x14ac:dyDescent="0.2">
      <c r="A3468" s="1" t="s">
        <v>4584</v>
      </c>
      <c r="B3468" s="2">
        <v>45362</v>
      </c>
      <c r="C3468" s="1" t="s">
        <v>1211</v>
      </c>
      <c r="D3468" s="1" t="s">
        <v>1212</v>
      </c>
      <c r="E3468" s="1" t="s">
        <v>37</v>
      </c>
      <c r="F3468" s="1" t="s">
        <v>22</v>
      </c>
      <c r="G3468" s="1" t="s">
        <v>23</v>
      </c>
      <c r="H3468" s="1" t="s">
        <v>24</v>
      </c>
      <c r="I3468">
        <v>64051</v>
      </c>
      <c r="J3468" s="3">
        <v>27</v>
      </c>
      <c r="K3468" s="3">
        <v>1729377</v>
      </c>
    </row>
    <row r="3469" spans="1:11" x14ac:dyDescent="0.2">
      <c r="A3469" s="1" t="s">
        <v>4585</v>
      </c>
      <c r="B3469" s="2">
        <v>45993</v>
      </c>
      <c r="C3469" s="1" t="s">
        <v>3170</v>
      </c>
      <c r="D3469" s="1" t="s">
        <v>3171</v>
      </c>
      <c r="E3469" s="1" t="s">
        <v>34</v>
      </c>
      <c r="F3469" s="1" t="s">
        <v>284</v>
      </c>
      <c r="G3469" s="1" t="s">
        <v>285</v>
      </c>
      <c r="H3469" s="1" t="s">
        <v>37</v>
      </c>
      <c r="I3469">
        <v>37315</v>
      </c>
      <c r="J3469" s="3">
        <v>44.9</v>
      </c>
      <c r="K3469" s="3">
        <v>1675443.5</v>
      </c>
    </row>
    <row r="3470" spans="1:11" x14ac:dyDescent="0.2">
      <c r="A3470" s="1" t="s">
        <v>4586</v>
      </c>
      <c r="B3470" s="2">
        <v>45971</v>
      </c>
      <c r="C3470" s="1" t="s">
        <v>125</v>
      </c>
      <c r="D3470" s="1" t="s">
        <v>126</v>
      </c>
      <c r="E3470" s="1" t="s">
        <v>21</v>
      </c>
      <c r="F3470" s="1" t="s">
        <v>463</v>
      </c>
      <c r="G3470" s="1" t="s">
        <v>464</v>
      </c>
      <c r="H3470" s="1" t="s">
        <v>37</v>
      </c>
      <c r="I3470">
        <v>15523</v>
      </c>
      <c r="J3470" s="3">
        <v>8.1999999999999993</v>
      </c>
      <c r="K3470" s="3">
        <v>127288.6</v>
      </c>
    </row>
    <row r="3471" spans="1:11" x14ac:dyDescent="0.2">
      <c r="A3471" s="1" t="s">
        <v>4587</v>
      </c>
      <c r="B3471" s="2">
        <v>45632</v>
      </c>
      <c r="C3471" s="1" t="s">
        <v>1867</v>
      </c>
      <c r="D3471" s="1" t="s">
        <v>1868</v>
      </c>
      <c r="E3471" s="1" t="s">
        <v>28</v>
      </c>
      <c r="F3471" s="1" t="s">
        <v>65</v>
      </c>
      <c r="G3471" s="1" t="s">
        <v>66</v>
      </c>
      <c r="H3471" s="1" t="s">
        <v>48</v>
      </c>
      <c r="I3471">
        <v>39350</v>
      </c>
      <c r="J3471" s="3">
        <v>11.65</v>
      </c>
      <c r="K3471" s="3">
        <v>458427.5</v>
      </c>
    </row>
    <row r="3472" spans="1:11" x14ac:dyDescent="0.2">
      <c r="A3472" s="1" t="s">
        <v>4588</v>
      </c>
      <c r="B3472" s="2">
        <v>45482</v>
      </c>
      <c r="C3472" s="1" t="s">
        <v>1547</v>
      </c>
      <c r="D3472" s="1" t="s">
        <v>1548</v>
      </c>
      <c r="E3472" s="1" t="s">
        <v>21</v>
      </c>
      <c r="F3472" s="1" t="s">
        <v>81</v>
      </c>
      <c r="G3472" s="1" t="s">
        <v>82</v>
      </c>
      <c r="H3472" s="1" t="s">
        <v>72</v>
      </c>
      <c r="I3472">
        <v>31362</v>
      </c>
      <c r="J3472" s="3">
        <v>27.36</v>
      </c>
      <c r="K3472" s="3">
        <v>858064.32</v>
      </c>
    </row>
    <row r="3473" spans="1:11" x14ac:dyDescent="0.2">
      <c r="A3473" s="1" t="s">
        <v>4589</v>
      </c>
      <c r="B3473" s="2">
        <v>45738</v>
      </c>
      <c r="C3473" s="1" t="s">
        <v>4024</v>
      </c>
      <c r="D3473" s="1" t="s">
        <v>4025</v>
      </c>
      <c r="E3473" s="1" t="s">
        <v>28</v>
      </c>
      <c r="F3473" s="1" t="s">
        <v>761</v>
      </c>
      <c r="G3473" s="1" t="s">
        <v>762</v>
      </c>
      <c r="H3473" s="1" t="s">
        <v>48</v>
      </c>
      <c r="I3473">
        <v>70624</v>
      </c>
      <c r="J3473" s="3">
        <v>33.020000000000003</v>
      </c>
      <c r="K3473" s="3">
        <v>2332004.48</v>
      </c>
    </row>
    <row r="3474" spans="1:11" x14ac:dyDescent="0.2">
      <c r="A3474" s="1" t="s">
        <v>4590</v>
      </c>
      <c r="B3474" s="2">
        <v>45788</v>
      </c>
      <c r="C3474" s="1" t="s">
        <v>1679</v>
      </c>
      <c r="D3474" s="1" t="s">
        <v>1680</v>
      </c>
      <c r="E3474" s="1" t="s">
        <v>37</v>
      </c>
      <c r="F3474" s="1" t="s">
        <v>474</v>
      </c>
      <c r="G3474" s="1" t="s">
        <v>475</v>
      </c>
      <c r="H3474" s="1" t="s">
        <v>48</v>
      </c>
      <c r="I3474">
        <v>12879</v>
      </c>
      <c r="J3474" s="3">
        <v>31.19</v>
      </c>
      <c r="K3474" s="3">
        <v>401696.01</v>
      </c>
    </row>
    <row r="3475" spans="1:11" x14ac:dyDescent="0.2">
      <c r="A3475" s="1" t="s">
        <v>4591</v>
      </c>
      <c r="B3475" s="2">
        <v>45574</v>
      </c>
      <c r="C3475" s="1" t="s">
        <v>1014</v>
      </c>
      <c r="D3475" s="1" t="s">
        <v>1015</v>
      </c>
      <c r="E3475" s="1" t="s">
        <v>34</v>
      </c>
      <c r="F3475" s="1" t="s">
        <v>113</v>
      </c>
      <c r="G3475" s="1" t="s">
        <v>114</v>
      </c>
      <c r="H3475" s="1" t="s">
        <v>37</v>
      </c>
      <c r="I3475">
        <v>38122</v>
      </c>
      <c r="J3475" s="3">
        <v>44.66</v>
      </c>
      <c r="K3475" s="3">
        <v>1702528.52</v>
      </c>
    </row>
    <row r="3476" spans="1:11" x14ac:dyDescent="0.2">
      <c r="A3476" s="1" t="s">
        <v>4592</v>
      </c>
      <c r="B3476" s="2">
        <v>45386</v>
      </c>
      <c r="C3476" s="1" t="s">
        <v>920</v>
      </c>
      <c r="D3476" s="1" t="s">
        <v>921</v>
      </c>
      <c r="E3476" s="1" t="s">
        <v>14</v>
      </c>
      <c r="F3476" s="1" t="s">
        <v>284</v>
      </c>
      <c r="G3476" s="1" t="s">
        <v>285</v>
      </c>
      <c r="H3476" s="1" t="s">
        <v>37</v>
      </c>
      <c r="I3476">
        <v>11295</v>
      </c>
      <c r="J3476" s="3">
        <v>8.1</v>
      </c>
      <c r="K3476" s="3">
        <v>91489.5</v>
      </c>
    </row>
    <row r="3477" spans="1:11" x14ac:dyDescent="0.2">
      <c r="A3477" s="1" t="s">
        <v>4593</v>
      </c>
      <c r="B3477" s="2">
        <v>45542</v>
      </c>
      <c r="C3477" s="1" t="s">
        <v>1757</v>
      </c>
      <c r="D3477" s="1" t="s">
        <v>1758</v>
      </c>
      <c r="E3477" s="1" t="s">
        <v>37</v>
      </c>
      <c r="F3477" s="1" t="s">
        <v>510</v>
      </c>
      <c r="G3477" s="1" t="s">
        <v>511</v>
      </c>
      <c r="H3477" s="1" t="s">
        <v>17</v>
      </c>
      <c r="I3477">
        <v>17255</v>
      </c>
      <c r="J3477" s="3">
        <v>7.52</v>
      </c>
      <c r="K3477" s="3">
        <v>129757.6</v>
      </c>
    </row>
    <row r="3478" spans="1:11" x14ac:dyDescent="0.2">
      <c r="A3478" s="1" t="s">
        <v>4594</v>
      </c>
      <c r="B3478" s="2">
        <v>45834</v>
      </c>
      <c r="C3478" s="1" t="s">
        <v>1247</v>
      </c>
      <c r="D3478" s="1" t="s">
        <v>1248</v>
      </c>
      <c r="E3478" s="1" t="s">
        <v>28</v>
      </c>
      <c r="F3478" s="1" t="s">
        <v>103</v>
      </c>
      <c r="G3478" s="1" t="s">
        <v>104</v>
      </c>
      <c r="H3478" s="1" t="s">
        <v>37</v>
      </c>
      <c r="I3478">
        <v>74832</v>
      </c>
      <c r="J3478" s="3">
        <v>21.29</v>
      </c>
      <c r="K3478" s="3">
        <v>1593173.28</v>
      </c>
    </row>
    <row r="3479" spans="1:11" x14ac:dyDescent="0.2">
      <c r="A3479" s="1" t="s">
        <v>4595</v>
      </c>
      <c r="B3479" s="2">
        <v>45805</v>
      </c>
      <c r="C3479" s="1" t="s">
        <v>456</v>
      </c>
      <c r="D3479" s="1" t="s">
        <v>457</v>
      </c>
      <c r="E3479" s="1" t="s">
        <v>37</v>
      </c>
      <c r="F3479" s="1" t="s">
        <v>436</v>
      </c>
      <c r="G3479" s="1" t="s">
        <v>437</v>
      </c>
      <c r="H3479" s="1" t="s">
        <v>24</v>
      </c>
      <c r="I3479">
        <v>71122</v>
      </c>
      <c r="J3479" s="3">
        <v>6</v>
      </c>
      <c r="K3479" s="3">
        <v>426732</v>
      </c>
    </row>
    <row r="3480" spans="1:11" x14ac:dyDescent="0.2">
      <c r="A3480" s="1" t="s">
        <v>4596</v>
      </c>
      <c r="B3480" s="2">
        <v>45645</v>
      </c>
      <c r="C3480" s="1" t="s">
        <v>1784</v>
      </c>
      <c r="D3480" s="1" t="s">
        <v>1785</v>
      </c>
      <c r="E3480" s="1" t="s">
        <v>21</v>
      </c>
      <c r="F3480" s="1" t="s">
        <v>139</v>
      </c>
      <c r="G3480" s="1" t="s">
        <v>140</v>
      </c>
      <c r="H3480" s="1" t="s">
        <v>24</v>
      </c>
      <c r="I3480">
        <v>29411</v>
      </c>
      <c r="J3480" s="3">
        <v>42.62</v>
      </c>
      <c r="K3480" s="3">
        <v>1253496.82</v>
      </c>
    </row>
    <row r="3481" spans="1:11" x14ac:dyDescent="0.2">
      <c r="A3481" s="1" t="s">
        <v>4597</v>
      </c>
      <c r="B3481" s="2">
        <v>45335</v>
      </c>
      <c r="C3481" s="1" t="s">
        <v>1207</v>
      </c>
      <c r="D3481" s="1" t="s">
        <v>1208</v>
      </c>
      <c r="E3481" s="1" t="s">
        <v>37</v>
      </c>
      <c r="F3481" s="1" t="s">
        <v>15</v>
      </c>
      <c r="G3481" s="1" t="s">
        <v>16</v>
      </c>
      <c r="H3481" s="1" t="s">
        <v>17</v>
      </c>
      <c r="I3481">
        <v>58330</v>
      </c>
      <c r="J3481" s="3">
        <v>28.46</v>
      </c>
      <c r="K3481" s="3">
        <v>1660071.8</v>
      </c>
    </row>
    <row r="3482" spans="1:11" x14ac:dyDescent="0.2">
      <c r="A3482" s="1" t="s">
        <v>4598</v>
      </c>
      <c r="B3482" s="2">
        <v>45579</v>
      </c>
      <c r="C3482" s="1" t="s">
        <v>1761</v>
      </c>
      <c r="D3482" s="1" t="s">
        <v>1762</v>
      </c>
      <c r="E3482" s="1" t="s">
        <v>14</v>
      </c>
      <c r="F3482" s="1" t="s">
        <v>165</v>
      </c>
      <c r="G3482" s="1" t="s">
        <v>166</v>
      </c>
      <c r="H3482" s="1" t="s">
        <v>24</v>
      </c>
      <c r="I3482">
        <v>37682</v>
      </c>
      <c r="J3482" s="3">
        <v>15.05</v>
      </c>
      <c r="K3482" s="3">
        <v>567114.1</v>
      </c>
    </row>
    <row r="3483" spans="1:11" x14ac:dyDescent="0.2">
      <c r="A3483" s="1" t="s">
        <v>4599</v>
      </c>
      <c r="B3483" s="2">
        <v>45697</v>
      </c>
      <c r="C3483" s="1" t="s">
        <v>587</v>
      </c>
      <c r="D3483" s="1" t="s">
        <v>588</v>
      </c>
      <c r="E3483" s="1" t="s">
        <v>21</v>
      </c>
      <c r="F3483" s="1" t="s">
        <v>22</v>
      </c>
      <c r="G3483" s="1" t="s">
        <v>23</v>
      </c>
      <c r="H3483" s="1" t="s">
        <v>24</v>
      </c>
      <c r="I3483">
        <v>73062</v>
      </c>
      <c r="J3483" s="3">
        <v>15.1</v>
      </c>
      <c r="K3483" s="3">
        <v>1103236.2</v>
      </c>
    </row>
    <row r="3484" spans="1:11" x14ac:dyDescent="0.2">
      <c r="A3484" s="1" t="s">
        <v>4600</v>
      </c>
      <c r="B3484" s="2">
        <v>45625</v>
      </c>
      <c r="C3484" s="1" t="s">
        <v>134</v>
      </c>
      <c r="D3484" s="1" t="s">
        <v>135</v>
      </c>
      <c r="E3484" s="1" t="s">
        <v>14</v>
      </c>
      <c r="F3484" s="1" t="s">
        <v>330</v>
      </c>
      <c r="G3484" s="1" t="s">
        <v>331</v>
      </c>
      <c r="H3484" s="1" t="s">
        <v>72</v>
      </c>
      <c r="I3484">
        <v>45416</v>
      </c>
      <c r="J3484" s="3">
        <v>4.0599999999999996</v>
      </c>
      <c r="K3484" s="3">
        <v>184388.96</v>
      </c>
    </row>
    <row r="3485" spans="1:11" x14ac:dyDescent="0.2">
      <c r="A3485" s="1" t="s">
        <v>4601</v>
      </c>
      <c r="B3485" s="2">
        <v>45388</v>
      </c>
      <c r="C3485" s="1" t="s">
        <v>2314</v>
      </c>
      <c r="D3485" s="1" t="s">
        <v>2315</v>
      </c>
      <c r="E3485" s="1" t="s">
        <v>21</v>
      </c>
      <c r="F3485" s="1" t="s">
        <v>237</v>
      </c>
      <c r="G3485" s="1" t="s">
        <v>238</v>
      </c>
      <c r="H3485" s="1" t="s">
        <v>17</v>
      </c>
      <c r="I3485">
        <v>98829</v>
      </c>
      <c r="J3485" s="3">
        <v>10.5</v>
      </c>
      <c r="K3485" s="3">
        <v>1037704.5</v>
      </c>
    </row>
    <row r="3486" spans="1:11" x14ac:dyDescent="0.2">
      <c r="A3486" s="1" t="s">
        <v>4602</v>
      </c>
      <c r="B3486" s="2">
        <v>45957</v>
      </c>
      <c r="C3486" s="1" t="s">
        <v>1382</v>
      </c>
      <c r="D3486" s="1" t="s">
        <v>1383</v>
      </c>
      <c r="E3486" s="1" t="s">
        <v>37</v>
      </c>
      <c r="F3486" s="1" t="s">
        <v>22</v>
      </c>
      <c r="G3486" s="1" t="s">
        <v>23</v>
      </c>
      <c r="H3486" s="1" t="s">
        <v>24</v>
      </c>
      <c r="I3486">
        <v>36910</v>
      </c>
      <c r="J3486" s="3">
        <v>24.22</v>
      </c>
      <c r="K3486" s="3">
        <v>893960.2</v>
      </c>
    </row>
    <row r="3487" spans="1:11" x14ac:dyDescent="0.2">
      <c r="A3487" s="1" t="s">
        <v>4603</v>
      </c>
      <c r="B3487" s="2">
        <v>45774</v>
      </c>
      <c r="C3487" s="1" t="s">
        <v>182</v>
      </c>
      <c r="D3487" s="1" t="s">
        <v>183</v>
      </c>
      <c r="E3487" s="1" t="s">
        <v>14</v>
      </c>
      <c r="F3487" s="1" t="s">
        <v>176</v>
      </c>
      <c r="G3487" s="1" t="s">
        <v>177</v>
      </c>
      <c r="H3487" s="1" t="s">
        <v>37</v>
      </c>
      <c r="I3487">
        <v>75508</v>
      </c>
      <c r="J3487" s="3">
        <v>12.02</v>
      </c>
      <c r="K3487" s="3">
        <v>907606.16</v>
      </c>
    </row>
    <row r="3488" spans="1:11" x14ac:dyDescent="0.2">
      <c r="A3488" s="1" t="s">
        <v>4604</v>
      </c>
      <c r="B3488" s="2">
        <v>45393</v>
      </c>
      <c r="C3488" s="1" t="s">
        <v>1683</v>
      </c>
      <c r="D3488" s="1" t="s">
        <v>1684</v>
      </c>
      <c r="E3488" s="1" t="s">
        <v>14</v>
      </c>
      <c r="F3488" s="1" t="s">
        <v>273</v>
      </c>
      <c r="G3488" s="1" t="s">
        <v>274</v>
      </c>
      <c r="H3488" s="1" t="s">
        <v>24</v>
      </c>
      <c r="I3488">
        <v>34731</v>
      </c>
      <c r="J3488" s="3">
        <v>14.41</v>
      </c>
      <c r="K3488" s="3">
        <v>500473.71</v>
      </c>
    </row>
    <row r="3489" spans="1:11" x14ac:dyDescent="0.2">
      <c r="A3489" s="1" t="s">
        <v>4605</v>
      </c>
      <c r="B3489" s="2">
        <v>45813</v>
      </c>
      <c r="C3489" s="1" t="s">
        <v>4024</v>
      </c>
      <c r="D3489" s="1" t="s">
        <v>4025</v>
      </c>
      <c r="E3489" s="1" t="s">
        <v>28</v>
      </c>
      <c r="F3489" s="1" t="s">
        <v>463</v>
      </c>
      <c r="G3489" s="1" t="s">
        <v>464</v>
      </c>
      <c r="H3489" s="1" t="s">
        <v>37</v>
      </c>
      <c r="I3489">
        <v>47471</v>
      </c>
      <c r="J3489" s="3">
        <v>47.31</v>
      </c>
      <c r="K3489" s="3">
        <v>2245853.0099999998</v>
      </c>
    </row>
    <row r="3490" spans="1:11" x14ac:dyDescent="0.2">
      <c r="A3490" s="1" t="s">
        <v>4606</v>
      </c>
      <c r="B3490" s="2">
        <v>45686</v>
      </c>
      <c r="C3490" s="1" t="s">
        <v>994</v>
      </c>
      <c r="D3490" s="1" t="s">
        <v>995</v>
      </c>
      <c r="E3490" s="1" t="s">
        <v>21</v>
      </c>
      <c r="F3490" s="1" t="s">
        <v>35</v>
      </c>
      <c r="G3490" s="1" t="s">
        <v>36</v>
      </c>
      <c r="H3490" s="1" t="s">
        <v>37</v>
      </c>
      <c r="I3490">
        <v>69564</v>
      </c>
      <c r="J3490" s="3">
        <v>2.21</v>
      </c>
      <c r="K3490" s="3">
        <v>153736.44</v>
      </c>
    </row>
    <row r="3491" spans="1:11" x14ac:dyDescent="0.2">
      <c r="A3491" s="1" t="s">
        <v>4607</v>
      </c>
      <c r="B3491" s="2">
        <v>45553</v>
      </c>
      <c r="C3491" s="1" t="s">
        <v>456</v>
      </c>
      <c r="D3491" s="1" t="s">
        <v>457</v>
      </c>
      <c r="E3491" s="1" t="s">
        <v>37</v>
      </c>
      <c r="F3491" s="1" t="s">
        <v>436</v>
      </c>
      <c r="G3491" s="1" t="s">
        <v>437</v>
      </c>
      <c r="H3491" s="1" t="s">
        <v>24</v>
      </c>
      <c r="I3491">
        <v>10316</v>
      </c>
      <c r="J3491" s="3">
        <v>5.59</v>
      </c>
      <c r="K3491" s="3">
        <v>57666.44</v>
      </c>
    </row>
    <row r="3492" spans="1:11" x14ac:dyDescent="0.2">
      <c r="A3492" s="1" t="s">
        <v>4608</v>
      </c>
      <c r="B3492" s="2">
        <v>45939</v>
      </c>
      <c r="C3492" s="1" t="s">
        <v>1797</v>
      </c>
      <c r="D3492" s="1" t="s">
        <v>1798</v>
      </c>
      <c r="E3492" s="1" t="s">
        <v>37</v>
      </c>
      <c r="F3492" s="1" t="s">
        <v>76</v>
      </c>
      <c r="G3492" s="1" t="s">
        <v>77</v>
      </c>
      <c r="H3492" s="1" t="s">
        <v>48</v>
      </c>
      <c r="I3492">
        <v>72416</v>
      </c>
      <c r="J3492" s="3">
        <v>16.03</v>
      </c>
      <c r="K3492" s="3">
        <v>1160828.48</v>
      </c>
    </row>
    <row r="3493" spans="1:11" x14ac:dyDescent="0.2">
      <c r="A3493" s="1" t="s">
        <v>4609</v>
      </c>
      <c r="B3493" s="2">
        <v>45371</v>
      </c>
      <c r="C3493" s="1" t="s">
        <v>2386</v>
      </c>
      <c r="D3493" s="1" t="s">
        <v>2387</v>
      </c>
      <c r="E3493" s="1" t="s">
        <v>28</v>
      </c>
      <c r="F3493" s="1" t="s">
        <v>15</v>
      </c>
      <c r="G3493" s="1" t="s">
        <v>16</v>
      </c>
      <c r="H3493" s="1" t="s">
        <v>17</v>
      </c>
      <c r="I3493">
        <v>19569</v>
      </c>
      <c r="J3493" s="3">
        <v>21.68</v>
      </c>
      <c r="K3493" s="3">
        <v>424255.92</v>
      </c>
    </row>
    <row r="3494" spans="1:11" x14ac:dyDescent="0.2">
      <c r="A3494" s="1" t="s">
        <v>4610</v>
      </c>
      <c r="B3494" s="2">
        <v>45990</v>
      </c>
      <c r="C3494" s="1" t="s">
        <v>377</v>
      </c>
      <c r="D3494" s="1" t="s">
        <v>378</v>
      </c>
      <c r="E3494" s="1" t="s">
        <v>37</v>
      </c>
      <c r="F3494" s="1" t="s">
        <v>113</v>
      </c>
      <c r="G3494" s="1" t="s">
        <v>114</v>
      </c>
      <c r="H3494" s="1" t="s">
        <v>37</v>
      </c>
      <c r="I3494">
        <v>50262</v>
      </c>
      <c r="J3494" s="3">
        <v>30.66</v>
      </c>
      <c r="K3494" s="3">
        <v>1541032.92</v>
      </c>
    </row>
    <row r="3495" spans="1:11" x14ac:dyDescent="0.2">
      <c r="A3495" s="1" t="s">
        <v>4611</v>
      </c>
      <c r="B3495" s="2">
        <v>45539</v>
      </c>
      <c r="C3495" s="1" t="s">
        <v>1964</v>
      </c>
      <c r="D3495" s="1" t="s">
        <v>1965</v>
      </c>
      <c r="E3495" s="1" t="s">
        <v>21</v>
      </c>
      <c r="F3495" s="1" t="s">
        <v>113</v>
      </c>
      <c r="G3495" s="1" t="s">
        <v>114</v>
      </c>
      <c r="H3495" s="1" t="s">
        <v>37</v>
      </c>
      <c r="I3495">
        <v>93483</v>
      </c>
      <c r="J3495" s="3">
        <v>8.15</v>
      </c>
      <c r="K3495" s="3">
        <v>761886.45</v>
      </c>
    </row>
    <row r="3496" spans="1:11" x14ac:dyDescent="0.2">
      <c r="A3496" s="1" t="s">
        <v>4612</v>
      </c>
      <c r="B3496" s="2">
        <v>45374</v>
      </c>
      <c r="C3496" s="1" t="s">
        <v>3354</v>
      </c>
      <c r="D3496" s="1" t="s">
        <v>3355</v>
      </c>
      <c r="E3496" s="1" t="s">
        <v>28</v>
      </c>
      <c r="F3496" s="1" t="s">
        <v>81</v>
      </c>
      <c r="G3496" s="1" t="s">
        <v>82</v>
      </c>
      <c r="H3496" s="1" t="s">
        <v>72</v>
      </c>
      <c r="I3496">
        <v>38111</v>
      </c>
      <c r="J3496" s="3">
        <v>2.76</v>
      </c>
      <c r="K3496" s="3">
        <v>105186.36</v>
      </c>
    </row>
    <row r="3497" spans="1:11" x14ac:dyDescent="0.2">
      <c r="A3497" s="1" t="s">
        <v>4613</v>
      </c>
      <c r="B3497" s="2">
        <v>45401</v>
      </c>
      <c r="C3497" s="1" t="s">
        <v>1460</v>
      </c>
      <c r="D3497" s="1" t="s">
        <v>1461</v>
      </c>
      <c r="E3497" s="1" t="s">
        <v>37</v>
      </c>
      <c r="F3497" s="1" t="s">
        <v>463</v>
      </c>
      <c r="G3497" s="1" t="s">
        <v>464</v>
      </c>
      <c r="H3497" s="1" t="s">
        <v>37</v>
      </c>
      <c r="I3497">
        <v>59644</v>
      </c>
      <c r="J3497" s="3">
        <v>12.78</v>
      </c>
      <c r="K3497" s="3">
        <v>762250.32</v>
      </c>
    </row>
    <row r="3498" spans="1:11" x14ac:dyDescent="0.2">
      <c r="A3498" s="1" t="s">
        <v>4614</v>
      </c>
      <c r="B3498" s="2">
        <v>45602</v>
      </c>
      <c r="C3498" s="1" t="s">
        <v>570</v>
      </c>
      <c r="D3498" s="1" t="s">
        <v>571</v>
      </c>
      <c r="E3498" s="1" t="s">
        <v>28</v>
      </c>
      <c r="F3498" s="1" t="s">
        <v>208</v>
      </c>
      <c r="G3498" s="1" t="s">
        <v>209</v>
      </c>
      <c r="H3498" s="1" t="s">
        <v>17</v>
      </c>
      <c r="I3498">
        <v>65730</v>
      </c>
      <c r="J3498" s="3">
        <v>45.87</v>
      </c>
      <c r="K3498" s="3">
        <v>3015035.1</v>
      </c>
    </row>
    <row r="3499" spans="1:11" x14ac:dyDescent="0.2">
      <c r="A3499" s="1" t="s">
        <v>4615</v>
      </c>
      <c r="B3499" s="2">
        <v>45591</v>
      </c>
      <c r="C3499" s="1" t="s">
        <v>1201</v>
      </c>
      <c r="D3499" s="1" t="s">
        <v>1202</v>
      </c>
      <c r="E3499" s="1" t="s">
        <v>37</v>
      </c>
      <c r="F3499" s="1" t="s">
        <v>22</v>
      </c>
      <c r="G3499" s="1" t="s">
        <v>23</v>
      </c>
      <c r="H3499" s="1" t="s">
        <v>24</v>
      </c>
      <c r="I3499">
        <v>42481</v>
      </c>
      <c r="J3499" s="3">
        <v>14.59</v>
      </c>
      <c r="K3499" s="3">
        <v>619797.79</v>
      </c>
    </row>
    <row r="3500" spans="1:11" x14ac:dyDescent="0.2">
      <c r="A3500" s="1" t="s">
        <v>4616</v>
      </c>
      <c r="B3500" s="2">
        <v>45755</v>
      </c>
      <c r="C3500" s="1" t="s">
        <v>1567</v>
      </c>
      <c r="D3500" s="1" t="s">
        <v>1568</v>
      </c>
      <c r="E3500" s="1" t="s">
        <v>34</v>
      </c>
      <c r="F3500" s="1" t="s">
        <v>237</v>
      </c>
      <c r="G3500" s="1" t="s">
        <v>238</v>
      </c>
      <c r="H3500" s="1" t="s">
        <v>17</v>
      </c>
      <c r="I3500">
        <v>49506</v>
      </c>
      <c r="J3500" s="3">
        <v>29.04</v>
      </c>
      <c r="K3500" s="3">
        <v>1437654.24</v>
      </c>
    </row>
    <row r="3501" spans="1:11" x14ac:dyDescent="0.2">
      <c r="A3501" s="1" t="s">
        <v>4617</v>
      </c>
      <c r="B3501" s="2">
        <v>45728</v>
      </c>
      <c r="C3501" s="1" t="s">
        <v>1516</v>
      </c>
      <c r="D3501" s="1" t="s">
        <v>1517</v>
      </c>
      <c r="E3501" s="1" t="s">
        <v>21</v>
      </c>
      <c r="F3501" s="1" t="s">
        <v>81</v>
      </c>
      <c r="G3501" s="1" t="s">
        <v>82</v>
      </c>
      <c r="H3501" s="1" t="s">
        <v>72</v>
      </c>
      <c r="I3501">
        <v>23313</v>
      </c>
      <c r="J3501" s="3">
        <v>3.24</v>
      </c>
      <c r="K3501" s="3">
        <v>75534.12</v>
      </c>
    </row>
    <row r="3502" spans="1:11" x14ac:dyDescent="0.2">
      <c r="A3502" s="1" t="s">
        <v>4618</v>
      </c>
      <c r="B3502" s="2">
        <v>45524</v>
      </c>
      <c r="C3502" s="1" t="s">
        <v>1894</v>
      </c>
      <c r="D3502" s="1" t="s">
        <v>1895</v>
      </c>
      <c r="E3502" s="1" t="s">
        <v>28</v>
      </c>
      <c r="F3502" s="1" t="s">
        <v>324</v>
      </c>
      <c r="G3502" s="1" t="s">
        <v>325</v>
      </c>
      <c r="H3502" s="1" t="s">
        <v>24</v>
      </c>
      <c r="I3502">
        <v>35526</v>
      </c>
      <c r="J3502" s="3">
        <v>12.12</v>
      </c>
      <c r="K3502" s="3">
        <v>430575.12</v>
      </c>
    </row>
    <row r="3503" spans="1:11" x14ac:dyDescent="0.2">
      <c r="A3503" s="1" t="s">
        <v>4619</v>
      </c>
      <c r="B3503" s="2">
        <v>45466</v>
      </c>
      <c r="C3503" s="1" t="s">
        <v>1340</v>
      </c>
      <c r="D3503" s="1" t="s">
        <v>1341</v>
      </c>
      <c r="E3503" s="1" t="s">
        <v>28</v>
      </c>
      <c r="F3503" s="1" t="s">
        <v>339</v>
      </c>
      <c r="G3503" s="1" t="s">
        <v>340</v>
      </c>
      <c r="H3503" s="1" t="s">
        <v>24</v>
      </c>
      <c r="I3503">
        <v>7684</v>
      </c>
      <c r="J3503" s="3">
        <v>14.42</v>
      </c>
      <c r="K3503" s="3">
        <v>110803.28</v>
      </c>
    </row>
    <row r="3504" spans="1:11" x14ac:dyDescent="0.2">
      <c r="A3504" s="1" t="s">
        <v>4620</v>
      </c>
      <c r="B3504" s="2">
        <v>46002</v>
      </c>
      <c r="C3504" s="1" t="s">
        <v>2748</v>
      </c>
      <c r="D3504" s="1" t="s">
        <v>2749</v>
      </c>
      <c r="E3504" s="1" t="s">
        <v>14</v>
      </c>
      <c r="F3504" s="1" t="s">
        <v>195</v>
      </c>
      <c r="G3504" s="1" t="s">
        <v>196</v>
      </c>
      <c r="H3504" s="1" t="s">
        <v>48</v>
      </c>
      <c r="I3504">
        <v>96104</v>
      </c>
      <c r="J3504" s="3">
        <v>5.52</v>
      </c>
      <c r="K3504" s="3">
        <v>530494.07999999996</v>
      </c>
    </row>
    <row r="3505" spans="1:11" x14ac:dyDescent="0.2">
      <c r="A3505" s="1" t="s">
        <v>4621</v>
      </c>
      <c r="B3505" s="2">
        <v>45874</v>
      </c>
      <c r="C3505" s="1" t="s">
        <v>1930</v>
      </c>
      <c r="D3505" s="1" t="s">
        <v>1931</v>
      </c>
      <c r="E3505" s="1" t="s">
        <v>14</v>
      </c>
      <c r="F3505" s="1" t="s">
        <v>412</v>
      </c>
      <c r="G3505" s="1" t="s">
        <v>413</v>
      </c>
      <c r="H3505" s="1" t="s">
        <v>72</v>
      </c>
      <c r="I3505">
        <v>88521</v>
      </c>
      <c r="J3505" s="3">
        <v>46.54</v>
      </c>
      <c r="K3505" s="3">
        <v>4119767.34</v>
      </c>
    </row>
    <row r="3506" spans="1:11" x14ac:dyDescent="0.2">
      <c r="A3506" s="1" t="s">
        <v>4622</v>
      </c>
      <c r="B3506" s="2">
        <v>45380</v>
      </c>
      <c r="C3506" s="1" t="s">
        <v>1004</v>
      </c>
      <c r="D3506" s="1" t="s">
        <v>1005</v>
      </c>
      <c r="E3506" s="1" t="s">
        <v>21</v>
      </c>
      <c r="F3506" s="1" t="s">
        <v>263</v>
      </c>
      <c r="G3506" s="1" t="s">
        <v>264</v>
      </c>
      <c r="H3506" s="1" t="s">
        <v>17</v>
      </c>
      <c r="I3506">
        <v>58690</v>
      </c>
      <c r="J3506" s="3">
        <v>38.61</v>
      </c>
      <c r="K3506" s="3">
        <v>2266020.9</v>
      </c>
    </row>
    <row r="3507" spans="1:11" x14ac:dyDescent="0.2">
      <c r="A3507" s="1" t="s">
        <v>4623</v>
      </c>
      <c r="B3507" s="2">
        <v>45379</v>
      </c>
      <c r="C3507" s="1" t="s">
        <v>573</v>
      </c>
      <c r="D3507" s="1" t="s">
        <v>574</v>
      </c>
      <c r="E3507" s="1" t="s">
        <v>14</v>
      </c>
      <c r="F3507" s="1" t="s">
        <v>176</v>
      </c>
      <c r="G3507" s="1" t="s">
        <v>177</v>
      </c>
      <c r="H3507" s="1" t="s">
        <v>37</v>
      </c>
      <c r="I3507">
        <v>97700</v>
      </c>
      <c r="J3507" s="3">
        <v>20.84</v>
      </c>
      <c r="K3507" s="3">
        <v>2036068</v>
      </c>
    </row>
    <row r="3508" spans="1:11" x14ac:dyDescent="0.2">
      <c r="A3508" s="1" t="s">
        <v>4624</v>
      </c>
      <c r="B3508" s="2">
        <v>45624</v>
      </c>
      <c r="C3508" s="1" t="s">
        <v>969</v>
      </c>
      <c r="D3508" s="1" t="s">
        <v>970</v>
      </c>
      <c r="E3508" s="1" t="s">
        <v>37</v>
      </c>
      <c r="F3508" s="1" t="s">
        <v>394</v>
      </c>
      <c r="G3508" s="1" t="s">
        <v>395</v>
      </c>
      <c r="H3508" s="1" t="s">
        <v>48</v>
      </c>
      <c r="I3508">
        <v>33528</v>
      </c>
      <c r="J3508" s="3">
        <v>35.53</v>
      </c>
      <c r="K3508" s="3">
        <v>1191249.8400000001</v>
      </c>
    </row>
    <row r="3509" spans="1:11" x14ac:dyDescent="0.2">
      <c r="A3509" s="1" t="s">
        <v>4625</v>
      </c>
      <c r="B3509" s="2">
        <v>45460</v>
      </c>
      <c r="C3509" s="1" t="s">
        <v>2121</v>
      </c>
      <c r="D3509" s="1" t="s">
        <v>2122</v>
      </c>
      <c r="E3509" s="1" t="s">
        <v>34</v>
      </c>
      <c r="F3509" s="1" t="s">
        <v>208</v>
      </c>
      <c r="G3509" s="1" t="s">
        <v>209</v>
      </c>
      <c r="H3509" s="1" t="s">
        <v>17</v>
      </c>
      <c r="I3509">
        <v>58231</v>
      </c>
      <c r="J3509" s="3">
        <v>16.75</v>
      </c>
      <c r="K3509" s="3">
        <v>975369.25</v>
      </c>
    </row>
    <row r="3510" spans="1:11" x14ac:dyDescent="0.2">
      <c r="A3510" s="1" t="s">
        <v>4626</v>
      </c>
      <c r="B3510" s="2">
        <v>45640</v>
      </c>
      <c r="C3510" s="1" t="s">
        <v>254</v>
      </c>
      <c r="D3510" s="1" t="s">
        <v>255</v>
      </c>
      <c r="E3510" s="1" t="s">
        <v>14</v>
      </c>
      <c r="F3510" s="1" t="s">
        <v>268</v>
      </c>
      <c r="G3510" s="1" t="s">
        <v>269</v>
      </c>
      <c r="H3510" s="1" t="s">
        <v>72</v>
      </c>
      <c r="I3510">
        <v>66794</v>
      </c>
      <c r="J3510" s="3">
        <v>33.590000000000003</v>
      </c>
      <c r="K3510" s="3">
        <v>2243610.46</v>
      </c>
    </row>
    <row r="3511" spans="1:11" x14ac:dyDescent="0.2">
      <c r="A3511" s="1" t="s">
        <v>4627</v>
      </c>
      <c r="B3511" s="2">
        <v>45438</v>
      </c>
      <c r="C3511" s="1" t="s">
        <v>1254</v>
      </c>
      <c r="D3511" s="1" t="s">
        <v>1255</v>
      </c>
      <c r="E3511" s="1" t="s">
        <v>14</v>
      </c>
      <c r="F3511" s="1" t="s">
        <v>458</v>
      </c>
      <c r="G3511" s="1" t="s">
        <v>459</v>
      </c>
      <c r="H3511" s="1" t="s">
        <v>72</v>
      </c>
      <c r="I3511">
        <v>83649</v>
      </c>
      <c r="J3511" s="3">
        <v>8.44</v>
      </c>
      <c r="K3511" s="3">
        <v>705997.56</v>
      </c>
    </row>
    <row r="3512" spans="1:11" x14ac:dyDescent="0.2">
      <c r="A3512" s="1" t="s">
        <v>4628</v>
      </c>
      <c r="B3512" s="2">
        <v>46022</v>
      </c>
      <c r="C3512" s="1" t="s">
        <v>759</v>
      </c>
      <c r="D3512" s="1" t="s">
        <v>760</v>
      </c>
      <c r="E3512" s="1" t="s">
        <v>37</v>
      </c>
      <c r="F3512" s="1" t="s">
        <v>412</v>
      </c>
      <c r="G3512" s="1" t="s">
        <v>413</v>
      </c>
      <c r="H3512" s="1" t="s">
        <v>72</v>
      </c>
      <c r="I3512">
        <v>96133</v>
      </c>
      <c r="J3512" s="3">
        <v>7.02</v>
      </c>
      <c r="K3512" s="3">
        <v>674853.66</v>
      </c>
    </row>
    <row r="3513" spans="1:11" x14ac:dyDescent="0.2">
      <c r="A3513" s="1" t="s">
        <v>4629</v>
      </c>
      <c r="B3513" s="2">
        <v>45691</v>
      </c>
      <c r="C3513" s="1" t="s">
        <v>1701</v>
      </c>
      <c r="D3513" s="1" t="s">
        <v>1702</v>
      </c>
      <c r="E3513" s="1" t="s">
        <v>34</v>
      </c>
      <c r="F3513" s="1" t="s">
        <v>70</v>
      </c>
      <c r="G3513" s="1" t="s">
        <v>71</v>
      </c>
      <c r="H3513" s="1" t="s">
        <v>72</v>
      </c>
      <c r="I3513">
        <v>56551</v>
      </c>
      <c r="J3513" s="3">
        <v>23.81</v>
      </c>
      <c r="K3513" s="3">
        <v>1346479.31</v>
      </c>
    </row>
    <row r="3514" spans="1:11" x14ac:dyDescent="0.2">
      <c r="A3514" s="1" t="s">
        <v>4630</v>
      </c>
      <c r="B3514" s="2">
        <v>46022</v>
      </c>
      <c r="C3514" s="1" t="s">
        <v>664</v>
      </c>
      <c r="D3514" s="1" t="s">
        <v>665</v>
      </c>
      <c r="E3514" s="1" t="s">
        <v>21</v>
      </c>
      <c r="F3514" s="1" t="s">
        <v>412</v>
      </c>
      <c r="G3514" s="1" t="s">
        <v>413</v>
      </c>
      <c r="H3514" s="1" t="s">
        <v>72</v>
      </c>
      <c r="I3514">
        <v>44258</v>
      </c>
      <c r="J3514" s="3">
        <v>29.7</v>
      </c>
      <c r="K3514" s="3">
        <v>1314462.6000000001</v>
      </c>
    </row>
    <row r="3515" spans="1:11" x14ac:dyDescent="0.2">
      <c r="A3515" s="1" t="s">
        <v>4631</v>
      </c>
      <c r="B3515" s="2">
        <v>45663</v>
      </c>
      <c r="C3515" s="1" t="s">
        <v>1194</v>
      </c>
      <c r="D3515" s="1" t="s">
        <v>1195</v>
      </c>
      <c r="E3515" s="1" t="s">
        <v>28</v>
      </c>
      <c r="F3515" s="1" t="s">
        <v>139</v>
      </c>
      <c r="G3515" s="1" t="s">
        <v>140</v>
      </c>
      <c r="H3515" s="1" t="s">
        <v>24</v>
      </c>
      <c r="I3515">
        <v>25633</v>
      </c>
      <c r="J3515" s="3">
        <v>32.659999999999997</v>
      </c>
      <c r="K3515" s="3">
        <v>837173.78</v>
      </c>
    </row>
    <row r="3516" spans="1:11" x14ac:dyDescent="0.2">
      <c r="A3516" s="1" t="s">
        <v>4632</v>
      </c>
      <c r="B3516" s="2">
        <v>45482</v>
      </c>
      <c r="C3516" s="1" t="s">
        <v>639</v>
      </c>
      <c r="D3516" s="1" t="s">
        <v>640</v>
      </c>
      <c r="E3516" s="1" t="s">
        <v>28</v>
      </c>
      <c r="F3516" s="1" t="s">
        <v>463</v>
      </c>
      <c r="G3516" s="1" t="s">
        <v>464</v>
      </c>
      <c r="H3516" s="1" t="s">
        <v>37</v>
      </c>
      <c r="I3516">
        <v>94178</v>
      </c>
      <c r="J3516" s="3">
        <v>6.8</v>
      </c>
      <c r="K3516" s="3">
        <v>640410.4</v>
      </c>
    </row>
    <row r="3517" spans="1:11" x14ac:dyDescent="0.2">
      <c r="A3517" s="1" t="s">
        <v>4633</v>
      </c>
      <c r="B3517" s="2">
        <v>45626</v>
      </c>
      <c r="C3517" s="1" t="s">
        <v>684</v>
      </c>
      <c r="D3517" s="1" t="s">
        <v>685</v>
      </c>
      <c r="E3517" s="1" t="s">
        <v>37</v>
      </c>
      <c r="F3517" s="1" t="s">
        <v>165</v>
      </c>
      <c r="G3517" s="1" t="s">
        <v>166</v>
      </c>
      <c r="H3517" s="1" t="s">
        <v>24</v>
      </c>
      <c r="I3517">
        <v>89761</v>
      </c>
      <c r="J3517" s="3">
        <v>44.37</v>
      </c>
      <c r="K3517" s="3">
        <v>3982695.57</v>
      </c>
    </row>
    <row r="3518" spans="1:11" x14ac:dyDescent="0.2">
      <c r="A3518" s="1" t="s">
        <v>4634</v>
      </c>
      <c r="B3518" s="2">
        <v>45660</v>
      </c>
      <c r="C3518" s="1" t="s">
        <v>1295</v>
      </c>
      <c r="D3518" s="1" t="s">
        <v>1296</v>
      </c>
      <c r="E3518" s="1" t="s">
        <v>21</v>
      </c>
      <c r="F3518" s="1" t="s">
        <v>108</v>
      </c>
      <c r="G3518" s="1" t="s">
        <v>109</v>
      </c>
      <c r="H3518" s="1" t="s">
        <v>37</v>
      </c>
      <c r="I3518">
        <v>84059</v>
      </c>
      <c r="J3518" s="3">
        <v>4.67</v>
      </c>
      <c r="K3518" s="3">
        <v>392555.53</v>
      </c>
    </row>
    <row r="3519" spans="1:11" x14ac:dyDescent="0.2">
      <c r="A3519" s="1" t="s">
        <v>4635</v>
      </c>
      <c r="B3519" s="2">
        <v>45647</v>
      </c>
      <c r="C3519" s="1" t="s">
        <v>150</v>
      </c>
      <c r="D3519" s="1" t="s">
        <v>151</v>
      </c>
      <c r="E3519" s="1" t="s">
        <v>14</v>
      </c>
      <c r="F3519" s="1" t="s">
        <v>98</v>
      </c>
      <c r="G3519" s="1" t="s">
        <v>99</v>
      </c>
      <c r="H3519" s="1" t="s">
        <v>72</v>
      </c>
      <c r="I3519">
        <v>39382</v>
      </c>
      <c r="J3519" s="3">
        <v>33</v>
      </c>
      <c r="K3519" s="3">
        <v>1299606</v>
      </c>
    </row>
    <row r="3520" spans="1:11" x14ac:dyDescent="0.2">
      <c r="A3520" s="1" t="s">
        <v>4636</v>
      </c>
      <c r="B3520" s="2">
        <v>45299</v>
      </c>
      <c r="C3520" s="1" t="s">
        <v>2196</v>
      </c>
      <c r="D3520" s="1" t="s">
        <v>2197</v>
      </c>
      <c r="E3520" s="1" t="s">
        <v>34</v>
      </c>
      <c r="F3520" s="1" t="s">
        <v>52</v>
      </c>
      <c r="G3520" s="1" t="s">
        <v>53</v>
      </c>
      <c r="H3520" s="1" t="s">
        <v>17</v>
      </c>
      <c r="I3520">
        <v>13267</v>
      </c>
      <c r="J3520" s="3">
        <v>6.49</v>
      </c>
      <c r="K3520" s="3">
        <v>86102.83</v>
      </c>
    </row>
    <row r="3521" spans="1:11" x14ac:dyDescent="0.2">
      <c r="A3521" s="1" t="s">
        <v>4637</v>
      </c>
      <c r="B3521" s="2">
        <v>45953</v>
      </c>
      <c r="C3521" s="1" t="s">
        <v>1382</v>
      </c>
      <c r="D3521" s="1" t="s">
        <v>1383</v>
      </c>
      <c r="E3521" s="1" t="s">
        <v>37</v>
      </c>
      <c r="F3521" s="1" t="s">
        <v>217</v>
      </c>
      <c r="G3521" s="1" t="s">
        <v>218</v>
      </c>
      <c r="H3521" s="1" t="s">
        <v>72</v>
      </c>
      <c r="I3521">
        <v>9225</v>
      </c>
      <c r="J3521" s="3">
        <v>28.44</v>
      </c>
      <c r="K3521" s="3">
        <v>262359</v>
      </c>
    </row>
    <row r="3522" spans="1:11" x14ac:dyDescent="0.2">
      <c r="A3522" s="1" t="s">
        <v>4638</v>
      </c>
      <c r="B3522" s="2">
        <v>45428</v>
      </c>
      <c r="C3522" s="1" t="s">
        <v>1695</v>
      </c>
      <c r="D3522" s="1" t="s">
        <v>1696</v>
      </c>
      <c r="E3522" s="1" t="s">
        <v>34</v>
      </c>
      <c r="F3522" s="1" t="s">
        <v>144</v>
      </c>
      <c r="G3522" s="1" t="s">
        <v>145</v>
      </c>
      <c r="H3522" s="1" t="s">
        <v>24</v>
      </c>
      <c r="I3522">
        <v>10489</v>
      </c>
      <c r="J3522" s="3">
        <v>49.74</v>
      </c>
      <c r="K3522" s="3">
        <v>521722.86</v>
      </c>
    </row>
    <row r="3523" spans="1:11" x14ac:dyDescent="0.2">
      <c r="A3523" s="1" t="s">
        <v>4639</v>
      </c>
      <c r="B3523" s="2">
        <v>45750</v>
      </c>
      <c r="C3523" s="1" t="s">
        <v>820</v>
      </c>
      <c r="D3523" s="1" t="s">
        <v>821</v>
      </c>
      <c r="E3523" s="1" t="s">
        <v>28</v>
      </c>
      <c r="F3523" s="1" t="s">
        <v>412</v>
      </c>
      <c r="G3523" s="1" t="s">
        <v>413</v>
      </c>
      <c r="H3523" s="1" t="s">
        <v>72</v>
      </c>
      <c r="I3523">
        <v>11484</v>
      </c>
      <c r="J3523" s="3">
        <v>29.3</v>
      </c>
      <c r="K3523" s="3">
        <v>336481.2</v>
      </c>
    </row>
    <row r="3524" spans="1:11" x14ac:dyDescent="0.2">
      <c r="A3524" s="1" t="s">
        <v>4640</v>
      </c>
      <c r="B3524" s="2">
        <v>45721</v>
      </c>
      <c r="C3524" s="1" t="s">
        <v>418</v>
      </c>
      <c r="D3524" s="1" t="s">
        <v>419</v>
      </c>
      <c r="E3524" s="1" t="s">
        <v>14</v>
      </c>
      <c r="F3524" s="1" t="s">
        <v>165</v>
      </c>
      <c r="G3524" s="1" t="s">
        <v>166</v>
      </c>
      <c r="H3524" s="1" t="s">
        <v>24</v>
      </c>
      <c r="I3524">
        <v>58522</v>
      </c>
      <c r="J3524" s="3">
        <v>45.89</v>
      </c>
      <c r="K3524" s="3">
        <v>2685574.58</v>
      </c>
    </row>
    <row r="3525" spans="1:11" x14ac:dyDescent="0.2">
      <c r="A3525" s="1" t="s">
        <v>4641</v>
      </c>
      <c r="B3525" s="2">
        <v>45769</v>
      </c>
      <c r="C3525" s="1" t="s">
        <v>945</v>
      </c>
      <c r="D3525" s="1" t="s">
        <v>946</v>
      </c>
      <c r="E3525" s="1" t="s">
        <v>14</v>
      </c>
      <c r="F3525" s="1" t="s">
        <v>103</v>
      </c>
      <c r="G3525" s="1" t="s">
        <v>104</v>
      </c>
      <c r="H3525" s="1" t="s">
        <v>37</v>
      </c>
      <c r="I3525">
        <v>46868</v>
      </c>
      <c r="J3525" s="3">
        <v>17.829999999999998</v>
      </c>
      <c r="K3525" s="3">
        <v>835656.44</v>
      </c>
    </row>
    <row r="3526" spans="1:11" x14ac:dyDescent="0.2">
      <c r="A3526" s="1" t="s">
        <v>4642</v>
      </c>
      <c r="B3526" s="2">
        <v>45537</v>
      </c>
      <c r="C3526" s="1" t="s">
        <v>1017</v>
      </c>
      <c r="D3526" s="1" t="s">
        <v>1018</v>
      </c>
      <c r="E3526" s="1" t="s">
        <v>34</v>
      </c>
      <c r="F3526" s="1" t="s">
        <v>98</v>
      </c>
      <c r="G3526" s="1" t="s">
        <v>99</v>
      </c>
      <c r="H3526" s="1" t="s">
        <v>72</v>
      </c>
      <c r="I3526">
        <v>82285</v>
      </c>
      <c r="J3526" s="3">
        <v>41.49</v>
      </c>
      <c r="K3526" s="3">
        <v>3414004.65</v>
      </c>
    </row>
    <row r="3527" spans="1:11" x14ac:dyDescent="0.2">
      <c r="A3527" s="1" t="s">
        <v>4643</v>
      </c>
      <c r="B3527" s="2">
        <v>45961</v>
      </c>
      <c r="C3527" s="1" t="s">
        <v>319</v>
      </c>
      <c r="D3527" s="1" t="s">
        <v>320</v>
      </c>
      <c r="E3527" s="1" t="s">
        <v>21</v>
      </c>
      <c r="F3527" s="1" t="s">
        <v>57</v>
      </c>
      <c r="G3527" s="1" t="s">
        <v>58</v>
      </c>
      <c r="H3527" s="1" t="s">
        <v>48</v>
      </c>
      <c r="I3527">
        <v>7387</v>
      </c>
      <c r="J3527" s="3">
        <v>4.7</v>
      </c>
      <c r="K3527" s="3">
        <v>34718.9</v>
      </c>
    </row>
    <row r="3528" spans="1:11" x14ac:dyDescent="0.2">
      <c r="A3528" s="1" t="s">
        <v>4644</v>
      </c>
      <c r="B3528" s="2">
        <v>45434</v>
      </c>
      <c r="C3528" s="1" t="s">
        <v>50</v>
      </c>
      <c r="D3528" s="1" t="s">
        <v>51</v>
      </c>
      <c r="E3528" s="1" t="s">
        <v>21</v>
      </c>
      <c r="F3528" s="1" t="s">
        <v>189</v>
      </c>
      <c r="G3528" s="1" t="s">
        <v>190</v>
      </c>
      <c r="H3528" s="1" t="s">
        <v>17</v>
      </c>
      <c r="I3528">
        <v>46953</v>
      </c>
      <c r="J3528" s="3">
        <v>17.05</v>
      </c>
      <c r="K3528" s="3">
        <v>800548.65</v>
      </c>
    </row>
    <row r="3529" spans="1:11" x14ac:dyDescent="0.2">
      <c r="A3529" s="1" t="s">
        <v>4645</v>
      </c>
      <c r="B3529" s="2">
        <v>45321</v>
      </c>
      <c r="C3529" s="1" t="s">
        <v>2100</v>
      </c>
      <c r="D3529" s="1" t="s">
        <v>2101</v>
      </c>
      <c r="E3529" s="1" t="s">
        <v>37</v>
      </c>
      <c r="F3529" s="1" t="s">
        <v>761</v>
      </c>
      <c r="G3529" s="1" t="s">
        <v>762</v>
      </c>
      <c r="H3529" s="1" t="s">
        <v>48</v>
      </c>
      <c r="I3529">
        <v>70809</v>
      </c>
      <c r="J3529" s="3">
        <v>14.06</v>
      </c>
      <c r="K3529" s="3">
        <v>995574.54</v>
      </c>
    </row>
    <row r="3530" spans="1:11" x14ac:dyDescent="0.2">
      <c r="A3530" s="1" t="s">
        <v>4646</v>
      </c>
      <c r="B3530" s="2">
        <v>45384</v>
      </c>
      <c r="C3530" s="1" t="s">
        <v>1412</v>
      </c>
      <c r="D3530" s="1" t="s">
        <v>1413</v>
      </c>
      <c r="E3530" s="1" t="s">
        <v>37</v>
      </c>
      <c r="F3530" s="1" t="s">
        <v>46</v>
      </c>
      <c r="G3530" s="1" t="s">
        <v>47</v>
      </c>
      <c r="H3530" s="1" t="s">
        <v>48</v>
      </c>
      <c r="I3530">
        <v>1573</v>
      </c>
      <c r="J3530" s="3">
        <v>39.1</v>
      </c>
      <c r="K3530" s="3">
        <v>61504.3</v>
      </c>
    </row>
    <row r="3531" spans="1:11" x14ac:dyDescent="0.2">
      <c r="A3531" s="1" t="s">
        <v>4647</v>
      </c>
      <c r="B3531" s="2">
        <v>45680</v>
      </c>
      <c r="C3531" s="1" t="s">
        <v>1337</v>
      </c>
      <c r="D3531" s="1" t="s">
        <v>1338</v>
      </c>
      <c r="E3531" s="1" t="s">
        <v>34</v>
      </c>
      <c r="F3531" s="1" t="s">
        <v>81</v>
      </c>
      <c r="G3531" s="1" t="s">
        <v>82</v>
      </c>
      <c r="H3531" s="1" t="s">
        <v>72</v>
      </c>
      <c r="I3531">
        <v>51357</v>
      </c>
      <c r="J3531" s="3">
        <v>46.38</v>
      </c>
      <c r="K3531" s="3">
        <v>2381937.66</v>
      </c>
    </row>
    <row r="3532" spans="1:11" x14ac:dyDescent="0.2">
      <c r="A3532" s="1" t="s">
        <v>4648</v>
      </c>
      <c r="B3532" s="2">
        <v>45879</v>
      </c>
      <c r="C3532" s="1" t="s">
        <v>1417</v>
      </c>
      <c r="D3532" s="1" t="s">
        <v>1418</v>
      </c>
      <c r="E3532" s="1" t="s">
        <v>34</v>
      </c>
      <c r="F3532" s="1" t="s">
        <v>81</v>
      </c>
      <c r="G3532" s="1" t="s">
        <v>82</v>
      </c>
      <c r="H3532" s="1" t="s">
        <v>72</v>
      </c>
      <c r="I3532">
        <v>88661</v>
      </c>
      <c r="J3532" s="3">
        <v>10.58</v>
      </c>
      <c r="K3532" s="3">
        <v>938033.38</v>
      </c>
    </row>
    <row r="3533" spans="1:11" x14ac:dyDescent="0.2">
      <c r="A3533" s="1" t="s">
        <v>4649</v>
      </c>
      <c r="B3533" s="2">
        <v>45696</v>
      </c>
      <c r="C3533" s="1" t="s">
        <v>116</v>
      </c>
      <c r="D3533" s="1" t="s">
        <v>117</v>
      </c>
      <c r="E3533" s="1" t="s">
        <v>28</v>
      </c>
      <c r="F3533" s="1" t="s">
        <v>103</v>
      </c>
      <c r="G3533" s="1" t="s">
        <v>104</v>
      </c>
      <c r="H3533" s="1" t="s">
        <v>37</v>
      </c>
      <c r="I3533">
        <v>20974</v>
      </c>
      <c r="J3533" s="3">
        <v>9.64</v>
      </c>
      <c r="K3533" s="3">
        <v>202189.36</v>
      </c>
    </row>
    <row r="3534" spans="1:11" x14ac:dyDescent="0.2">
      <c r="A3534" s="1" t="s">
        <v>4650</v>
      </c>
      <c r="B3534" s="2">
        <v>45892</v>
      </c>
      <c r="C3534" s="1" t="s">
        <v>932</v>
      </c>
      <c r="D3534" s="1" t="s">
        <v>933</v>
      </c>
      <c r="E3534" s="1" t="s">
        <v>14</v>
      </c>
      <c r="F3534" s="1" t="s">
        <v>98</v>
      </c>
      <c r="G3534" s="1" t="s">
        <v>99</v>
      </c>
      <c r="H3534" s="1" t="s">
        <v>72</v>
      </c>
      <c r="I3534">
        <v>26565</v>
      </c>
      <c r="J3534" s="3">
        <v>30.68</v>
      </c>
      <c r="K3534" s="3">
        <v>815014.2</v>
      </c>
    </row>
    <row r="3535" spans="1:11" x14ac:dyDescent="0.2">
      <c r="A3535" s="1" t="s">
        <v>4651</v>
      </c>
      <c r="B3535" s="2">
        <v>45918</v>
      </c>
      <c r="C3535" s="1" t="s">
        <v>1004</v>
      </c>
      <c r="D3535" s="1" t="s">
        <v>1005</v>
      </c>
      <c r="E3535" s="1" t="s">
        <v>21</v>
      </c>
      <c r="F3535" s="1" t="s">
        <v>458</v>
      </c>
      <c r="G3535" s="1" t="s">
        <v>459</v>
      </c>
      <c r="H3535" s="1" t="s">
        <v>72</v>
      </c>
      <c r="I3535">
        <v>21735</v>
      </c>
      <c r="J3535" s="3">
        <v>2.44</v>
      </c>
      <c r="K3535" s="3">
        <v>53033.4</v>
      </c>
    </row>
    <row r="3536" spans="1:11" x14ac:dyDescent="0.2">
      <c r="A3536" s="1" t="s">
        <v>4652</v>
      </c>
      <c r="B3536" s="2">
        <v>45868</v>
      </c>
      <c r="C3536" s="1" t="s">
        <v>1237</v>
      </c>
      <c r="D3536" s="1" t="s">
        <v>1238</v>
      </c>
      <c r="E3536" s="1" t="s">
        <v>34</v>
      </c>
      <c r="F3536" s="1" t="s">
        <v>273</v>
      </c>
      <c r="G3536" s="1" t="s">
        <v>274</v>
      </c>
      <c r="H3536" s="1" t="s">
        <v>24</v>
      </c>
      <c r="I3536">
        <v>77224</v>
      </c>
      <c r="J3536" s="3">
        <v>11.32</v>
      </c>
      <c r="K3536" s="3">
        <v>874175.68</v>
      </c>
    </row>
    <row r="3537" spans="1:11" x14ac:dyDescent="0.2">
      <c r="A3537" s="1" t="s">
        <v>4653</v>
      </c>
      <c r="B3537" s="2">
        <v>45865</v>
      </c>
      <c r="C3537" s="1" t="s">
        <v>628</v>
      </c>
      <c r="D3537" s="1" t="s">
        <v>629</v>
      </c>
      <c r="E3537" s="1" t="s">
        <v>14</v>
      </c>
      <c r="F3537" s="1" t="s">
        <v>394</v>
      </c>
      <c r="G3537" s="1" t="s">
        <v>395</v>
      </c>
      <c r="H3537" s="1" t="s">
        <v>48</v>
      </c>
      <c r="I3537">
        <v>43861</v>
      </c>
      <c r="J3537" s="3">
        <v>10.35</v>
      </c>
      <c r="K3537" s="3">
        <v>453961.35</v>
      </c>
    </row>
    <row r="3538" spans="1:11" x14ac:dyDescent="0.2">
      <c r="A3538" s="1" t="s">
        <v>4654</v>
      </c>
      <c r="B3538" s="2">
        <v>45852</v>
      </c>
      <c r="C3538" s="1" t="s">
        <v>1324</v>
      </c>
      <c r="D3538" s="1" t="s">
        <v>1325</v>
      </c>
      <c r="E3538" s="1" t="s">
        <v>34</v>
      </c>
      <c r="F3538" s="1" t="s">
        <v>103</v>
      </c>
      <c r="G3538" s="1" t="s">
        <v>104</v>
      </c>
      <c r="H3538" s="1" t="s">
        <v>37</v>
      </c>
      <c r="I3538">
        <v>28091</v>
      </c>
      <c r="J3538" s="3">
        <v>29.71</v>
      </c>
      <c r="K3538" s="3">
        <v>834583.61</v>
      </c>
    </row>
    <row r="3539" spans="1:11" x14ac:dyDescent="0.2">
      <c r="A3539" s="1" t="s">
        <v>4655</v>
      </c>
      <c r="B3539" s="2">
        <v>45531</v>
      </c>
      <c r="C3539" s="1" t="s">
        <v>1064</v>
      </c>
      <c r="D3539" s="1" t="s">
        <v>1065</v>
      </c>
      <c r="E3539" s="1" t="s">
        <v>14</v>
      </c>
      <c r="F3539" s="1" t="s">
        <v>350</v>
      </c>
      <c r="G3539" s="1" t="s">
        <v>351</v>
      </c>
      <c r="H3539" s="1" t="s">
        <v>37</v>
      </c>
      <c r="I3539">
        <v>69885</v>
      </c>
      <c r="J3539" s="3">
        <v>5.98</v>
      </c>
      <c r="K3539" s="3">
        <v>417912.3</v>
      </c>
    </row>
    <row r="3540" spans="1:11" x14ac:dyDescent="0.2">
      <c r="A3540" s="1" t="s">
        <v>4656</v>
      </c>
      <c r="B3540" s="2">
        <v>45536</v>
      </c>
      <c r="C3540" s="1" t="s">
        <v>698</v>
      </c>
      <c r="D3540" s="1" t="s">
        <v>699</v>
      </c>
      <c r="E3540" s="1" t="s">
        <v>28</v>
      </c>
      <c r="F3540" s="1" t="s">
        <v>195</v>
      </c>
      <c r="G3540" s="1" t="s">
        <v>196</v>
      </c>
      <c r="H3540" s="1" t="s">
        <v>48</v>
      </c>
      <c r="I3540">
        <v>14065</v>
      </c>
      <c r="J3540" s="3">
        <v>39.9</v>
      </c>
      <c r="K3540" s="3">
        <v>561193.5</v>
      </c>
    </row>
    <row r="3541" spans="1:11" x14ac:dyDescent="0.2">
      <c r="A3541" s="1" t="s">
        <v>4657</v>
      </c>
      <c r="B3541" s="2">
        <v>45904</v>
      </c>
      <c r="C3541" s="1" t="s">
        <v>926</v>
      </c>
      <c r="D3541" s="1" t="s">
        <v>927</v>
      </c>
      <c r="E3541" s="1" t="s">
        <v>28</v>
      </c>
      <c r="F3541" s="1" t="s">
        <v>463</v>
      </c>
      <c r="G3541" s="1" t="s">
        <v>464</v>
      </c>
      <c r="H3541" s="1" t="s">
        <v>37</v>
      </c>
      <c r="I3541">
        <v>63450</v>
      </c>
      <c r="J3541" s="3">
        <v>26.5</v>
      </c>
      <c r="K3541" s="3">
        <v>1681425</v>
      </c>
    </row>
    <row r="3542" spans="1:11" x14ac:dyDescent="0.2">
      <c r="A3542" s="1" t="s">
        <v>4658</v>
      </c>
      <c r="B3542" s="2">
        <v>45305</v>
      </c>
      <c r="C3542" s="1" t="s">
        <v>461</v>
      </c>
      <c r="D3542" s="1" t="s">
        <v>462</v>
      </c>
      <c r="E3542" s="1" t="s">
        <v>28</v>
      </c>
      <c r="F3542" s="1" t="s">
        <v>76</v>
      </c>
      <c r="G3542" s="1" t="s">
        <v>77</v>
      </c>
      <c r="H3542" s="1" t="s">
        <v>48</v>
      </c>
      <c r="I3542">
        <v>44999</v>
      </c>
      <c r="J3542" s="3">
        <v>10.71</v>
      </c>
      <c r="K3542" s="3">
        <v>481939.29</v>
      </c>
    </row>
    <row r="3543" spans="1:11" x14ac:dyDescent="0.2">
      <c r="A3543" s="1" t="s">
        <v>4659</v>
      </c>
      <c r="B3543" s="2">
        <v>45916</v>
      </c>
      <c r="C3543" s="1" t="s">
        <v>505</v>
      </c>
      <c r="D3543" s="1" t="s">
        <v>506</v>
      </c>
      <c r="E3543" s="1" t="s">
        <v>21</v>
      </c>
      <c r="F3543" s="1" t="s">
        <v>552</v>
      </c>
      <c r="G3543" s="1" t="s">
        <v>553</v>
      </c>
      <c r="H3543" s="1" t="s">
        <v>37</v>
      </c>
      <c r="I3543">
        <v>56587</v>
      </c>
      <c r="J3543" s="3">
        <v>8.8699999999999992</v>
      </c>
      <c r="K3543" s="3">
        <v>501926.69</v>
      </c>
    </row>
    <row r="3544" spans="1:11" x14ac:dyDescent="0.2">
      <c r="A3544" s="1" t="s">
        <v>4660</v>
      </c>
      <c r="B3544" s="2">
        <v>45633</v>
      </c>
      <c r="C3544" s="1" t="s">
        <v>1547</v>
      </c>
      <c r="D3544" s="1" t="s">
        <v>1548</v>
      </c>
      <c r="E3544" s="1" t="s">
        <v>21</v>
      </c>
      <c r="F3544" s="1" t="s">
        <v>458</v>
      </c>
      <c r="G3544" s="1" t="s">
        <v>459</v>
      </c>
      <c r="H3544" s="1" t="s">
        <v>72</v>
      </c>
      <c r="I3544">
        <v>17809</v>
      </c>
      <c r="J3544" s="3">
        <v>36.47</v>
      </c>
      <c r="K3544" s="3">
        <v>649494.23</v>
      </c>
    </row>
    <row r="3545" spans="1:11" x14ac:dyDescent="0.2">
      <c r="A3545" s="1" t="s">
        <v>4661</v>
      </c>
      <c r="B3545" s="2">
        <v>45979</v>
      </c>
      <c r="C3545" s="1" t="s">
        <v>1449</v>
      </c>
      <c r="D3545" s="1" t="s">
        <v>1450</v>
      </c>
      <c r="E3545" s="1" t="s">
        <v>28</v>
      </c>
      <c r="F3545" s="1" t="s">
        <v>98</v>
      </c>
      <c r="G3545" s="1" t="s">
        <v>99</v>
      </c>
      <c r="H3545" s="1" t="s">
        <v>72</v>
      </c>
      <c r="I3545">
        <v>15045</v>
      </c>
      <c r="J3545" s="3">
        <v>37.200000000000003</v>
      </c>
      <c r="K3545" s="3">
        <v>559674</v>
      </c>
    </row>
    <row r="3546" spans="1:11" x14ac:dyDescent="0.2">
      <c r="A3546" s="1" t="s">
        <v>4662</v>
      </c>
      <c r="B3546" s="2">
        <v>45572</v>
      </c>
      <c r="C3546" s="1" t="s">
        <v>1364</v>
      </c>
      <c r="D3546" s="1" t="s">
        <v>1365</v>
      </c>
      <c r="E3546" s="1" t="s">
        <v>37</v>
      </c>
      <c r="F3546" s="1" t="s">
        <v>15</v>
      </c>
      <c r="G3546" s="1" t="s">
        <v>16</v>
      </c>
      <c r="H3546" s="1" t="s">
        <v>17</v>
      </c>
      <c r="I3546">
        <v>95350</v>
      </c>
      <c r="J3546" s="3">
        <v>14.95</v>
      </c>
      <c r="K3546" s="3">
        <v>1425482.5</v>
      </c>
    </row>
    <row r="3547" spans="1:11" x14ac:dyDescent="0.2">
      <c r="A3547" s="1" t="s">
        <v>4663</v>
      </c>
      <c r="B3547" s="2">
        <v>45882</v>
      </c>
      <c r="C3547" s="1" t="s">
        <v>445</v>
      </c>
      <c r="D3547" s="1" t="s">
        <v>446</v>
      </c>
      <c r="E3547" s="1" t="s">
        <v>34</v>
      </c>
      <c r="F3547" s="1" t="s">
        <v>165</v>
      </c>
      <c r="G3547" s="1" t="s">
        <v>166</v>
      </c>
      <c r="H3547" s="1" t="s">
        <v>24</v>
      </c>
      <c r="I3547">
        <v>59530</v>
      </c>
      <c r="J3547" s="3">
        <v>44.21</v>
      </c>
      <c r="K3547" s="3">
        <v>2631821.2999999998</v>
      </c>
    </row>
    <row r="3548" spans="1:11" x14ac:dyDescent="0.2">
      <c r="A3548" s="1" t="s">
        <v>4664</v>
      </c>
      <c r="B3548" s="2">
        <v>45798</v>
      </c>
      <c r="C3548" s="1" t="s">
        <v>774</v>
      </c>
      <c r="D3548" s="1" t="s">
        <v>775</v>
      </c>
      <c r="E3548" s="1" t="s">
        <v>37</v>
      </c>
      <c r="F3548" s="1" t="s">
        <v>81</v>
      </c>
      <c r="G3548" s="1" t="s">
        <v>82</v>
      </c>
      <c r="H3548" s="1" t="s">
        <v>72</v>
      </c>
      <c r="I3548">
        <v>38325</v>
      </c>
      <c r="J3548" s="3">
        <v>22.54</v>
      </c>
      <c r="K3548" s="3">
        <v>863845.5</v>
      </c>
    </row>
    <row r="3549" spans="1:11" x14ac:dyDescent="0.2">
      <c r="A3549" s="1" t="s">
        <v>4665</v>
      </c>
      <c r="B3549" s="2">
        <v>45784</v>
      </c>
      <c r="C3549" s="1" t="s">
        <v>719</v>
      </c>
      <c r="D3549" s="1" t="s">
        <v>720</v>
      </c>
      <c r="E3549" s="1" t="s">
        <v>37</v>
      </c>
      <c r="F3549" s="1" t="s">
        <v>273</v>
      </c>
      <c r="G3549" s="1" t="s">
        <v>274</v>
      </c>
      <c r="H3549" s="1" t="s">
        <v>24</v>
      </c>
      <c r="I3549">
        <v>96583</v>
      </c>
      <c r="J3549" s="3">
        <v>12.06</v>
      </c>
      <c r="K3549" s="3">
        <v>1164790.98</v>
      </c>
    </row>
    <row r="3550" spans="1:11" x14ac:dyDescent="0.2">
      <c r="A3550" s="1" t="s">
        <v>4666</v>
      </c>
      <c r="B3550" s="2">
        <v>45989</v>
      </c>
      <c r="C3550" s="1" t="s">
        <v>984</v>
      </c>
      <c r="D3550" s="1" t="s">
        <v>985</v>
      </c>
      <c r="E3550" s="1" t="s">
        <v>14</v>
      </c>
      <c r="F3550" s="1" t="s">
        <v>22</v>
      </c>
      <c r="G3550" s="1" t="s">
        <v>23</v>
      </c>
      <c r="H3550" s="1" t="s">
        <v>24</v>
      </c>
      <c r="I3550">
        <v>60762</v>
      </c>
      <c r="J3550" s="3">
        <v>40.74</v>
      </c>
      <c r="K3550" s="3">
        <v>2475443.88</v>
      </c>
    </row>
    <row r="3551" spans="1:11" x14ac:dyDescent="0.2">
      <c r="A3551" s="1" t="s">
        <v>4667</v>
      </c>
      <c r="B3551" s="2">
        <v>45922</v>
      </c>
      <c r="C3551" s="1" t="s">
        <v>866</v>
      </c>
      <c r="D3551" s="1" t="s">
        <v>867</v>
      </c>
      <c r="E3551" s="1" t="s">
        <v>14</v>
      </c>
      <c r="F3551" s="1" t="s">
        <v>263</v>
      </c>
      <c r="G3551" s="1" t="s">
        <v>264</v>
      </c>
      <c r="H3551" s="1" t="s">
        <v>17</v>
      </c>
      <c r="I3551">
        <v>47432</v>
      </c>
      <c r="J3551" s="3">
        <v>46.14</v>
      </c>
      <c r="K3551" s="3">
        <v>2188512.48</v>
      </c>
    </row>
    <row r="3552" spans="1:11" x14ac:dyDescent="0.2">
      <c r="A3552" s="1" t="s">
        <v>4668</v>
      </c>
      <c r="B3552" s="2">
        <v>45660</v>
      </c>
      <c r="C3552" s="1" t="s">
        <v>847</v>
      </c>
      <c r="D3552" s="1" t="s">
        <v>848</v>
      </c>
      <c r="E3552" s="1" t="s">
        <v>34</v>
      </c>
      <c r="F3552" s="1" t="s">
        <v>65</v>
      </c>
      <c r="G3552" s="1" t="s">
        <v>66</v>
      </c>
      <c r="H3552" s="1" t="s">
        <v>48</v>
      </c>
      <c r="I3552">
        <v>56505</v>
      </c>
      <c r="J3552" s="3">
        <v>26.03</v>
      </c>
      <c r="K3552" s="3">
        <v>1470825.15</v>
      </c>
    </row>
    <row r="3553" spans="1:11" x14ac:dyDescent="0.2">
      <c r="A3553" s="1" t="s">
        <v>4669</v>
      </c>
      <c r="B3553" s="2">
        <v>45866</v>
      </c>
      <c r="C3553" s="1" t="s">
        <v>1541</v>
      </c>
      <c r="D3553" s="1" t="s">
        <v>1542</v>
      </c>
      <c r="E3553" s="1" t="s">
        <v>37</v>
      </c>
      <c r="F3553" s="1" t="s">
        <v>98</v>
      </c>
      <c r="G3553" s="1" t="s">
        <v>99</v>
      </c>
      <c r="H3553" s="1" t="s">
        <v>72</v>
      </c>
      <c r="I3553">
        <v>29916</v>
      </c>
      <c r="J3553" s="3">
        <v>46.12</v>
      </c>
      <c r="K3553" s="3">
        <v>1379725.92</v>
      </c>
    </row>
    <row r="3554" spans="1:11" x14ac:dyDescent="0.2">
      <c r="A3554" s="1" t="s">
        <v>4670</v>
      </c>
      <c r="B3554" s="2">
        <v>45534</v>
      </c>
      <c r="C3554" s="1" t="s">
        <v>520</v>
      </c>
      <c r="D3554" s="1" t="s">
        <v>521</v>
      </c>
      <c r="E3554" s="1" t="s">
        <v>37</v>
      </c>
      <c r="F3554" s="1" t="s">
        <v>228</v>
      </c>
      <c r="G3554" s="1" t="s">
        <v>229</v>
      </c>
      <c r="H3554" s="1" t="s">
        <v>48</v>
      </c>
      <c r="I3554">
        <v>47105</v>
      </c>
      <c r="J3554" s="3">
        <v>43.09</v>
      </c>
      <c r="K3554" s="3">
        <v>2029754.45</v>
      </c>
    </row>
    <row r="3555" spans="1:11" x14ac:dyDescent="0.2">
      <c r="A3555" s="1" t="s">
        <v>4671</v>
      </c>
      <c r="B3555" s="2">
        <v>45577</v>
      </c>
      <c r="C3555" s="1" t="s">
        <v>543</v>
      </c>
      <c r="D3555" s="1" t="s">
        <v>544</v>
      </c>
      <c r="E3555" s="1" t="s">
        <v>28</v>
      </c>
      <c r="F3555" s="1" t="s">
        <v>139</v>
      </c>
      <c r="G3555" s="1" t="s">
        <v>140</v>
      </c>
      <c r="H3555" s="1" t="s">
        <v>24</v>
      </c>
      <c r="I3555">
        <v>57495</v>
      </c>
      <c r="J3555" s="3">
        <v>34.36</v>
      </c>
      <c r="K3555" s="3">
        <v>1975528.2</v>
      </c>
    </row>
    <row r="3556" spans="1:11" x14ac:dyDescent="0.2">
      <c r="A3556" s="1" t="s">
        <v>4672</v>
      </c>
      <c r="B3556" s="2">
        <v>45766</v>
      </c>
      <c r="C3556" s="1" t="s">
        <v>1793</v>
      </c>
      <c r="D3556" s="1" t="s">
        <v>1794</v>
      </c>
      <c r="E3556" s="1" t="s">
        <v>37</v>
      </c>
      <c r="F3556" s="1" t="s">
        <v>436</v>
      </c>
      <c r="G3556" s="1" t="s">
        <v>437</v>
      </c>
      <c r="H3556" s="1" t="s">
        <v>24</v>
      </c>
      <c r="I3556">
        <v>30349</v>
      </c>
      <c r="J3556" s="3">
        <v>37.86</v>
      </c>
      <c r="K3556" s="3">
        <v>1149013.1399999999</v>
      </c>
    </row>
    <row r="3557" spans="1:11" x14ac:dyDescent="0.2">
      <c r="A3557" s="1" t="s">
        <v>4673</v>
      </c>
      <c r="B3557" s="2">
        <v>45382</v>
      </c>
      <c r="C3557" s="1" t="s">
        <v>1117</v>
      </c>
      <c r="D3557" s="1" t="s">
        <v>1118</v>
      </c>
      <c r="E3557" s="1" t="s">
        <v>37</v>
      </c>
      <c r="F3557" s="1" t="s">
        <v>70</v>
      </c>
      <c r="G3557" s="1" t="s">
        <v>71</v>
      </c>
      <c r="H3557" s="1" t="s">
        <v>72</v>
      </c>
      <c r="I3557">
        <v>50525</v>
      </c>
      <c r="J3557" s="3">
        <v>35.159999999999997</v>
      </c>
      <c r="K3557" s="3">
        <v>1776459</v>
      </c>
    </row>
    <row r="3558" spans="1:11" x14ac:dyDescent="0.2">
      <c r="A3558" s="1" t="s">
        <v>4674</v>
      </c>
      <c r="B3558" s="2">
        <v>45672</v>
      </c>
      <c r="C3558" s="1" t="s">
        <v>1698</v>
      </c>
      <c r="D3558" s="1" t="s">
        <v>1699</v>
      </c>
      <c r="E3558" s="1" t="s">
        <v>14</v>
      </c>
      <c r="F3558" s="1" t="s">
        <v>761</v>
      </c>
      <c r="G3558" s="1" t="s">
        <v>762</v>
      </c>
      <c r="H3558" s="1" t="s">
        <v>48</v>
      </c>
      <c r="I3558">
        <v>51456</v>
      </c>
      <c r="J3558" s="3">
        <v>18.28</v>
      </c>
      <c r="K3558" s="3">
        <v>940615.68000000005</v>
      </c>
    </row>
    <row r="3559" spans="1:11" x14ac:dyDescent="0.2">
      <c r="A3559" s="1" t="s">
        <v>4675</v>
      </c>
      <c r="B3559" s="2">
        <v>45570</v>
      </c>
      <c r="C3559" s="1" t="s">
        <v>2300</v>
      </c>
      <c r="D3559" s="1" t="s">
        <v>2301</v>
      </c>
      <c r="E3559" s="1" t="s">
        <v>21</v>
      </c>
      <c r="F3559" s="1" t="s">
        <v>189</v>
      </c>
      <c r="G3559" s="1" t="s">
        <v>190</v>
      </c>
      <c r="H3559" s="1" t="s">
        <v>17</v>
      </c>
      <c r="I3559">
        <v>49409</v>
      </c>
      <c r="J3559" s="3">
        <v>42.94</v>
      </c>
      <c r="K3559" s="3">
        <v>2121622.46</v>
      </c>
    </row>
    <row r="3560" spans="1:11" x14ac:dyDescent="0.2">
      <c r="A3560" s="1" t="s">
        <v>4676</v>
      </c>
      <c r="B3560" s="2">
        <v>45764</v>
      </c>
      <c r="C3560" s="1" t="s">
        <v>832</v>
      </c>
      <c r="D3560" s="1" t="s">
        <v>833</v>
      </c>
      <c r="E3560" s="1" t="s">
        <v>28</v>
      </c>
      <c r="F3560" s="1" t="s">
        <v>52</v>
      </c>
      <c r="G3560" s="1" t="s">
        <v>53</v>
      </c>
      <c r="H3560" s="1" t="s">
        <v>17</v>
      </c>
      <c r="I3560">
        <v>5244</v>
      </c>
      <c r="J3560" s="3">
        <v>13.89</v>
      </c>
      <c r="K3560" s="3">
        <v>72839.16</v>
      </c>
    </row>
    <row r="3561" spans="1:11" x14ac:dyDescent="0.2">
      <c r="A3561" s="1" t="s">
        <v>4677</v>
      </c>
      <c r="B3561" s="2">
        <v>45767</v>
      </c>
      <c r="C3561" s="1" t="s">
        <v>759</v>
      </c>
      <c r="D3561" s="1" t="s">
        <v>760</v>
      </c>
      <c r="E3561" s="1" t="s">
        <v>37</v>
      </c>
      <c r="F3561" s="1" t="s">
        <v>463</v>
      </c>
      <c r="G3561" s="1" t="s">
        <v>464</v>
      </c>
      <c r="H3561" s="1" t="s">
        <v>37</v>
      </c>
      <c r="I3561">
        <v>25508</v>
      </c>
      <c r="J3561" s="3">
        <v>24.38</v>
      </c>
      <c r="K3561" s="3">
        <v>621885.04</v>
      </c>
    </row>
    <row r="3562" spans="1:11" x14ac:dyDescent="0.2">
      <c r="A3562" s="1" t="s">
        <v>4678</v>
      </c>
      <c r="B3562" s="2">
        <v>45363</v>
      </c>
      <c r="C3562" s="1" t="s">
        <v>1438</v>
      </c>
      <c r="D3562" s="1" t="s">
        <v>1439</v>
      </c>
      <c r="E3562" s="1" t="s">
        <v>34</v>
      </c>
      <c r="F3562" s="1" t="s">
        <v>251</v>
      </c>
      <c r="G3562" s="1" t="s">
        <v>252</v>
      </c>
      <c r="H3562" s="1" t="s">
        <v>72</v>
      </c>
      <c r="I3562">
        <v>28159</v>
      </c>
      <c r="J3562" s="3">
        <v>19.600000000000001</v>
      </c>
      <c r="K3562" s="3">
        <v>551916.4</v>
      </c>
    </row>
    <row r="3563" spans="1:11" x14ac:dyDescent="0.2">
      <c r="A3563" s="1" t="s">
        <v>4679</v>
      </c>
      <c r="B3563" s="2">
        <v>45436</v>
      </c>
      <c r="C3563" s="1" t="s">
        <v>1740</v>
      </c>
      <c r="D3563" s="1" t="s">
        <v>1741</v>
      </c>
      <c r="E3563" s="1" t="s">
        <v>21</v>
      </c>
      <c r="F3563" s="1" t="s">
        <v>330</v>
      </c>
      <c r="G3563" s="1" t="s">
        <v>331</v>
      </c>
      <c r="H3563" s="1" t="s">
        <v>72</v>
      </c>
      <c r="I3563">
        <v>70448</v>
      </c>
      <c r="J3563" s="3">
        <v>24.47</v>
      </c>
      <c r="K3563" s="3">
        <v>1723862.56</v>
      </c>
    </row>
    <row r="3564" spans="1:11" x14ac:dyDescent="0.2">
      <c r="A3564" s="1" t="s">
        <v>4680</v>
      </c>
      <c r="B3564" s="2">
        <v>45469</v>
      </c>
      <c r="C3564" s="1" t="s">
        <v>1164</v>
      </c>
      <c r="D3564" s="1" t="s">
        <v>1165</v>
      </c>
      <c r="E3564" s="1" t="s">
        <v>37</v>
      </c>
      <c r="F3564" s="1" t="s">
        <v>350</v>
      </c>
      <c r="G3564" s="1" t="s">
        <v>351</v>
      </c>
      <c r="H3564" s="1" t="s">
        <v>37</v>
      </c>
      <c r="I3564">
        <v>61217</v>
      </c>
      <c r="J3564" s="3">
        <v>45.7</v>
      </c>
      <c r="K3564" s="3">
        <v>2797616.9</v>
      </c>
    </row>
    <row r="3565" spans="1:11" x14ac:dyDescent="0.2">
      <c r="A3565" s="1" t="s">
        <v>4681</v>
      </c>
      <c r="B3565" s="2">
        <v>45625</v>
      </c>
      <c r="C3565" s="1" t="s">
        <v>2445</v>
      </c>
      <c r="D3565" s="1" t="s">
        <v>2446</v>
      </c>
      <c r="E3565" s="1" t="s">
        <v>34</v>
      </c>
      <c r="F3565" s="1" t="s">
        <v>165</v>
      </c>
      <c r="G3565" s="1" t="s">
        <v>166</v>
      </c>
      <c r="H3565" s="1" t="s">
        <v>24</v>
      </c>
      <c r="I3565">
        <v>14625</v>
      </c>
      <c r="J3565" s="3">
        <v>12.73</v>
      </c>
      <c r="K3565" s="3">
        <v>186176.25</v>
      </c>
    </row>
    <row r="3566" spans="1:11" x14ac:dyDescent="0.2">
      <c r="A3566" s="1" t="s">
        <v>4682</v>
      </c>
      <c r="B3566" s="2">
        <v>45797</v>
      </c>
      <c r="C3566" s="1" t="s">
        <v>716</v>
      </c>
      <c r="D3566" s="1" t="s">
        <v>717</v>
      </c>
      <c r="E3566" s="1" t="s">
        <v>34</v>
      </c>
      <c r="F3566" s="1" t="s">
        <v>552</v>
      </c>
      <c r="G3566" s="1" t="s">
        <v>553</v>
      </c>
      <c r="H3566" s="1" t="s">
        <v>37</v>
      </c>
      <c r="I3566">
        <v>88535</v>
      </c>
      <c r="J3566" s="3">
        <v>32.299999999999997</v>
      </c>
      <c r="K3566" s="3">
        <v>2859680.5</v>
      </c>
    </row>
    <row r="3567" spans="1:11" x14ac:dyDescent="0.2">
      <c r="A3567" s="1" t="s">
        <v>4683</v>
      </c>
      <c r="B3567" s="2">
        <v>45922</v>
      </c>
      <c r="C3567" s="1" t="s">
        <v>466</v>
      </c>
      <c r="D3567" s="1" t="s">
        <v>467</v>
      </c>
      <c r="E3567" s="1" t="s">
        <v>28</v>
      </c>
      <c r="F3567" s="1" t="s">
        <v>263</v>
      </c>
      <c r="G3567" s="1" t="s">
        <v>264</v>
      </c>
      <c r="H3567" s="1" t="s">
        <v>17</v>
      </c>
      <c r="I3567">
        <v>41799</v>
      </c>
      <c r="J3567" s="3">
        <v>22.91</v>
      </c>
      <c r="K3567" s="3">
        <v>957615.09</v>
      </c>
    </row>
    <row r="3568" spans="1:11" x14ac:dyDescent="0.2">
      <c r="A3568" s="1" t="s">
        <v>4684</v>
      </c>
      <c r="B3568" s="2">
        <v>45930</v>
      </c>
      <c r="C3568" s="1" t="s">
        <v>529</v>
      </c>
      <c r="D3568" s="1" t="s">
        <v>530</v>
      </c>
      <c r="E3568" s="1" t="s">
        <v>34</v>
      </c>
      <c r="F3568" s="1" t="s">
        <v>157</v>
      </c>
      <c r="G3568" s="1" t="s">
        <v>158</v>
      </c>
      <c r="H3568" s="1" t="s">
        <v>48</v>
      </c>
      <c r="I3568">
        <v>7137</v>
      </c>
      <c r="J3568" s="3">
        <v>19.41</v>
      </c>
      <c r="K3568" s="3">
        <v>138529.17000000001</v>
      </c>
    </row>
    <row r="3569" spans="1:11" x14ac:dyDescent="0.2">
      <c r="A3569" s="1" t="s">
        <v>4685</v>
      </c>
      <c r="B3569" s="2">
        <v>45958</v>
      </c>
      <c r="C3569" s="1" t="s">
        <v>1894</v>
      </c>
      <c r="D3569" s="1" t="s">
        <v>1895</v>
      </c>
      <c r="E3569" s="1" t="s">
        <v>28</v>
      </c>
      <c r="F3569" s="1" t="s">
        <v>412</v>
      </c>
      <c r="G3569" s="1" t="s">
        <v>413</v>
      </c>
      <c r="H3569" s="1" t="s">
        <v>72</v>
      </c>
      <c r="I3569">
        <v>69320</v>
      </c>
      <c r="J3569" s="3">
        <v>46.62</v>
      </c>
      <c r="K3569" s="3">
        <v>3231698.4</v>
      </c>
    </row>
    <row r="3570" spans="1:11" x14ac:dyDescent="0.2">
      <c r="A3570" s="1" t="s">
        <v>4686</v>
      </c>
      <c r="B3570" s="2">
        <v>45919</v>
      </c>
      <c r="C3570" s="1" t="s">
        <v>975</v>
      </c>
      <c r="D3570" s="1" t="s">
        <v>976</v>
      </c>
      <c r="E3570" s="1" t="s">
        <v>28</v>
      </c>
      <c r="F3570" s="1" t="s">
        <v>103</v>
      </c>
      <c r="G3570" s="1" t="s">
        <v>104</v>
      </c>
      <c r="H3570" s="1" t="s">
        <v>37</v>
      </c>
      <c r="I3570">
        <v>29322</v>
      </c>
      <c r="J3570" s="3">
        <v>12.92</v>
      </c>
      <c r="K3570" s="3">
        <v>378840.24</v>
      </c>
    </row>
    <row r="3571" spans="1:11" x14ac:dyDescent="0.2">
      <c r="A3571" s="1" t="s">
        <v>4687</v>
      </c>
      <c r="B3571" s="2">
        <v>45415</v>
      </c>
      <c r="C3571" s="1" t="s">
        <v>2781</v>
      </c>
      <c r="D3571" s="1" t="s">
        <v>2782</v>
      </c>
      <c r="E3571" s="1" t="s">
        <v>34</v>
      </c>
      <c r="F3571" s="1" t="s">
        <v>157</v>
      </c>
      <c r="G3571" s="1" t="s">
        <v>158</v>
      </c>
      <c r="H3571" s="1" t="s">
        <v>48</v>
      </c>
      <c r="I3571">
        <v>96657</v>
      </c>
      <c r="J3571" s="3">
        <v>31.73</v>
      </c>
      <c r="K3571" s="3">
        <v>3066926.61</v>
      </c>
    </row>
    <row r="3572" spans="1:11" x14ac:dyDescent="0.2">
      <c r="A3572" s="1" t="s">
        <v>4688</v>
      </c>
      <c r="B3572" s="2">
        <v>45497</v>
      </c>
      <c r="C3572" s="1" t="s">
        <v>481</v>
      </c>
      <c r="D3572" s="1" t="s">
        <v>482</v>
      </c>
      <c r="E3572" s="1" t="s">
        <v>34</v>
      </c>
      <c r="F3572" s="1" t="s">
        <v>157</v>
      </c>
      <c r="G3572" s="1" t="s">
        <v>158</v>
      </c>
      <c r="H3572" s="1" t="s">
        <v>48</v>
      </c>
      <c r="I3572">
        <v>86062</v>
      </c>
      <c r="J3572" s="3">
        <v>14.04</v>
      </c>
      <c r="K3572" s="3">
        <v>1208310.48</v>
      </c>
    </row>
    <row r="3573" spans="1:11" x14ac:dyDescent="0.2">
      <c r="A3573" s="1" t="s">
        <v>4689</v>
      </c>
      <c r="B3573" s="2">
        <v>45301</v>
      </c>
      <c r="C3573" s="1" t="s">
        <v>1197</v>
      </c>
      <c r="D3573" s="1" t="s">
        <v>1198</v>
      </c>
      <c r="E3573" s="1" t="s">
        <v>34</v>
      </c>
      <c r="F3573" s="1" t="s">
        <v>394</v>
      </c>
      <c r="G3573" s="1" t="s">
        <v>395</v>
      </c>
      <c r="H3573" s="1" t="s">
        <v>48</v>
      </c>
      <c r="I3573">
        <v>81784</v>
      </c>
      <c r="J3573" s="3">
        <v>45.22</v>
      </c>
      <c r="K3573" s="3">
        <v>3698272.48</v>
      </c>
    </row>
    <row r="3574" spans="1:11" x14ac:dyDescent="0.2">
      <c r="A3574" s="1" t="s">
        <v>4690</v>
      </c>
      <c r="B3574" s="2">
        <v>45450</v>
      </c>
      <c r="C3574" s="1" t="s">
        <v>2011</v>
      </c>
      <c r="D3574" s="1" t="s">
        <v>2012</v>
      </c>
      <c r="E3574" s="1" t="s">
        <v>37</v>
      </c>
      <c r="F3574" s="1" t="s">
        <v>139</v>
      </c>
      <c r="G3574" s="1" t="s">
        <v>140</v>
      </c>
      <c r="H3574" s="1" t="s">
        <v>24</v>
      </c>
      <c r="I3574">
        <v>47037</v>
      </c>
      <c r="J3574" s="3">
        <v>29.09</v>
      </c>
      <c r="K3574" s="3">
        <v>1368306.33</v>
      </c>
    </row>
    <row r="3575" spans="1:11" x14ac:dyDescent="0.2">
      <c r="A3575" s="1" t="s">
        <v>4691</v>
      </c>
      <c r="B3575" s="2">
        <v>45784</v>
      </c>
      <c r="C3575" s="1" t="s">
        <v>756</v>
      </c>
      <c r="D3575" s="1" t="s">
        <v>757</v>
      </c>
      <c r="E3575" s="1" t="s">
        <v>34</v>
      </c>
      <c r="F3575" s="1" t="s">
        <v>70</v>
      </c>
      <c r="G3575" s="1" t="s">
        <v>71</v>
      </c>
      <c r="H3575" s="1" t="s">
        <v>72</v>
      </c>
      <c r="I3575">
        <v>21111</v>
      </c>
      <c r="J3575" s="3">
        <v>6.28</v>
      </c>
      <c r="K3575" s="3">
        <v>132577.07999999999</v>
      </c>
    </row>
    <row r="3576" spans="1:11" x14ac:dyDescent="0.2">
      <c r="A3576" s="1" t="s">
        <v>4692</v>
      </c>
      <c r="B3576" s="2">
        <v>45967</v>
      </c>
      <c r="C3576" s="1" t="s">
        <v>2686</v>
      </c>
      <c r="D3576" s="1" t="s">
        <v>2687</v>
      </c>
      <c r="E3576" s="1" t="s">
        <v>21</v>
      </c>
      <c r="F3576" s="1" t="s">
        <v>350</v>
      </c>
      <c r="G3576" s="1" t="s">
        <v>351</v>
      </c>
      <c r="H3576" s="1" t="s">
        <v>37</v>
      </c>
      <c r="I3576">
        <v>97286</v>
      </c>
      <c r="J3576" s="3">
        <v>9.8000000000000007</v>
      </c>
      <c r="K3576" s="3">
        <v>953402.8</v>
      </c>
    </row>
    <row r="3577" spans="1:11" x14ac:dyDescent="0.2">
      <c r="A3577" s="1" t="s">
        <v>4693</v>
      </c>
      <c r="B3577" s="2">
        <v>45692</v>
      </c>
      <c r="C3577" s="1" t="s">
        <v>871</v>
      </c>
      <c r="D3577" s="1" t="s">
        <v>872</v>
      </c>
      <c r="E3577" s="1" t="s">
        <v>14</v>
      </c>
      <c r="F3577" s="1" t="s">
        <v>52</v>
      </c>
      <c r="G3577" s="1" t="s">
        <v>53</v>
      </c>
      <c r="H3577" s="1" t="s">
        <v>17</v>
      </c>
      <c r="I3577">
        <v>32623</v>
      </c>
      <c r="J3577" s="3">
        <v>5.41</v>
      </c>
      <c r="K3577" s="3">
        <v>176490.43</v>
      </c>
    </row>
    <row r="3578" spans="1:11" x14ac:dyDescent="0.2">
      <c r="A3578" s="1" t="s">
        <v>4694</v>
      </c>
      <c r="B3578" s="2">
        <v>45588</v>
      </c>
      <c r="C3578" s="1" t="s">
        <v>1489</v>
      </c>
      <c r="D3578" s="1" t="s">
        <v>1490</v>
      </c>
      <c r="E3578" s="1" t="s">
        <v>37</v>
      </c>
      <c r="F3578" s="1" t="s">
        <v>330</v>
      </c>
      <c r="G3578" s="1" t="s">
        <v>331</v>
      </c>
      <c r="H3578" s="1" t="s">
        <v>72</v>
      </c>
      <c r="I3578">
        <v>98079</v>
      </c>
      <c r="J3578" s="3">
        <v>22.67</v>
      </c>
      <c r="K3578" s="3">
        <v>2223450.9300000002</v>
      </c>
    </row>
    <row r="3579" spans="1:11" x14ac:dyDescent="0.2">
      <c r="A3579" s="1" t="s">
        <v>4695</v>
      </c>
      <c r="B3579" s="2">
        <v>45756</v>
      </c>
      <c r="C3579" s="1" t="s">
        <v>945</v>
      </c>
      <c r="D3579" s="1" t="s">
        <v>946</v>
      </c>
      <c r="E3579" s="1" t="s">
        <v>14</v>
      </c>
      <c r="F3579" s="1" t="s">
        <v>70</v>
      </c>
      <c r="G3579" s="1" t="s">
        <v>71</v>
      </c>
      <c r="H3579" s="1" t="s">
        <v>72</v>
      </c>
      <c r="I3579">
        <v>53407</v>
      </c>
      <c r="J3579" s="3">
        <v>7.5</v>
      </c>
      <c r="K3579" s="3">
        <v>400552.5</v>
      </c>
    </row>
    <row r="3580" spans="1:11" x14ac:dyDescent="0.2">
      <c r="A3580" s="1" t="s">
        <v>4696</v>
      </c>
      <c r="B3580" s="2">
        <v>45400</v>
      </c>
      <c r="C3580" s="1" t="s">
        <v>498</v>
      </c>
      <c r="D3580" s="1" t="s">
        <v>499</v>
      </c>
      <c r="E3580" s="1" t="s">
        <v>14</v>
      </c>
      <c r="F3580" s="1" t="s">
        <v>189</v>
      </c>
      <c r="G3580" s="1" t="s">
        <v>190</v>
      </c>
      <c r="H3580" s="1" t="s">
        <v>17</v>
      </c>
      <c r="I3580">
        <v>5787</v>
      </c>
      <c r="J3580" s="3">
        <v>11.54</v>
      </c>
      <c r="K3580" s="3">
        <v>66781.98</v>
      </c>
    </row>
    <row r="3581" spans="1:11" x14ac:dyDescent="0.2">
      <c r="A3581" s="1" t="s">
        <v>4697</v>
      </c>
      <c r="B3581" s="2">
        <v>45833</v>
      </c>
      <c r="C3581" s="1" t="s">
        <v>418</v>
      </c>
      <c r="D3581" s="1" t="s">
        <v>419</v>
      </c>
      <c r="E3581" s="1" t="s">
        <v>14</v>
      </c>
      <c r="F3581" s="1" t="s">
        <v>57</v>
      </c>
      <c r="G3581" s="1" t="s">
        <v>58</v>
      </c>
      <c r="H3581" s="1" t="s">
        <v>48</v>
      </c>
      <c r="I3581">
        <v>10379</v>
      </c>
      <c r="J3581" s="3">
        <v>34.979999999999997</v>
      </c>
      <c r="K3581" s="3">
        <v>363057.42</v>
      </c>
    </row>
    <row r="3582" spans="1:11" x14ac:dyDescent="0.2">
      <c r="A3582" s="1" t="s">
        <v>4698</v>
      </c>
      <c r="B3582" s="2">
        <v>45520</v>
      </c>
      <c r="C3582" s="1" t="s">
        <v>3170</v>
      </c>
      <c r="D3582" s="1" t="s">
        <v>3171</v>
      </c>
      <c r="E3582" s="1" t="s">
        <v>34</v>
      </c>
      <c r="F3582" s="1" t="s">
        <v>458</v>
      </c>
      <c r="G3582" s="1" t="s">
        <v>459</v>
      </c>
      <c r="H3582" s="1" t="s">
        <v>72</v>
      </c>
      <c r="I3582">
        <v>50600</v>
      </c>
      <c r="J3582" s="3">
        <v>44.42</v>
      </c>
      <c r="K3582" s="3">
        <v>2247652</v>
      </c>
    </row>
    <row r="3583" spans="1:11" x14ac:dyDescent="0.2">
      <c r="A3583" s="1" t="s">
        <v>4699</v>
      </c>
      <c r="B3583" s="2">
        <v>45717</v>
      </c>
      <c r="C3583" s="1" t="s">
        <v>1647</v>
      </c>
      <c r="D3583" s="1" t="s">
        <v>1648</v>
      </c>
      <c r="E3583" s="1" t="s">
        <v>14</v>
      </c>
      <c r="F3583" s="1" t="s">
        <v>203</v>
      </c>
      <c r="G3583" s="1" t="s">
        <v>204</v>
      </c>
      <c r="H3583" s="1" t="s">
        <v>72</v>
      </c>
      <c r="I3583">
        <v>81511</v>
      </c>
      <c r="J3583" s="3">
        <v>32.19</v>
      </c>
      <c r="K3583" s="3">
        <v>2623839.09</v>
      </c>
    </row>
    <row r="3584" spans="1:11" x14ac:dyDescent="0.2">
      <c r="A3584" s="1" t="s">
        <v>4700</v>
      </c>
      <c r="B3584" s="2">
        <v>45535</v>
      </c>
      <c r="C3584" s="1" t="s">
        <v>2781</v>
      </c>
      <c r="D3584" s="1" t="s">
        <v>2782</v>
      </c>
      <c r="E3584" s="1" t="s">
        <v>34</v>
      </c>
      <c r="F3584" s="1" t="s">
        <v>263</v>
      </c>
      <c r="G3584" s="1" t="s">
        <v>264</v>
      </c>
      <c r="H3584" s="1" t="s">
        <v>17</v>
      </c>
      <c r="I3584">
        <v>21774</v>
      </c>
      <c r="J3584" s="3">
        <v>43.05</v>
      </c>
      <c r="K3584" s="3">
        <v>937370.7</v>
      </c>
    </row>
    <row r="3585" spans="1:11" x14ac:dyDescent="0.2">
      <c r="A3585" s="1" t="s">
        <v>4701</v>
      </c>
      <c r="B3585" s="2">
        <v>45598</v>
      </c>
      <c r="C3585" s="1" t="s">
        <v>1302</v>
      </c>
      <c r="D3585" s="1" t="s">
        <v>1303</v>
      </c>
      <c r="E3585" s="1" t="s">
        <v>37</v>
      </c>
      <c r="F3585" s="1" t="s">
        <v>144</v>
      </c>
      <c r="G3585" s="1" t="s">
        <v>145</v>
      </c>
      <c r="H3585" s="1" t="s">
        <v>24</v>
      </c>
      <c r="I3585">
        <v>39986</v>
      </c>
      <c r="J3585" s="3">
        <v>45.76</v>
      </c>
      <c r="K3585" s="3">
        <v>1829759.36</v>
      </c>
    </row>
    <row r="3586" spans="1:11" x14ac:dyDescent="0.2">
      <c r="A3586" s="1" t="s">
        <v>4702</v>
      </c>
      <c r="B3586" s="2">
        <v>45984</v>
      </c>
      <c r="C3586" s="1" t="s">
        <v>322</v>
      </c>
      <c r="D3586" s="1" t="s">
        <v>323</v>
      </c>
      <c r="E3586" s="1" t="s">
        <v>14</v>
      </c>
      <c r="F3586" s="1" t="s">
        <v>108</v>
      </c>
      <c r="G3586" s="1" t="s">
        <v>109</v>
      </c>
      <c r="H3586" s="1" t="s">
        <v>37</v>
      </c>
      <c r="I3586">
        <v>2066</v>
      </c>
      <c r="J3586" s="3">
        <v>6.27</v>
      </c>
      <c r="K3586" s="3">
        <v>12953.82</v>
      </c>
    </row>
    <row r="3587" spans="1:11" x14ac:dyDescent="0.2">
      <c r="A3587" s="1" t="s">
        <v>4703</v>
      </c>
      <c r="B3587" s="2">
        <v>45420</v>
      </c>
      <c r="C3587" s="1" t="s">
        <v>2038</v>
      </c>
      <c r="D3587" s="1" t="s">
        <v>2039</v>
      </c>
      <c r="E3587" s="1" t="s">
        <v>28</v>
      </c>
      <c r="F3587" s="1" t="s">
        <v>98</v>
      </c>
      <c r="G3587" s="1" t="s">
        <v>99</v>
      </c>
      <c r="H3587" s="1" t="s">
        <v>72</v>
      </c>
      <c r="I3587">
        <v>80584</v>
      </c>
      <c r="J3587" s="3">
        <v>27.76</v>
      </c>
      <c r="K3587" s="3">
        <v>2237011.84</v>
      </c>
    </row>
    <row r="3588" spans="1:11" x14ac:dyDescent="0.2">
      <c r="A3588" s="1" t="s">
        <v>4704</v>
      </c>
      <c r="B3588" s="2">
        <v>45386</v>
      </c>
      <c r="C3588" s="1" t="s">
        <v>804</v>
      </c>
      <c r="D3588" s="1" t="s">
        <v>805</v>
      </c>
      <c r="E3588" s="1" t="s">
        <v>34</v>
      </c>
      <c r="F3588" s="1" t="s">
        <v>339</v>
      </c>
      <c r="G3588" s="1" t="s">
        <v>340</v>
      </c>
      <c r="H3588" s="1" t="s">
        <v>24</v>
      </c>
      <c r="I3588">
        <v>83143</v>
      </c>
      <c r="J3588" s="3">
        <v>42.96</v>
      </c>
      <c r="K3588" s="3">
        <v>3571823.28</v>
      </c>
    </row>
    <row r="3589" spans="1:11" x14ac:dyDescent="0.2">
      <c r="A3589" s="1" t="s">
        <v>4705</v>
      </c>
      <c r="B3589" s="2">
        <v>45935</v>
      </c>
      <c r="C3589" s="1" t="s">
        <v>1324</v>
      </c>
      <c r="D3589" s="1" t="s">
        <v>1325</v>
      </c>
      <c r="E3589" s="1" t="s">
        <v>34</v>
      </c>
      <c r="F3589" s="1" t="s">
        <v>81</v>
      </c>
      <c r="G3589" s="1" t="s">
        <v>82</v>
      </c>
      <c r="H3589" s="1" t="s">
        <v>72</v>
      </c>
      <c r="I3589">
        <v>55714</v>
      </c>
      <c r="J3589" s="3">
        <v>43.59</v>
      </c>
      <c r="K3589" s="3">
        <v>2428573.2599999998</v>
      </c>
    </row>
    <row r="3590" spans="1:11" x14ac:dyDescent="0.2">
      <c r="A3590" s="1" t="s">
        <v>4706</v>
      </c>
      <c r="B3590" s="2">
        <v>45627</v>
      </c>
      <c r="C3590" s="1" t="s">
        <v>359</v>
      </c>
      <c r="D3590" s="1" t="s">
        <v>360</v>
      </c>
      <c r="E3590" s="1" t="s">
        <v>34</v>
      </c>
      <c r="F3590" s="1" t="s">
        <v>394</v>
      </c>
      <c r="G3590" s="1" t="s">
        <v>395</v>
      </c>
      <c r="H3590" s="1" t="s">
        <v>48</v>
      </c>
      <c r="I3590">
        <v>18505</v>
      </c>
      <c r="J3590" s="3">
        <v>37.5</v>
      </c>
      <c r="K3590" s="3">
        <v>693937.5</v>
      </c>
    </row>
    <row r="3591" spans="1:11" x14ac:dyDescent="0.2">
      <c r="A3591" s="1" t="s">
        <v>4707</v>
      </c>
      <c r="B3591" s="2">
        <v>45863</v>
      </c>
      <c r="C3591" s="1" t="s">
        <v>182</v>
      </c>
      <c r="D3591" s="1" t="s">
        <v>183</v>
      </c>
      <c r="E3591" s="1" t="s">
        <v>14</v>
      </c>
      <c r="F3591" s="1" t="s">
        <v>324</v>
      </c>
      <c r="G3591" s="1" t="s">
        <v>325</v>
      </c>
      <c r="H3591" s="1" t="s">
        <v>24</v>
      </c>
      <c r="I3591">
        <v>54260</v>
      </c>
      <c r="J3591" s="3">
        <v>20.45</v>
      </c>
      <c r="K3591" s="3">
        <v>1109617</v>
      </c>
    </row>
    <row r="3592" spans="1:11" x14ac:dyDescent="0.2">
      <c r="A3592" s="1" t="s">
        <v>4708</v>
      </c>
      <c r="B3592" s="2">
        <v>45324</v>
      </c>
      <c r="C3592" s="1" t="s">
        <v>543</v>
      </c>
      <c r="D3592" s="1" t="s">
        <v>544</v>
      </c>
      <c r="E3592" s="1" t="s">
        <v>28</v>
      </c>
      <c r="F3592" s="1" t="s">
        <v>552</v>
      </c>
      <c r="G3592" s="1" t="s">
        <v>553</v>
      </c>
      <c r="H3592" s="1" t="s">
        <v>37</v>
      </c>
      <c r="I3592">
        <v>22831</v>
      </c>
      <c r="J3592" s="3">
        <v>30.32</v>
      </c>
      <c r="K3592" s="3">
        <v>692235.92</v>
      </c>
    </row>
    <row r="3593" spans="1:11" x14ac:dyDescent="0.2">
      <c r="A3593" s="1" t="s">
        <v>4709</v>
      </c>
      <c r="B3593" s="2">
        <v>45820</v>
      </c>
      <c r="C3593" s="1" t="s">
        <v>794</v>
      </c>
      <c r="D3593" s="1" t="s">
        <v>795</v>
      </c>
      <c r="E3593" s="1" t="s">
        <v>28</v>
      </c>
      <c r="F3593" s="1" t="s">
        <v>406</v>
      </c>
      <c r="G3593" s="1" t="s">
        <v>407</v>
      </c>
      <c r="H3593" s="1" t="s">
        <v>17</v>
      </c>
      <c r="I3593">
        <v>70217</v>
      </c>
      <c r="J3593" s="3">
        <v>35.67</v>
      </c>
      <c r="K3593" s="3">
        <v>2504640.39</v>
      </c>
    </row>
    <row r="3594" spans="1:11" x14ac:dyDescent="0.2">
      <c r="A3594" s="1" t="s">
        <v>4710</v>
      </c>
      <c r="B3594" s="2">
        <v>45409</v>
      </c>
      <c r="C3594" s="1" t="s">
        <v>1240</v>
      </c>
      <c r="D3594" s="1" t="s">
        <v>1241</v>
      </c>
      <c r="E3594" s="1" t="s">
        <v>28</v>
      </c>
      <c r="F3594" s="1" t="s">
        <v>263</v>
      </c>
      <c r="G3594" s="1" t="s">
        <v>264</v>
      </c>
      <c r="H3594" s="1" t="s">
        <v>17</v>
      </c>
      <c r="I3594">
        <v>56296</v>
      </c>
      <c r="J3594" s="3">
        <v>49.15</v>
      </c>
      <c r="K3594" s="3">
        <v>2766948.4</v>
      </c>
    </row>
    <row r="3595" spans="1:11" x14ac:dyDescent="0.2">
      <c r="A3595" s="1" t="s">
        <v>4711</v>
      </c>
      <c r="B3595" s="2">
        <v>45836</v>
      </c>
      <c r="C3595" s="1" t="s">
        <v>1520</v>
      </c>
      <c r="D3595" s="1" t="s">
        <v>1521</v>
      </c>
      <c r="E3595" s="1" t="s">
        <v>37</v>
      </c>
      <c r="F3595" s="1" t="s">
        <v>284</v>
      </c>
      <c r="G3595" s="1" t="s">
        <v>285</v>
      </c>
      <c r="H3595" s="1" t="s">
        <v>37</v>
      </c>
      <c r="I3595">
        <v>75396</v>
      </c>
      <c r="J3595" s="3">
        <v>37.44</v>
      </c>
      <c r="K3595" s="3">
        <v>2822826.24</v>
      </c>
    </row>
    <row r="3596" spans="1:11" x14ac:dyDescent="0.2">
      <c r="A3596" s="1" t="s">
        <v>4712</v>
      </c>
      <c r="B3596" s="2">
        <v>45787</v>
      </c>
      <c r="C3596" s="1" t="s">
        <v>1244</v>
      </c>
      <c r="D3596" s="1" t="s">
        <v>1245</v>
      </c>
      <c r="E3596" s="1" t="s">
        <v>28</v>
      </c>
      <c r="F3596" s="1" t="s">
        <v>208</v>
      </c>
      <c r="G3596" s="1" t="s">
        <v>209</v>
      </c>
      <c r="H3596" s="1" t="s">
        <v>17</v>
      </c>
      <c r="I3596">
        <v>53477</v>
      </c>
      <c r="J3596" s="3">
        <v>24.52</v>
      </c>
      <c r="K3596" s="3">
        <v>1311256.04</v>
      </c>
    </row>
    <row r="3597" spans="1:11" x14ac:dyDescent="0.2">
      <c r="A3597" s="1" t="s">
        <v>4713</v>
      </c>
      <c r="B3597" s="2">
        <v>45883</v>
      </c>
      <c r="C3597" s="1" t="s">
        <v>1994</v>
      </c>
      <c r="D3597" s="1" t="s">
        <v>1995</v>
      </c>
      <c r="E3597" s="1" t="s">
        <v>28</v>
      </c>
      <c r="F3597" s="1" t="s">
        <v>15</v>
      </c>
      <c r="G3597" s="1" t="s">
        <v>16</v>
      </c>
      <c r="H3597" s="1" t="s">
        <v>17</v>
      </c>
      <c r="I3597">
        <v>17560</v>
      </c>
      <c r="J3597" s="3">
        <v>35.409999999999997</v>
      </c>
      <c r="K3597" s="3">
        <v>621799.6</v>
      </c>
    </row>
    <row r="3598" spans="1:11" x14ac:dyDescent="0.2">
      <c r="A3598" s="1" t="s">
        <v>4714</v>
      </c>
      <c r="B3598" s="2">
        <v>45852</v>
      </c>
      <c r="C3598" s="1" t="s">
        <v>746</v>
      </c>
      <c r="D3598" s="1" t="s">
        <v>747</v>
      </c>
      <c r="E3598" s="1" t="s">
        <v>37</v>
      </c>
      <c r="F3598" s="1" t="s">
        <v>81</v>
      </c>
      <c r="G3598" s="1" t="s">
        <v>82</v>
      </c>
      <c r="H3598" s="1" t="s">
        <v>72</v>
      </c>
      <c r="I3598">
        <v>18912</v>
      </c>
      <c r="J3598" s="3">
        <v>12.1</v>
      </c>
      <c r="K3598" s="3">
        <v>228835.20000000001</v>
      </c>
    </row>
    <row r="3599" spans="1:11" x14ac:dyDescent="0.2">
      <c r="A3599" s="1" t="s">
        <v>4715</v>
      </c>
      <c r="B3599" s="2">
        <v>45604</v>
      </c>
      <c r="C3599" s="1" t="s">
        <v>633</v>
      </c>
      <c r="D3599" s="1" t="s">
        <v>634</v>
      </c>
      <c r="E3599" s="1" t="s">
        <v>34</v>
      </c>
      <c r="F3599" s="1" t="s">
        <v>339</v>
      </c>
      <c r="G3599" s="1" t="s">
        <v>340</v>
      </c>
      <c r="H3599" s="1" t="s">
        <v>24</v>
      </c>
      <c r="I3599">
        <v>71529</v>
      </c>
      <c r="J3599" s="3">
        <v>25.8</v>
      </c>
      <c r="K3599" s="3">
        <v>1845448.2</v>
      </c>
    </row>
    <row r="3600" spans="1:11" x14ac:dyDescent="0.2">
      <c r="A3600" s="1" t="s">
        <v>4716</v>
      </c>
      <c r="B3600" s="2">
        <v>45687</v>
      </c>
      <c r="C3600" s="1" t="s">
        <v>1885</v>
      </c>
      <c r="D3600" s="1" t="s">
        <v>1886</v>
      </c>
      <c r="E3600" s="1" t="s">
        <v>28</v>
      </c>
      <c r="F3600" s="1" t="s">
        <v>350</v>
      </c>
      <c r="G3600" s="1" t="s">
        <v>351</v>
      </c>
      <c r="H3600" s="1" t="s">
        <v>37</v>
      </c>
      <c r="I3600">
        <v>14892</v>
      </c>
      <c r="J3600" s="3">
        <v>14.87</v>
      </c>
      <c r="K3600" s="3">
        <v>221444.04</v>
      </c>
    </row>
    <row r="3601" spans="1:11" x14ac:dyDescent="0.2">
      <c r="A3601" s="1" t="s">
        <v>4717</v>
      </c>
      <c r="B3601" s="2">
        <v>45801</v>
      </c>
      <c r="C3601" s="1" t="s">
        <v>523</v>
      </c>
      <c r="D3601" s="1" t="s">
        <v>524</v>
      </c>
      <c r="E3601" s="1" t="s">
        <v>14</v>
      </c>
      <c r="F3601" s="1" t="s">
        <v>70</v>
      </c>
      <c r="G3601" s="1" t="s">
        <v>71</v>
      </c>
      <c r="H3601" s="1" t="s">
        <v>72</v>
      </c>
      <c r="I3601">
        <v>70198</v>
      </c>
      <c r="J3601" s="3">
        <v>19.64</v>
      </c>
      <c r="K3601" s="3">
        <v>1378688.72</v>
      </c>
    </row>
    <row r="3602" spans="1:11" x14ac:dyDescent="0.2">
      <c r="A3602" s="1" t="s">
        <v>4718</v>
      </c>
      <c r="B3602" s="2">
        <v>45352</v>
      </c>
      <c r="C3602" s="1" t="s">
        <v>2207</v>
      </c>
      <c r="D3602" s="1" t="s">
        <v>2208</v>
      </c>
      <c r="E3602" s="1" t="s">
        <v>37</v>
      </c>
      <c r="F3602" s="1" t="s">
        <v>203</v>
      </c>
      <c r="G3602" s="1" t="s">
        <v>204</v>
      </c>
      <c r="H3602" s="1" t="s">
        <v>72</v>
      </c>
      <c r="I3602">
        <v>26659</v>
      </c>
      <c r="J3602" s="3">
        <v>46.34</v>
      </c>
      <c r="K3602" s="3">
        <v>1235378.06</v>
      </c>
    </row>
    <row r="3603" spans="1:11" x14ac:dyDescent="0.2">
      <c r="A3603" s="1" t="s">
        <v>4719</v>
      </c>
      <c r="B3603" s="2">
        <v>45712</v>
      </c>
      <c r="C3603" s="1" t="s">
        <v>4720</v>
      </c>
      <c r="D3603" s="1" t="s">
        <v>4721</v>
      </c>
      <c r="E3603" s="1" t="s">
        <v>37</v>
      </c>
      <c r="F3603" s="1" t="s">
        <v>29</v>
      </c>
      <c r="G3603" s="1" t="s">
        <v>30</v>
      </c>
      <c r="H3603" s="1" t="s">
        <v>24</v>
      </c>
      <c r="I3603">
        <v>82658</v>
      </c>
      <c r="J3603" s="3">
        <v>18.23</v>
      </c>
      <c r="K3603" s="3">
        <v>1506855.34</v>
      </c>
    </row>
    <row r="3604" spans="1:11" x14ac:dyDescent="0.2">
      <c r="A3604" s="1" t="s">
        <v>4722</v>
      </c>
      <c r="B3604" s="2">
        <v>45498</v>
      </c>
      <c r="C3604" s="1" t="s">
        <v>3354</v>
      </c>
      <c r="D3604" s="1" t="s">
        <v>3355</v>
      </c>
      <c r="E3604" s="1" t="s">
        <v>28</v>
      </c>
      <c r="F3604" s="1" t="s">
        <v>251</v>
      </c>
      <c r="G3604" s="1" t="s">
        <v>252</v>
      </c>
      <c r="H3604" s="1" t="s">
        <v>72</v>
      </c>
      <c r="I3604">
        <v>10824</v>
      </c>
      <c r="J3604" s="3">
        <v>29.61</v>
      </c>
      <c r="K3604" s="3">
        <v>320498.64</v>
      </c>
    </row>
    <row r="3605" spans="1:11" x14ac:dyDescent="0.2">
      <c r="A3605" s="1" t="s">
        <v>4723</v>
      </c>
      <c r="B3605" s="2">
        <v>45357</v>
      </c>
      <c r="C3605" s="1" t="s">
        <v>955</v>
      </c>
      <c r="D3605" s="1" t="s">
        <v>956</v>
      </c>
      <c r="E3605" s="1" t="s">
        <v>28</v>
      </c>
      <c r="F3605" s="1" t="s">
        <v>29</v>
      </c>
      <c r="G3605" s="1" t="s">
        <v>30</v>
      </c>
      <c r="H3605" s="1" t="s">
        <v>24</v>
      </c>
      <c r="I3605">
        <v>78788</v>
      </c>
      <c r="J3605" s="3">
        <v>28.1</v>
      </c>
      <c r="K3605" s="3">
        <v>2213942.7999999998</v>
      </c>
    </row>
    <row r="3606" spans="1:11" x14ac:dyDescent="0.2">
      <c r="A3606" s="1" t="s">
        <v>4724</v>
      </c>
      <c r="B3606" s="2">
        <v>45736</v>
      </c>
      <c r="C3606" s="1" t="s">
        <v>271</v>
      </c>
      <c r="D3606" s="1" t="s">
        <v>272</v>
      </c>
      <c r="E3606" s="1" t="s">
        <v>37</v>
      </c>
      <c r="F3606" s="1" t="s">
        <v>108</v>
      </c>
      <c r="G3606" s="1" t="s">
        <v>109</v>
      </c>
      <c r="H3606" s="1" t="s">
        <v>37</v>
      </c>
      <c r="I3606">
        <v>59862</v>
      </c>
      <c r="J3606" s="3">
        <v>37</v>
      </c>
      <c r="K3606" s="3">
        <v>2214894</v>
      </c>
    </row>
    <row r="3607" spans="1:11" x14ac:dyDescent="0.2">
      <c r="A3607" s="1" t="s">
        <v>4725</v>
      </c>
      <c r="B3607" s="2">
        <v>45885</v>
      </c>
      <c r="C3607" s="1" t="s">
        <v>811</v>
      </c>
      <c r="D3607" s="1" t="s">
        <v>812</v>
      </c>
      <c r="E3607" s="1" t="s">
        <v>14</v>
      </c>
      <c r="F3607" s="1" t="s">
        <v>237</v>
      </c>
      <c r="G3607" s="1" t="s">
        <v>238</v>
      </c>
      <c r="H3607" s="1" t="s">
        <v>17</v>
      </c>
      <c r="I3607">
        <v>93502</v>
      </c>
      <c r="J3607" s="3">
        <v>44.49</v>
      </c>
      <c r="K3607" s="3">
        <v>4159903.98</v>
      </c>
    </row>
    <row r="3608" spans="1:11" x14ac:dyDescent="0.2">
      <c r="A3608" s="1" t="s">
        <v>4726</v>
      </c>
      <c r="B3608" s="2">
        <v>45732</v>
      </c>
      <c r="C3608" s="1" t="s">
        <v>266</v>
      </c>
      <c r="D3608" s="1" t="s">
        <v>267</v>
      </c>
      <c r="E3608" s="1" t="s">
        <v>14</v>
      </c>
      <c r="F3608" s="1" t="s">
        <v>217</v>
      </c>
      <c r="G3608" s="1" t="s">
        <v>218</v>
      </c>
      <c r="H3608" s="1" t="s">
        <v>72</v>
      </c>
      <c r="I3608">
        <v>15746</v>
      </c>
      <c r="J3608" s="3">
        <v>27.63</v>
      </c>
      <c r="K3608" s="3">
        <v>435061.98</v>
      </c>
    </row>
    <row r="3609" spans="1:11" x14ac:dyDescent="0.2">
      <c r="A3609" s="1" t="s">
        <v>4727</v>
      </c>
      <c r="B3609" s="2">
        <v>45703</v>
      </c>
      <c r="C3609" s="1" t="s">
        <v>811</v>
      </c>
      <c r="D3609" s="1" t="s">
        <v>812</v>
      </c>
      <c r="E3609" s="1" t="s">
        <v>14</v>
      </c>
      <c r="F3609" s="1" t="s">
        <v>46</v>
      </c>
      <c r="G3609" s="1" t="s">
        <v>47</v>
      </c>
      <c r="H3609" s="1" t="s">
        <v>48</v>
      </c>
      <c r="I3609">
        <v>69678</v>
      </c>
      <c r="J3609" s="3">
        <v>45.23</v>
      </c>
      <c r="K3609" s="3">
        <v>3151535.94</v>
      </c>
    </row>
    <row r="3610" spans="1:11" x14ac:dyDescent="0.2">
      <c r="A3610" s="1" t="s">
        <v>4728</v>
      </c>
      <c r="B3610" s="2">
        <v>45878</v>
      </c>
      <c r="C3610" s="1" t="s">
        <v>1474</v>
      </c>
      <c r="D3610" s="1" t="s">
        <v>1475</v>
      </c>
      <c r="E3610" s="1" t="s">
        <v>28</v>
      </c>
      <c r="F3610" s="1" t="s">
        <v>22</v>
      </c>
      <c r="G3610" s="1" t="s">
        <v>23</v>
      </c>
      <c r="H3610" s="1" t="s">
        <v>24</v>
      </c>
      <c r="I3610">
        <v>58203</v>
      </c>
      <c r="J3610" s="3">
        <v>46.95</v>
      </c>
      <c r="K3610" s="3">
        <v>2732630.85</v>
      </c>
    </row>
    <row r="3611" spans="1:11" x14ac:dyDescent="0.2">
      <c r="A3611" s="1" t="s">
        <v>4729</v>
      </c>
      <c r="B3611" s="2">
        <v>45973</v>
      </c>
      <c r="C3611" s="1" t="s">
        <v>678</v>
      </c>
      <c r="D3611" s="1" t="s">
        <v>679</v>
      </c>
      <c r="E3611" s="1" t="s">
        <v>28</v>
      </c>
      <c r="F3611" s="1" t="s">
        <v>81</v>
      </c>
      <c r="G3611" s="1" t="s">
        <v>82</v>
      </c>
      <c r="H3611" s="1" t="s">
        <v>72</v>
      </c>
      <c r="I3611">
        <v>45882</v>
      </c>
      <c r="J3611" s="3">
        <v>46.99</v>
      </c>
      <c r="K3611" s="3">
        <v>2155995.1800000002</v>
      </c>
    </row>
    <row r="3612" spans="1:11" x14ac:dyDescent="0.2">
      <c r="A3612" s="1" t="s">
        <v>4730</v>
      </c>
      <c r="B3612" s="2">
        <v>45517</v>
      </c>
      <c r="C3612" s="1" t="s">
        <v>4149</v>
      </c>
      <c r="D3612" s="1" t="s">
        <v>4150</v>
      </c>
      <c r="E3612" s="1" t="s">
        <v>14</v>
      </c>
      <c r="F3612" s="1" t="s">
        <v>157</v>
      </c>
      <c r="G3612" s="1" t="s">
        <v>158</v>
      </c>
      <c r="H3612" s="1" t="s">
        <v>48</v>
      </c>
      <c r="I3612">
        <v>97855</v>
      </c>
      <c r="J3612" s="3">
        <v>47.94</v>
      </c>
      <c r="K3612" s="3">
        <v>4691168.7</v>
      </c>
    </row>
    <row r="3613" spans="1:11" x14ac:dyDescent="0.2">
      <c r="A3613" s="1" t="s">
        <v>4731</v>
      </c>
      <c r="B3613" s="2">
        <v>45458</v>
      </c>
      <c r="C3613" s="1" t="s">
        <v>2128</v>
      </c>
      <c r="D3613" s="1" t="s">
        <v>2129</v>
      </c>
      <c r="E3613" s="1" t="s">
        <v>37</v>
      </c>
      <c r="F3613" s="1" t="s">
        <v>208</v>
      </c>
      <c r="G3613" s="1" t="s">
        <v>209</v>
      </c>
      <c r="H3613" s="1" t="s">
        <v>17</v>
      </c>
      <c r="I3613">
        <v>80632</v>
      </c>
      <c r="J3613" s="3">
        <v>45.13</v>
      </c>
      <c r="K3613" s="3">
        <v>3638922.16</v>
      </c>
    </row>
    <row r="3614" spans="1:11" x14ac:dyDescent="0.2">
      <c r="A3614" s="1" t="s">
        <v>4732</v>
      </c>
      <c r="B3614" s="2">
        <v>45950</v>
      </c>
      <c r="C3614" s="1" t="s">
        <v>727</v>
      </c>
      <c r="D3614" s="1" t="s">
        <v>728</v>
      </c>
      <c r="E3614" s="1" t="s">
        <v>37</v>
      </c>
      <c r="F3614" s="1" t="s">
        <v>98</v>
      </c>
      <c r="G3614" s="1" t="s">
        <v>99</v>
      </c>
      <c r="H3614" s="1" t="s">
        <v>72</v>
      </c>
      <c r="I3614">
        <v>35724</v>
      </c>
      <c r="J3614" s="3">
        <v>3.62</v>
      </c>
      <c r="K3614" s="3">
        <v>129320.88</v>
      </c>
    </row>
    <row r="3615" spans="1:11" x14ac:dyDescent="0.2">
      <c r="A3615" s="1" t="s">
        <v>4733</v>
      </c>
      <c r="B3615" s="2">
        <v>45707</v>
      </c>
      <c r="C3615" s="1" t="s">
        <v>1036</v>
      </c>
      <c r="D3615" s="1" t="s">
        <v>1037</v>
      </c>
      <c r="E3615" s="1" t="s">
        <v>21</v>
      </c>
      <c r="F3615" s="1" t="s">
        <v>22</v>
      </c>
      <c r="G3615" s="1" t="s">
        <v>23</v>
      </c>
      <c r="H3615" s="1" t="s">
        <v>24</v>
      </c>
      <c r="I3615">
        <v>98782</v>
      </c>
      <c r="J3615" s="3">
        <v>42.65</v>
      </c>
      <c r="K3615" s="3">
        <v>4213052.3</v>
      </c>
    </row>
    <row r="3616" spans="1:11" x14ac:dyDescent="0.2">
      <c r="A3616" s="1" t="s">
        <v>4734</v>
      </c>
      <c r="B3616" s="2">
        <v>45789</v>
      </c>
      <c r="C3616" s="1" t="s">
        <v>759</v>
      </c>
      <c r="D3616" s="1" t="s">
        <v>760</v>
      </c>
      <c r="E3616" s="1" t="s">
        <v>37</v>
      </c>
      <c r="F3616" s="1" t="s">
        <v>70</v>
      </c>
      <c r="G3616" s="1" t="s">
        <v>71</v>
      </c>
      <c r="H3616" s="1" t="s">
        <v>72</v>
      </c>
      <c r="I3616">
        <v>16346</v>
      </c>
      <c r="J3616" s="3">
        <v>47.81</v>
      </c>
      <c r="K3616" s="3">
        <v>781502.26</v>
      </c>
    </row>
    <row r="3617" spans="1:11" x14ac:dyDescent="0.2">
      <c r="A3617" s="1" t="s">
        <v>4735</v>
      </c>
      <c r="B3617" s="2">
        <v>45432</v>
      </c>
      <c r="C3617" s="1" t="s">
        <v>727</v>
      </c>
      <c r="D3617" s="1" t="s">
        <v>728</v>
      </c>
      <c r="E3617" s="1" t="s">
        <v>37</v>
      </c>
      <c r="F3617" s="1" t="s">
        <v>273</v>
      </c>
      <c r="G3617" s="1" t="s">
        <v>274</v>
      </c>
      <c r="H3617" s="1" t="s">
        <v>24</v>
      </c>
      <c r="I3617">
        <v>55983</v>
      </c>
      <c r="J3617" s="3">
        <v>43.82</v>
      </c>
      <c r="K3617" s="3">
        <v>2453175.06</v>
      </c>
    </row>
    <row r="3618" spans="1:11" x14ac:dyDescent="0.2">
      <c r="A3618" s="1" t="s">
        <v>4736</v>
      </c>
      <c r="B3618" s="2">
        <v>45681</v>
      </c>
      <c r="C3618" s="1" t="s">
        <v>1550</v>
      </c>
      <c r="D3618" s="1" t="s">
        <v>1551</v>
      </c>
      <c r="E3618" s="1" t="s">
        <v>37</v>
      </c>
      <c r="F3618" s="1" t="s">
        <v>350</v>
      </c>
      <c r="G3618" s="1" t="s">
        <v>351</v>
      </c>
      <c r="H3618" s="1" t="s">
        <v>37</v>
      </c>
      <c r="I3618">
        <v>33055</v>
      </c>
      <c r="J3618" s="3">
        <v>10.039999999999999</v>
      </c>
      <c r="K3618" s="3">
        <v>331872.2</v>
      </c>
    </row>
    <row r="3619" spans="1:11" x14ac:dyDescent="0.2">
      <c r="A3619" s="1" t="s">
        <v>4737</v>
      </c>
      <c r="B3619" s="2">
        <v>45712</v>
      </c>
      <c r="C3619" s="1" t="s">
        <v>119</v>
      </c>
      <c r="D3619" s="1" t="s">
        <v>120</v>
      </c>
      <c r="E3619" s="1" t="s">
        <v>28</v>
      </c>
      <c r="F3619" s="1" t="s">
        <v>263</v>
      </c>
      <c r="G3619" s="1" t="s">
        <v>264</v>
      </c>
      <c r="H3619" s="1" t="s">
        <v>17</v>
      </c>
      <c r="I3619">
        <v>24684</v>
      </c>
      <c r="J3619" s="3">
        <v>13.6</v>
      </c>
      <c r="K3619" s="3">
        <v>335702.4</v>
      </c>
    </row>
    <row r="3620" spans="1:11" x14ac:dyDescent="0.2">
      <c r="A3620" s="1" t="s">
        <v>4738</v>
      </c>
      <c r="B3620" s="2">
        <v>45297</v>
      </c>
      <c r="C3620" s="1" t="s">
        <v>559</v>
      </c>
      <c r="D3620" s="1" t="s">
        <v>560</v>
      </c>
      <c r="E3620" s="1" t="s">
        <v>14</v>
      </c>
      <c r="F3620" s="1" t="s">
        <v>330</v>
      </c>
      <c r="G3620" s="1" t="s">
        <v>331</v>
      </c>
      <c r="H3620" s="1" t="s">
        <v>72</v>
      </c>
      <c r="I3620">
        <v>36500</v>
      </c>
      <c r="J3620" s="3">
        <v>29.77</v>
      </c>
      <c r="K3620" s="3">
        <v>1086605</v>
      </c>
    </row>
    <row r="3621" spans="1:11" x14ac:dyDescent="0.2">
      <c r="A3621" s="1" t="s">
        <v>4739</v>
      </c>
      <c r="B3621" s="2">
        <v>45710</v>
      </c>
      <c r="C3621" s="1" t="s">
        <v>2781</v>
      </c>
      <c r="D3621" s="1" t="s">
        <v>2782</v>
      </c>
      <c r="E3621" s="1" t="s">
        <v>34</v>
      </c>
      <c r="F3621" s="1" t="s">
        <v>98</v>
      </c>
      <c r="G3621" s="1" t="s">
        <v>99</v>
      </c>
      <c r="H3621" s="1" t="s">
        <v>72</v>
      </c>
      <c r="I3621">
        <v>62370</v>
      </c>
      <c r="J3621" s="3">
        <v>25.2</v>
      </c>
      <c r="K3621" s="3">
        <v>1571724</v>
      </c>
    </row>
    <row r="3622" spans="1:11" x14ac:dyDescent="0.2">
      <c r="A3622" s="1" t="s">
        <v>4740</v>
      </c>
      <c r="B3622" s="2">
        <v>45334</v>
      </c>
      <c r="C3622" s="1" t="s">
        <v>1891</v>
      </c>
      <c r="D3622" s="1" t="s">
        <v>1892</v>
      </c>
      <c r="E3622" s="1" t="s">
        <v>14</v>
      </c>
      <c r="F3622" s="1" t="s">
        <v>268</v>
      </c>
      <c r="G3622" s="1" t="s">
        <v>269</v>
      </c>
      <c r="H3622" s="1" t="s">
        <v>72</v>
      </c>
      <c r="I3622">
        <v>79721</v>
      </c>
      <c r="J3622" s="3">
        <v>29.59</v>
      </c>
      <c r="K3622" s="3">
        <v>2358944.39</v>
      </c>
    </row>
    <row r="3623" spans="1:11" x14ac:dyDescent="0.2">
      <c r="A3623" s="1" t="s">
        <v>4741</v>
      </c>
      <c r="B3623" s="2">
        <v>45927</v>
      </c>
      <c r="C3623" s="1" t="s">
        <v>4720</v>
      </c>
      <c r="D3623" s="1" t="s">
        <v>4721</v>
      </c>
      <c r="E3623" s="1" t="s">
        <v>37</v>
      </c>
      <c r="F3623" s="1" t="s">
        <v>203</v>
      </c>
      <c r="G3623" s="1" t="s">
        <v>204</v>
      </c>
      <c r="H3623" s="1" t="s">
        <v>72</v>
      </c>
      <c r="I3623">
        <v>81395</v>
      </c>
      <c r="J3623" s="3">
        <v>3.67</v>
      </c>
      <c r="K3623" s="3">
        <v>298719.65000000002</v>
      </c>
    </row>
    <row r="3624" spans="1:11" x14ac:dyDescent="0.2">
      <c r="A3624" s="1" t="s">
        <v>4742</v>
      </c>
      <c r="B3624" s="2">
        <v>46009</v>
      </c>
      <c r="C3624" s="1" t="s">
        <v>2445</v>
      </c>
      <c r="D3624" s="1" t="s">
        <v>2446</v>
      </c>
      <c r="E3624" s="1" t="s">
        <v>34</v>
      </c>
      <c r="F3624" s="1" t="s">
        <v>35</v>
      </c>
      <c r="G3624" s="1" t="s">
        <v>36</v>
      </c>
      <c r="H3624" s="1" t="s">
        <v>37</v>
      </c>
      <c r="I3624">
        <v>14054</v>
      </c>
      <c r="J3624" s="3">
        <v>48.32</v>
      </c>
      <c r="K3624" s="3">
        <v>679089.28</v>
      </c>
    </row>
    <row r="3625" spans="1:11" x14ac:dyDescent="0.2">
      <c r="A3625" s="1" t="s">
        <v>4743</v>
      </c>
      <c r="B3625" s="2">
        <v>45856</v>
      </c>
      <c r="C3625" s="1" t="s">
        <v>1460</v>
      </c>
      <c r="D3625" s="1" t="s">
        <v>1461</v>
      </c>
      <c r="E3625" s="1" t="s">
        <v>37</v>
      </c>
      <c r="F3625" s="1" t="s">
        <v>251</v>
      </c>
      <c r="G3625" s="1" t="s">
        <v>252</v>
      </c>
      <c r="H3625" s="1" t="s">
        <v>72</v>
      </c>
      <c r="I3625">
        <v>3401</v>
      </c>
      <c r="J3625" s="3">
        <v>3.21</v>
      </c>
      <c r="K3625" s="3">
        <v>10917.21</v>
      </c>
    </row>
    <row r="3626" spans="1:11" x14ac:dyDescent="0.2">
      <c r="A3626" s="1" t="s">
        <v>4744</v>
      </c>
      <c r="B3626" s="2">
        <v>45723</v>
      </c>
      <c r="C3626" s="1" t="s">
        <v>2169</v>
      </c>
      <c r="D3626" s="1" t="s">
        <v>2170</v>
      </c>
      <c r="E3626" s="1" t="s">
        <v>28</v>
      </c>
      <c r="F3626" s="1" t="s">
        <v>228</v>
      </c>
      <c r="G3626" s="1" t="s">
        <v>229</v>
      </c>
      <c r="H3626" s="1" t="s">
        <v>48</v>
      </c>
      <c r="I3626">
        <v>55429</v>
      </c>
      <c r="J3626" s="3">
        <v>37.49</v>
      </c>
      <c r="K3626" s="3">
        <v>2078033.21</v>
      </c>
    </row>
    <row r="3627" spans="1:11" x14ac:dyDescent="0.2">
      <c r="A3627" s="1" t="s">
        <v>4745</v>
      </c>
      <c r="B3627" s="2">
        <v>45779</v>
      </c>
      <c r="C3627" s="1" t="s">
        <v>1036</v>
      </c>
      <c r="D3627" s="1" t="s">
        <v>1037</v>
      </c>
      <c r="E3627" s="1" t="s">
        <v>21</v>
      </c>
      <c r="F3627" s="1" t="s">
        <v>510</v>
      </c>
      <c r="G3627" s="1" t="s">
        <v>511</v>
      </c>
      <c r="H3627" s="1" t="s">
        <v>17</v>
      </c>
      <c r="I3627">
        <v>40291</v>
      </c>
      <c r="J3627" s="3">
        <v>21.91</v>
      </c>
      <c r="K3627" s="3">
        <v>882775.81</v>
      </c>
    </row>
    <row r="3628" spans="1:11" x14ac:dyDescent="0.2">
      <c r="A3628" s="1" t="s">
        <v>4746</v>
      </c>
      <c r="B3628" s="2">
        <v>45960</v>
      </c>
      <c r="C3628" s="1" t="s">
        <v>835</v>
      </c>
      <c r="D3628" s="1" t="s">
        <v>836</v>
      </c>
      <c r="E3628" s="1" t="s">
        <v>21</v>
      </c>
      <c r="F3628" s="1" t="s">
        <v>35</v>
      </c>
      <c r="G3628" s="1" t="s">
        <v>36</v>
      </c>
      <c r="H3628" s="1" t="s">
        <v>37</v>
      </c>
      <c r="I3628">
        <v>80794</v>
      </c>
      <c r="J3628" s="3">
        <v>30.14</v>
      </c>
      <c r="K3628" s="3">
        <v>2435131.16</v>
      </c>
    </row>
    <row r="3629" spans="1:11" x14ac:dyDescent="0.2">
      <c r="A3629" s="1" t="s">
        <v>4747</v>
      </c>
      <c r="B3629" s="2">
        <v>45665</v>
      </c>
      <c r="C3629" s="1" t="s">
        <v>573</v>
      </c>
      <c r="D3629" s="1" t="s">
        <v>574</v>
      </c>
      <c r="E3629" s="1" t="s">
        <v>14</v>
      </c>
      <c r="F3629" s="1" t="s">
        <v>463</v>
      </c>
      <c r="G3629" s="1" t="s">
        <v>464</v>
      </c>
      <c r="H3629" s="1" t="s">
        <v>37</v>
      </c>
      <c r="I3629">
        <v>23596</v>
      </c>
      <c r="J3629" s="3">
        <v>44.99</v>
      </c>
      <c r="K3629" s="3">
        <v>1061584.04</v>
      </c>
    </row>
    <row r="3630" spans="1:11" x14ac:dyDescent="0.2">
      <c r="A3630" s="1" t="s">
        <v>4748</v>
      </c>
      <c r="B3630" s="2">
        <v>45540</v>
      </c>
      <c r="C3630" s="1" t="s">
        <v>313</v>
      </c>
      <c r="D3630" s="1" t="s">
        <v>314</v>
      </c>
      <c r="E3630" s="1" t="s">
        <v>37</v>
      </c>
      <c r="F3630" s="1" t="s">
        <v>203</v>
      </c>
      <c r="G3630" s="1" t="s">
        <v>204</v>
      </c>
      <c r="H3630" s="1" t="s">
        <v>72</v>
      </c>
      <c r="I3630">
        <v>82590</v>
      </c>
      <c r="J3630" s="3">
        <v>36.76</v>
      </c>
      <c r="K3630" s="3">
        <v>3036008.4</v>
      </c>
    </row>
    <row r="3631" spans="1:11" x14ac:dyDescent="0.2">
      <c r="A3631" s="1" t="s">
        <v>4749</v>
      </c>
      <c r="B3631" s="2">
        <v>45643</v>
      </c>
      <c r="C3631" s="1" t="s">
        <v>2300</v>
      </c>
      <c r="D3631" s="1" t="s">
        <v>2301</v>
      </c>
      <c r="E3631" s="1" t="s">
        <v>21</v>
      </c>
      <c r="F3631" s="1" t="s">
        <v>184</v>
      </c>
      <c r="G3631" s="1" t="s">
        <v>185</v>
      </c>
      <c r="H3631" s="1" t="s">
        <v>17</v>
      </c>
      <c r="I3631">
        <v>69211</v>
      </c>
      <c r="J3631" s="3">
        <v>4.63</v>
      </c>
      <c r="K3631" s="3">
        <v>320446.93</v>
      </c>
    </row>
    <row r="3632" spans="1:11" x14ac:dyDescent="0.2">
      <c r="A3632" s="1" t="s">
        <v>4750</v>
      </c>
      <c r="B3632" s="2">
        <v>45987</v>
      </c>
      <c r="C3632" s="1" t="s">
        <v>951</v>
      </c>
      <c r="D3632" s="1" t="s">
        <v>952</v>
      </c>
      <c r="E3632" s="1" t="s">
        <v>14</v>
      </c>
      <c r="F3632" s="1" t="s">
        <v>152</v>
      </c>
      <c r="G3632" s="1" t="s">
        <v>153</v>
      </c>
      <c r="H3632" s="1" t="s">
        <v>17</v>
      </c>
      <c r="I3632">
        <v>21306</v>
      </c>
      <c r="J3632" s="3">
        <v>18.13</v>
      </c>
      <c r="K3632" s="3">
        <v>386277.78</v>
      </c>
    </row>
    <row r="3633" spans="1:11" x14ac:dyDescent="0.2">
      <c r="A3633" s="1" t="s">
        <v>4751</v>
      </c>
      <c r="B3633" s="2">
        <v>45339</v>
      </c>
      <c r="C3633" s="1" t="s">
        <v>4149</v>
      </c>
      <c r="D3633" s="1" t="s">
        <v>4150</v>
      </c>
      <c r="E3633" s="1" t="s">
        <v>14</v>
      </c>
      <c r="F3633" s="1" t="s">
        <v>113</v>
      </c>
      <c r="G3633" s="1" t="s">
        <v>114</v>
      </c>
      <c r="H3633" s="1" t="s">
        <v>37</v>
      </c>
      <c r="I3633">
        <v>65966</v>
      </c>
      <c r="J3633" s="3">
        <v>37.549999999999997</v>
      </c>
      <c r="K3633" s="3">
        <v>2477023.2999999998</v>
      </c>
    </row>
    <row r="3634" spans="1:11" x14ac:dyDescent="0.2">
      <c r="A3634" s="1" t="s">
        <v>4752</v>
      </c>
      <c r="B3634" s="2">
        <v>45832</v>
      </c>
      <c r="C3634" s="1" t="s">
        <v>431</v>
      </c>
      <c r="D3634" s="1" t="s">
        <v>432</v>
      </c>
      <c r="E3634" s="1" t="s">
        <v>14</v>
      </c>
      <c r="F3634" s="1" t="s">
        <v>761</v>
      </c>
      <c r="G3634" s="1" t="s">
        <v>762</v>
      </c>
      <c r="H3634" s="1" t="s">
        <v>48</v>
      </c>
      <c r="I3634">
        <v>88346</v>
      </c>
      <c r="J3634" s="3">
        <v>18.489999999999998</v>
      </c>
      <c r="K3634" s="3">
        <v>1633517.54</v>
      </c>
    </row>
    <row r="3635" spans="1:11" x14ac:dyDescent="0.2">
      <c r="A3635" s="1" t="s">
        <v>4753</v>
      </c>
      <c r="B3635" s="2">
        <v>45454</v>
      </c>
      <c r="C3635" s="1" t="s">
        <v>570</v>
      </c>
      <c r="D3635" s="1" t="s">
        <v>571</v>
      </c>
      <c r="E3635" s="1" t="s">
        <v>28</v>
      </c>
      <c r="F3635" s="1" t="s">
        <v>251</v>
      </c>
      <c r="G3635" s="1" t="s">
        <v>252</v>
      </c>
      <c r="H3635" s="1" t="s">
        <v>72</v>
      </c>
      <c r="I3635">
        <v>85207</v>
      </c>
      <c r="J3635" s="3">
        <v>2.75</v>
      </c>
      <c r="K3635" s="3">
        <v>234319.25</v>
      </c>
    </row>
    <row r="3636" spans="1:11" x14ac:dyDescent="0.2">
      <c r="A3636" s="1" t="s">
        <v>4754</v>
      </c>
      <c r="B3636" s="2">
        <v>45404</v>
      </c>
      <c r="C3636" s="1" t="s">
        <v>737</v>
      </c>
      <c r="D3636" s="1" t="s">
        <v>738</v>
      </c>
      <c r="E3636" s="1" t="s">
        <v>37</v>
      </c>
      <c r="F3636" s="1" t="s">
        <v>474</v>
      </c>
      <c r="G3636" s="1" t="s">
        <v>475</v>
      </c>
      <c r="H3636" s="1" t="s">
        <v>48</v>
      </c>
      <c r="I3636">
        <v>49265</v>
      </c>
      <c r="J3636" s="3">
        <v>39.42</v>
      </c>
      <c r="K3636" s="3">
        <v>1942026.3</v>
      </c>
    </row>
    <row r="3637" spans="1:11" x14ac:dyDescent="0.2">
      <c r="A3637" s="1" t="s">
        <v>4755</v>
      </c>
      <c r="B3637" s="2">
        <v>45675</v>
      </c>
      <c r="C3637" s="1" t="s">
        <v>1092</v>
      </c>
      <c r="D3637" s="1" t="s">
        <v>1093</v>
      </c>
      <c r="E3637" s="1" t="s">
        <v>34</v>
      </c>
      <c r="F3637" s="1" t="s">
        <v>228</v>
      </c>
      <c r="G3637" s="1" t="s">
        <v>229</v>
      </c>
      <c r="H3637" s="1" t="s">
        <v>48</v>
      </c>
      <c r="I3637">
        <v>43742</v>
      </c>
      <c r="J3637" s="3">
        <v>42.97</v>
      </c>
      <c r="K3637" s="3">
        <v>1879593.74</v>
      </c>
    </row>
    <row r="3638" spans="1:11" x14ac:dyDescent="0.2">
      <c r="A3638" s="1" t="s">
        <v>4756</v>
      </c>
      <c r="B3638" s="2">
        <v>45588</v>
      </c>
      <c r="C3638" s="1" t="s">
        <v>1498</v>
      </c>
      <c r="D3638" s="1" t="s">
        <v>1499</v>
      </c>
      <c r="E3638" s="1" t="s">
        <v>14</v>
      </c>
      <c r="F3638" s="1" t="s">
        <v>203</v>
      </c>
      <c r="G3638" s="1" t="s">
        <v>204</v>
      </c>
      <c r="H3638" s="1" t="s">
        <v>72</v>
      </c>
      <c r="I3638">
        <v>38877</v>
      </c>
      <c r="J3638" s="3">
        <v>10.45</v>
      </c>
      <c r="K3638" s="3">
        <v>406264.65</v>
      </c>
    </row>
    <row r="3639" spans="1:11" x14ac:dyDescent="0.2">
      <c r="A3639" s="1" t="s">
        <v>4757</v>
      </c>
      <c r="B3639" s="2">
        <v>45916</v>
      </c>
      <c r="C3639" s="1" t="s">
        <v>737</v>
      </c>
      <c r="D3639" s="1" t="s">
        <v>738</v>
      </c>
      <c r="E3639" s="1" t="s">
        <v>37</v>
      </c>
      <c r="F3639" s="1" t="s">
        <v>113</v>
      </c>
      <c r="G3639" s="1" t="s">
        <v>114</v>
      </c>
      <c r="H3639" s="1" t="s">
        <v>37</v>
      </c>
      <c r="I3639">
        <v>29991</v>
      </c>
      <c r="J3639" s="3">
        <v>37.31</v>
      </c>
      <c r="K3639" s="3">
        <v>1118964.21</v>
      </c>
    </row>
    <row r="3640" spans="1:11" x14ac:dyDescent="0.2">
      <c r="A3640" s="1" t="s">
        <v>4758</v>
      </c>
      <c r="B3640" s="2">
        <v>45530</v>
      </c>
      <c r="C3640" s="1" t="s">
        <v>2571</v>
      </c>
      <c r="D3640" s="1" t="s">
        <v>2572</v>
      </c>
      <c r="E3640" s="1" t="s">
        <v>34</v>
      </c>
      <c r="F3640" s="1" t="s">
        <v>176</v>
      </c>
      <c r="G3640" s="1" t="s">
        <v>177</v>
      </c>
      <c r="H3640" s="1" t="s">
        <v>37</v>
      </c>
      <c r="I3640">
        <v>83431</v>
      </c>
      <c r="J3640" s="3">
        <v>29.07</v>
      </c>
      <c r="K3640" s="3">
        <v>2425339.17</v>
      </c>
    </row>
    <row r="3641" spans="1:11" x14ac:dyDescent="0.2">
      <c r="A3641" s="1" t="s">
        <v>4759</v>
      </c>
      <c r="B3641" s="2">
        <v>45835</v>
      </c>
      <c r="C3641" s="1" t="s">
        <v>2314</v>
      </c>
      <c r="D3641" s="1" t="s">
        <v>2315</v>
      </c>
      <c r="E3641" s="1" t="s">
        <v>21</v>
      </c>
      <c r="F3641" s="1" t="s">
        <v>237</v>
      </c>
      <c r="G3641" s="1" t="s">
        <v>238</v>
      </c>
      <c r="H3641" s="1" t="s">
        <v>17</v>
      </c>
      <c r="I3641">
        <v>64829</v>
      </c>
      <c r="J3641" s="3">
        <v>34.65</v>
      </c>
      <c r="K3641" s="3">
        <v>2246324.85</v>
      </c>
    </row>
    <row r="3642" spans="1:11" x14ac:dyDescent="0.2">
      <c r="A3642" s="1" t="s">
        <v>4760</v>
      </c>
      <c r="B3642" s="2">
        <v>45768</v>
      </c>
      <c r="C3642" s="1" t="s">
        <v>111</v>
      </c>
      <c r="D3642" s="1" t="s">
        <v>112</v>
      </c>
      <c r="E3642" s="1" t="s">
        <v>14</v>
      </c>
      <c r="F3642" s="1" t="s">
        <v>152</v>
      </c>
      <c r="G3642" s="1" t="s">
        <v>153</v>
      </c>
      <c r="H3642" s="1" t="s">
        <v>17</v>
      </c>
      <c r="I3642">
        <v>76760</v>
      </c>
      <c r="J3642" s="3">
        <v>13</v>
      </c>
      <c r="K3642" s="3">
        <v>997880</v>
      </c>
    </row>
    <row r="3643" spans="1:11" x14ac:dyDescent="0.2">
      <c r="A3643" s="1" t="s">
        <v>4761</v>
      </c>
      <c r="B3643" s="2">
        <v>45513</v>
      </c>
      <c r="C3643" s="1" t="s">
        <v>1364</v>
      </c>
      <c r="D3643" s="1" t="s">
        <v>1365</v>
      </c>
      <c r="E3643" s="1" t="s">
        <v>37</v>
      </c>
      <c r="F3643" s="1" t="s">
        <v>458</v>
      </c>
      <c r="G3643" s="1" t="s">
        <v>459</v>
      </c>
      <c r="H3643" s="1" t="s">
        <v>72</v>
      </c>
      <c r="I3643">
        <v>81226</v>
      </c>
      <c r="J3643" s="3">
        <v>18.66</v>
      </c>
      <c r="K3643" s="3">
        <v>1515677.16</v>
      </c>
    </row>
    <row r="3644" spans="1:11" x14ac:dyDescent="0.2">
      <c r="A3644" s="1" t="s">
        <v>4762</v>
      </c>
      <c r="B3644" s="2">
        <v>45749</v>
      </c>
      <c r="C3644" s="1" t="s">
        <v>388</v>
      </c>
      <c r="D3644" s="1" t="s">
        <v>389</v>
      </c>
      <c r="E3644" s="1" t="s">
        <v>14</v>
      </c>
      <c r="F3644" s="1" t="s">
        <v>436</v>
      </c>
      <c r="G3644" s="1" t="s">
        <v>437</v>
      </c>
      <c r="H3644" s="1" t="s">
        <v>24</v>
      </c>
      <c r="I3644">
        <v>6956</v>
      </c>
      <c r="J3644" s="3">
        <v>17.93</v>
      </c>
      <c r="K3644" s="3">
        <v>124721.08</v>
      </c>
    </row>
    <row r="3645" spans="1:11" x14ac:dyDescent="0.2">
      <c r="A3645" s="1" t="s">
        <v>4763</v>
      </c>
      <c r="B3645" s="2">
        <v>45624</v>
      </c>
      <c r="C3645" s="1" t="s">
        <v>1567</v>
      </c>
      <c r="D3645" s="1" t="s">
        <v>1568</v>
      </c>
      <c r="E3645" s="1" t="s">
        <v>34</v>
      </c>
      <c r="F3645" s="1" t="s">
        <v>284</v>
      </c>
      <c r="G3645" s="1" t="s">
        <v>285</v>
      </c>
      <c r="H3645" s="1" t="s">
        <v>37</v>
      </c>
      <c r="I3645">
        <v>67421</v>
      </c>
      <c r="J3645" s="3">
        <v>41.57</v>
      </c>
      <c r="K3645" s="3">
        <v>2802690.97</v>
      </c>
    </row>
    <row r="3646" spans="1:11" x14ac:dyDescent="0.2">
      <c r="A3646" s="1" t="s">
        <v>4764</v>
      </c>
      <c r="B3646" s="2">
        <v>45808</v>
      </c>
      <c r="C3646" s="1" t="s">
        <v>1233</v>
      </c>
      <c r="D3646" s="1" t="s">
        <v>1234</v>
      </c>
      <c r="E3646" s="1" t="s">
        <v>14</v>
      </c>
      <c r="F3646" s="1" t="s">
        <v>208</v>
      </c>
      <c r="G3646" s="1" t="s">
        <v>209</v>
      </c>
      <c r="H3646" s="1" t="s">
        <v>17</v>
      </c>
      <c r="I3646">
        <v>38437</v>
      </c>
      <c r="J3646" s="3">
        <v>25.43</v>
      </c>
      <c r="K3646" s="3">
        <v>977452.91</v>
      </c>
    </row>
    <row r="3647" spans="1:11" x14ac:dyDescent="0.2">
      <c r="A3647" s="1" t="s">
        <v>4765</v>
      </c>
      <c r="B3647" s="2">
        <v>45720</v>
      </c>
      <c r="C3647" s="1" t="s">
        <v>863</v>
      </c>
      <c r="D3647" s="1" t="s">
        <v>864</v>
      </c>
      <c r="E3647" s="1" t="s">
        <v>37</v>
      </c>
      <c r="F3647" s="1" t="s">
        <v>412</v>
      </c>
      <c r="G3647" s="1" t="s">
        <v>413</v>
      </c>
      <c r="H3647" s="1" t="s">
        <v>72</v>
      </c>
      <c r="I3647">
        <v>4633</v>
      </c>
      <c r="J3647" s="3">
        <v>44</v>
      </c>
      <c r="K3647" s="3">
        <v>203852</v>
      </c>
    </row>
    <row r="3648" spans="1:11" x14ac:dyDescent="0.2">
      <c r="A3648" s="1" t="s">
        <v>4766</v>
      </c>
      <c r="B3648" s="2">
        <v>45337</v>
      </c>
      <c r="C3648" s="1" t="s">
        <v>3301</v>
      </c>
      <c r="D3648" s="1" t="s">
        <v>3302</v>
      </c>
      <c r="E3648" s="1" t="s">
        <v>28</v>
      </c>
      <c r="F3648" s="1" t="s">
        <v>65</v>
      </c>
      <c r="G3648" s="1" t="s">
        <v>66</v>
      </c>
      <c r="H3648" s="1" t="s">
        <v>48</v>
      </c>
      <c r="I3648">
        <v>86100</v>
      </c>
      <c r="J3648" s="3">
        <v>31.69</v>
      </c>
      <c r="K3648" s="3">
        <v>2728509</v>
      </c>
    </row>
    <row r="3649" spans="1:11" x14ac:dyDescent="0.2">
      <c r="A3649" s="1" t="s">
        <v>4767</v>
      </c>
      <c r="B3649" s="2">
        <v>45885</v>
      </c>
      <c r="C3649" s="1" t="s">
        <v>1092</v>
      </c>
      <c r="D3649" s="1" t="s">
        <v>1093</v>
      </c>
      <c r="E3649" s="1" t="s">
        <v>34</v>
      </c>
      <c r="F3649" s="1" t="s">
        <v>35</v>
      </c>
      <c r="G3649" s="1" t="s">
        <v>36</v>
      </c>
      <c r="H3649" s="1" t="s">
        <v>37</v>
      </c>
      <c r="I3649">
        <v>50438</v>
      </c>
      <c r="J3649" s="3">
        <v>2.08</v>
      </c>
      <c r="K3649" s="3">
        <v>104911.03999999999</v>
      </c>
    </row>
    <row r="3650" spans="1:11" x14ac:dyDescent="0.2">
      <c r="A3650" s="1" t="s">
        <v>4768</v>
      </c>
      <c r="B3650" s="2">
        <v>45855</v>
      </c>
      <c r="C3650" s="1" t="s">
        <v>1520</v>
      </c>
      <c r="D3650" s="1" t="s">
        <v>1521</v>
      </c>
      <c r="E3650" s="1" t="s">
        <v>37</v>
      </c>
      <c r="F3650" s="1" t="s">
        <v>103</v>
      </c>
      <c r="G3650" s="1" t="s">
        <v>104</v>
      </c>
      <c r="H3650" s="1" t="s">
        <v>37</v>
      </c>
      <c r="I3650">
        <v>88322</v>
      </c>
      <c r="J3650" s="3">
        <v>14.89</v>
      </c>
      <c r="K3650" s="3">
        <v>1315114.58</v>
      </c>
    </row>
    <row r="3651" spans="1:11" x14ac:dyDescent="0.2">
      <c r="A3651" s="1" t="s">
        <v>4769</v>
      </c>
      <c r="B3651" s="2">
        <v>45836</v>
      </c>
      <c r="C3651" s="1" t="s">
        <v>2314</v>
      </c>
      <c r="D3651" s="1" t="s">
        <v>2315</v>
      </c>
      <c r="E3651" s="1" t="s">
        <v>21</v>
      </c>
      <c r="F3651" s="1" t="s">
        <v>284</v>
      </c>
      <c r="G3651" s="1" t="s">
        <v>285</v>
      </c>
      <c r="H3651" s="1" t="s">
        <v>37</v>
      </c>
      <c r="I3651">
        <v>44465</v>
      </c>
      <c r="J3651" s="3">
        <v>22.71</v>
      </c>
      <c r="K3651" s="3">
        <v>1009800.15</v>
      </c>
    </row>
    <row r="3652" spans="1:11" x14ac:dyDescent="0.2">
      <c r="A3652" s="1" t="s">
        <v>4770</v>
      </c>
      <c r="B3652" s="2">
        <v>45852</v>
      </c>
      <c r="C3652" s="1" t="s">
        <v>1397</v>
      </c>
      <c r="D3652" s="1" t="s">
        <v>1398</v>
      </c>
      <c r="E3652" s="1" t="s">
        <v>14</v>
      </c>
      <c r="F3652" s="1" t="s">
        <v>22</v>
      </c>
      <c r="G3652" s="1" t="s">
        <v>23</v>
      </c>
      <c r="H3652" s="1" t="s">
        <v>24</v>
      </c>
      <c r="I3652">
        <v>80585</v>
      </c>
      <c r="J3652" s="3">
        <v>43.15</v>
      </c>
      <c r="K3652" s="3">
        <v>3477242.75</v>
      </c>
    </row>
    <row r="3653" spans="1:11" x14ac:dyDescent="0.2">
      <c r="A3653" s="1" t="s">
        <v>4771</v>
      </c>
      <c r="B3653" s="2">
        <v>45889</v>
      </c>
      <c r="C3653" s="1" t="s">
        <v>1652</v>
      </c>
      <c r="D3653" s="1" t="s">
        <v>1653</v>
      </c>
      <c r="E3653" s="1" t="s">
        <v>28</v>
      </c>
      <c r="F3653" s="1" t="s">
        <v>41</v>
      </c>
      <c r="G3653" s="1" t="s">
        <v>42</v>
      </c>
      <c r="H3653" s="1" t="s">
        <v>24</v>
      </c>
      <c r="I3653">
        <v>26950</v>
      </c>
      <c r="J3653" s="3">
        <v>15.63</v>
      </c>
      <c r="K3653" s="3">
        <v>421228.5</v>
      </c>
    </row>
    <row r="3654" spans="1:11" x14ac:dyDescent="0.2">
      <c r="A3654" s="1" t="s">
        <v>4772</v>
      </c>
      <c r="B3654" s="2">
        <v>45789</v>
      </c>
      <c r="C3654" s="1" t="s">
        <v>249</v>
      </c>
      <c r="D3654" s="1" t="s">
        <v>250</v>
      </c>
      <c r="E3654" s="1" t="s">
        <v>21</v>
      </c>
      <c r="F3654" s="1" t="s">
        <v>208</v>
      </c>
      <c r="G3654" s="1" t="s">
        <v>209</v>
      </c>
      <c r="H3654" s="1" t="s">
        <v>17</v>
      </c>
      <c r="I3654">
        <v>51109</v>
      </c>
      <c r="J3654" s="3">
        <v>32.29</v>
      </c>
      <c r="K3654" s="3">
        <v>1650309.61</v>
      </c>
    </row>
    <row r="3655" spans="1:11" x14ac:dyDescent="0.2">
      <c r="A3655" s="1" t="s">
        <v>4773</v>
      </c>
      <c r="B3655" s="2">
        <v>45594</v>
      </c>
      <c r="C3655" s="1" t="s">
        <v>727</v>
      </c>
      <c r="D3655" s="1" t="s">
        <v>728</v>
      </c>
      <c r="E3655" s="1" t="s">
        <v>37</v>
      </c>
      <c r="F3655" s="1" t="s">
        <v>81</v>
      </c>
      <c r="G3655" s="1" t="s">
        <v>82</v>
      </c>
      <c r="H3655" s="1" t="s">
        <v>72</v>
      </c>
      <c r="I3655">
        <v>83744</v>
      </c>
      <c r="J3655" s="3">
        <v>43.46</v>
      </c>
      <c r="K3655" s="3">
        <v>3639514.24</v>
      </c>
    </row>
    <row r="3656" spans="1:11" x14ac:dyDescent="0.2">
      <c r="A3656" s="1" t="s">
        <v>4774</v>
      </c>
      <c r="B3656" s="2">
        <v>45869</v>
      </c>
      <c r="C3656" s="1" t="s">
        <v>2207</v>
      </c>
      <c r="D3656" s="1" t="s">
        <v>2208</v>
      </c>
      <c r="E3656" s="1" t="s">
        <v>37</v>
      </c>
      <c r="F3656" s="1" t="s">
        <v>324</v>
      </c>
      <c r="G3656" s="1" t="s">
        <v>325</v>
      </c>
      <c r="H3656" s="1" t="s">
        <v>24</v>
      </c>
      <c r="I3656">
        <v>80080</v>
      </c>
      <c r="J3656" s="3">
        <v>12</v>
      </c>
      <c r="K3656" s="3">
        <v>960960</v>
      </c>
    </row>
    <row r="3657" spans="1:11" x14ac:dyDescent="0.2">
      <c r="A3657" s="1" t="s">
        <v>4775</v>
      </c>
      <c r="B3657" s="2">
        <v>45329</v>
      </c>
      <c r="C3657" s="1" t="s">
        <v>2128</v>
      </c>
      <c r="D3657" s="1" t="s">
        <v>2129</v>
      </c>
      <c r="E3657" s="1" t="s">
        <v>37</v>
      </c>
      <c r="F3657" s="1" t="s">
        <v>510</v>
      </c>
      <c r="G3657" s="1" t="s">
        <v>511</v>
      </c>
      <c r="H3657" s="1" t="s">
        <v>17</v>
      </c>
      <c r="I3657">
        <v>84818</v>
      </c>
      <c r="J3657" s="3">
        <v>46.89</v>
      </c>
      <c r="K3657" s="3">
        <v>3977116.02</v>
      </c>
    </row>
    <row r="3658" spans="1:11" x14ac:dyDescent="0.2">
      <c r="A3658" s="1" t="s">
        <v>4776</v>
      </c>
      <c r="B3658" s="2">
        <v>45888</v>
      </c>
      <c r="C3658" s="1" t="s">
        <v>1489</v>
      </c>
      <c r="D3658" s="1" t="s">
        <v>1490</v>
      </c>
      <c r="E3658" s="1" t="s">
        <v>37</v>
      </c>
      <c r="F3658" s="1" t="s">
        <v>52</v>
      </c>
      <c r="G3658" s="1" t="s">
        <v>53</v>
      </c>
      <c r="H3658" s="1" t="s">
        <v>17</v>
      </c>
      <c r="I3658">
        <v>31085</v>
      </c>
      <c r="J3658" s="3">
        <v>32.119999999999997</v>
      </c>
      <c r="K3658" s="3">
        <v>998450.2</v>
      </c>
    </row>
    <row r="3659" spans="1:11" x14ac:dyDescent="0.2">
      <c r="A3659" s="1" t="s">
        <v>4777</v>
      </c>
      <c r="B3659" s="2">
        <v>45482</v>
      </c>
      <c r="C3659" s="1" t="s">
        <v>134</v>
      </c>
      <c r="D3659" s="1" t="s">
        <v>135</v>
      </c>
      <c r="E3659" s="1" t="s">
        <v>14</v>
      </c>
      <c r="F3659" s="1" t="s">
        <v>203</v>
      </c>
      <c r="G3659" s="1" t="s">
        <v>204</v>
      </c>
      <c r="H3659" s="1" t="s">
        <v>72</v>
      </c>
      <c r="I3659">
        <v>68735</v>
      </c>
      <c r="J3659" s="3">
        <v>6.77</v>
      </c>
      <c r="K3659" s="3">
        <v>465335.95</v>
      </c>
    </row>
    <row r="3660" spans="1:11" x14ac:dyDescent="0.2">
      <c r="A3660" s="1" t="s">
        <v>4778</v>
      </c>
      <c r="B3660" s="2">
        <v>45336</v>
      </c>
      <c r="C3660" s="1" t="s">
        <v>2686</v>
      </c>
      <c r="D3660" s="1" t="s">
        <v>2687</v>
      </c>
      <c r="E3660" s="1" t="s">
        <v>21</v>
      </c>
      <c r="F3660" s="1" t="s">
        <v>46</v>
      </c>
      <c r="G3660" s="1" t="s">
        <v>47</v>
      </c>
      <c r="H3660" s="1" t="s">
        <v>48</v>
      </c>
      <c r="I3660">
        <v>53696</v>
      </c>
      <c r="J3660" s="3">
        <v>40.11</v>
      </c>
      <c r="K3660" s="3">
        <v>2153746.56</v>
      </c>
    </row>
    <row r="3661" spans="1:11" x14ac:dyDescent="0.2">
      <c r="A3661" s="1" t="s">
        <v>4779</v>
      </c>
      <c r="B3661" s="2">
        <v>45523</v>
      </c>
      <c r="C3661" s="1" t="s">
        <v>847</v>
      </c>
      <c r="D3661" s="1" t="s">
        <v>848</v>
      </c>
      <c r="E3661" s="1" t="s">
        <v>34</v>
      </c>
      <c r="F3661" s="1" t="s">
        <v>113</v>
      </c>
      <c r="G3661" s="1" t="s">
        <v>114</v>
      </c>
      <c r="H3661" s="1" t="s">
        <v>37</v>
      </c>
      <c r="I3661">
        <v>53306</v>
      </c>
      <c r="J3661" s="3">
        <v>43.9</v>
      </c>
      <c r="K3661" s="3">
        <v>2340133.4</v>
      </c>
    </row>
    <row r="3662" spans="1:11" x14ac:dyDescent="0.2">
      <c r="A3662" s="1" t="s">
        <v>4780</v>
      </c>
      <c r="B3662" s="2">
        <v>45526</v>
      </c>
      <c r="C3662" s="1" t="s">
        <v>886</v>
      </c>
      <c r="D3662" s="1" t="s">
        <v>887</v>
      </c>
      <c r="E3662" s="1" t="s">
        <v>21</v>
      </c>
      <c r="F3662" s="1" t="s">
        <v>35</v>
      </c>
      <c r="G3662" s="1" t="s">
        <v>36</v>
      </c>
      <c r="H3662" s="1" t="s">
        <v>37</v>
      </c>
      <c r="I3662">
        <v>94641</v>
      </c>
      <c r="J3662" s="3">
        <v>21.01</v>
      </c>
      <c r="K3662" s="3">
        <v>1988407.41</v>
      </c>
    </row>
    <row r="3663" spans="1:11" x14ac:dyDescent="0.2">
      <c r="A3663" s="1" t="s">
        <v>4781</v>
      </c>
      <c r="B3663" s="2">
        <v>45961</v>
      </c>
      <c r="C3663" s="1" t="s">
        <v>163</v>
      </c>
      <c r="D3663" s="1" t="s">
        <v>164</v>
      </c>
      <c r="E3663" s="1" t="s">
        <v>14</v>
      </c>
      <c r="F3663" s="1" t="s">
        <v>46</v>
      </c>
      <c r="G3663" s="1" t="s">
        <v>47</v>
      </c>
      <c r="H3663" s="1" t="s">
        <v>48</v>
      </c>
      <c r="I3663">
        <v>7710</v>
      </c>
      <c r="J3663" s="3">
        <v>25.57</v>
      </c>
      <c r="K3663" s="3">
        <v>197144.7</v>
      </c>
    </row>
    <row r="3664" spans="1:11" x14ac:dyDescent="0.2">
      <c r="A3664" s="1" t="s">
        <v>4782</v>
      </c>
      <c r="B3664" s="2">
        <v>45621</v>
      </c>
      <c r="C3664" s="1" t="s">
        <v>1994</v>
      </c>
      <c r="D3664" s="1" t="s">
        <v>1995</v>
      </c>
      <c r="E3664" s="1" t="s">
        <v>28</v>
      </c>
      <c r="F3664" s="1" t="s">
        <v>208</v>
      </c>
      <c r="G3664" s="1" t="s">
        <v>209</v>
      </c>
      <c r="H3664" s="1" t="s">
        <v>17</v>
      </c>
      <c r="I3664">
        <v>73637</v>
      </c>
      <c r="J3664" s="3">
        <v>33.93</v>
      </c>
      <c r="K3664" s="3">
        <v>2498503.41</v>
      </c>
    </row>
    <row r="3665" spans="1:11" x14ac:dyDescent="0.2">
      <c r="A3665" s="1" t="s">
        <v>4783</v>
      </c>
      <c r="B3665" s="2">
        <v>45478</v>
      </c>
      <c r="C3665" s="1" t="s">
        <v>1324</v>
      </c>
      <c r="D3665" s="1" t="s">
        <v>1325</v>
      </c>
      <c r="E3665" s="1" t="s">
        <v>34</v>
      </c>
      <c r="F3665" s="1" t="s">
        <v>108</v>
      </c>
      <c r="G3665" s="1" t="s">
        <v>109</v>
      </c>
      <c r="H3665" s="1" t="s">
        <v>37</v>
      </c>
      <c r="I3665">
        <v>83267</v>
      </c>
      <c r="J3665" s="3">
        <v>48.77</v>
      </c>
      <c r="K3665" s="3">
        <v>4060931.59</v>
      </c>
    </row>
    <row r="3666" spans="1:11" x14ac:dyDescent="0.2">
      <c r="A3666" s="1" t="s">
        <v>4784</v>
      </c>
      <c r="B3666" s="2">
        <v>45504</v>
      </c>
      <c r="C3666" s="1" t="s">
        <v>187</v>
      </c>
      <c r="D3666" s="1" t="s">
        <v>188</v>
      </c>
      <c r="E3666" s="1" t="s">
        <v>34</v>
      </c>
      <c r="F3666" s="1" t="s">
        <v>228</v>
      </c>
      <c r="G3666" s="1" t="s">
        <v>229</v>
      </c>
      <c r="H3666" s="1" t="s">
        <v>48</v>
      </c>
      <c r="I3666">
        <v>54643</v>
      </c>
      <c r="J3666" s="3">
        <v>38.75</v>
      </c>
      <c r="K3666" s="3">
        <v>2117416.25</v>
      </c>
    </row>
    <row r="3667" spans="1:11" x14ac:dyDescent="0.2">
      <c r="A3667" s="1" t="s">
        <v>4785</v>
      </c>
      <c r="B3667" s="2">
        <v>45863</v>
      </c>
      <c r="C3667" s="1" t="s">
        <v>310</v>
      </c>
      <c r="D3667" s="1" t="s">
        <v>311</v>
      </c>
      <c r="E3667" s="1" t="s">
        <v>37</v>
      </c>
      <c r="F3667" s="1" t="s">
        <v>237</v>
      </c>
      <c r="G3667" s="1" t="s">
        <v>238</v>
      </c>
      <c r="H3667" s="1" t="s">
        <v>17</v>
      </c>
      <c r="I3667">
        <v>98646</v>
      </c>
      <c r="J3667" s="3">
        <v>17.61</v>
      </c>
      <c r="K3667" s="3">
        <v>1737156.06</v>
      </c>
    </row>
    <row r="3668" spans="1:11" x14ac:dyDescent="0.2">
      <c r="A3668" s="1" t="s">
        <v>4786</v>
      </c>
      <c r="B3668" s="2">
        <v>45510</v>
      </c>
      <c r="C3668" s="1" t="s">
        <v>1460</v>
      </c>
      <c r="D3668" s="1" t="s">
        <v>1461</v>
      </c>
      <c r="E3668" s="1" t="s">
        <v>37</v>
      </c>
      <c r="F3668" s="1" t="s">
        <v>217</v>
      </c>
      <c r="G3668" s="1" t="s">
        <v>218</v>
      </c>
      <c r="H3668" s="1" t="s">
        <v>72</v>
      </c>
      <c r="I3668">
        <v>73995</v>
      </c>
      <c r="J3668" s="3">
        <v>41.4</v>
      </c>
      <c r="K3668" s="3">
        <v>3063393</v>
      </c>
    </row>
    <row r="3669" spans="1:11" x14ac:dyDescent="0.2">
      <c r="A3669" s="1" t="s">
        <v>4787</v>
      </c>
      <c r="B3669" s="2">
        <v>45617</v>
      </c>
      <c r="C3669" s="1" t="s">
        <v>119</v>
      </c>
      <c r="D3669" s="1" t="s">
        <v>120</v>
      </c>
      <c r="E3669" s="1" t="s">
        <v>28</v>
      </c>
      <c r="F3669" s="1" t="s">
        <v>15</v>
      </c>
      <c r="G3669" s="1" t="s">
        <v>16</v>
      </c>
      <c r="H3669" s="1" t="s">
        <v>17</v>
      </c>
      <c r="I3669">
        <v>72149</v>
      </c>
      <c r="J3669" s="3">
        <v>29.52</v>
      </c>
      <c r="K3669" s="3">
        <v>2129838.48</v>
      </c>
    </row>
    <row r="3670" spans="1:11" x14ac:dyDescent="0.2">
      <c r="A3670" s="1" t="s">
        <v>4788</v>
      </c>
      <c r="B3670" s="2">
        <v>45654</v>
      </c>
      <c r="C3670" s="1" t="s">
        <v>3170</v>
      </c>
      <c r="D3670" s="1" t="s">
        <v>3171</v>
      </c>
      <c r="E3670" s="1" t="s">
        <v>34</v>
      </c>
      <c r="F3670" s="1" t="s">
        <v>15</v>
      </c>
      <c r="G3670" s="1" t="s">
        <v>16</v>
      </c>
      <c r="H3670" s="1" t="s">
        <v>17</v>
      </c>
      <c r="I3670">
        <v>25199</v>
      </c>
      <c r="J3670" s="3">
        <v>20.149999999999999</v>
      </c>
      <c r="K3670" s="3">
        <v>507759.85</v>
      </c>
    </row>
    <row r="3671" spans="1:11" x14ac:dyDescent="0.2">
      <c r="A3671" s="1" t="s">
        <v>4789</v>
      </c>
      <c r="B3671" s="2">
        <v>45883</v>
      </c>
      <c r="C3671" s="1" t="s">
        <v>1909</v>
      </c>
      <c r="D3671" s="1" t="s">
        <v>1910</v>
      </c>
      <c r="E3671" s="1" t="s">
        <v>37</v>
      </c>
      <c r="F3671" s="1" t="s">
        <v>251</v>
      </c>
      <c r="G3671" s="1" t="s">
        <v>252</v>
      </c>
      <c r="H3671" s="1" t="s">
        <v>72</v>
      </c>
      <c r="I3671">
        <v>3913</v>
      </c>
      <c r="J3671" s="3">
        <v>35.020000000000003</v>
      </c>
      <c r="K3671" s="3">
        <v>137033.26</v>
      </c>
    </row>
    <row r="3672" spans="1:11" x14ac:dyDescent="0.2">
      <c r="A3672" s="1" t="s">
        <v>4790</v>
      </c>
      <c r="B3672" s="2">
        <v>45505</v>
      </c>
      <c r="C3672" s="1" t="s">
        <v>1722</v>
      </c>
      <c r="D3672" s="1" t="s">
        <v>1723</v>
      </c>
      <c r="E3672" s="1" t="s">
        <v>34</v>
      </c>
      <c r="F3672" s="1" t="s">
        <v>217</v>
      </c>
      <c r="G3672" s="1" t="s">
        <v>218</v>
      </c>
      <c r="H3672" s="1" t="s">
        <v>72</v>
      </c>
      <c r="I3672">
        <v>28238</v>
      </c>
      <c r="J3672" s="3">
        <v>31.7</v>
      </c>
      <c r="K3672" s="3">
        <v>895144.6</v>
      </c>
    </row>
    <row r="3673" spans="1:11" x14ac:dyDescent="0.2">
      <c r="A3673" s="1" t="s">
        <v>4791</v>
      </c>
      <c r="B3673" s="2">
        <v>45844</v>
      </c>
      <c r="C3673" s="1" t="s">
        <v>847</v>
      </c>
      <c r="D3673" s="1" t="s">
        <v>848</v>
      </c>
      <c r="E3673" s="1" t="s">
        <v>34</v>
      </c>
      <c r="F3673" s="1" t="s">
        <v>189</v>
      </c>
      <c r="G3673" s="1" t="s">
        <v>190</v>
      </c>
      <c r="H3673" s="1" t="s">
        <v>17</v>
      </c>
      <c r="I3673">
        <v>47709</v>
      </c>
      <c r="J3673" s="3">
        <v>21.16</v>
      </c>
      <c r="K3673" s="3">
        <v>1009522.44</v>
      </c>
    </row>
    <row r="3674" spans="1:11" x14ac:dyDescent="0.2">
      <c r="A3674" s="1" t="s">
        <v>4792</v>
      </c>
      <c r="B3674" s="2">
        <v>45610</v>
      </c>
      <c r="C3674" s="1" t="s">
        <v>2300</v>
      </c>
      <c r="D3674" s="1" t="s">
        <v>2301</v>
      </c>
      <c r="E3674" s="1" t="s">
        <v>21</v>
      </c>
      <c r="F3674" s="1" t="s">
        <v>228</v>
      </c>
      <c r="G3674" s="1" t="s">
        <v>229</v>
      </c>
      <c r="H3674" s="1" t="s">
        <v>48</v>
      </c>
      <c r="I3674">
        <v>45288</v>
      </c>
      <c r="J3674" s="3">
        <v>42.83</v>
      </c>
      <c r="K3674" s="3">
        <v>1939685.04</v>
      </c>
    </row>
    <row r="3675" spans="1:11" x14ac:dyDescent="0.2">
      <c r="A3675" s="1" t="s">
        <v>4793</v>
      </c>
      <c r="B3675" s="2">
        <v>45477</v>
      </c>
      <c r="C3675" s="1" t="s">
        <v>439</v>
      </c>
      <c r="D3675" s="1" t="s">
        <v>440</v>
      </c>
      <c r="E3675" s="1" t="s">
        <v>28</v>
      </c>
      <c r="F3675" s="1" t="s">
        <v>176</v>
      </c>
      <c r="G3675" s="1" t="s">
        <v>177</v>
      </c>
      <c r="H3675" s="1" t="s">
        <v>37</v>
      </c>
      <c r="I3675">
        <v>25135</v>
      </c>
      <c r="J3675" s="3">
        <v>39.93</v>
      </c>
      <c r="K3675" s="3">
        <v>1003640.55</v>
      </c>
    </row>
    <row r="3676" spans="1:11" x14ac:dyDescent="0.2">
      <c r="A3676" s="1" t="s">
        <v>4794</v>
      </c>
      <c r="B3676" s="2">
        <v>45685</v>
      </c>
      <c r="C3676" s="1" t="s">
        <v>1073</v>
      </c>
      <c r="D3676" s="1" t="s">
        <v>1074</v>
      </c>
      <c r="E3676" s="1" t="s">
        <v>34</v>
      </c>
      <c r="F3676" s="1" t="s">
        <v>144</v>
      </c>
      <c r="G3676" s="1" t="s">
        <v>145</v>
      </c>
      <c r="H3676" s="1" t="s">
        <v>24</v>
      </c>
      <c r="I3676">
        <v>52275</v>
      </c>
      <c r="J3676" s="3">
        <v>39.51</v>
      </c>
      <c r="K3676" s="3">
        <v>2065385.25</v>
      </c>
    </row>
    <row r="3677" spans="1:11" x14ac:dyDescent="0.2">
      <c r="A3677" s="1" t="s">
        <v>4795</v>
      </c>
      <c r="B3677" s="2">
        <v>45868</v>
      </c>
      <c r="C3677" s="1" t="s">
        <v>883</v>
      </c>
      <c r="D3677" s="1" t="s">
        <v>884</v>
      </c>
      <c r="E3677" s="1" t="s">
        <v>37</v>
      </c>
      <c r="F3677" s="1" t="s">
        <v>552</v>
      </c>
      <c r="G3677" s="1" t="s">
        <v>553</v>
      </c>
      <c r="H3677" s="1" t="s">
        <v>37</v>
      </c>
      <c r="I3677">
        <v>54086</v>
      </c>
      <c r="J3677" s="3">
        <v>31.14</v>
      </c>
      <c r="K3677" s="3">
        <v>1684238.04</v>
      </c>
    </row>
    <row r="3678" spans="1:11" x14ac:dyDescent="0.2">
      <c r="A3678" s="1" t="s">
        <v>4796</v>
      </c>
      <c r="B3678" s="2">
        <v>45839</v>
      </c>
      <c r="C3678" s="1" t="s">
        <v>613</v>
      </c>
      <c r="D3678" s="1" t="s">
        <v>614</v>
      </c>
      <c r="E3678" s="1" t="s">
        <v>34</v>
      </c>
      <c r="F3678" s="1" t="s">
        <v>263</v>
      </c>
      <c r="G3678" s="1" t="s">
        <v>264</v>
      </c>
      <c r="H3678" s="1" t="s">
        <v>17</v>
      </c>
      <c r="I3678">
        <v>2721</v>
      </c>
      <c r="J3678" s="3">
        <v>29.6</v>
      </c>
      <c r="K3678" s="3">
        <v>80541.600000000006</v>
      </c>
    </row>
    <row r="3679" spans="1:11" x14ac:dyDescent="0.2">
      <c r="A3679" s="1" t="s">
        <v>4797</v>
      </c>
      <c r="B3679" s="2">
        <v>45643</v>
      </c>
      <c r="C3679" s="1" t="s">
        <v>1068</v>
      </c>
      <c r="D3679" s="1" t="s">
        <v>1069</v>
      </c>
      <c r="E3679" s="1" t="s">
        <v>37</v>
      </c>
      <c r="F3679" s="1" t="s">
        <v>540</v>
      </c>
      <c r="G3679" s="1" t="s">
        <v>541</v>
      </c>
      <c r="H3679" s="1" t="s">
        <v>37</v>
      </c>
      <c r="I3679">
        <v>97349</v>
      </c>
      <c r="J3679" s="3">
        <v>49.04</v>
      </c>
      <c r="K3679" s="3">
        <v>4773994.96</v>
      </c>
    </row>
    <row r="3680" spans="1:11" x14ac:dyDescent="0.2">
      <c r="A3680" s="1" t="s">
        <v>4798</v>
      </c>
      <c r="B3680" s="2">
        <v>45613</v>
      </c>
      <c r="C3680" s="1" t="s">
        <v>19</v>
      </c>
      <c r="D3680" s="1" t="s">
        <v>20</v>
      </c>
      <c r="E3680" s="1" t="s">
        <v>21</v>
      </c>
      <c r="F3680" s="1" t="s">
        <v>29</v>
      </c>
      <c r="G3680" s="1" t="s">
        <v>30</v>
      </c>
      <c r="H3680" s="1" t="s">
        <v>24</v>
      </c>
      <c r="I3680">
        <v>53569</v>
      </c>
      <c r="J3680" s="3">
        <v>25.78</v>
      </c>
      <c r="K3680" s="3">
        <v>1381008.82</v>
      </c>
    </row>
    <row r="3681" spans="1:11" x14ac:dyDescent="0.2">
      <c r="A3681" s="1" t="s">
        <v>4799</v>
      </c>
      <c r="B3681" s="2">
        <v>45846</v>
      </c>
      <c r="C3681" s="1" t="s">
        <v>1810</v>
      </c>
      <c r="D3681" s="1" t="s">
        <v>1811</v>
      </c>
      <c r="E3681" s="1" t="s">
        <v>21</v>
      </c>
      <c r="F3681" s="1" t="s">
        <v>761</v>
      </c>
      <c r="G3681" s="1" t="s">
        <v>762</v>
      </c>
      <c r="H3681" s="1" t="s">
        <v>48</v>
      </c>
      <c r="I3681">
        <v>85736</v>
      </c>
      <c r="J3681" s="3">
        <v>21.86</v>
      </c>
      <c r="K3681" s="3">
        <v>1874188.96</v>
      </c>
    </row>
    <row r="3682" spans="1:11" x14ac:dyDescent="0.2">
      <c r="A3682" s="1" t="s">
        <v>4800</v>
      </c>
      <c r="B3682" s="2">
        <v>45338</v>
      </c>
      <c r="C3682" s="1" t="s">
        <v>1591</v>
      </c>
      <c r="D3682" s="1" t="s">
        <v>1592</v>
      </c>
      <c r="E3682" s="1" t="s">
        <v>34</v>
      </c>
      <c r="F3682" s="1" t="s">
        <v>273</v>
      </c>
      <c r="G3682" s="1" t="s">
        <v>274</v>
      </c>
      <c r="H3682" s="1" t="s">
        <v>24</v>
      </c>
      <c r="I3682">
        <v>37018</v>
      </c>
      <c r="J3682" s="3">
        <v>2.83</v>
      </c>
      <c r="K3682" s="3">
        <v>104760.94</v>
      </c>
    </row>
    <row r="3683" spans="1:11" x14ac:dyDescent="0.2">
      <c r="A3683" s="1" t="s">
        <v>4801</v>
      </c>
      <c r="B3683" s="2">
        <v>45347</v>
      </c>
      <c r="C3683" s="1" t="s">
        <v>1149</v>
      </c>
      <c r="D3683" s="1" t="s">
        <v>1150</v>
      </c>
      <c r="E3683" s="1" t="s">
        <v>14</v>
      </c>
      <c r="F3683" s="1" t="s">
        <v>165</v>
      </c>
      <c r="G3683" s="1" t="s">
        <v>166</v>
      </c>
      <c r="H3683" s="1" t="s">
        <v>24</v>
      </c>
      <c r="I3683">
        <v>30635</v>
      </c>
      <c r="J3683" s="3">
        <v>28.16</v>
      </c>
      <c r="K3683" s="3">
        <v>862681.59999999998</v>
      </c>
    </row>
    <row r="3684" spans="1:11" x14ac:dyDescent="0.2">
      <c r="A3684" s="1" t="s">
        <v>4802</v>
      </c>
      <c r="B3684" s="2">
        <v>45373</v>
      </c>
      <c r="C3684" s="1" t="s">
        <v>345</v>
      </c>
      <c r="D3684" s="1" t="s">
        <v>346</v>
      </c>
      <c r="E3684" s="1" t="s">
        <v>37</v>
      </c>
      <c r="F3684" s="1" t="s">
        <v>436</v>
      </c>
      <c r="G3684" s="1" t="s">
        <v>437</v>
      </c>
      <c r="H3684" s="1" t="s">
        <v>24</v>
      </c>
      <c r="I3684">
        <v>18088</v>
      </c>
      <c r="J3684" s="3">
        <v>17.23</v>
      </c>
      <c r="K3684" s="3">
        <v>311656.24</v>
      </c>
    </row>
    <row r="3685" spans="1:11" x14ac:dyDescent="0.2">
      <c r="A3685" s="1" t="s">
        <v>4803</v>
      </c>
      <c r="B3685" s="2">
        <v>45690</v>
      </c>
      <c r="C3685" s="1" t="s">
        <v>1247</v>
      </c>
      <c r="D3685" s="1" t="s">
        <v>1248</v>
      </c>
      <c r="E3685" s="1" t="s">
        <v>28</v>
      </c>
      <c r="F3685" s="1" t="s">
        <v>263</v>
      </c>
      <c r="G3685" s="1" t="s">
        <v>264</v>
      </c>
      <c r="H3685" s="1" t="s">
        <v>17</v>
      </c>
      <c r="I3685">
        <v>26436</v>
      </c>
      <c r="J3685" s="3">
        <v>25.6</v>
      </c>
      <c r="K3685" s="3">
        <v>676761.59999999998</v>
      </c>
    </row>
    <row r="3686" spans="1:11" x14ac:dyDescent="0.2">
      <c r="A3686" s="1" t="s">
        <v>4804</v>
      </c>
      <c r="B3686" s="2">
        <v>45651</v>
      </c>
      <c r="C3686" s="1" t="s">
        <v>397</v>
      </c>
      <c r="D3686" s="1" t="s">
        <v>398</v>
      </c>
      <c r="E3686" s="1" t="s">
        <v>34</v>
      </c>
      <c r="F3686" s="1" t="s">
        <v>15</v>
      </c>
      <c r="G3686" s="1" t="s">
        <v>16</v>
      </c>
      <c r="H3686" s="1" t="s">
        <v>17</v>
      </c>
      <c r="I3686">
        <v>78719</v>
      </c>
      <c r="J3686" s="3">
        <v>23.55</v>
      </c>
      <c r="K3686" s="3">
        <v>1853832.45</v>
      </c>
    </row>
    <row r="3687" spans="1:11" x14ac:dyDescent="0.2">
      <c r="A3687" s="1" t="s">
        <v>4805</v>
      </c>
      <c r="B3687" s="2">
        <v>45782</v>
      </c>
      <c r="C3687" s="1" t="s">
        <v>1757</v>
      </c>
      <c r="D3687" s="1" t="s">
        <v>1758</v>
      </c>
      <c r="E3687" s="1" t="s">
        <v>37</v>
      </c>
      <c r="F3687" s="1" t="s">
        <v>144</v>
      </c>
      <c r="G3687" s="1" t="s">
        <v>145</v>
      </c>
      <c r="H3687" s="1" t="s">
        <v>24</v>
      </c>
      <c r="I3687">
        <v>45212</v>
      </c>
      <c r="J3687" s="3">
        <v>10.64</v>
      </c>
      <c r="K3687" s="3">
        <v>481055.68</v>
      </c>
    </row>
    <row r="3688" spans="1:11" x14ac:dyDescent="0.2">
      <c r="A3688" s="1" t="s">
        <v>4806</v>
      </c>
      <c r="B3688" s="2">
        <v>45614</v>
      </c>
      <c r="C3688" s="1" t="s">
        <v>1314</v>
      </c>
      <c r="D3688" s="1" t="s">
        <v>1315</v>
      </c>
      <c r="E3688" s="1" t="s">
        <v>14</v>
      </c>
      <c r="F3688" s="1" t="s">
        <v>152</v>
      </c>
      <c r="G3688" s="1" t="s">
        <v>153</v>
      </c>
      <c r="H3688" s="1" t="s">
        <v>17</v>
      </c>
      <c r="I3688">
        <v>75699</v>
      </c>
      <c r="J3688" s="3">
        <v>28.38</v>
      </c>
      <c r="K3688" s="3">
        <v>2148337.62</v>
      </c>
    </row>
    <row r="3689" spans="1:11" x14ac:dyDescent="0.2">
      <c r="A3689" s="1" t="s">
        <v>4807</v>
      </c>
      <c r="B3689" s="2">
        <v>45843</v>
      </c>
      <c r="C3689" s="1" t="s">
        <v>1317</v>
      </c>
      <c r="D3689" s="1" t="s">
        <v>1318</v>
      </c>
      <c r="E3689" s="1" t="s">
        <v>28</v>
      </c>
      <c r="F3689" s="1" t="s">
        <v>394</v>
      </c>
      <c r="G3689" s="1" t="s">
        <v>395</v>
      </c>
      <c r="H3689" s="1" t="s">
        <v>48</v>
      </c>
      <c r="I3689">
        <v>53917</v>
      </c>
      <c r="J3689" s="3">
        <v>32.83</v>
      </c>
      <c r="K3689" s="3">
        <v>1770095.11</v>
      </c>
    </row>
    <row r="3690" spans="1:11" x14ac:dyDescent="0.2">
      <c r="A3690" s="1" t="s">
        <v>4808</v>
      </c>
      <c r="B3690" s="2">
        <v>45699</v>
      </c>
      <c r="C3690" s="1" t="s">
        <v>409</v>
      </c>
      <c r="D3690" s="1" t="s">
        <v>410</v>
      </c>
      <c r="E3690" s="1" t="s">
        <v>14</v>
      </c>
      <c r="F3690" s="1" t="s">
        <v>350</v>
      </c>
      <c r="G3690" s="1" t="s">
        <v>351</v>
      </c>
      <c r="H3690" s="1" t="s">
        <v>37</v>
      </c>
      <c r="I3690">
        <v>59122</v>
      </c>
      <c r="J3690" s="3">
        <v>40.65</v>
      </c>
      <c r="K3690" s="3">
        <v>2403309.2999999998</v>
      </c>
    </row>
    <row r="3691" spans="1:11" x14ac:dyDescent="0.2">
      <c r="A3691" s="1" t="s">
        <v>4809</v>
      </c>
      <c r="B3691" s="2">
        <v>45792</v>
      </c>
      <c r="C3691" s="1" t="s">
        <v>756</v>
      </c>
      <c r="D3691" s="1" t="s">
        <v>757</v>
      </c>
      <c r="E3691" s="1" t="s">
        <v>34</v>
      </c>
      <c r="F3691" s="1" t="s">
        <v>268</v>
      </c>
      <c r="G3691" s="1" t="s">
        <v>269</v>
      </c>
      <c r="H3691" s="1" t="s">
        <v>72</v>
      </c>
      <c r="I3691">
        <v>8665</v>
      </c>
      <c r="J3691" s="3">
        <v>39.35</v>
      </c>
      <c r="K3691" s="3">
        <v>340967.75</v>
      </c>
    </row>
    <row r="3692" spans="1:11" x14ac:dyDescent="0.2">
      <c r="A3692" s="1" t="s">
        <v>4810</v>
      </c>
      <c r="B3692" s="2">
        <v>45968</v>
      </c>
      <c r="C3692" s="1" t="s">
        <v>1014</v>
      </c>
      <c r="D3692" s="1" t="s">
        <v>1015</v>
      </c>
      <c r="E3692" s="1" t="s">
        <v>34</v>
      </c>
      <c r="F3692" s="1" t="s">
        <v>412</v>
      </c>
      <c r="G3692" s="1" t="s">
        <v>413</v>
      </c>
      <c r="H3692" s="1" t="s">
        <v>72</v>
      </c>
      <c r="I3692">
        <v>72319</v>
      </c>
      <c r="J3692" s="3">
        <v>20.58</v>
      </c>
      <c r="K3692" s="3">
        <v>1488325.02</v>
      </c>
    </row>
    <row r="3693" spans="1:11" x14ac:dyDescent="0.2">
      <c r="A3693" s="1" t="s">
        <v>4811</v>
      </c>
      <c r="B3693" s="2">
        <v>45666</v>
      </c>
      <c r="C3693" s="1" t="s">
        <v>628</v>
      </c>
      <c r="D3693" s="1" t="s">
        <v>629</v>
      </c>
      <c r="E3693" s="1" t="s">
        <v>14</v>
      </c>
      <c r="F3693" s="1" t="s">
        <v>65</v>
      </c>
      <c r="G3693" s="1" t="s">
        <v>66</v>
      </c>
      <c r="H3693" s="1" t="s">
        <v>48</v>
      </c>
      <c r="I3693">
        <v>33306</v>
      </c>
      <c r="J3693" s="3">
        <v>4.62</v>
      </c>
      <c r="K3693" s="3">
        <v>153873.72</v>
      </c>
    </row>
    <row r="3694" spans="1:11" x14ac:dyDescent="0.2">
      <c r="A3694" s="1" t="s">
        <v>4812</v>
      </c>
      <c r="B3694" s="2">
        <v>45812</v>
      </c>
      <c r="C3694" s="1" t="s">
        <v>1085</v>
      </c>
      <c r="D3694" s="1" t="s">
        <v>1086</v>
      </c>
      <c r="E3694" s="1" t="s">
        <v>14</v>
      </c>
      <c r="F3694" s="1" t="s">
        <v>251</v>
      </c>
      <c r="G3694" s="1" t="s">
        <v>252</v>
      </c>
      <c r="H3694" s="1" t="s">
        <v>72</v>
      </c>
      <c r="I3694">
        <v>63625</v>
      </c>
      <c r="J3694" s="3">
        <v>44.39</v>
      </c>
      <c r="K3694" s="3">
        <v>2824313.75</v>
      </c>
    </row>
    <row r="3695" spans="1:11" x14ac:dyDescent="0.2">
      <c r="A3695" s="1" t="s">
        <v>4813</v>
      </c>
      <c r="B3695" s="2">
        <v>45512</v>
      </c>
      <c r="C3695" s="1" t="s">
        <v>883</v>
      </c>
      <c r="D3695" s="1" t="s">
        <v>884</v>
      </c>
      <c r="E3695" s="1" t="s">
        <v>37</v>
      </c>
      <c r="F3695" s="1" t="s">
        <v>203</v>
      </c>
      <c r="G3695" s="1" t="s">
        <v>204</v>
      </c>
      <c r="H3695" s="1" t="s">
        <v>72</v>
      </c>
      <c r="I3695">
        <v>94082</v>
      </c>
      <c r="J3695" s="3">
        <v>14.59</v>
      </c>
      <c r="K3695" s="3">
        <v>1372656.38</v>
      </c>
    </row>
    <row r="3696" spans="1:11" x14ac:dyDescent="0.2">
      <c r="A3696" s="1" t="s">
        <v>4814</v>
      </c>
      <c r="B3696" s="2">
        <v>45723</v>
      </c>
      <c r="C3696" s="1" t="s">
        <v>122</v>
      </c>
      <c r="D3696" s="1" t="s">
        <v>123</v>
      </c>
      <c r="E3696" s="1" t="s">
        <v>28</v>
      </c>
      <c r="F3696" s="1" t="s">
        <v>228</v>
      </c>
      <c r="G3696" s="1" t="s">
        <v>229</v>
      </c>
      <c r="H3696" s="1" t="s">
        <v>48</v>
      </c>
      <c r="I3696">
        <v>35747</v>
      </c>
      <c r="J3696" s="3">
        <v>40.22</v>
      </c>
      <c r="K3696" s="3">
        <v>1437744.34</v>
      </c>
    </row>
    <row r="3697" spans="1:11" x14ac:dyDescent="0.2">
      <c r="A3697" s="1" t="s">
        <v>4815</v>
      </c>
      <c r="B3697" s="2">
        <v>46003</v>
      </c>
      <c r="C3697" s="1" t="s">
        <v>3221</v>
      </c>
      <c r="D3697" s="1" t="s">
        <v>3222</v>
      </c>
      <c r="E3697" s="1" t="s">
        <v>37</v>
      </c>
      <c r="F3697" s="1" t="s">
        <v>552</v>
      </c>
      <c r="G3697" s="1" t="s">
        <v>553</v>
      </c>
      <c r="H3697" s="1" t="s">
        <v>37</v>
      </c>
      <c r="I3697">
        <v>48367</v>
      </c>
      <c r="J3697" s="3">
        <v>29.34</v>
      </c>
      <c r="K3697" s="3">
        <v>1419087.78</v>
      </c>
    </row>
    <row r="3698" spans="1:11" x14ac:dyDescent="0.2">
      <c r="A3698" s="1" t="s">
        <v>4816</v>
      </c>
      <c r="B3698" s="2">
        <v>45882</v>
      </c>
      <c r="C3698" s="1" t="s">
        <v>727</v>
      </c>
      <c r="D3698" s="1" t="s">
        <v>728</v>
      </c>
      <c r="E3698" s="1" t="s">
        <v>37</v>
      </c>
      <c r="F3698" s="1" t="s">
        <v>552</v>
      </c>
      <c r="G3698" s="1" t="s">
        <v>553</v>
      </c>
      <c r="H3698" s="1" t="s">
        <v>37</v>
      </c>
      <c r="I3698">
        <v>42324</v>
      </c>
      <c r="J3698" s="3">
        <v>40.56</v>
      </c>
      <c r="K3698" s="3">
        <v>1716661.44</v>
      </c>
    </row>
    <row r="3699" spans="1:11" x14ac:dyDescent="0.2">
      <c r="A3699" s="1" t="s">
        <v>4817</v>
      </c>
      <c r="B3699" s="2">
        <v>45455</v>
      </c>
      <c r="C3699" s="1" t="s">
        <v>617</v>
      </c>
      <c r="D3699" s="1" t="s">
        <v>618</v>
      </c>
      <c r="E3699" s="1" t="s">
        <v>37</v>
      </c>
      <c r="F3699" s="1" t="s">
        <v>52</v>
      </c>
      <c r="G3699" s="1" t="s">
        <v>53</v>
      </c>
      <c r="H3699" s="1" t="s">
        <v>17</v>
      </c>
      <c r="I3699">
        <v>67038</v>
      </c>
      <c r="J3699" s="3">
        <v>44.72</v>
      </c>
      <c r="K3699" s="3">
        <v>2997939.36</v>
      </c>
    </row>
    <row r="3700" spans="1:11" x14ac:dyDescent="0.2">
      <c r="A3700" s="1" t="s">
        <v>4818</v>
      </c>
      <c r="B3700" s="2">
        <v>45981</v>
      </c>
      <c r="C3700" s="1" t="s">
        <v>1854</v>
      </c>
      <c r="D3700" s="1" t="s">
        <v>1855</v>
      </c>
      <c r="E3700" s="1" t="s">
        <v>37</v>
      </c>
      <c r="F3700" s="1" t="s">
        <v>98</v>
      </c>
      <c r="G3700" s="1" t="s">
        <v>99</v>
      </c>
      <c r="H3700" s="1" t="s">
        <v>72</v>
      </c>
      <c r="I3700">
        <v>12576</v>
      </c>
      <c r="J3700" s="3">
        <v>33.409999999999997</v>
      </c>
      <c r="K3700" s="3">
        <v>420164.16</v>
      </c>
    </row>
    <row r="3701" spans="1:11" x14ac:dyDescent="0.2">
      <c r="A3701" s="1" t="s">
        <v>4819</v>
      </c>
      <c r="B3701" s="2">
        <v>45813</v>
      </c>
      <c r="C3701" s="1" t="s">
        <v>1073</v>
      </c>
      <c r="D3701" s="1" t="s">
        <v>1074</v>
      </c>
      <c r="E3701" s="1" t="s">
        <v>34</v>
      </c>
      <c r="F3701" s="1" t="s">
        <v>273</v>
      </c>
      <c r="G3701" s="1" t="s">
        <v>274</v>
      </c>
      <c r="H3701" s="1" t="s">
        <v>24</v>
      </c>
      <c r="I3701">
        <v>16036</v>
      </c>
      <c r="J3701" s="3">
        <v>14.94</v>
      </c>
      <c r="K3701" s="3">
        <v>239577.84</v>
      </c>
    </row>
    <row r="3702" spans="1:11" x14ac:dyDescent="0.2">
      <c r="A3702" s="1" t="s">
        <v>4820</v>
      </c>
      <c r="B3702" s="2">
        <v>45548</v>
      </c>
      <c r="C3702" s="1" t="s">
        <v>804</v>
      </c>
      <c r="D3702" s="1" t="s">
        <v>805</v>
      </c>
      <c r="E3702" s="1" t="s">
        <v>34</v>
      </c>
      <c r="F3702" s="1" t="s">
        <v>103</v>
      </c>
      <c r="G3702" s="1" t="s">
        <v>104</v>
      </c>
      <c r="H3702" s="1" t="s">
        <v>37</v>
      </c>
      <c r="I3702">
        <v>89137</v>
      </c>
      <c r="J3702" s="3">
        <v>30.84</v>
      </c>
      <c r="K3702" s="3">
        <v>2748985.08</v>
      </c>
    </row>
    <row r="3703" spans="1:11" x14ac:dyDescent="0.2">
      <c r="A3703" s="1" t="s">
        <v>4821</v>
      </c>
      <c r="B3703" s="2">
        <v>45849</v>
      </c>
      <c r="C3703" s="1" t="s">
        <v>2293</v>
      </c>
      <c r="D3703" s="1" t="s">
        <v>2294</v>
      </c>
      <c r="E3703" s="1" t="s">
        <v>34</v>
      </c>
      <c r="F3703" s="1" t="s">
        <v>510</v>
      </c>
      <c r="G3703" s="1" t="s">
        <v>511</v>
      </c>
      <c r="H3703" s="1" t="s">
        <v>17</v>
      </c>
      <c r="I3703">
        <v>96791</v>
      </c>
      <c r="J3703" s="3">
        <v>38.03</v>
      </c>
      <c r="K3703" s="3">
        <v>3680961.73</v>
      </c>
    </row>
    <row r="3704" spans="1:11" x14ac:dyDescent="0.2">
      <c r="A3704" s="1" t="s">
        <v>4822</v>
      </c>
      <c r="B3704" s="2">
        <v>45769</v>
      </c>
      <c r="C3704" s="1" t="s">
        <v>1652</v>
      </c>
      <c r="D3704" s="1" t="s">
        <v>1653</v>
      </c>
      <c r="E3704" s="1" t="s">
        <v>28</v>
      </c>
      <c r="F3704" s="1" t="s">
        <v>46</v>
      </c>
      <c r="G3704" s="1" t="s">
        <v>47</v>
      </c>
      <c r="H3704" s="1" t="s">
        <v>48</v>
      </c>
      <c r="I3704">
        <v>72938</v>
      </c>
      <c r="J3704" s="3">
        <v>13.28</v>
      </c>
      <c r="K3704" s="3">
        <v>968616.64</v>
      </c>
    </row>
    <row r="3705" spans="1:11" x14ac:dyDescent="0.2">
      <c r="A3705" s="1" t="s">
        <v>4823</v>
      </c>
      <c r="B3705" s="2">
        <v>45425</v>
      </c>
      <c r="C3705" s="1" t="s">
        <v>1039</v>
      </c>
      <c r="D3705" s="1" t="s">
        <v>1040</v>
      </c>
      <c r="E3705" s="1" t="s">
        <v>14</v>
      </c>
      <c r="F3705" s="1" t="s">
        <v>237</v>
      </c>
      <c r="G3705" s="1" t="s">
        <v>238</v>
      </c>
      <c r="H3705" s="1" t="s">
        <v>17</v>
      </c>
      <c r="I3705">
        <v>43821</v>
      </c>
      <c r="J3705" s="3">
        <v>45.1</v>
      </c>
      <c r="K3705" s="3">
        <v>1976327.1</v>
      </c>
    </row>
    <row r="3706" spans="1:11" x14ac:dyDescent="0.2">
      <c r="A3706" s="1" t="s">
        <v>4824</v>
      </c>
      <c r="B3706" s="2">
        <v>45500</v>
      </c>
      <c r="C3706" s="1" t="s">
        <v>1784</v>
      </c>
      <c r="D3706" s="1" t="s">
        <v>1785</v>
      </c>
      <c r="E3706" s="1" t="s">
        <v>21</v>
      </c>
      <c r="F3706" s="1" t="s">
        <v>108</v>
      </c>
      <c r="G3706" s="1" t="s">
        <v>109</v>
      </c>
      <c r="H3706" s="1" t="s">
        <v>37</v>
      </c>
      <c r="I3706">
        <v>69551</v>
      </c>
      <c r="J3706" s="3">
        <v>15.18</v>
      </c>
      <c r="K3706" s="3">
        <v>1055784.18</v>
      </c>
    </row>
    <row r="3707" spans="1:11" x14ac:dyDescent="0.2">
      <c r="A3707" s="1" t="s">
        <v>4825</v>
      </c>
      <c r="B3707" s="2">
        <v>45995</v>
      </c>
      <c r="C3707" s="1" t="s">
        <v>1039</v>
      </c>
      <c r="D3707" s="1" t="s">
        <v>1040</v>
      </c>
      <c r="E3707" s="1" t="s">
        <v>14</v>
      </c>
      <c r="F3707" s="1" t="s">
        <v>103</v>
      </c>
      <c r="G3707" s="1" t="s">
        <v>104</v>
      </c>
      <c r="H3707" s="1" t="s">
        <v>37</v>
      </c>
      <c r="I3707">
        <v>58447</v>
      </c>
      <c r="J3707" s="3">
        <v>38.49</v>
      </c>
      <c r="K3707" s="3">
        <v>2249625.0299999998</v>
      </c>
    </row>
    <row r="3708" spans="1:11" x14ac:dyDescent="0.2">
      <c r="A3708" s="1" t="s">
        <v>4826</v>
      </c>
      <c r="B3708" s="2">
        <v>45774</v>
      </c>
      <c r="C3708" s="1" t="s">
        <v>26</v>
      </c>
      <c r="D3708" s="1" t="s">
        <v>27</v>
      </c>
      <c r="E3708" s="1" t="s">
        <v>28</v>
      </c>
      <c r="F3708" s="1" t="s">
        <v>144</v>
      </c>
      <c r="G3708" s="1" t="s">
        <v>145</v>
      </c>
      <c r="H3708" s="1" t="s">
        <v>24</v>
      </c>
      <c r="I3708">
        <v>78917</v>
      </c>
      <c r="J3708" s="3">
        <v>42.91</v>
      </c>
      <c r="K3708" s="3">
        <v>3386328.47</v>
      </c>
    </row>
    <row r="3709" spans="1:11" x14ac:dyDescent="0.2">
      <c r="A3709" s="1" t="s">
        <v>4827</v>
      </c>
      <c r="B3709" s="2">
        <v>45967</v>
      </c>
      <c r="C3709" s="1" t="s">
        <v>613</v>
      </c>
      <c r="D3709" s="1" t="s">
        <v>614</v>
      </c>
      <c r="E3709" s="1" t="s">
        <v>34</v>
      </c>
      <c r="F3709" s="1" t="s">
        <v>228</v>
      </c>
      <c r="G3709" s="1" t="s">
        <v>229</v>
      </c>
      <c r="H3709" s="1" t="s">
        <v>48</v>
      </c>
      <c r="I3709">
        <v>45437</v>
      </c>
      <c r="J3709" s="3">
        <v>19.46</v>
      </c>
      <c r="K3709" s="3">
        <v>884204.02</v>
      </c>
    </row>
    <row r="3710" spans="1:11" x14ac:dyDescent="0.2">
      <c r="A3710" s="1" t="s">
        <v>4828</v>
      </c>
      <c r="B3710" s="2">
        <v>45884</v>
      </c>
      <c r="C3710" s="1" t="s">
        <v>1020</v>
      </c>
      <c r="D3710" s="1" t="s">
        <v>1021</v>
      </c>
      <c r="E3710" s="1" t="s">
        <v>14</v>
      </c>
      <c r="F3710" s="1" t="s">
        <v>76</v>
      </c>
      <c r="G3710" s="1" t="s">
        <v>77</v>
      </c>
      <c r="H3710" s="1" t="s">
        <v>48</v>
      </c>
      <c r="I3710">
        <v>48390</v>
      </c>
      <c r="J3710" s="3">
        <v>24.28</v>
      </c>
      <c r="K3710" s="3">
        <v>1174909.2</v>
      </c>
    </row>
    <row r="3711" spans="1:11" x14ac:dyDescent="0.2">
      <c r="A3711" s="1" t="s">
        <v>4829</v>
      </c>
      <c r="B3711" s="2">
        <v>45454</v>
      </c>
      <c r="C3711" s="1" t="s">
        <v>1288</v>
      </c>
      <c r="D3711" s="1" t="s">
        <v>1289</v>
      </c>
      <c r="E3711" s="1" t="s">
        <v>34</v>
      </c>
      <c r="F3711" s="1" t="s">
        <v>98</v>
      </c>
      <c r="G3711" s="1" t="s">
        <v>99</v>
      </c>
      <c r="H3711" s="1" t="s">
        <v>72</v>
      </c>
      <c r="I3711">
        <v>74971</v>
      </c>
      <c r="J3711" s="3">
        <v>2.57</v>
      </c>
      <c r="K3711" s="3">
        <v>192675.47</v>
      </c>
    </row>
    <row r="3712" spans="1:11" x14ac:dyDescent="0.2">
      <c r="A3712" s="1" t="s">
        <v>4830</v>
      </c>
      <c r="B3712" s="2">
        <v>45372</v>
      </c>
      <c r="C3712" s="1" t="s">
        <v>1272</v>
      </c>
      <c r="D3712" s="1" t="s">
        <v>1273</v>
      </c>
      <c r="E3712" s="1" t="s">
        <v>34</v>
      </c>
      <c r="F3712" s="1" t="s">
        <v>29</v>
      </c>
      <c r="G3712" s="1" t="s">
        <v>30</v>
      </c>
      <c r="H3712" s="1" t="s">
        <v>24</v>
      </c>
      <c r="I3712">
        <v>67578</v>
      </c>
      <c r="J3712" s="3">
        <v>8.5500000000000007</v>
      </c>
      <c r="K3712" s="3">
        <v>577791.9</v>
      </c>
    </row>
    <row r="3713" spans="1:11" x14ac:dyDescent="0.2">
      <c r="A3713" s="1" t="s">
        <v>4831</v>
      </c>
      <c r="B3713" s="2">
        <v>45990</v>
      </c>
      <c r="C3713" s="1" t="s">
        <v>984</v>
      </c>
      <c r="D3713" s="1" t="s">
        <v>985</v>
      </c>
      <c r="E3713" s="1" t="s">
        <v>14</v>
      </c>
      <c r="F3713" s="1" t="s">
        <v>57</v>
      </c>
      <c r="G3713" s="1" t="s">
        <v>58</v>
      </c>
      <c r="H3713" s="1" t="s">
        <v>48</v>
      </c>
      <c r="I3713">
        <v>17123</v>
      </c>
      <c r="J3713" s="3">
        <v>9.17</v>
      </c>
      <c r="K3713" s="3">
        <v>157017.91</v>
      </c>
    </row>
    <row r="3714" spans="1:11" x14ac:dyDescent="0.2">
      <c r="A3714" s="1" t="s">
        <v>4832</v>
      </c>
      <c r="B3714" s="2">
        <v>45906</v>
      </c>
      <c r="C3714" s="1" t="s">
        <v>1615</v>
      </c>
      <c r="D3714" s="1" t="s">
        <v>1616</v>
      </c>
      <c r="E3714" s="1" t="s">
        <v>37</v>
      </c>
      <c r="F3714" s="1" t="s">
        <v>57</v>
      </c>
      <c r="G3714" s="1" t="s">
        <v>58</v>
      </c>
      <c r="H3714" s="1" t="s">
        <v>48</v>
      </c>
      <c r="I3714">
        <v>65925</v>
      </c>
      <c r="J3714" s="3">
        <v>7.43</v>
      </c>
      <c r="K3714" s="3">
        <v>489822.75</v>
      </c>
    </row>
    <row r="3715" spans="1:11" x14ac:dyDescent="0.2">
      <c r="A3715" s="1" t="s">
        <v>4833</v>
      </c>
      <c r="B3715" s="2">
        <v>45676</v>
      </c>
      <c r="C3715" s="1" t="s">
        <v>550</v>
      </c>
      <c r="D3715" s="1" t="s">
        <v>551</v>
      </c>
      <c r="E3715" s="1" t="s">
        <v>34</v>
      </c>
      <c r="F3715" s="1" t="s">
        <v>394</v>
      </c>
      <c r="G3715" s="1" t="s">
        <v>395</v>
      </c>
      <c r="H3715" s="1" t="s">
        <v>48</v>
      </c>
      <c r="I3715">
        <v>2875</v>
      </c>
      <c r="J3715" s="3">
        <v>18.46</v>
      </c>
      <c r="K3715" s="3">
        <v>53072.5</v>
      </c>
    </row>
    <row r="3716" spans="1:11" x14ac:dyDescent="0.2">
      <c r="A3716" s="1" t="s">
        <v>4834</v>
      </c>
      <c r="B3716" s="2">
        <v>45792</v>
      </c>
      <c r="C3716" s="1" t="s">
        <v>1050</v>
      </c>
      <c r="D3716" s="1" t="s">
        <v>1051</v>
      </c>
      <c r="E3716" s="1" t="s">
        <v>14</v>
      </c>
      <c r="F3716" s="1" t="s">
        <v>139</v>
      </c>
      <c r="G3716" s="1" t="s">
        <v>140</v>
      </c>
      <c r="H3716" s="1" t="s">
        <v>24</v>
      </c>
      <c r="I3716">
        <v>18648</v>
      </c>
      <c r="J3716" s="3">
        <v>5.52</v>
      </c>
      <c r="K3716" s="3">
        <v>102936.96000000001</v>
      </c>
    </row>
    <row r="3717" spans="1:11" x14ac:dyDescent="0.2">
      <c r="A3717" s="1" t="s">
        <v>4835</v>
      </c>
      <c r="B3717" s="2">
        <v>45924</v>
      </c>
      <c r="C3717" s="1" t="s">
        <v>122</v>
      </c>
      <c r="D3717" s="1" t="s">
        <v>123</v>
      </c>
      <c r="E3717" s="1" t="s">
        <v>28</v>
      </c>
      <c r="F3717" s="1" t="s">
        <v>144</v>
      </c>
      <c r="G3717" s="1" t="s">
        <v>145</v>
      </c>
      <c r="H3717" s="1" t="s">
        <v>24</v>
      </c>
      <c r="I3717">
        <v>84137</v>
      </c>
      <c r="J3717" s="3">
        <v>12.2</v>
      </c>
      <c r="K3717" s="3">
        <v>1026471.4</v>
      </c>
    </row>
    <row r="3718" spans="1:11" x14ac:dyDescent="0.2">
      <c r="A3718" s="1" t="s">
        <v>4836</v>
      </c>
      <c r="B3718" s="2">
        <v>45966</v>
      </c>
      <c r="C3718" s="1" t="s">
        <v>948</v>
      </c>
      <c r="D3718" s="1" t="s">
        <v>949</v>
      </c>
      <c r="E3718" s="1" t="s">
        <v>21</v>
      </c>
      <c r="F3718" s="1" t="s">
        <v>22</v>
      </c>
      <c r="G3718" s="1" t="s">
        <v>23</v>
      </c>
      <c r="H3718" s="1" t="s">
        <v>24</v>
      </c>
      <c r="I3718">
        <v>45017</v>
      </c>
      <c r="J3718" s="3">
        <v>6.21</v>
      </c>
      <c r="K3718" s="3">
        <v>279555.57</v>
      </c>
    </row>
    <row r="3719" spans="1:11" x14ac:dyDescent="0.2">
      <c r="A3719" s="1" t="s">
        <v>4837</v>
      </c>
      <c r="B3719" s="2">
        <v>45674</v>
      </c>
      <c r="C3719" s="1" t="s">
        <v>116</v>
      </c>
      <c r="D3719" s="1" t="s">
        <v>117</v>
      </c>
      <c r="E3719" s="1" t="s">
        <v>28</v>
      </c>
      <c r="F3719" s="1" t="s">
        <v>458</v>
      </c>
      <c r="G3719" s="1" t="s">
        <v>459</v>
      </c>
      <c r="H3719" s="1" t="s">
        <v>72</v>
      </c>
      <c r="I3719">
        <v>57230</v>
      </c>
      <c r="J3719" s="3">
        <v>10.76</v>
      </c>
      <c r="K3719" s="3">
        <v>615794.80000000005</v>
      </c>
    </row>
    <row r="3720" spans="1:11" x14ac:dyDescent="0.2">
      <c r="A3720" s="1" t="s">
        <v>4838</v>
      </c>
      <c r="B3720" s="2">
        <v>45662</v>
      </c>
      <c r="C3720" s="1" t="s">
        <v>737</v>
      </c>
      <c r="D3720" s="1" t="s">
        <v>738</v>
      </c>
      <c r="E3720" s="1" t="s">
        <v>37</v>
      </c>
      <c r="F3720" s="1" t="s">
        <v>251</v>
      </c>
      <c r="G3720" s="1" t="s">
        <v>252</v>
      </c>
      <c r="H3720" s="1" t="s">
        <v>72</v>
      </c>
      <c r="I3720">
        <v>22943</v>
      </c>
      <c r="J3720" s="3">
        <v>49.02</v>
      </c>
      <c r="K3720" s="3">
        <v>1124665.8600000001</v>
      </c>
    </row>
    <row r="3721" spans="1:11" x14ac:dyDescent="0.2">
      <c r="A3721" s="1" t="s">
        <v>4839</v>
      </c>
      <c r="B3721" s="2">
        <v>45336</v>
      </c>
      <c r="C3721" s="1" t="s">
        <v>727</v>
      </c>
      <c r="D3721" s="1" t="s">
        <v>728</v>
      </c>
      <c r="E3721" s="1" t="s">
        <v>37</v>
      </c>
      <c r="F3721" s="1" t="s">
        <v>29</v>
      </c>
      <c r="G3721" s="1" t="s">
        <v>30</v>
      </c>
      <c r="H3721" s="1" t="s">
        <v>24</v>
      </c>
      <c r="I3721">
        <v>70480</v>
      </c>
      <c r="J3721" s="3">
        <v>37.090000000000003</v>
      </c>
      <c r="K3721" s="3">
        <v>2614103.2000000002</v>
      </c>
    </row>
    <row r="3722" spans="1:11" x14ac:dyDescent="0.2">
      <c r="A3722" s="1" t="s">
        <v>4840</v>
      </c>
      <c r="B3722" s="2">
        <v>45980</v>
      </c>
      <c r="C3722" s="1" t="s">
        <v>1230</v>
      </c>
      <c r="D3722" s="1" t="s">
        <v>1231</v>
      </c>
      <c r="E3722" s="1" t="s">
        <v>21</v>
      </c>
      <c r="F3722" s="1" t="s">
        <v>52</v>
      </c>
      <c r="G3722" s="1" t="s">
        <v>53</v>
      </c>
      <c r="H3722" s="1" t="s">
        <v>17</v>
      </c>
      <c r="I3722">
        <v>37659</v>
      </c>
      <c r="J3722" s="3">
        <v>12.75</v>
      </c>
      <c r="K3722" s="3">
        <v>480152.25</v>
      </c>
    </row>
    <row r="3723" spans="1:11" x14ac:dyDescent="0.2">
      <c r="A3723" s="1" t="s">
        <v>4841</v>
      </c>
      <c r="B3723" s="2">
        <v>45984</v>
      </c>
      <c r="C3723" s="1" t="s">
        <v>1474</v>
      </c>
      <c r="D3723" s="1" t="s">
        <v>1475</v>
      </c>
      <c r="E3723" s="1" t="s">
        <v>28</v>
      </c>
      <c r="F3723" s="1" t="s">
        <v>184</v>
      </c>
      <c r="G3723" s="1" t="s">
        <v>185</v>
      </c>
      <c r="H3723" s="1" t="s">
        <v>17</v>
      </c>
      <c r="I3723">
        <v>68127</v>
      </c>
      <c r="J3723" s="3">
        <v>3.5</v>
      </c>
      <c r="K3723" s="3">
        <v>238444.5</v>
      </c>
    </row>
    <row r="3724" spans="1:11" x14ac:dyDescent="0.2">
      <c r="A3724" s="1" t="s">
        <v>4842</v>
      </c>
      <c r="B3724" s="2">
        <v>45969</v>
      </c>
      <c r="C3724" s="1" t="s">
        <v>1354</v>
      </c>
      <c r="D3724" s="1" t="s">
        <v>1355</v>
      </c>
      <c r="E3724" s="1" t="s">
        <v>34</v>
      </c>
      <c r="F3724" s="1" t="s">
        <v>165</v>
      </c>
      <c r="G3724" s="1" t="s">
        <v>166</v>
      </c>
      <c r="H3724" s="1" t="s">
        <v>24</v>
      </c>
      <c r="I3724">
        <v>85292</v>
      </c>
      <c r="J3724" s="3">
        <v>5.32</v>
      </c>
      <c r="K3724" s="3">
        <v>453753.44</v>
      </c>
    </row>
    <row r="3725" spans="1:11" x14ac:dyDescent="0.2">
      <c r="A3725" s="1" t="s">
        <v>4843</v>
      </c>
      <c r="B3725" s="2">
        <v>45770</v>
      </c>
      <c r="C3725" s="1" t="s">
        <v>1044</v>
      </c>
      <c r="D3725" s="1" t="s">
        <v>1045</v>
      </c>
      <c r="E3725" s="1" t="s">
        <v>14</v>
      </c>
      <c r="F3725" s="1" t="s">
        <v>217</v>
      </c>
      <c r="G3725" s="1" t="s">
        <v>218</v>
      </c>
      <c r="H3725" s="1" t="s">
        <v>72</v>
      </c>
      <c r="I3725">
        <v>39070</v>
      </c>
      <c r="J3725" s="3">
        <v>18.97</v>
      </c>
      <c r="K3725" s="3">
        <v>741157.9</v>
      </c>
    </row>
    <row r="3726" spans="1:11" x14ac:dyDescent="0.2">
      <c r="A3726" s="1" t="s">
        <v>4844</v>
      </c>
      <c r="B3726" s="2">
        <v>45408</v>
      </c>
      <c r="C3726" s="1" t="s">
        <v>2207</v>
      </c>
      <c r="D3726" s="1" t="s">
        <v>2208</v>
      </c>
      <c r="E3726" s="1" t="s">
        <v>37</v>
      </c>
      <c r="F3726" s="1" t="s">
        <v>208</v>
      </c>
      <c r="G3726" s="1" t="s">
        <v>209</v>
      </c>
      <c r="H3726" s="1" t="s">
        <v>17</v>
      </c>
      <c r="I3726">
        <v>20917</v>
      </c>
      <c r="J3726" s="3">
        <v>4.26</v>
      </c>
      <c r="K3726" s="3">
        <v>89106.42</v>
      </c>
    </row>
    <row r="3727" spans="1:11" x14ac:dyDescent="0.2">
      <c r="A3727" s="1" t="s">
        <v>4845</v>
      </c>
      <c r="B3727" s="2">
        <v>45476</v>
      </c>
      <c r="C3727" s="1" t="s">
        <v>794</v>
      </c>
      <c r="D3727" s="1" t="s">
        <v>795</v>
      </c>
      <c r="E3727" s="1" t="s">
        <v>28</v>
      </c>
      <c r="F3727" s="1" t="s">
        <v>268</v>
      </c>
      <c r="G3727" s="1" t="s">
        <v>269</v>
      </c>
      <c r="H3727" s="1" t="s">
        <v>72</v>
      </c>
      <c r="I3727">
        <v>41977</v>
      </c>
      <c r="J3727" s="3">
        <v>45.8</v>
      </c>
      <c r="K3727" s="3">
        <v>1922546.6</v>
      </c>
    </row>
    <row r="3728" spans="1:11" x14ac:dyDescent="0.2">
      <c r="A3728" s="1" t="s">
        <v>4846</v>
      </c>
      <c r="B3728" s="2">
        <v>45350</v>
      </c>
      <c r="C3728" s="1" t="s">
        <v>746</v>
      </c>
      <c r="D3728" s="1" t="s">
        <v>747</v>
      </c>
      <c r="E3728" s="1" t="s">
        <v>37</v>
      </c>
      <c r="F3728" s="1" t="s">
        <v>339</v>
      </c>
      <c r="G3728" s="1" t="s">
        <v>340</v>
      </c>
      <c r="H3728" s="1" t="s">
        <v>24</v>
      </c>
      <c r="I3728">
        <v>45337</v>
      </c>
      <c r="J3728" s="3">
        <v>31.09</v>
      </c>
      <c r="K3728" s="3">
        <v>1409527.33</v>
      </c>
    </row>
    <row r="3729" spans="1:11" x14ac:dyDescent="0.2">
      <c r="A3729" s="1" t="s">
        <v>4847</v>
      </c>
      <c r="B3729" s="2">
        <v>45568</v>
      </c>
      <c r="C3729" s="1" t="s">
        <v>1397</v>
      </c>
      <c r="D3729" s="1" t="s">
        <v>1398</v>
      </c>
      <c r="E3729" s="1" t="s">
        <v>14</v>
      </c>
      <c r="F3729" s="1" t="s">
        <v>81</v>
      </c>
      <c r="G3729" s="1" t="s">
        <v>82</v>
      </c>
      <c r="H3729" s="1" t="s">
        <v>72</v>
      </c>
      <c r="I3729">
        <v>59366</v>
      </c>
      <c r="J3729" s="3">
        <v>9.4700000000000006</v>
      </c>
      <c r="K3729" s="3">
        <v>562196.02</v>
      </c>
    </row>
    <row r="3730" spans="1:11" x14ac:dyDescent="0.2">
      <c r="A3730" s="1" t="s">
        <v>4848</v>
      </c>
      <c r="B3730" s="2">
        <v>45868</v>
      </c>
      <c r="C3730" s="1" t="s">
        <v>1547</v>
      </c>
      <c r="D3730" s="1" t="s">
        <v>1548</v>
      </c>
      <c r="E3730" s="1" t="s">
        <v>21</v>
      </c>
      <c r="F3730" s="1" t="s">
        <v>108</v>
      </c>
      <c r="G3730" s="1" t="s">
        <v>109</v>
      </c>
      <c r="H3730" s="1" t="s">
        <v>37</v>
      </c>
      <c r="I3730">
        <v>96411</v>
      </c>
      <c r="J3730" s="3">
        <v>49.63</v>
      </c>
      <c r="K3730" s="3">
        <v>4784877.93</v>
      </c>
    </row>
    <row r="3731" spans="1:11" x14ac:dyDescent="0.2">
      <c r="A3731" s="1" t="s">
        <v>4849</v>
      </c>
      <c r="B3731" s="2">
        <v>45527</v>
      </c>
      <c r="C3731" s="1" t="s">
        <v>90</v>
      </c>
      <c r="D3731" s="1" t="s">
        <v>91</v>
      </c>
      <c r="E3731" s="1" t="s">
        <v>28</v>
      </c>
      <c r="F3731" s="1" t="s">
        <v>144</v>
      </c>
      <c r="G3731" s="1" t="s">
        <v>145</v>
      </c>
      <c r="H3731" s="1" t="s">
        <v>24</v>
      </c>
      <c r="I3731">
        <v>76544</v>
      </c>
      <c r="J3731" s="3">
        <v>28.37</v>
      </c>
      <c r="K3731" s="3">
        <v>2171553.2799999998</v>
      </c>
    </row>
    <row r="3732" spans="1:11" x14ac:dyDescent="0.2">
      <c r="A3732" s="1" t="s">
        <v>4850</v>
      </c>
      <c r="B3732" s="2">
        <v>45460</v>
      </c>
      <c r="C3732" s="1" t="s">
        <v>192</v>
      </c>
      <c r="D3732" s="1" t="s">
        <v>193</v>
      </c>
      <c r="E3732" s="1" t="s">
        <v>37</v>
      </c>
      <c r="F3732" s="1" t="s">
        <v>510</v>
      </c>
      <c r="G3732" s="1" t="s">
        <v>511</v>
      </c>
      <c r="H3732" s="1" t="s">
        <v>17</v>
      </c>
      <c r="I3732">
        <v>21243</v>
      </c>
      <c r="J3732" s="3">
        <v>40.61</v>
      </c>
      <c r="K3732" s="3">
        <v>862678.23</v>
      </c>
    </row>
    <row r="3733" spans="1:11" x14ac:dyDescent="0.2">
      <c r="A3733" s="1" t="s">
        <v>4851</v>
      </c>
      <c r="B3733" s="2">
        <v>45968</v>
      </c>
      <c r="C3733" s="1" t="s">
        <v>371</v>
      </c>
      <c r="D3733" s="1" t="s">
        <v>372</v>
      </c>
      <c r="E3733" s="1" t="s">
        <v>14</v>
      </c>
      <c r="F3733" s="1" t="s">
        <v>152</v>
      </c>
      <c r="G3733" s="1" t="s">
        <v>153</v>
      </c>
      <c r="H3733" s="1" t="s">
        <v>17</v>
      </c>
      <c r="I3733">
        <v>63549</v>
      </c>
      <c r="J3733" s="3">
        <v>10.08</v>
      </c>
      <c r="K3733" s="3">
        <v>640573.92000000004</v>
      </c>
    </row>
    <row r="3734" spans="1:11" x14ac:dyDescent="0.2">
      <c r="A3734" s="1" t="s">
        <v>4852</v>
      </c>
      <c r="B3734" s="2">
        <v>45619</v>
      </c>
      <c r="C3734" s="1" t="s">
        <v>517</v>
      </c>
      <c r="D3734" s="1" t="s">
        <v>518</v>
      </c>
      <c r="E3734" s="1" t="s">
        <v>21</v>
      </c>
      <c r="F3734" s="1" t="s">
        <v>217</v>
      </c>
      <c r="G3734" s="1" t="s">
        <v>218</v>
      </c>
      <c r="H3734" s="1" t="s">
        <v>72</v>
      </c>
      <c r="I3734">
        <v>7253</v>
      </c>
      <c r="J3734" s="3">
        <v>43.77</v>
      </c>
      <c r="K3734" s="3">
        <v>317463.81</v>
      </c>
    </row>
    <row r="3735" spans="1:11" x14ac:dyDescent="0.2">
      <c r="A3735" s="1" t="s">
        <v>4853</v>
      </c>
      <c r="B3735" s="2">
        <v>45523</v>
      </c>
      <c r="C3735" s="1" t="s">
        <v>2534</v>
      </c>
      <c r="D3735" s="1" t="s">
        <v>2535</v>
      </c>
      <c r="E3735" s="1" t="s">
        <v>14</v>
      </c>
      <c r="F3735" s="1" t="s">
        <v>35</v>
      </c>
      <c r="G3735" s="1" t="s">
        <v>36</v>
      </c>
      <c r="H3735" s="1" t="s">
        <v>37</v>
      </c>
      <c r="I3735">
        <v>8222</v>
      </c>
      <c r="J3735" s="3">
        <v>14.57</v>
      </c>
      <c r="K3735" s="3">
        <v>119794.54</v>
      </c>
    </row>
    <row r="3736" spans="1:11" x14ac:dyDescent="0.2">
      <c r="A3736" s="1" t="s">
        <v>4854</v>
      </c>
      <c r="B3736" s="2">
        <v>46013</v>
      </c>
      <c r="C3736" s="1" t="s">
        <v>63</v>
      </c>
      <c r="D3736" s="1" t="s">
        <v>64</v>
      </c>
      <c r="E3736" s="1" t="s">
        <v>37</v>
      </c>
      <c r="F3736" s="1" t="s">
        <v>46</v>
      </c>
      <c r="G3736" s="1" t="s">
        <v>47</v>
      </c>
      <c r="H3736" s="1" t="s">
        <v>48</v>
      </c>
      <c r="I3736">
        <v>50250</v>
      </c>
      <c r="J3736" s="3">
        <v>44.23</v>
      </c>
      <c r="K3736" s="3">
        <v>2222557.5</v>
      </c>
    </row>
    <row r="3737" spans="1:11" x14ac:dyDescent="0.2">
      <c r="A3737" s="1" t="s">
        <v>4855</v>
      </c>
      <c r="B3737" s="2">
        <v>45577</v>
      </c>
      <c r="C3737" s="1" t="s">
        <v>19</v>
      </c>
      <c r="D3737" s="1" t="s">
        <v>20</v>
      </c>
      <c r="E3737" s="1" t="s">
        <v>21</v>
      </c>
      <c r="F3737" s="1" t="s">
        <v>268</v>
      </c>
      <c r="G3737" s="1" t="s">
        <v>269</v>
      </c>
      <c r="H3737" s="1" t="s">
        <v>72</v>
      </c>
      <c r="I3737">
        <v>79781</v>
      </c>
      <c r="J3737" s="3">
        <v>5.88</v>
      </c>
      <c r="K3737" s="3">
        <v>469112.28</v>
      </c>
    </row>
    <row r="3738" spans="1:11" x14ac:dyDescent="0.2">
      <c r="A3738" s="1" t="s">
        <v>4856</v>
      </c>
      <c r="B3738" s="2">
        <v>45638</v>
      </c>
      <c r="C3738" s="1" t="s">
        <v>1647</v>
      </c>
      <c r="D3738" s="1" t="s">
        <v>1648</v>
      </c>
      <c r="E3738" s="1" t="s">
        <v>14</v>
      </c>
      <c r="F3738" s="1" t="s">
        <v>458</v>
      </c>
      <c r="G3738" s="1" t="s">
        <v>459</v>
      </c>
      <c r="H3738" s="1" t="s">
        <v>72</v>
      </c>
      <c r="I3738">
        <v>65110</v>
      </c>
      <c r="J3738" s="3">
        <v>2.94</v>
      </c>
      <c r="K3738" s="3">
        <v>191423.4</v>
      </c>
    </row>
    <row r="3739" spans="1:11" x14ac:dyDescent="0.2">
      <c r="A3739" s="1" t="s">
        <v>4857</v>
      </c>
      <c r="B3739" s="2">
        <v>45566</v>
      </c>
      <c r="C3739" s="1" t="s">
        <v>566</v>
      </c>
      <c r="D3739" s="1" t="s">
        <v>567</v>
      </c>
      <c r="E3739" s="1" t="s">
        <v>28</v>
      </c>
      <c r="F3739" s="1" t="s">
        <v>406</v>
      </c>
      <c r="G3739" s="1" t="s">
        <v>407</v>
      </c>
      <c r="H3739" s="1" t="s">
        <v>17</v>
      </c>
      <c r="I3739">
        <v>58544</v>
      </c>
      <c r="J3739" s="3">
        <v>33.19</v>
      </c>
      <c r="K3739" s="3">
        <v>1943075.36</v>
      </c>
    </row>
    <row r="3740" spans="1:11" x14ac:dyDescent="0.2">
      <c r="A3740" s="1" t="s">
        <v>4858</v>
      </c>
      <c r="B3740" s="2">
        <v>45527</v>
      </c>
      <c r="C3740" s="1" t="s">
        <v>111</v>
      </c>
      <c r="D3740" s="1" t="s">
        <v>112</v>
      </c>
      <c r="E3740" s="1" t="s">
        <v>14</v>
      </c>
      <c r="F3740" s="1" t="s">
        <v>436</v>
      </c>
      <c r="G3740" s="1" t="s">
        <v>437</v>
      </c>
      <c r="H3740" s="1" t="s">
        <v>24</v>
      </c>
      <c r="I3740">
        <v>60991</v>
      </c>
      <c r="J3740" s="3">
        <v>15.41</v>
      </c>
      <c r="K3740" s="3">
        <v>939871.31</v>
      </c>
    </row>
    <row r="3741" spans="1:11" x14ac:dyDescent="0.2">
      <c r="A3741" s="1" t="s">
        <v>4859</v>
      </c>
      <c r="B3741" s="2">
        <v>45594</v>
      </c>
      <c r="C3741" s="1" t="s">
        <v>1953</v>
      </c>
      <c r="D3741" s="1" t="s">
        <v>1954</v>
      </c>
      <c r="E3741" s="1" t="s">
        <v>34</v>
      </c>
      <c r="F3741" s="1" t="s">
        <v>57</v>
      </c>
      <c r="G3741" s="1" t="s">
        <v>58</v>
      </c>
      <c r="H3741" s="1" t="s">
        <v>48</v>
      </c>
      <c r="I3741">
        <v>36044</v>
      </c>
      <c r="J3741" s="3">
        <v>47.84</v>
      </c>
      <c r="K3741" s="3">
        <v>1724344.96</v>
      </c>
    </row>
    <row r="3742" spans="1:11" x14ac:dyDescent="0.2">
      <c r="A3742" s="1" t="s">
        <v>4860</v>
      </c>
      <c r="B3742" s="2">
        <v>45543</v>
      </c>
      <c r="C3742" s="1" t="s">
        <v>617</v>
      </c>
      <c r="D3742" s="1" t="s">
        <v>618</v>
      </c>
      <c r="E3742" s="1" t="s">
        <v>37</v>
      </c>
      <c r="F3742" s="1" t="s">
        <v>41</v>
      </c>
      <c r="G3742" s="1" t="s">
        <v>42</v>
      </c>
      <c r="H3742" s="1" t="s">
        <v>24</v>
      </c>
      <c r="I3742">
        <v>45221</v>
      </c>
      <c r="J3742" s="3">
        <v>37.729999999999997</v>
      </c>
      <c r="K3742" s="3">
        <v>1706188.33</v>
      </c>
    </row>
    <row r="3743" spans="1:11" x14ac:dyDescent="0.2">
      <c r="A3743" s="1" t="s">
        <v>4861</v>
      </c>
      <c r="B3743" s="2">
        <v>45919</v>
      </c>
      <c r="C3743" s="1" t="s">
        <v>469</v>
      </c>
      <c r="D3743" s="1" t="s">
        <v>470</v>
      </c>
      <c r="E3743" s="1" t="s">
        <v>21</v>
      </c>
      <c r="F3743" s="1" t="s">
        <v>474</v>
      </c>
      <c r="G3743" s="1" t="s">
        <v>475</v>
      </c>
      <c r="H3743" s="1" t="s">
        <v>48</v>
      </c>
      <c r="I3743">
        <v>13230</v>
      </c>
      <c r="J3743" s="3">
        <v>32.5</v>
      </c>
      <c r="K3743" s="3">
        <v>429975</v>
      </c>
    </row>
    <row r="3744" spans="1:11" x14ac:dyDescent="0.2">
      <c r="A3744" s="1" t="s">
        <v>4862</v>
      </c>
      <c r="B3744" s="2">
        <v>45357</v>
      </c>
      <c r="C3744" s="1" t="s">
        <v>79</v>
      </c>
      <c r="D3744" s="1" t="s">
        <v>80</v>
      </c>
      <c r="E3744" s="1" t="s">
        <v>34</v>
      </c>
      <c r="F3744" s="1" t="s">
        <v>165</v>
      </c>
      <c r="G3744" s="1" t="s">
        <v>166</v>
      </c>
      <c r="H3744" s="1" t="s">
        <v>24</v>
      </c>
      <c r="I3744">
        <v>92690</v>
      </c>
      <c r="J3744" s="3">
        <v>10.77</v>
      </c>
      <c r="K3744" s="3">
        <v>998271.3</v>
      </c>
    </row>
    <row r="3745" spans="1:11" x14ac:dyDescent="0.2">
      <c r="A3745" s="1" t="s">
        <v>4863</v>
      </c>
      <c r="B3745" s="2">
        <v>45613</v>
      </c>
      <c r="C3745" s="1" t="s">
        <v>2628</v>
      </c>
      <c r="D3745" s="1" t="s">
        <v>2629</v>
      </c>
      <c r="E3745" s="1" t="s">
        <v>14</v>
      </c>
      <c r="F3745" s="1" t="s">
        <v>195</v>
      </c>
      <c r="G3745" s="1" t="s">
        <v>196</v>
      </c>
      <c r="H3745" s="1" t="s">
        <v>48</v>
      </c>
      <c r="I3745">
        <v>83623</v>
      </c>
      <c r="J3745" s="3">
        <v>14.43</v>
      </c>
      <c r="K3745" s="3">
        <v>1206679.8899999999</v>
      </c>
    </row>
    <row r="3746" spans="1:11" x14ac:dyDescent="0.2">
      <c r="A3746" s="1" t="s">
        <v>4864</v>
      </c>
      <c r="B3746" s="2">
        <v>45989</v>
      </c>
      <c r="C3746" s="1" t="s">
        <v>602</v>
      </c>
      <c r="D3746" s="1" t="s">
        <v>603</v>
      </c>
      <c r="E3746" s="1" t="s">
        <v>28</v>
      </c>
      <c r="F3746" s="1" t="s">
        <v>15</v>
      </c>
      <c r="G3746" s="1" t="s">
        <v>16</v>
      </c>
      <c r="H3746" s="1" t="s">
        <v>17</v>
      </c>
      <c r="I3746">
        <v>76628</v>
      </c>
      <c r="J3746" s="3">
        <v>47.97</v>
      </c>
      <c r="K3746" s="3">
        <v>3675845.16</v>
      </c>
    </row>
    <row r="3747" spans="1:11" x14ac:dyDescent="0.2">
      <c r="A3747" s="1" t="s">
        <v>4865</v>
      </c>
      <c r="B3747" s="2">
        <v>45837</v>
      </c>
      <c r="C3747" s="1" t="s">
        <v>1023</v>
      </c>
      <c r="D3747" s="1" t="s">
        <v>1024</v>
      </c>
      <c r="E3747" s="1" t="s">
        <v>37</v>
      </c>
      <c r="F3747" s="1" t="s">
        <v>57</v>
      </c>
      <c r="G3747" s="1" t="s">
        <v>58</v>
      </c>
      <c r="H3747" s="1" t="s">
        <v>48</v>
      </c>
      <c r="I3747">
        <v>56571</v>
      </c>
      <c r="J3747" s="3">
        <v>23.04</v>
      </c>
      <c r="K3747" s="3">
        <v>1303395.8400000001</v>
      </c>
    </row>
    <row r="3748" spans="1:11" x14ac:dyDescent="0.2">
      <c r="A3748" s="1" t="s">
        <v>4866</v>
      </c>
      <c r="B3748" s="2">
        <v>45988</v>
      </c>
      <c r="C3748" s="1" t="s">
        <v>377</v>
      </c>
      <c r="D3748" s="1" t="s">
        <v>378</v>
      </c>
      <c r="E3748" s="1" t="s">
        <v>37</v>
      </c>
      <c r="F3748" s="1" t="s">
        <v>176</v>
      </c>
      <c r="G3748" s="1" t="s">
        <v>177</v>
      </c>
      <c r="H3748" s="1" t="s">
        <v>37</v>
      </c>
      <c r="I3748">
        <v>80175</v>
      </c>
      <c r="J3748" s="3">
        <v>19.77</v>
      </c>
      <c r="K3748" s="3">
        <v>1585059.75</v>
      </c>
    </row>
    <row r="3749" spans="1:11" x14ac:dyDescent="0.2">
      <c r="A3749" s="1" t="s">
        <v>4867</v>
      </c>
      <c r="B3749" s="2">
        <v>45846</v>
      </c>
      <c r="C3749" s="1" t="s">
        <v>847</v>
      </c>
      <c r="D3749" s="1" t="s">
        <v>848</v>
      </c>
      <c r="E3749" s="1" t="s">
        <v>34</v>
      </c>
      <c r="F3749" s="1" t="s">
        <v>81</v>
      </c>
      <c r="G3749" s="1" t="s">
        <v>82</v>
      </c>
      <c r="H3749" s="1" t="s">
        <v>72</v>
      </c>
      <c r="I3749">
        <v>53638</v>
      </c>
      <c r="J3749" s="3">
        <v>48.62</v>
      </c>
      <c r="K3749" s="3">
        <v>2607879.56</v>
      </c>
    </row>
    <row r="3750" spans="1:11" x14ac:dyDescent="0.2">
      <c r="A3750" s="1" t="s">
        <v>4868</v>
      </c>
      <c r="B3750" s="2">
        <v>45628</v>
      </c>
      <c r="C3750" s="1" t="s">
        <v>226</v>
      </c>
      <c r="D3750" s="1" t="s">
        <v>227</v>
      </c>
      <c r="E3750" s="1" t="s">
        <v>34</v>
      </c>
      <c r="F3750" s="1" t="s">
        <v>15</v>
      </c>
      <c r="G3750" s="1" t="s">
        <v>16</v>
      </c>
      <c r="H3750" s="1" t="s">
        <v>17</v>
      </c>
      <c r="I3750">
        <v>36136</v>
      </c>
      <c r="J3750" s="3">
        <v>36.729999999999997</v>
      </c>
      <c r="K3750" s="3">
        <v>1327275.28</v>
      </c>
    </row>
    <row r="3751" spans="1:11" x14ac:dyDescent="0.2">
      <c r="A3751" s="1" t="s">
        <v>4869</v>
      </c>
      <c r="B3751" s="2">
        <v>45839</v>
      </c>
      <c r="C3751" s="1" t="s">
        <v>1113</v>
      </c>
      <c r="D3751" s="1" t="s">
        <v>1114</v>
      </c>
      <c r="E3751" s="1" t="s">
        <v>14</v>
      </c>
      <c r="F3751" s="1" t="s">
        <v>228</v>
      </c>
      <c r="G3751" s="1" t="s">
        <v>229</v>
      </c>
      <c r="H3751" s="1" t="s">
        <v>48</v>
      </c>
      <c r="I3751">
        <v>62970</v>
      </c>
      <c r="J3751" s="3">
        <v>30.22</v>
      </c>
      <c r="K3751" s="3">
        <v>1902953.4</v>
      </c>
    </row>
    <row r="3752" spans="1:11" x14ac:dyDescent="0.2">
      <c r="A3752" s="1" t="s">
        <v>4870</v>
      </c>
      <c r="B3752" s="2">
        <v>45696</v>
      </c>
      <c r="C3752" s="1" t="s">
        <v>1722</v>
      </c>
      <c r="D3752" s="1" t="s">
        <v>1723</v>
      </c>
      <c r="E3752" s="1" t="s">
        <v>34</v>
      </c>
      <c r="F3752" s="1" t="s">
        <v>46</v>
      </c>
      <c r="G3752" s="1" t="s">
        <v>47</v>
      </c>
      <c r="H3752" s="1" t="s">
        <v>48</v>
      </c>
      <c r="I3752">
        <v>90687</v>
      </c>
      <c r="J3752" s="3">
        <v>31.8</v>
      </c>
      <c r="K3752" s="3">
        <v>2883846.6</v>
      </c>
    </row>
    <row r="3753" spans="1:11" x14ac:dyDescent="0.2">
      <c r="A3753" s="1" t="s">
        <v>4871</v>
      </c>
      <c r="B3753" s="2">
        <v>45665</v>
      </c>
      <c r="C3753" s="1" t="s">
        <v>19</v>
      </c>
      <c r="D3753" s="1" t="s">
        <v>20</v>
      </c>
      <c r="E3753" s="1" t="s">
        <v>21</v>
      </c>
      <c r="F3753" s="1" t="s">
        <v>144</v>
      </c>
      <c r="G3753" s="1" t="s">
        <v>145</v>
      </c>
      <c r="H3753" s="1" t="s">
        <v>24</v>
      </c>
      <c r="I3753">
        <v>26260</v>
      </c>
      <c r="J3753" s="3">
        <v>31.08</v>
      </c>
      <c r="K3753" s="3">
        <v>816160.8</v>
      </c>
    </row>
    <row r="3754" spans="1:11" x14ac:dyDescent="0.2">
      <c r="A3754" s="1" t="s">
        <v>4872</v>
      </c>
      <c r="B3754" s="2">
        <v>45489</v>
      </c>
      <c r="C3754" s="1" t="s">
        <v>1708</v>
      </c>
      <c r="D3754" s="1" t="s">
        <v>1709</v>
      </c>
      <c r="E3754" s="1" t="s">
        <v>14</v>
      </c>
      <c r="F3754" s="1" t="s">
        <v>108</v>
      </c>
      <c r="G3754" s="1" t="s">
        <v>109</v>
      </c>
      <c r="H3754" s="1" t="s">
        <v>37</v>
      </c>
      <c r="I3754">
        <v>86351</v>
      </c>
      <c r="J3754" s="3">
        <v>33.299999999999997</v>
      </c>
      <c r="K3754" s="3">
        <v>2875488.3</v>
      </c>
    </row>
    <row r="3755" spans="1:11" x14ac:dyDescent="0.2">
      <c r="A3755" s="1" t="s">
        <v>4873</v>
      </c>
      <c r="B3755" s="2">
        <v>45475</v>
      </c>
      <c r="C3755" s="1" t="s">
        <v>1268</v>
      </c>
      <c r="D3755" s="1" t="s">
        <v>1269</v>
      </c>
      <c r="E3755" s="1" t="s">
        <v>34</v>
      </c>
      <c r="F3755" s="1" t="s">
        <v>284</v>
      </c>
      <c r="G3755" s="1" t="s">
        <v>285</v>
      </c>
      <c r="H3755" s="1" t="s">
        <v>37</v>
      </c>
      <c r="I3755">
        <v>23048</v>
      </c>
      <c r="J3755" s="3">
        <v>34.67</v>
      </c>
      <c r="K3755" s="3">
        <v>799074.16</v>
      </c>
    </row>
    <row r="3756" spans="1:11" x14ac:dyDescent="0.2">
      <c r="A3756" s="1" t="s">
        <v>4874</v>
      </c>
      <c r="B3756" s="2">
        <v>45467</v>
      </c>
      <c r="C3756" s="1" t="s">
        <v>2064</v>
      </c>
      <c r="D3756" s="1" t="s">
        <v>2065</v>
      </c>
      <c r="E3756" s="1" t="s">
        <v>14</v>
      </c>
      <c r="F3756" s="1" t="s">
        <v>152</v>
      </c>
      <c r="G3756" s="1" t="s">
        <v>153</v>
      </c>
      <c r="H3756" s="1" t="s">
        <v>17</v>
      </c>
      <c r="I3756">
        <v>9837</v>
      </c>
      <c r="J3756" s="3">
        <v>17.850000000000001</v>
      </c>
      <c r="K3756" s="3">
        <v>175590.45</v>
      </c>
    </row>
    <row r="3757" spans="1:11" x14ac:dyDescent="0.2">
      <c r="A3757" s="1" t="s">
        <v>4875</v>
      </c>
      <c r="B3757" s="2">
        <v>45915</v>
      </c>
      <c r="C3757" s="1" t="s">
        <v>2050</v>
      </c>
      <c r="D3757" s="1" t="s">
        <v>2051</v>
      </c>
      <c r="E3757" s="1" t="s">
        <v>14</v>
      </c>
      <c r="F3757" s="1" t="s">
        <v>330</v>
      </c>
      <c r="G3757" s="1" t="s">
        <v>331</v>
      </c>
      <c r="H3757" s="1" t="s">
        <v>72</v>
      </c>
      <c r="I3757">
        <v>72694</v>
      </c>
      <c r="J3757" s="3">
        <v>3.89</v>
      </c>
      <c r="K3757" s="3">
        <v>282779.65999999997</v>
      </c>
    </row>
    <row r="3758" spans="1:11" x14ac:dyDescent="0.2">
      <c r="A3758" s="1" t="s">
        <v>4876</v>
      </c>
      <c r="B3758" s="2">
        <v>45713</v>
      </c>
      <c r="C3758" s="1" t="s">
        <v>2541</v>
      </c>
      <c r="D3758" s="1" t="s">
        <v>2542</v>
      </c>
      <c r="E3758" s="1" t="s">
        <v>14</v>
      </c>
      <c r="F3758" s="1" t="s">
        <v>284</v>
      </c>
      <c r="G3758" s="1" t="s">
        <v>285</v>
      </c>
      <c r="H3758" s="1" t="s">
        <v>37</v>
      </c>
      <c r="I3758">
        <v>14327</v>
      </c>
      <c r="J3758" s="3">
        <v>49.99</v>
      </c>
      <c r="K3758" s="3">
        <v>716206.73</v>
      </c>
    </row>
    <row r="3759" spans="1:11" x14ac:dyDescent="0.2">
      <c r="A3759" s="1" t="s">
        <v>4877</v>
      </c>
      <c r="B3759" s="2">
        <v>46016</v>
      </c>
      <c r="C3759" s="1" t="s">
        <v>1223</v>
      </c>
      <c r="D3759" s="1" t="s">
        <v>1224</v>
      </c>
      <c r="E3759" s="1" t="s">
        <v>37</v>
      </c>
      <c r="F3759" s="1" t="s">
        <v>103</v>
      </c>
      <c r="G3759" s="1" t="s">
        <v>104</v>
      </c>
      <c r="H3759" s="1" t="s">
        <v>37</v>
      </c>
      <c r="I3759">
        <v>50111</v>
      </c>
      <c r="J3759" s="3">
        <v>40.299999999999997</v>
      </c>
      <c r="K3759" s="3">
        <v>2019473.3</v>
      </c>
    </row>
    <row r="3760" spans="1:11" x14ac:dyDescent="0.2">
      <c r="A3760" s="1" t="s">
        <v>4878</v>
      </c>
      <c r="B3760" s="2">
        <v>45476</v>
      </c>
      <c r="C3760" s="1" t="s">
        <v>2534</v>
      </c>
      <c r="D3760" s="1" t="s">
        <v>2535</v>
      </c>
      <c r="E3760" s="1" t="s">
        <v>14</v>
      </c>
      <c r="F3760" s="1" t="s">
        <v>103</v>
      </c>
      <c r="G3760" s="1" t="s">
        <v>104</v>
      </c>
      <c r="H3760" s="1" t="s">
        <v>37</v>
      </c>
      <c r="I3760">
        <v>90790</v>
      </c>
      <c r="J3760" s="3">
        <v>6.55</v>
      </c>
      <c r="K3760" s="3">
        <v>594674.5</v>
      </c>
    </row>
    <row r="3761" spans="1:11" x14ac:dyDescent="0.2">
      <c r="A3761" s="1" t="s">
        <v>4879</v>
      </c>
      <c r="B3761" s="2">
        <v>45307</v>
      </c>
      <c r="C3761" s="1" t="s">
        <v>1028</v>
      </c>
      <c r="D3761" s="1" t="s">
        <v>1029</v>
      </c>
      <c r="E3761" s="1" t="s">
        <v>14</v>
      </c>
      <c r="F3761" s="1" t="s">
        <v>57</v>
      </c>
      <c r="G3761" s="1" t="s">
        <v>58</v>
      </c>
      <c r="H3761" s="1" t="s">
        <v>48</v>
      </c>
      <c r="I3761">
        <v>69725</v>
      </c>
      <c r="J3761" s="3">
        <v>42.98</v>
      </c>
      <c r="K3761" s="3">
        <v>2996780.5</v>
      </c>
    </row>
    <row r="3762" spans="1:11" x14ac:dyDescent="0.2">
      <c r="A3762" s="1" t="s">
        <v>4880</v>
      </c>
      <c r="B3762" s="2">
        <v>45299</v>
      </c>
      <c r="C3762" s="1" t="s">
        <v>26</v>
      </c>
      <c r="D3762" s="1" t="s">
        <v>27</v>
      </c>
      <c r="E3762" s="1" t="s">
        <v>28</v>
      </c>
      <c r="F3762" s="1" t="s">
        <v>144</v>
      </c>
      <c r="G3762" s="1" t="s">
        <v>145</v>
      </c>
      <c r="H3762" s="1" t="s">
        <v>24</v>
      </c>
      <c r="I3762">
        <v>61895</v>
      </c>
      <c r="J3762" s="3">
        <v>30.96</v>
      </c>
      <c r="K3762" s="3">
        <v>1916269.2</v>
      </c>
    </row>
    <row r="3763" spans="1:11" x14ac:dyDescent="0.2">
      <c r="A3763" s="1" t="s">
        <v>4881</v>
      </c>
      <c r="B3763" s="2">
        <v>45715</v>
      </c>
      <c r="C3763" s="1" t="s">
        <v>418</v>
      </c>
      <c r="D3763" s="1" t="s">
        <v>419</v>
      </c>
      <c r="E3763" s="1" t="s">
        <v>14</v>
      </c>
      <c r="F3763" s="1" t="s">
        <v>29</v>
      </c>
      <c r="G3763" s="1" t="s">
        <v>30</v>
      </c>
      <c r="H3763" s="1" t="s">
        <v>24</v>
      </c>
      <c r="I3763">
        <v>18961</v>
      </c>
      <c r="J3763" s="3">
        <v>8.58</v>
      </c>
      <c r="K3763" s="3">
        <v>162685.38</v>
      </c>
    </row>
    <row r="3764" spans="1:11" x14ac:dyDescent="0.2">
      <c r="A3764" s="1" t="s">
        <v>4882</v>
      </c>
      <c r="B3764" s="2">
        <v>45424</v>
      </c>
      <c r="C3764" s="1" t="s">
        <v>291</v>
      </c>
      <c r="D3764" s="1" t="s">
        <v>292</v>
      </c>
      <c r="E3764" s="1" t="s">
        <v>14</v>
      </c>
      <c r="F3764" s="1" t="s">
        <v>152</v>
      </c>
      <c r="G3764" s="1" t="s">
        <v>153</v>
      </c>
      <c r="H3764" s="1" t="s">
        <v>17</v>
      </c>
      <c r="I3764">
        <v>44167</v>
      </c>
      <c r="J3764" s="3">
        <v>5.69</v>
      </c>
      <c r="K3764" s="3">
        <v>251310.23</v>
      </c>
    </row>
    <row r="3765" spans="1:11" x14ac:dyDescent="0.2">
      <c r="A3765" s="1" t="s">
        <v>4883</v>
      </c>
      <c r="B3765" s="2">
        <v>45434</v>
      </c>
      <c r="C3765" s="1" t="s">
        <v>543</v>
      </c>
      <c r="D3765" s="1" t="s">
        <v>544</v>
      </c>
      <c r="E3765" s="1" t="s">
        <v>28</v>
      </c>
      <c r="F3765" s="1" t="s">
        <v>412</v>
      </c>
      <c r="G3765" s="1" t="s">
        <v>413</v>
      </c>
      <c r="H3765" s="1" t="s">
        <v>72</v>
      </c>
      <c r="I3765">
        <v>57422</v>
      </c>
      <c r="J3765" s="3">
        <v>42.16</v>
      </c>
      <c r="K3765" s="3">
        <v>2420911.52</v>
      </c>
    </row>
    <row r="3766" spans="1:11" x14ac:dyDescent="0.2">
      <c r="A3766" s="1" t="s">
        <v>4884</v>
      </c>
      <c r="B3766" s="2">
        <v>45619</v>
      </c>
      <c r="C3766" s="1" t="s">
        <v>1652</v>
      </c>
      <c r="D3766" s="1" t="s">
        <v>1653</v>
      </c>
      <c r="E3766" s="1" t="s">
        <v>28</v>
      </c>
      <c r="F3766" s="1" t="s">
        <v>284</v>
      </c>
      <c r="G3766" s="1" t="s">
        <v>285</v>
      </c>
      <c r="H3766" s="1" t="s">
        <v>37</v>
      </c>
      <c r="I3766">
        <v>60407</v>
      </c>
      <c r="J3766" s="3">
        <v>5</v>
      </c>
      <c r="K3766" s="3">
        <v>302035</v>
      </c>
    </row>
    <row r="3767" spans="1:11" x14ac:dyDescent="0.2">
      <c r="A3767" s="1" t="s">
        <v>4885</v>
      </c>
      <c r="B3767" s="2">
        <v>45848</v>
      </c>
      <c r="C3767" s="1" t="s">
        <v>636</v>
      </c>
      <c r="D3767" s="1" t="s">
        <v>637</v>
      </c>
      <c r="E3767" s="1" t="s">
        <v>21</v>
      </c>
      <c r="F3767" s="1" t="s">
        <v>15</v>
      </c>
      <c r="G3767" s="1" t="s">
        <v>16</v>
      </c>
      <c r="H3767" s="1" t="s">
        <v>17</v>
      </c>
      <c r="I3767">
        <v>44043</v>
      </c>
      <c r="J3767" s="3">
        <v>26.45</v>
      </c>
      <c r="K3767" s="3">
        <v>1164937.3500000001</v>
      </c>
    </row>
    <row r="3768" spans="1:11" x14ac:dyDescent="0.2">
      <c r="A3768" s="1" t="s">
        <v>4886</v>
      </c>
      <c r="B3768" s="2">
        <v>45304</v>
      </c>
      <c r="C3768" s="1" t="s">
        <v>1125</v>
      </c>
      <c r="D3768" s="1" t="s">
        <v>1126</v>
      </c>
      <c r="E3768" s="1" t="s">
        <v>21</v>
      </c>
      <c r="F3768" s="1" t="s">
        <v>412</v>
      </c>
      <c r="G3768" s="1" t="s">
        <v>413</v>
      </c>
      <c r="H3768" s="1" t="s">
        <v>72</v>
      </c>
      <c r="I3768">
        <v>57098</v>
      </c>
      <c r="J3768" s="3">
        <v>11.66</v>
      </c>
      <c r="K3768" s="3">
        <v>665762.68000000005</v>
      </c>
    </row>
    <row r="3769" spans="1:11" x14ac:dyDescent="0.2">
      <c r="A3769" s="1" t="s">
        <v>4887</v>
      </c>
      <c r="B3769" s="2">
        <v>45810</v>
      </c>
      <c r="C3769" s="1" t="s">
        <v>975</v>
      </c>
      <c r="D3769" s="1" t="s">
        <v>976</v>
      </c>
      <c r="E3769" s="1" t="s">
        <v>28</v>
      </c>
      <c r="F3769" s="1" t="s">
        <v>176</v>
      </c>
      <c r="G3769" s="1" t="s">
        <v>177</v>
      </c>
      <c r="H3769" s="1" t="s">
        <v>37</v>
      </c>
      <c r="I3769">
        <v>5580</v>
      </c>
      <c r="J3769" s="3">
        <v>38.92</v>
      </c>
      <c r="K3769" s="3">
        <v>217173.6</v>
      </c>
    </row>
    <row r="3770" spans="1:11" x14ac:dyDescent="0.2">
      <c r="A3770" s="1" t="s">
        <v>4888</v>
      </c>
      <c r="B3770" s="2">
        <v>45633</v>
      </c>
      <c r="C3770" s="1" t="s">
        <v>174</v>
      </c>
      <c r="D3770" s="1" t="s">
        <v>175</v>
      </c>
      <c r="E3770" s="1" t="s">
        <v>37</v>
      </c>
      <c r="F3770" s="1" t="s">
        <v>41</v>
      </c>
      <c r="G3770" s="1" t="s">
        <v>42</v>
      </c>
      <c r="H3770" s="1" t="s">
        <v>24</v>
      </c>
      <c r="I3770">
        <v>41943</v>
      </c>
      <c r="J3770" s="3">
        <v>44.49</v>
      </c>
      <c r="K3770" s="3">
        <v>1866044.07</v>
      </c>
    </row>
    <row r="3771" spans="1:11" x14ac:dyDescent="0.2">
      <c r="A3771" s="1" t="s">
        <v>4889</v>
      </c>
      <c r="B3771" s="2">
        <v>45578</v>
      </c>
      <c r="C3771" s="1" t="s">
        <v>128</v>
      </c>
      <c r="D3771" s="1" t="s">
        <v>129</v>
      </c>
      <c r="E3771" s="1" t="s">
        <v>28</v>
      </c>
      <c r="F3771" s="1" t="s">
        <v>463</v>
      </c>
      <c r="G3771" s="1" t="s">
        <v>464</v>
      </c>
      <c r="H3771" s="1" t="s">
        <v>37</v>
      </c>
      <c r="I3771">
        <v>53196</v>
      </c>
      <c r="J3771" s="3">
        <v>5</v>
      </c>
      <c r="K3771" s="3">
        <v>265980</v>
      </c>
    </row>
    <row r="3772" spans="1:11" x14ac:dyDescent="0.2">
      <c r="A3772" s="1" t="s">
        <v>4890</v>
      </c>
      <c r="B3772" s="2">
        <v>45852</v>
      </c>
      <c r="C3772" s="1" t="s">
        <v>1541</v>
      </c>
      <c r="D3772" s="1" t="s">
        <v>1542</v>
      </c>
      <c r="E3772" s="1" t="s">
        <v>37</v>
      </c>
      <c r="F3772" s="1" t="s">
        <v>98</v>
      </c>
      <c r="G3772" s="1" t="s">
        <v>99</v>
      </c>
      <c r="H3772" s="1" t="s">
        <v>72</v>
      </c>
      <c r="I3772">
        <v>13960</v>
      </c>
      <c r="J3772" s="3">
        <v>3.27</v>
      </c>
      <c r="K3772" s="3">
        <v>45649.2</v>
      </c>
    </row>
    <row r="3773" spans="1:11" x14ac:dyDescent="0.2">
      <c r="A3773" s="1" t="s">
        <v>4891</v>
      </c>
      <c r="B3773" s="2">
        <v>45818</v>
      </c>
      <c r="C3773" s="1" t="s">
        <v>1571</v>
      </c>
      <c r="D3773" s="1" t="s">
        <v>1572</v>
      </c>
      <c r="E3773" s="1" t="s">
        <v>14</v>
      </c>
      <c r="F3773" s="1" t="s">
        <v>70</v>
      </c>
      <c r="G3773" s="1" t="s">
        <v>71</v>
      </c>
      <c r="H3773" s="1" t="s">
        <v>72</v>
      </c>
      <c r="I3773">
        <v>70713</v>
      </c>
      <c r="J3773" s="3">
        <v>32.14</v>
      </c>
      <c r="K3773" s="3">
        <v>2272715.8199999998</v>
      </c>
    </row>
    <row r="3774" spans="1:11" x14ac:dyDescent="0.2">
      <c r="A3774" s="1" t="s">
        <v>4892</v>
      </c>
      <c r="B3774" s="2">
        <v>45471</v>
      </c>
      <c r="C3774" s="1" t="s">
        <v>1761</v>
      </c>
      <c r="D3774" s="1" t="s">
        <v>1762</v>
      </c>
      <c r="E3774" s="1" t="s">
        <v>14</v>
      </c>
      <c r="F3774" s="1" t="s">
        <v>157</v>
      </c>
      <c r="G3774" s="1" t="s">
        <v>158</v>
      </c>
      <c r="H3774" s="1" t="s">
        <v>48</v>
      </c>
      <c r="I3774">
        <v>23460</v>
      </c>
      <c r="J3774" s="3">
        <v>34</v>
      </c>
      <c r="K3774" s="3">
        <v>797640</v>
      </c>
    </row>
    <row r="3775" spans="1:11" x14ac:dyDescent="0.2">
      <c r="A3775" s="1" t="s">
        <v>4893</v>
      </c>
      <c r="B3775" s="2">
        <v>45996</v>
      </c>
      <c r="C3775" s="1" t="s">
        <v>1388</v>
      </c>
      <c r="D3775" s="1" t="s">
        <v>1389</v>
      </c>
      <c r="E3775" s="1" t="s">
        <v>28</v>
      </c>
      <c r="F3775" s="1" t="s">
        <v>76</v>
      </c>
      <c r="G3775" s="1" t="s">
        <v>77</v>
      </c>
      <c r="H3775" s="1" t="s">
        <v>48</v>
      </c>
      <c r="I3775">
        <v>31847</v>
      </c>
      <c r="J3775" s="3">
        <v>48.02</v>
      </c>
      <c r="K3775" s="3">
        <v>1529292.94</v>
      </c>
    </row>
    <row r="3776" spans="1:11" x14ac:dyDescent="0.2">
      <c r="A3776" s="1" t="s">
        <v>4894</v>
      </c>
      <c r="B3776" s="2">
        <v>45299</v>
      </c>
      <c r="C3776" s="1" t="s">
        <v>2472</v>
      </c>
      <c r="D3776" s="1" t="s">
        <v>2473</v>
      </c>
      <c r="E3776" s="1" t="s">
        <v>28</v>
      </c>
      <c r="F3776" s="1" t="s">
        <v>324</v>
      </c>
      <c r="G3776" s="1" t="s">
        <v>325</v>
      </c>
      <c r="H3776" s="1" t="s">
        <v>24</v>
      </c>
      <c r="I3776">
        <v>31124</v>
      </c>
      <c r="J3776" s="3">
        <v>22.98</v>
      </c>
      <c r="K3776" s="3">
        <v>715229.52</v>
      </c>
    </row>
    <row r="3777" spans="1:11" x14ac:dyDescent="0.2">
      <c r="A3777" s="1" t="s">
        <v>4895</v>
      </c>
      <c r="B3777" s="2">
        <v>45831</v>
      </c>
      <c r="C3777" s="1" t="s">
        <v>19</v>
      </c>
      <c r="D3777" s="1" t="s">
        <v>20</v>
      </c>
      <c r="E3777" s="1" t="s">
        <v>21</v>
      </c>
      <c r="F3777" s="1" t="s">
        <v>35</v>
      </c>
      <c r="G3777" s="1" t="s">
        <v>36</v>
      </c>
      <c r="H3777" s="1" t="s">
        <v>37</v>
      </c>
      <c r="I3777">
        <v>28437</v>
      </c>
      <c r="J3777" s="3">
        <v>17.850000000000001</v>
      </c>
      <c r="K3777" s="3">
        <v>507600.45</v>
      </c>
    </row>
    <row r="3778" spans="1:11" x14ac:dyDescent="0.2">
      <c r="A3778" s="1" t="s">
        <v>4896</v>
      </c>
      <c r="B3778" s="2">
        <v>45760</v>
      </c>
      <c r="C3778" s="1" t="s">
        <v>4149</v>
      </c>
      <c r="D3778" s="1" t="s">
        <v>4150</v>
      </c>
      <c r="E3778" s="1" t="s">
        <v>14</v>
      </c>
      <c r="F3778" s="1" t="s">
        <v>176</v>
      </c>
      <c r="G3778" s="1" t="s">
        <v>177</v>
      </c>
      <c r="H3778" s="1" t="s">
        <v>37</v>
      </c>
      <c r="I3778">
        <v>20869</v>
      </c>
      <c r="J3778" s="3">
        <v>2.84</v>
      </c>
      <c r="K3778" s="3">
        <v>59267.96</v>
      </c>
    </row>
    <row r="3779" spans="1:11" x14ac:dyDescent="0.2">
      <c r="A3779" s="1" t="s">
        <v>4897</v>
      </c>
      <c r="B3779" s="2">
        <v>45619</v>
      </c>
      <c r="C3779" s="1" t="s">
        <v>722</v>
      </c>
      <c r="D3779" s="1" t="s">
        <v>723</v>
      </c>
      <c r="E3779" s="1" t="s">
        <v>21</v>
      </c>
      <c r="F3779" s="1" t="s">
        <v>139</v>
      </c>
      <c r="G3779" s="1" t="s">
        <v>140</v>
      </c>
      <c r="H3779" s="1" t="s">
        <v>24</v>
      </c>
      <c r="I3779">
        <v>88773</v>
      </c>
      <c r="J3779" s="3">
        <v>47.53</v>
      </c>
      <c r="K3779" s="3">
        <v>4219380.6900000004</v>
      </c>
    </row>
    <row r="3780" spans="1:11" x14ac:dyDescent="0.2">
      <c r="A3780" s="1" t="s">
        <v>4898</v>
      </c>
      <c r="B3780" s="2">
        <v>45441</v>
      </c>
      <c r="C3780" s="1" t="s">
        <v>1647</v>
      </c>
      <c r="D3780" s="1" t="s">
        <v>1648</v>
      </c>
      <c r="E3780" s="1" t="s">
        <v>14</v>
      </c>
      <c r="F3780" s="1" t="s">
        <v>237</v>
      </c>
      <c r="G3780" s="1" t="s">
        <v>238</v>
      </c>
      <c r="H3780" s="1" t="s">
        <v>17</v>
      </c>
      <c r="I3780">
        <v>30288</v>
      </c>
      <c r="J3780" s="3">
        <v>5.5</v>
      </c>
      <c r="K3780" s="3">
        <v>166584</v>
      </c>
    </row>
    <row r="3781" spans="1:11" x14ac:dyDescent="0.2">
      <c r="A3781" s="1" t="s">
        <v>4899</v>
      </c>
      <c r="B3781" s="2">
        <v>45943</v>
      </c>
      <c r="C3781" s="1" t="s">
        <v>913</v>
      </c>
      <c r="D3781" s="1" t="s">
        <v>914</v>
      </c>
      <c r="E3781" s="1" t="s">
        <v>37</v>
      </c>
      <c r="F3781" s="1" t="s">
        <v>35</v>
      </c>
      <c r="G3781" s="1" t="s">
        <v>36</v>
      </c>
      <c r="H3781" s="1" t="s">
        <v>37</v>
      </c>
      <c r="I3781">
        <v>80468</v>
      </c>
      <c r="J3781" s="3">
        <v>11.74</v>
      </c>
      <c r="K3781" s="3">
        <v>944694.32</v>
      </c>
    </row>
    <row r="3782" spans="1:11" x14ac:dyDescent="0.2">
      <c r="A3782" s="1" t="s">
        <v>4900</v>
      </c>
      <c r="B3782" s="2">
        <v>45798</v>
      </c>
      <c r="C3782" s="1" t="s">
        <v>2597</v>
      </c>
      <c r="D3782" s="1" t="s">
        <v>2598</v>
      </c>
      <c r="E3782" s="1" t="s">
        <v>21</v>
      </c>
      <c r="F3782" s="1" t="s">
        <v>284</v>
      </c>
      <c r="G3782" s="1" t="s">
        <v>285</v>
      </c>
      <c r="H3782" s="1" t="s">
        <v>37</v>
      </c>
      <c r="I3782">
        <v>7269</v>
      </c>
      <c r="J3782" s="3">
        <v>26.77</v>
      </c>
      <c r="K3782" s="3">
        <v>194591.13</v>
      </c>
    </row>
    <row r="3783" spans="1:11" x14ac:dyDescent="0.2">
      <c r="A3783" s="1" t="s">
        <v>4901</v>
      </c>
      <c r="B3783" s="2">
        <v>45351</v>
      </c>
      <c r="C3783" s="1" t="s">
        <v>2169</v>
      </c>
      <c r="D3783" s="1" t="s">
        <v>2170</v>
      </c>
      <c r="E3783" s="1" t="s">
        <v>28</v>
      </c>
      <c r="F3783" s="1" t="s">
        <v>29</v>
      </c>
      <c r="G3783" s="1" t="s">
        <v>30</v>
      </c>
      <c r="H3783" s="1" t="s">
        <v>24</v>
      </c>
      <c r="I3783">
        <v>73492</v>
      </c>
      <c r="J3783" s="3">
        <v>38.24</v>
      </c>
      <c r="K3783" s="3">
        <v>2810334.08</v>
      </c>
    </row>
    <row r="3784" spans="1:11" x14ac:dyDescent="0.2">
      <c r="A3784" s="1" t="s">
        <v>4902</v>
      </c>
      <c r="B3784" s="2">
        <v>45618</v>
      </c>
      <c r="C3784" s="1" t="s">
        <v>814</v>
      </c>
      <c r="D3784" s="1" t="s">
        <v>815</v>
      </c>
      <c r="E3784" s="1" t="s">
        <v>14</v>
      </c>
      <c r="F3784" s="1" t="s">
        <v>458</v>
      </c>
      <c r="G3784" s="1" t="s">
        <v>459</v>
      </c>
      <c r="H3784" s="1" t="s">
        <v>72</v>
      </c>
      <c r="I3784">
        <v>34529</v>
      </c>
      <c r="J3784" s="3">
        <v>13.56</v>
      </c>
      <c r="K3784" s="3">
        <v>468213.24</v>
      </c>
    </row>
    <row r="3785" spans="1:11" x14ac:dyDescent="0.2">
      <c r="A3785" s="1" t="s">
        <v>4903</v>
      </c>
      <c r="B3785" s="2">
        <v>45938</v>
      </c>
      <c r="C3785" s="1" t="s">
        <v>969</v>
      </c>
      <c r="D3785" s="1" t="s">
        <v>970</v>
      </c>
      <c r="E3785" s="1" t="s">
        <v>37</v>
      </c>
      <c r="F3785" s="1" t="s">
        <v>184</v>
      </c>
      <c r="G3785" s="1" t="s">
        <v>185</v>
      </c>
      <c r="H3785" s="1" t="s">
        <v>17</v>
      </c>
      <c r="I3785">
        <v>80156</v>
      </c>
      <c r="J3785" s="3">
        <v>37.36</v>
      </c>
      <c r="K3785" s="3">
        <v>2994628.16</v>
      </c>
    </row>
    <row r="3786" spans="1:11" x14ac:dyDescent="0.2">
      <c r="A3786" s="1" t="s">
        <v>4904</v>
      </c>
      <c r="B3786" s="2">
        <v>45849</v>
      </c>
      <c r="C3786" s="1" t="s">
        <v>1535</v>
      </c>
      <c r="D3786" s="1" t="s">
        <v>1536</v>
      </c>
      <c r="E3786" s="1" t="s">
        <v>21</v>
      </c>
      <c r="F3786" s="1" t="s">
        <v>41</v>
      </c>
      <c r="G3786" s="1" t="s">
        <v>42</v>
      </c>
      <c r="H3786" s="1" t="s">
        <v>24</v>
      </c>
      <c r="I3786">
        <v>8440</v>
      </c>
      <c r="J3786" s="3">
        <v>13.1</v>
      </c>
      <c r="K3786" s="3">
        <v>110564</v>
      </c>
    </row>
    <row r="3787" spans="1:11" x14ac:dyDescent="0.2">
      <c r="A3787" s="1" t="s">
        <v>4905</v>
      </c>
      <c r="B3787" s="2">
        <v>45351</v>
      </c>
      <c r="C3787" s="1" t="s">
        <v>1999</v>
      </c>
      <c r="D3787" s="1" t="s">
        <v>2000</v>
      </c>
      <c r="E3787" s="1" t="s">
        <v>21</v>
      </c>
      <c r="F3787" s="1" t="s">
        <v>339</v>
      </c>
      <c r="G3787" s="1" t="s">
        <v>340</v>
      </c>
      <c r="H3787" s="1" t="s">
        <v>24</v>
      </c>
      <c r="I3787">
        <v>40756</v>
      </c>
      <c r="J3787" s="3">
        <v>34.22</v>
      </c>
      <c r="K3787" s="3">
        <v>1394670.32</v>
      </c>
    </row>
    <row r="3788" spans="1:11" x14ac:dyDescent="0.2">
      <c r="A3788" s="1" t="s">
        <v>4906</v>
      </c>
      <c r="B3788" s="2">
        <v>45548</v>
      </c>
      <c r="C3788" s="1" t="s">
        <v>19</v>
      </c>
      <c r="D3788" s="1" t="s">
        <v>20</v>
      </c>
      <c r="E3788" s="1" t="s">
        <v>21</v>
      </c>
      <c r="F3788" s="1" t="s">
        <v>165</v>
      </c>
      <c r="G3788" s="1" t="s">
        <v>166</v>
      </c>
      <c r="H3788" s="1" t="s">
        <v>24</v>
      </c>
      <c r="I3788">
        <v>64059</v>
      </c>
      <c r="J3788" s="3">
        <v>38.44</v>
      </c>
      <c r="K3788" s="3">
        <v>2462427.96</v>
      </c>
    </row>
    <row r="3789" spans="1:11" x14ac:dyDescent="0.2">
      <c r="A3789" s="1" t="s">
        <v>4907</v>
      </c>
      <c r="B3789" s="2">
        <v>45684</v>
      </c>
      <c r="C3789" s="1" t="s">
        <v>608</v>
      </c>
      <c r="D3789" s="1" t="s">
        <v>609</v>
      </c>
      <c r="E3789" s="1" t="s">
        <v>28</v>
      </c>
      <c r="F3789" s="1" t="s">
        <v>98</v>
      </c>
      <c r="G3789" s="1" t="s">
        <v>99</v>
      </c>
      <c r="H3789" s="1" t="s">
        <v>72</v>
      </c>
      <c r="I3789">
        <v>57196</v>
      </c>
      <c r="J3789" s="3">
        <v>44.39</v>
      </c>
      <c r="K3789" s="3">
        <v>2538930.44</v>
      </c>
    </row>
    <row r="3790" spans="1:11" x14ac:dyDescent="0.2">
      <c r="A3790" s="1" t="s">
        <v>4908</v>
      </c>
      <c r="B3790" s="2">
        <v>45307</v>
      </c>
      <c r="C3790" s="1" t="s">
        <v>1810</v>
      </c>
      <c r="D3790" s="1" t="s">
        <v>1811</v>
      </c>
      <c r="E3790" s="1" t="s">
        <v>21</v>
      </c>
      <c r="F3790" s="1" t="s">
        <v>458</v>
      </c>
      <c r="G3790" s="1" t="s">
        <v>459</v>
      </c>
      <c r="H3790" s="1" t="s">
        <v>72</v>
      </c>
      <c r="I3790">
        <v>30902</v>
      </c>
      <c r="J3790" s="3">
        <v>33.64</v>
      </c>
      <c r="K3790" s="3">
        <v>1039543.28</v>
      </c>
    </row>
    <row r="3791" spans="1:11" x14ac:dyDescent="0.2">
      <c r="A3791" s="1" t="s">
        <v>4909</v>
      </c>
      <c r="B3791" s="2">
        <v>45878</v>
      </c>
      <c r="C3791" s="1" t="s">
        <v>529</v>
      </c>
      <c r="D3791" s="1" t="s">
        <v>530</v>
      </c>
      <c r="E3791" s="1" t="s">
        <v>34</v>
      </c>
      <c r="F3791" s="1" t="s">
        <v>458</v>
      </c>
      <c r="G3791" s="1" t="s">
        <v>459</v>
      </c>
      <c r="H3791" s="1" t="s">
        <v>72</v>
      </c>
      <c r="I3791">
        <v>2309</v>
      </c>
      <c r="J3791" s="3">
        <v>18.16</v>
      </c>
      <c r="K3791" s="3">
        <v>41931.440000000002</v>
      </c>
    </row>
    <row r="3792" spans="1:11" x14ac:dyDescent="0.2">
      <c r="A3792" s="1" t="s">
        <v>4910</v>
      </c>
      <c r="B3792" s="2">
        <v>45960</v>
      </c>
      <c r="C3792" s="1" t="s">
        <v>155</v>
      </c>
      <c r="D3792" s="1" t="s">
        <v>156</v>
      </c>
      <c r="E3792" s="1" t="s">
        <v>14</v>
      </c>
      <c r="F3792" s="1" t="s">
        <v>157</v>
      </c>
      <c r="G3792" s="1" t="s">
        <v>158</v>
      </c>
      <c r="H3792" s="1" t="s">
        <v>48</v>
      </c>
      <c r="I3792">
        <v>98605</v>
      </c>
      <c r="J3792" s="3">
        <v>3.38</v>
      </c>
      <c r="K3792" s="3">
        <v>333284.90000000002</v>
      </c>
    </row>
    <row r="3793" spans="1:11" x14ac:dyDescent="0.2">
      <c r="A3793" s="1" t="s">
        <v>4911</v>
      </c>
      <c r="B3793" s="2">
        <v>45747</v>
      </c>
      <c r="C3793" s="1" t="s">
        <v>975</v>
      </c>
      <c r="D3793" s="1" t="s">
        <v>976</v>
      </c>
      <c r="E3793" s="1" t="s">
        <v>28</v>
      </c>
      <c r="F3793" s="1" t="s">
        <v>474</v>
      </c>
      <c r="G3793" s="1" t="s">
        <v>475</v>
      </c>
      <c r="H3793" s="1" t="s">
        <v>48</v>
      </c>
      <c r="I3793">
        <v>50805</v>
      </c>
      <c r="J3793" s="3">
        <v>49.05</v>
      </c>
      <c r="K3793" s="3">
        <v>2491985.25</v>
      </c>
    </row>
    <row r="3794" spans="1:11" x14ac:dyDescent="0.2">
      <c r="A3794" s="1" t="s">
        <v>4912</v>
      </c>
      <c r="B3794" s="2">
        <v>45793</v>
      </c>
      <c r="C3794" s="1" t="s">
        <v>698</v>
      </c>
      <c r="D3794" s="1" t="s">
        <v>699</v>
      </c>
      <c r="E3794" s="1" t="s">
        <v>28</v>
      </c>
      <c r="F3794" s="1" t="s">
        <v>29</v>
      </c>
      <c r="G3794" s="1" t="s">
        <v>30</v>
      </c>
      <c r="H3794" s="1" t="s">
        <v>24</v>
      </c>
      <c r="I3794">
        <v>36969</v>
      </c>
      <c r="J3794" s="3">
        <v>11.07</v>
      </c>
      <c r="K3794" s="3">
        <v>409246.83</v>
      </c>
    </row>
    <row r="3795" spans="1:11" x14ac:dyDescent="0.2">
      <c r="A3795" s="1" t="s">
        <v>4913</v>
      </c>
      <c r="B3795" s="2">
        <v>45579</v>
      </c>
      <c r="C3795" s="1" t="s">
        <v>1268</v>
      </c>
      <c r="D3795" s="1" t="s">
        <v>1269</v>
      </c>
      <c r="E3795" s="1" t="s">
        <v>34</v>
      </c>
      <c r="F3795" s="1" t="s">
        <v>330</v>
      </c>
      <c r="G3795" s="1" t="s">
        <v>331</v>
      </c>
      <c r="H3795" s="1" t="s">
        <v>72</v>
      </c>
      <c r="I3795">
        <v>49167</v>
      </c>
      <c r="J3795" s="3">
        <v>27.58</v>
      </c>
      <c r="K3795" s="3">
        <v>1356025.86</v>
      </c>
    </row>
    <row r="3796" spans="1:11" x14ac:dyDescent="0.2">
      <c r="A3796" s="1" t="s">
        <v>4914</v>
      </c>
      <c r="B3796" s="2">
        <v>45370</v>
      </c>
      <c r="C3796" s="1" t="s">
        <v>1930</v>
      </c>
      <c r="D3796" s="1" t="s">
        <v>1931</v>
      </c>
      <c r="E3796" s="1" t="s">
        <v>14</v>
      </c>
      <c r="F3796" s="1" t="s">
        <v>237</v>
      </c>
      <c r="G3796" s="1" t="s">
        <v>238</v>
      </c>
      <c r="H3796" s="1" t="s">
        <v>17</v>
      </c>
      <c r="I3796">
        <v>67498</v>
      </c>
      <c r="J3796" s="3">
        <v>12.47</v>
      </c>
      <c r="K3796" s="3">
        <v>841700.06</v>
      </c>
    </row>
    <row r="3797" spans="1:11" x14ac:dyDescent="0.2">
      <c r="A3797" s="1" t="s">
        <v>4915</v>
      </c>
      <c r="B3797" s="2">
        <v>45507</v>
      </c>
      <c r="C3797" s="1" t="s">
        <v>266</v>
      </c>
      <c r="D3797" s="1" t="s">
        <v>267</v>
      </c>
      <c r="E3797" s="1" t="s">
        <v>14</v>
      </c>
      <c r="F3797" s="1" t="s">
        <v>463</v>
      </c>
      <c r="G3797" s="1" t="s">
        <v>464</v>
      </c>
      <c r="H3797" s="1" t="s">
        <v>37</v>
      </c>
      <c r="I3797">
        <v>78960</v>
      </c>
      <c r="J3797" s="3">
        <v>7.06</v>
      </c>
      <c r="K3797" s="3">
        <v>557457.6</v>
      </c>
    </row>
    <row r="3798" spans="1:11" x14ac:dyDescent="0.2">
      <c r="A3798" s="1" t="s">
        <v>4916</v>
      </c>
      <c r="B3798" s="2">
        <v>45921</v>
      </c>
      <c r="C3798" s="1" t="s">
        <v>1001</v>
      </c>
      <c r="D3798" s="1" t="s">
        <v>1002</v>
      </c>
      <c r="E3798" s="1" t="s">
        <v>37</v>
      </c>
      <c r="F3798" s="1" t="s">
        <v>29</v>
      </c>
      <c r="G3798" s="1" t="s">
        <v>30</v>
      </c>
      <c r="H3798" s="1" t="s">
        <v>24</v>
      </c>
      <c r="I3798">
        <v>60217</v>
      </c>
      <c r="J3798" s="3">
        <v>10.49</v>
      </c>
      <c r="K3798" s="3">
        <v>631676.32999999996</v>
      </c>
    </row>
    <row r="3799" spans="1:11" x14ac:dyDescent="0.2">
      <c r="A3799" s="1" t="s">
        <v>4917</v>
      </c>
      <c r="B3799" s="2">
        <v>45943</v>
      </c>
      <c r="C3799" s="1" t="s">
        <v>2064</v>
      </c>
      <c r="D3799" s="1" t="s">
        <v>2065</v>
      </c>
      <c r="E3799" s="1" t="s">
        <v>14</v>
      </c>
      <c r="F3799" s="1" t="s">
        <v>263</v>
      </c>
      <c r="G3799" s="1" t="s">
        <v>264</v>
      </c>
      <c r="H3799" s="1" t="s">
        <v>17</v>
      </c>
      <c r="I3799">
        <v>59640</v>
      </c>
      <c r="J3799" s="3">
        <v>48.06</v>
      </c>
      <c r="K3799" s="3">
        <v>2866298.4</v>
      </c>
    </row>
    <row r="3800" spans="1:11" x14ac:dyDescent="0.2">
      <c r="A3800" s="1" t="s">
        <v>4918</v>
      </c>
      <c r="B3800" s="2">
        <v>45629</v>
      </c>
      <c r="C3800" s="1" t="s">
        <v>451</v>
      </c>
      <c r="D3800" s="1" t="s">
        <v>452</v>
      </c>
      <c r="E3800" s="1" t="s">
        <v>28</v>
      </c>
      <c r="F3800" s="1" t="s">
        <v>15</v>
      </c>
      <c r="G3800" s="1" t="s">
        <v>16</v>
      </c>
      <c r="H3800" s="1" t="s">
        <v>17</v>
      </c>
      <c r="I3800">
        <v>36442</v>
      </c>
      <c r="J3800" s="3">
        <v>33.64</v>
      </c>
      <c r="K3800" s="3">
        <v>1225908.8799999999</v>
      </c>
    </row>
    <row r="3801" spans="1:11" x14ac:dyDescent="0.2">
      <c r="A3801" s="1" t="s">
        <v>4919</v>
      </c>
      <c r="B3801" s="2">
        <v>45757</v>
      </c>
      <c r="C3801" s="1" t="s">
        <v>1376</v>
      </c>
      <c r="D3801" s="1" t="s">
        <v>1377</v>
      </c>
      <c r="E3801" s="1" t="s">
        <v>14</v>
      </c>
      <c r="F3801" s="1" t="s">
        <v>436</v>
      </c>
      <c r="G3801" s="1" t="s">
        <v>437</v>
      </c>
      <c r="H3801" s="1" t="s">
        <v>24</v>
      </c>
      <c r="I3801">
        <v>52325</v>
      </c>
      <c r="J3801" s="3">
        <v>21.29</v>
      </c>
      <c r="K3801" s="3">
        <v>1113999.25</v>
      </c>
    </row>
    <row r="3802" spans="1:11" x14ac:dyDescent="0.2">
      <c r="A3802" s="1" t="s">
        <v>4920</v>
      </c>
      <c r="B3802" s="2">
        <v>45782</v>
      </c>
      <c r="C3802" s="1" t="s">
        <v>2472</v>
      </c>
      <c r="D3802" s="1" t="s">
        <v>2473</v>
      </c>
      <c r="E3802" s="1" t="s">
        <v>28</v>
      </c>
      <c r="F3802" s="1" t="s">
        <v>57</v>
      </c>
      <c r="G3802" s="1" t="s">
        <v>58</v>
      </c>
      <c r="H3802" s="1" t="s">
        <v>48</v>
      </c>
      <c r="I3802">
        <v>13286</v>
      </c>
      <c r="J3802" s="3">
        <v>25.46</v>
      </c>
      <c r="K3802" s="3">
        <v>338261.56</v>
      </c>
    </row>
    <row r="3803" spans="1:11" x14ac:dyDescent="0.2">
      <c r="A3803" s="1" t="s">
        <v>4921</v>
      </c>
      <c r="B3803" s="2">
        <v>45873</v>
      </c>
      <c r="C3803" s="1" t="s">
        <v>1121</v>
      </c>
      <c r="D3803" s="1" t="s">
        <v>1122</v>
      </c>
      <c r="E3803" s="1" t="s">
        <v>28</v>
      </c>
      <c r="F3803" s="1" t="s">
        <v>217</v>
      </c>
      <c r="G3803" s="1" t="s">
        <v>218</v>
      </c>
      <c r="H3803" s="1" t="s">
        <v>72</v>
      </c>
      <c r="I3803">
        <v>97163</v>
      </c>
      <c r="J3803" s="3">
        <v>20.74</v>
      </c>
      <c r="K3803" s="3">
        <v>2015160.62</v>
      </c>
    </row>
    <row r="3804" spans="1:11" x14ac:dyDescent="0.2">
      <c r="A3804" s="1" t="s">
        <v>4922</v>
      </c>
      <c r="B3804" s="2">
        <v>45293</v>
      </c>
      <c r="C3804" s="1" t="s">
        <v>2363</v>
      </c>
      <c r="D3804" s="1" t="s">
        <v>2364</v>
      </c>
      <c r="E3804" s="1" t="s">
        <v>14</v>
      </c>
      <c r="F3804" s="1" t="s">
        <v>552</v>
      </c>
      <c r="G3804" s="1" t="s">
        <v>553</v>
      </c>
      <c r="H3804" s="1" t="s">
        <v>37</v>
      </c>
      <c r="I3804">
        <v>65260</v>
      </c>
      <c r="J3804" s="3">
        <v>3.3</v>
      </c>
      <c r="K3804" s="3">
        <v>215358</v>
      </c>
    </row>
    <row r="3805" spans="1:11" x14ac:dyDescent="0.2">
      <c r="A3805" s="1" t="s">
        <v>4923</v>
      </c>
      <c r="B3805" s="2">
        <v>45314</v>
      </c>
      <c r="C3805" s="1" t="s">
        <v>68</v>
      </c>
      <c r="D3805" s="1" t="s">
        <v>69</v>
      </c>
      <c r="E3805" s="1" t="s">
        <v>14</v>
      </c>
      <c r="F3805" s="1" t="s">
        <v>157</v>
      </c>
      <c r="G3805" s="1" t="s">
        <v>158</v>
      </c>
      <c r="H3805" s="1" t="s">
        <v>48</v>
      </c>
      <c r="I3805">
        <v>17776</v>
      </c>
      <c r="J3805" s="3">
        <v>14.33</v>
      </c>
      <c r="K3805" s="3">
        <v>254730.08</v>
      </c>
    </row>
    <row r="3806" spans="1:11" x14ac:dyDescent="0.2">
      <c r="A3806" s="1" t="s">
        <v>4924</v>
      </c>
      <c r="B3806" s="2">
        <v>45332</v>
      </c>
      <c r="C3806" s="1" t="s">
        <v>60</v>
      </c>
      <c r="D3806" s="1" t="s">
        <v>61</v>
      </c>
      <c r="E3806" s="1" t="s">
        <v>28</v>
      </c>
      <c r="F3806" s="1" t="s">
        <v>263</v>
      </c>
      <c r="G3806" s="1" t="s">
        <v>264</v>
      </c>
      <c r="H3806" s="1" t="s">
        <v>17</v>
      </c>
      <c r="I3806">
        <v>7331</v>
      </c>
      <c r="J3806" s="3">
        <v>11.01</v>
      </c>
      <c r="K3806" s="3">
        <v>80714.31</v>
      </c>
    </row>
    <row r="3807" spans="1:11" x14ac:dyDescent="0.2">
      <c r="A3807" s="1" t="s">
        <v>4925</v>
      </c>
      <c r="B3807" s="2">
        <v>45433</v>
      </c>
      <c r="C3807" s="1" t="s">
        <v>445</v>
      </c>
      <c r="D3807" s="1" t="s">
        <v>446</v>
      </c>
      <c r="E3807" s="1" t="s">
        <v>34</v>
      </c>
      <c r="F3807" s="1" t="s">
        <v>152</v>
      </c>
      <c r="G3807" s="1" t="s">
        <v>153</v>
      </c>
      <c r="H3807" s="1" t="s">
        <v>17</v>
      </c>
      <c r="I3807">
        <v>33432</v>
      </c>
      <c r="J3807" s="3">
        <v>18.47</v>
      </c>
      <c r="K3807" s="3">
        <v>617489.04</v>
      </c>
    </row>
    <row r="3808" spans="1:11" x14ac:dyDescent="0.2">
      <c r="A3808" s="1" t="s">
        <v>4926</v>
      </c>
      <c r="B3808" s="2">
        <v>45848</v>
      </c>
      <c r="C3808" s="1" t="s">
        <v>125</v>
      </c>
      <c r="D3808" s="1" t="s">
        <v>126</v>
      </c>
      <c r="E3808" s="1" t="s">
        <v>21</v>
      </c>
      <c r="F3808" s="1" t="s">
        <v>268</v>
      </c>
      <c r="G3808" s="1" t="s">
        <v>269</v>
      </c>
      <c r="H3808" s="1" t="s">
        <v>72</v>
      </c>
      <c r="I3808">
        <v>11251</v>
      </c>
      <c r="J3808" s="3">
        <v>43.05</v>
      </c>
      <c r="K3808" s="3">
        <v>484355.55</v>
      </c>
    </row>
    <row r="3809" spans="1:11" x14ac:dyDescent="0.2">
      <c r="A3809" s="1" t="s">
        <v>4927</v>
      </c>
      <c r="B3809" s="2">
        <v>45668</v>
      </c>
      <c r="C3809" s="1" t="s">
        <v>1068</v>
      </c>
      <c r="D3809" s="1" t="s">
        <v>1069</v>
      </c>
      <c r="E3809" s="1" t="s">
        <v>37</v>
      </c>
      <c r="F3809" s="1" t="s">
        <v>263</v>
      </c>
      <c r="G3809" s="1" t="s">
        <v>264</v>
      </c>
      <c r="H3809" s="1" t="s">
        <v>17</v>
      </c>
      <c r="I3809">
        <v>94594</v>
      </c>
      <c r="J3809" s="3">
        <v>20.07</v>
      </c>
      <c r="K3809" s="3">
        <v>1898501.58</v>
      </c>
    </row>
    <row r="3810" spans="1:11" x14ac:dyDescent="0.2">
      <c r="A3810" s="1" t="s">
        <v>4928</v>
      </c>
      <c r="B3810" s="2">
        <v>45972</v>
      </c>
      <c r="C3810" s="1" t="s">
        <v>2211</v>
      </c>
      <c r="D3810" s="1" t="s">
        <v>2212</v>
      </c>
      <c r="E3810" s="1" t="s">
        <v>21</v>
      </c>
      <c r="F3810" s="1" t="s">
        <v>46</v>
      </c>
      <c r="G3810" s="1" t="s">
        <v>47</v>
      </c>
      <c r="H3810" s="1" t="s">
        <v>48</v>
      </c>
      <c r="I3810">
        <v>98387</v>
      </c>
      <c r="J3810" s="3">
        <v>38.6</v>
      </c>
      <c r="K3810" s="3">
        <v>3797738.2</v>
      </c>
    </row>
    <row r="3811" spans="1:11" x14ac:dyDescent="0.2">
      <c r="A3811" s="1" t="s">
        <v>4929</v>
      </c>
      <c r="B3811" s="2">
        <v>45870</v>
      </c>
      <c r="C3811" s="1" t="s">
        <v>421</v>
      </c>
      <c r="D3811" s="1" t="s">
        <v>422</v>
      </c>
      <c r="E3811" s="1" t="s">
        <v>21</v>
      </c>
      <c r="F3811" s="1" t="s">
        <v>412</v>
      </c>
      <c r="G3811" s="1" t="s">
        <v>413</v>
      </c>
      <c r="H3811" s="1" t="s">
        <v>72</v>
      </c>
      <c r="I3811">
        <v>74770</v>
      </c>
      <c r="J3811" s="3">
        <v>7.13</v>
      </c>
      <c r="K3811" s="3">
        <v>533110.1</v>
      </c>
    </row>
    <row r="3812" spans="1:11" x14ac:dyDescent="0.2">
      <c r="A3812" s="1" t="s">
        <v>4930</v>
      </c>
      <c r="B3812" s="2">
        <v>45504</v>
      </c>
      <c r="C3812" s="1" t="s">
        <v>1292</v>
      </c>
      <c r="D3812" s="1" t="s">
        <v>1293</v>
      </c>
      <c r="E3812" s="1" t="s">
        <v>21</v>
      </c>
      <c r="F3812" s="1" t="s">
        <v>284</v>
      </c>
      <c r="G3812" s="1" t="s">
        <v>285</v>
      </c>
      <c r="H3812" s="1" t="s">
        <v>37</v>
      </c>
      <c r="I3812">
        <v>22745</v>
      </c>
      <c r="J3812" s="3">
        <v>41.06</v>
      </c>
      <c r="K3812" s="3">
        <v>933909.7</v>
      </c>
    </row>
    <row r="3813" spans="1:11" x14ac:dyDescent="0.2">
      <c r="A3813" s="1" t="s">
        <v>4931</v>
      </c>
      <c r="B3813" s="2">
        <v>45994</v>
      </c>
      <c r="C3813" s="1" t="s">
        <v>2781</v>
      </c>
      <c r="D3813" s="1" t="s">
        <v>2782</v>
      </c>
      <c r="E3813" s="1" t="s">
        <v>34</v>
      </c>
      <c r="F3813" s="1" t="s">
        <v>474</v>
      </c>
      <c r="G3813" s="1" t="s">
        <v>475</v>
      </c>
      <c r="H3813" s="1" t="s">
        <v>48</v>
      </c>
      <c r="I3813">
        <v>24196</v>
      </c>
      <c r="J3813" s="3">
        <v>13.07</v>
      </c>
      <c r="K3813" s="3">
        <v>316241.71999999997</v>
      </c>
    </row>
    <row r="3814" spans="1:11" x14ac:dyDescent="0.2">
      <c r="A3814" s="1" t="s">
        <v>4932</v>
      </c>
      <c r="B3814" s="2">
        <v>45498</v>
      </c>
      <c r="C3814" s="1" t="s">
        <v>874</v>
      </c>
      <c r="D3814" s="1" t="s">
        <v>875</v>
      </c>
      <c r="E3814" s="1" t="s">
        <v>21</v>
      </c>
      <c r="F3814" s="1" t="s">
        <v>436</v>
      </c>
      <c r="G3814" s="1" t="s">
        <v>437</v>
      </c>
      <c r="H3814" s="1" t="s">
        <v>24</v>
      </c>
      <c r="I3814">
        <v>92708</v>
      </c>
      <c r="J3814" s="3">
        <v>29.07</v>
      </c>
      <c r="K3814" s="3">
        <v>2695021.56</v>
      </c>
    </row>
    <row r="3815" spans="1:11" x14ac:dyDescent="0.2">
      <c r="A3815" s="1" t="s">
        <v>4933</v>
      </c>
      <c r="B3815" s="2">
        <v>45433</v>
      </c>
      <c r="C3815" s="1" t="s">
        <v>32</v>
      </c>
      <c r="D3815" s="1" t="s">
        <v>33</v>
      </c>
      <c r="E3815" s="1" t="s">
        <v>34</v>
      </c>
      <c r="F3815" s="1" t="s">
        <v>70</v>
      </c>
      <c r="G3815" s="1" t="s">
        <v>71</v>
      </c>
      <c r="H3815" s="1" t="s">
        <v>72</v>
      </c>
      <c r="I3815">
        <v>78889</v>
      </c>
      <c r="J3815" s="3">
        <v>9.26</v>
      </c>
      <c r="K3815" s="3">
        <v>730512.14</v>
      </c>
    </row>
    <row r="3816" spans="1:11" x14ac:dyDescent="0.2">
      <c r="A3816" s="1" t="s">
        <v>4934</v>
      </c>
      <c r="B3816" s="2">
        <v>45866</v>
      </c>
      <c r="C3816" s="1" t="s">
        <v>1011</v>
      </c>
      <c r="D3816" s="1" t="s">
        <v>1012</v>
      </c>
      <c r="E3816" s="1" t="s">
        <v>21</v>
      </c>
      <c r="F3816" s="1" t="s">
        <v>284</v>
      </c>
      <c r="G3816" s="1" t="s">
        <v>285</v>
      </c>
      <c r="H3816" s="1" t="s">
        <v>37</v>
      </c>
      <c r="I3816">
        <v>71336</v>
      </c>
      <c r="J3816" s="3">
        <v>3.34</v>
      </c>
      <c r="K3816" s="3">
        <v>238262.24</v>
      </c>
    </row>
    <row r="3817" spans="1:11" x14ac:dyDescent="0.2">
      <c r="A3817" s="1" t="s">
        <v>4935</v>
      </c>
      <c r="B3817" s="2">
        <v>45487</v>
      </c>
      <c r="C3817" s="1" t="s">
        <v>26</v>
      </c>
      <c r="D3817" s="1" t="s">
        <v>27</v>
      </c>
      <c r="E3817" s="1" t="s">
        <v>28</v>
      </c>
      <c r="F3817" s="1" t="s">
        <v>273</v>
      </c>
      <c r="G3817" s="1" t="s">
        <v>274</v>
      </c>
      <c r="H3817" s="1" t="s">
        <v>24</v>
      </c>
      <c r="I3817">
        <v>26510</v>
      </c>
      <c r="J3817" s="3">
        <v>17.420000000000002</v>
      </c>
      <c r="K3817" s="3">
        <v>461804.2</v>
      </c>
    </row>
    <row r="3818" spans="1:11" x14ac:dyDescent="0.2">
      <c r="A3818" s="1" t="s">
        <v>4936</v>
      </c>
      <c r="B3818" s="2">
        <v>45377</v>
      </c>
      <c r="C3818" s="1" t="s">
        <v>1885</v>
      </c>
      <c r="D3818" s="1" t="s">
        <v>1886</v>
      </c>
      <c r="E3818" s="1" t="s">
        <v>28</v>
      </c>
      <c r="F3818" s="1" t="s">
        <v>339</v>
      </c>
      <c r="G3818" s="1" t="s">
        <v>340</v>
      </c>
      <c r="H3818" s="1" t="s">
        <v>24</v>
      </c>
      <c r="I3818">
        <v>28299</v>
      </c>
      <c r="J3818" s="3">
        <v>20.260000000000002</v>
      </c>
      <c r="K3818" s="3">
        <v>573337.74</v>
      </c>
    </row>
    <row r="3819" spans="1:11" x14ac:dyDescent="0.2">
      <c r="A3819" s="1" t="s">
        <v>4937</v>
      </c>
      <c r="B3819" s="2">
        <v>46000</v>
      </c>
      <c r="C3819" s="1" t="s">
        <v>801</v>
      </c>
      <c r="D3819" s="1" t="s">
        <v>802</v>
      </c>
      <c r="E3819" s="1" t="s">
        <v>14</v>
      </c>
      <c r="F3819" s="1" t="s">
        <v>65</v>
      </c>
      <c r="G3819" s="1" t="s">
        <v>66</v>
      </c>
      <c r="H3819" s="1" t="s">
        <v>48</v>
      </c>
      <c r="I3819">
        <v>9149</v>
      </c>
      <c r="J3819" s="3">
        <v>26.73</v>
      </c>
      <c r="K3819" s="3">
        <v>244552.77</v>
      </c>
    </row>
    <row r="3820" spans="1:11" x14ac:dyDescent="0.2">
      <c r="A3820" s="1" t="s">
        <v>4938</v>
      </c>
      <c r="B3820" s="2">
        <v>45882</v>
      </c>
      <c r="C3820" s="1" t="s">
        <v>2011</v>
      </c>
      <c r="D3820" s="1" t="s">
        <v>2012</v>
      </c>
      <c r="E3820" s="1" t="s">
        <v>37</v>
      </c>
      <c r="F3820" s="1" t="s">
        <v>176</v>
      </c>
      <c r="G3820" s="1" t="s">
        <v>177</v>
      </c>
      <c r="H3820" s="1" t="s">
        <v>37</v>
      </c>
      <c r="I3820">
        <v>73001</v>
      </c>
      <c r="J3820" s="3">
        <v>40.67</v>
      </c>
      <c r="K3820" s="3">
        <v>2968950.67</v>
      </c>
    </row>
    <row r="3821" spans="1:11" x14ac:dyDescent="0.2">
      <c r="A3821" s="1" t="s">
        <v>4939</v>
      </c>
      <c r="B3821" s="2">
        <v>45453</v>
      </c>
      <c r="C3821" s="1" t="s">
        <v>431</v>
      </c>
      <c r="D3821" s="1" t="s">
        <v>432</v>
      </c>
      <c r="E3821" s="1" t="s">
        <v>14</v>
      </c>
      <c r="F3821" s="1" t="s">
        <v>394</v>
      </c>
      <c r="G3821" s="1" t="s">
        <v>395</v>
      </c>
      <c r="H3821" s="1" t="s">
        <v>48</v>
      </c>
      <c r="I3821">
        <v>28819</v>
      </c>
      <c r="J3821" s="3">
        <v>39.24</v>
      </c>
      <c r="K3821" s="3">
        <v>1130857.56</v>
      </c>
    </row>
    <row r="3822" spans="1:11" x14ac:dyDescent="0.2">
      <c r="A3822" s="1" t="s">
        <v>4940</v>
      </c>
      <c r="B3822" s="2">
        <v>45348</v>
      </c>
      <c r="C3822" s="1" t="s">
        <v>719</v>
      </c>
      <c r="D3822" s="1" t="s">
        <v>720</v>
      </c>
      <c r="E3822" s="1" t="s">
        <v>37</v>
      </c>
      <c r="F3822" s="1" t="s">
        <v>184</v>
      </c>
      <c r="G3822" s="1" t="s">
        <v>185</v>
      </c>
      <c r="H3822" s="1" t="s">
        <v>17</v>
      </c>
      <c r="I3822">
        <v>77524</v>
      </c>
      <c r="J3822" s="3">
        <v>36.89</v>
      </c>
      <c r="K3822" s="3">
        <v>2859860.36</v>
      </c>
    </row>
    <row r="3823" spans="1:11" x14ac:dyDescent="0.2">
      <c r="A3823" s="1" t="s">
        <v>4941</v>
      </c>
      <c r="B3823" s="2">
        <v>45915</v>
      </c>
      <c r="C3823" s="1" t="s">
        <v>1747</v>
      </c>
      <c r="D3823" s="1" t="s">
        <v>1748</v>
      </c>
      <c r="E3823" s="1" t="s">
        <v>37</v>
      </c>
      <c r="F3823" s="1" t="s">
        <v>184</v>
      </c>
      <c r="G3823" s="1" t="s">
        <v>185</v>
      </c>
      <c r="H3823" s="1" t="s">
        <v>17</v>
      </c>
      <c r="I3823">
        <v>52058</v>
      </c>
      <c r="J3823" s="3">
        <v>8.91</v>
      </c>
      <c r="K3823" s="3">
        <v>463836.78</v>
      </c>
    </row>
    <row r="3824" spans="1:11" x14ac:dyDescent="0.2">
      <c r="A3824" s="1" t="s">
        <v>4942</v>
      </c>
      <c r="B3824" s="2">
        <v>45327</v>
      </c>
      <c r="C3824" s="1" t="s">
        <v>431</v>
      </c>
      <c r="D3824" s="1" t="s">
        <v>432</v>
      </c>
      <c r="E3824" s="1" t="s">
        <v>14</v>
      </c>
      <c r="F3824" s="1" t="s">
        <v>463</v>
      </c>
      <c r="G3824" s="1" t="s">
        <v>464</v>
      </c>
      <c r="H3824" s="1" t="s">
        <v>37</v>
      </c>
      <c r="I3824">
        <v>96609</v>
      </c>
      <c r="J3824" s="3">
        <v>15.37</v>
      </c>
      <c r="K3824" s="3">
        <v>1484880.33</v>
      </c>
    </row>
    <row r="3825" spans="1:11" x14ac:dyDescent="0.2">
      <c r="A3825" s="1" t="s">
        <v>4943</v>
      </c>
      <c r="B3825" s="2">
        <v>45334</v>
      </c>
      <c r="C3825" s="1" t="s">
        <v>633</v>
      </c>
      <c r="D3825" s="1" t="s">
        <v>634</v>
      </c>
      <c r="E3825" s="1" t="s">
        <v>34</v>
      </c>
      <c r="F3825" s="1" t="s">
        <v>406</v>
      </c>
      <c r="G3825" s="1" t="s">
        <v>407</v>
      </c>
      <c r="H3825" s="1" t="s">
        <v>17</v>
      </c>
      <c r="I3825">
        <v>58096</v>
      </c>
      <c r="J3825" s="3">
        <v>44.78</v>
      </c>
      <c r="K3825" s="3">
        <v>2601538.88</v>
      </c>
    </row>
    <row r="3826" spans="1:11" x14ac:dyDescent="0.2">
      <c r="A3826" s="1" t="s">
        <v>4944</v>
      </c>
      <c r="B3826" s="2">
        <v>46012</v>
      </c>
      <c r="C3826" s="1" t="s">
        <v>1662</v>
      </c>
      <c r="D3826" s="1" t="s">
        <v>1663</v>
      </c>
      <c r="E3826" s="1" t="s">
        <v>37</v>
      </c>
      <c r="F3826" s="1" t="s">
        <v>35</v>
      </c>
      <c r="G3826" s="1" t="s">
        <v>36</v>
      </c>
      <c r="H3826" s="1" t="s">
        <v>37</v>
      </c>
      <c r="I3826">
        <v>93006</v>
      </c>
      <c r="J3826" s="3">
        <v>2.06</v>
      </c>
      <c r="K3826" s="3">
        <v>191592.36</v>
      </c>
    </row>
    <row r="3827" spans="1:11" x14ac:dyDescent="0.2">
      <c r="A3827" s="1" t="s">
        <v>4945</v>
      </c>
      <c r="B3827" s="2">
        <v>46001</v>
      </c>
      <c r="C3827" s="1" t="s">
        <v>342</v>
      </c>
      <c r="D3827" s="1" t="s">
        <v>343</v>
      </c>
      <c r="E3827" s="1" t="s">
        <v>37</v>
      </c>
      <c r="F3827" s="1" t="s">
        <v>152</v>
      </c>
      <c r="G3827" s="1" t="s">
        <v>153</v>
      </c>
      <c r="H3827" s="1" t="s">
        <v>17</v>
      </c>
      <c r="I3827">
        <v>32157</v>
      </c>
      <c r="J3827" s="3">
        <v>35.76</v>
      </c>
      <c r="K3827" s="3">
        <v>1149934.32</v>
      </c>
    </row>
    <row r="3828" spans="1:11" x14ac:dyDescent="0.2">
      <c r="A3828" s="1" t="s">
        <v>4946</v>
      </c>
      <c r="B3828" s="2">
        <v>45735</v>
      </c>
      <c r="C3828" s="1" t="s">
        <v>1408</v>
      </c>
      <c r="D3828" s="1" t="s">
        <v>1409</v>
      </c>
      <c r="E3828" s="1" t="s">
        <v>21</v>
      </c>
      <c r="F3828" s="1" t="s">
        <v>458</v>
      </c>
      <c r="G3828" s="1" t="s">
        <v>459</v>
      </c>
      <c r="H3828" s="1" t="s">
        <v>72</v>
      </c>
      <c r="I3828">
        <v>99361</v>
      </c>
      <c r="J3828" s="3">
        <v>28.06</v>
      </c>
      <c r="K3828" s="3">
        <v>2788069.66</v>
      </c>
    </row>
    <row r="3829" spans="1:11" x14ac:dyDescent="0.2">
      <c r="A3829" s="1" t="s">
        <v>4947</v>
      </c>
      <c r="B3829" s="2">
        <v>45937</v>
      </c>
      <c r="C3829" s="1" t="s">
        <v>424</v>
      </c>
      <c r="D3829" s="1" t="s">
        <v>425</v>
      </c>
      <c r="E3829" s="1" t="s">
        <v>28</v>
      </c>
      <c r="F3829" s="1" t="s">
        <v>330</v>
      </c>
      <c r="G3829" s="1" t="s">
        <v>331</v>
      </c>
      <c r="H3829" s="1" t="s">
        <v>72</v>
      </c>
      <c r="I3829">
        <v>70909</v>
      </c>
      <c r="J3829" s="3">
        <v>15.52</v>
      </c>
      <c r="K3829" s="3">
        <v>1100507.68</v>
      </c>
    </row>
    <row r="3830" spans="1:11" x14ac:dyDescent="0.2">
      <c r="A3830" s="1" t="s">
        <v>4948</v>
      </c>
      <c r="B3830" s="2">
        <v>45549</v>
      </c>
      <c r="C3830" s="1" t="s">
        <v>529</v>
      </c>
      <c r="D3830" s="1" t="s">
        <v>530</v>
      </c>
      <c r="E3830" s="1" t="s">
        <v>34</v>
      </c>
      <c r="F3830" s="1" t="s">
        <v>103</v>
      </c>
      <c r="G3830" s="1" t="s">
        <v>104</v>
      </c>
      <c r="H3830" s="1" t="s">
        <v>37</v>
      </c>
      <c r="I3830">
        <v>73191</v>
      </c>
      <c r="J3830" s="3">
        <v>16.27</v>
      </c>
      <c r="K3830" s="3">
        <v>1190817.57</v>
      </c>
    </row>
    <row r="3831" spans="1:11" x14ac:dyDescent="0.2">
      <c r="A3831" s="1" t="s">
        <v>4949</v>
      </c>
      <c r="B3831" s="2">
        <v>45914</v>
      </c>
      <c r="C3831" s="1" t="s">
        <v>1498</v>
      </c>
      <c r="D3831" s="1" t="s">
        <v>1499</v>
      </c>
      <c r="E3831" s="1" t="s">
        <v>14</v>
      </c>
      <c r="F3831" s="1" t="s">
        <v>350</v>
      </c>
      <c r="G3831" s="1" t="s">
        <v>351</v>
      </c>
      <c r="H3831" s="1" t="s">
        <v>37</v>
      </c>
      <c r="I3831">
        <v>86412</v>
      </c>
      <c r="J3831" s="3">
        <v>16.88</v>
      </c>
      <c r="K3831" s="3">
        <v>1458634.56</v>
      </c>
    </row>
    <row r="3832" spans="1:11" x14ac:dyDescent="0.2">
      <c r="A3832" s="1" t="s">
        <v>4950</v>
      </c>
      <c r="B3832" s="2">
        <v>45401</v>
      </c>
      <c r="C3832" s="1" t="s">
        <v>1036</v>
      </c>
      <c r="D3832" s="1" t="s">
        <v>1037</v>
      </c>
      <c r="E3832" s="1" t="s">
        <v>21</v>
      </c>
      <c r="F3832" s="1" t="s">
        <v>217</v>
      </c>
      <c r="G3832" s="1" t="s">
        <v>218</v>
      </c>
      <c r="H3832" s="1" t="s">
        <v>72</v>
      </c>
      <c r="I3832">
        <v>51010</v>
      </c>
      <c r="J3832" s="3">
        <v>47.39</v>
      </c>
      <c r="K3832" s="3">
        <v>2417363.9</v>
      </c>
    </row>
    <row r="3833" spans="1:11" x14ac:dyDescent="0.2">
      <c r="A3833" s="1" t="s">
        <v>4951</v>
      </c>
      <c r="B3833" s="2">
        <v>45726</v>
      </c>
      <c r="C3833" s="1" t="s">
        <v>276</v>
      </c>
      <c r="D3833" s="1" t="s">
        <v>277</v>
      </c>
      <c r="E3833" s="1" t="s">
        <v>34</v>
      </c>
      <c r="F3833" s="1" t="s">
        <v>273</v>
      </c>
      <c r="G3833" s="1" t="s">
        <v>274</v>
      </c>
      <c r="H3833" s="1" t="s">
        <v>24</v>
      </c>
      <c r="I3833">
        <v>40406</v>
      </c>
      <c r="J3833" s="3">
        <v>40.729999999999997</v>
      </c>
      <c r="K3833" s="3">
        <v>1645736.38</v>
      </c>
    </row>
    <row r="3834" spans="1:11" x14ac:dyDescent="0.2">
      <c r="A3834" s="1" t="s">
        <v>4952</v>
      </c>
      <c r="B3834" s="2">
        <v>45656</v>
      </c>
      <c r="C3834" s="1" t="s">
        <v>1039</v>
      </c>
      <c r="D3834" s="1" t="s">
        <v>1040</v>
      </c>
      <c r="E3834" s="1" t="s">
        <v>14</v>
      </c>
      <c r="F3834" s="1" t="s">
        <v>41</v>
      </c>
      <c r="G3834" s="1" t="s">
        <v>42</v>
      </c>
      <c r="H3834" s="1" t="s">
        <v>24</v>
      </c>
      <c r="I3834">
        <v>35304</v>
      </c>
      <c r="J3834" s="3">
        <v>8.56</v>
      </c>
      <c r="K3834" s="3">
        <v>302202.23999999999</v>
      </c>
    </row>
    <row r="3835" spans="1:11" x14ac:dyDescent="0.2">
      <c r="A3835" s="1" t="s">
        <v>4953</v>
      </c>
      <c r="B3835" s="2">
        <v>45680</v>
      </c>
      <c r="C3835" s="1" t="s">
        <v>1154</v>
      </c>
      <c r="D3835" s="1" t="s">
        <v>1155</v>
      </c>
      <c r="E3835" s="1" t="s">
        <v>37</v>
      </c>
      <c r="F3835" s="1" t="s">
        <v>65</v>
      </c>
      <c r="G3835" s="1" t="s">
        <v>66</v>
      </c>
      <c r="H3835" s="1" t="s">
        <v>48</v>
      </c>
      <c r="I3835">
        <v>75503</v>
      </c>
      <c r="J3835" s="3">
        <v>7.38</v>
      </c>
      <c r="K3835" s="3">
        <v>557212.14</v>
      </c>
    </row>
    <row r="3836" spans="1:11" x14ac:dyDescent="0.2">
      <c r="A3836" s="1" t="s">
        <v>4954</v>
      </c>
      <c r="B3836" s="2">
        <v>45877</v>
      </c>
      <c r="C3836" s="1" t="s">
        <v>1591</v>
      </c>
      <c r="D3836" s="1" t="s">
        <v>1592</v>
      </c>
      <c r="E3836" s="1" t="s">
        <v>34</v>
      </c>
      <c r="F3836" s="1" t="s">
        <v>217</v>
      </c>
      <c r="G3836" s="1" t="s">
        <v>218</v>
      </c>
      <c r="H3836" s="1" t="s">
        <v>72</v>
      </c>
      <c r="I3836">
        <v>19805</v>
      </c>
      <c r="J3836" s="3">
        <v>24.43</v>
      </c>
      <c r="K3836" s="3">
        <v>483836.15</v>
      </c>
    </row>
    <row r="3837" spans="1:11" x14ac:dyDescent="0.2">
      <c r="A3837" s="1" t="s">
        <v>4955</v>
      </c>
      <c r="B3837" s="2">
        <v>45885</v>
      </c>
      <c r="C3837" s="1" t="s">
        <v>860</v>
      </c>
      <c r="D3837" s="1" t="s">
        <v>861</v>
      </c>
      <c r="E3837" s="1" t="s">
        <v>21</v>
      </c>
      <c r="F3837" s="1" t="s">
        <v>510</v>
      </c>
      <c r="G3837" s="1" t="s">
        <v>511</v>
      </c>
      <c r="H3837" s="1" t="s">
        <v>17</v>
      </c>
      <c r="I3837">
        <v>76979</v>
      </c>
      <c r="J3837" s="3">
        <v>37.44</v>
      </c>
      <c r="K3837" s="3">
        <v>2882093.76</v>
      </c>
    </row>
    <row r="3838" spans="1:11" x14ac:dyDescent="0.2">
      <c r="A3838" s="1" t="s">
        <v>4956</v>
      </c>
      <c r="B3838" s="2">
        <v>45713</v>
      </c>
      <c r="C3838" s="1" t="s">
        <v>1388</v>
      </c>
      <c r="D3838" s="1" t="s">
        <v>1389</v>
      </c>
      <c r="E3838" s="1" t="s">
        <v>28</v>
      </c>
      <c r="F3838" s="1" t="s">
        <v>350</v>
      </c>
      <c r="G3838" s="1" t="s">
        <v>351</v>
      </c>
      <c r="H3838" s="1" t="s">
        <v>37</v>
      </c>
      <c r="I3838">
        <v>59408</v>
      </c>
      <c r="J3838" s="3">
        <v>42.82</v>
      </c>
      <c r="K3838" s="3">
        <v>2543850.56</v>
      </c>
    </row>
    <row r="3839" spans="1:11" x14ac:dyDescent="0.2">
      <c r="A3839" s="1" t="s">
        <v>4957</v>
      </c>
      <c r="B3839" s="2">
        <v>45348</v>
      </c>
      <c r="C3839" s="1" t="s">
        <v>1567</v>
      </c>
      <c r="D3839" s="1" t="s">
        <v>1568</v>
      </c>
      <c r="E3839" s="1" t="s">
        <v>34</v>
      </c>
      <c r="F3839" s="1" t="s">
        <v>113</v>
      </c>
      <c r="G3839" s="1" t="s">
        <v>114</v>
      </c>
      <c r="H3839" s="1" t="s">
        <v>37</v>
      </c>
      <c r="I3839">
        <v>93590</v>
      </c>
      <c r="J3839" s="3">
        <v>46.94</v>
      </c>
      <c r="K3839" s="3">
        <v>4393114.5999999996</v>
      </c>
    </row>
    <row r="3840" spans="1:11" x14ac:dyDescent="0.2">
      <c r="A3840" s="1" t="s">
        <v>4958</v>
      </c>
      <c r="B3840" s="2">
        <v>45810</v>
      </c>
      <c r="C3840" s="1" t="s">
        <v>932</v>
      </c>
      <c r="D3840" s="1" t="s">
        <v>933</v>
      </c>
      <c r="E3840" s="1" t="s">
        <v>14</v>
      </c>
      <c r="F3840" s="1" t="s">
        <v>339</v>
      </c>
      <c r="G3840" s="1" t="s">
        <v>340</v>
      </c>
      <c r="H3840" s="1" t="s">
        <v>24</v>
      </c>
      <c r="I3840">
        <v>93941</v>
      </c>
      <c r="J3840" s="3">
        <v>48.68</v>
      </c>
      <c r="K3840" s="3">
        <v>4573047.88</v>
      </c>
    </row>
    <row r="3841" spans="1:11" x14ac:dyDescent="0.2">
      <c r="A3841" s="1" t="s">
        <v>4959</v>
      </c>
      <c r="B3841" s="2">
        <v>46005</v>
      </c>
      <c r="C3841" s="1" t="s">
        <v>2207</v>
      </c>
      <c r="D3841" s="1" t="s">
        <v>2208</v>
      </c>
      <c r="E3841" s="1" t="s">
        <v>37</v>
      </c>
      <c r="F3841" s="1" t="s">
        <v>81</v>
      </c>
      <c r="G3841" s="1" t="s">
        <v>82</v>
      </c>
      <c r="H3841" s="1" t="s">
        <v>72</v>
      </c>
      <c r="I3841">
        <v>46093</v>
      </c>
      <c r="J3841" s="3">
        <v>27.88</v>
      </c>
      <c r="K3841" s="3">
        <v>1285072.8400000001</v>
      </c>
    </row>
    <row r="3842" spans="1:11" x14ac:dyDescent="0.2">
      <c r="A3842" s="1" t="s">
        <v>4960</v>
      </c>
      <c r="B3842" s="2">
        <v>45783</v>
      </c>
      <c r="C3842" s="1" t="s">
        <v>1578</v>
      </c>
      <c r="D3842" s="1" t="s">
        <v>1579</v>
      </c>
      <c r="E3842" s="1" t="s">
        <v>28</v>
      </c>
      <c r="F3842" s="1" t="s">
        <v>15</v>
      </c>
      <c r="G3842" s="1" t="s">
        <v>16</v>
      </c>
      <c r="H3842" s="1" t="s">
        <v>17</v>
      </c>
      <c r="I3842">
        <v>98364</v>
      </c>
      <c r="J3842" s="3">
        <v>30.21</v>
      </c>
      <c r="K3842" s="3">
        <v>2971576.44</v>
      </c>
    </row>
    <row r="3843" spans="1:11" x14ac:dyDescent="0.2">
      <c r="A3843" s="1" t="s">
        <v>4961</v>
      </c>
      <c r="B3843" s="2">
        <v>45655</v>
      </c>
      <c r="C3843" s="1" t="s">
        <v>397</v>
      </c>
      <c r="D3843" s="1" t="s">
        <v>398</v>
      </c>
      <c r="E3843" s="1" t="s">
        <v>34</v>
      </c>
      <c r="F3843" s="1" t="s">
        <v>41</v>
      </c>
      <c r="G3843" s="1" t="s">
        <v>42</v>
      </c>
      <c r="H3843" s="1" t="s">
        <v>24</v>
      </c>
      <c r="I3843">
        <v>77717</v>
      </c>
      <c r="J3843" s="3">
        <v>25.42</v>
      </c>
      <c r="K3843" s="3">
        <v>1975566.14</v>
      </c>
    </row>
    <row r="3844" spans="1:11" x14ac:dyDescent="0.2">
      <c r="A3844" s="1" t="s">
        <v>4962</v>
      </c>
      <c r="B3844" s="2">
        <v>45298</v>
      </c>
      <c r="C3844" s="1" t="s">
        <v>767</v>
      </c>
      <c r="D3844" s="1" t="s">
        <v>768</v>
      </c>
      <c r="E3844" s="1" t="s">
        <v>28</v>
      </c>
      <c r="F3844" s="1" t="s">
        <v>157</v>
      </c>
      <c r="G3844" s="1" t="s">
        <v>158</v>
      </c>
      <c r="H3844" s="1" t="s">
        <v>48</v>
      </c>
      <c r="I3844">
        <v>32816</v>
      </c>
      <c r="J3844" s="3">
        <v>15.92</v>
      </c>
      <c r="K3844" s="3">
        <v>522430.71999999997</v>
      </c>
    </row>
    <row r="3845" spans="1:11" x14ac:dyDescent="0.2">
      <c r="A3845" s="1" t="s">
        <v>4963</v>
      </c>
      <c r="B3845" s="2">
        <v>45608</v>
      </c>
      <c r="C3845" s="1" t="s">
        <v>1337</v>
      </c>
      <c r="D3845" s="1" t="s">
        <v>1338</v>
      </c>
      <c r="E3845" s="1" t="s">
        <v>34</v>
      </c>
      <c r="F3845" s="1" t="s">
        <v>113</v>
      </c>
      <c r="G3845" s="1" t="s">
        <v>114</v>
      </c>
      <c r="H3845" s="1" t="s">
        <v>37</v>
      </c>
      <c r="I3845">
        <v>51406</v>
      </c>
      <c r="J3845" s="3">
        <v>7.07</v>
      </c>
      <c r="K3845" s="3">
        <v>363440.42</v>
      </c>
    </row>
    <row r="3846" spans="1:11" x14ac:dyDescent="0.2">
      <c r="A3846" s="1" t="s">
        <v>4964</v>
      </c>
      <c r="B3846" s="2">
        <v>45416</v>
      </c>
      <c r="C3846" s="1" t="s">
        <v>866</v>
      </c>
      <c r="D3846" s="1" t="s">
        <v>867</v>
      </c>
      <c r="E3846" s="1" t="s">
        <v>14</v>
      </c>
      <c r="F3846" s="1" t="s">
        <v>339</v>
      </c>
      <c r="G3846" s="1" t="s">
        <v>340</v>
      </c>
      <c r="H3846" s="1" t="s">
        <v>24</v>
      </c>
      <c r="I3846">
        <v>59475</v>
      </c>
      <c r="J3846" s="3">
        <v>48.02</v>
      </c>
      <c r="K3846" s="3">
        <v>2855989.5</v>
      </c>
    </row>
    <row r="3847" spans="1:11" x14ac:dyDescent="0.2">
      <c r="A3847" s="1" t="s">
        <v>4965</v>
      </c>
      <c r="B3847" s="2">
        <v>45648</v>
      </c>
      <c r="C3847" s="1" t="s">
        <v>322</v>
      </c>
      <c r="D3847" s="1" t="s">
        <v>323</v>
      </c>
      <c r="E3847" s="1" t="s">
        <v>14</v>
      </c>
      <c r="F3847" s="1" t="s">
        <v>458</v>
      </c>
      <c r="G3847" s="1" t="s">
        <v>459</v>
      </c>
      <c r="H3847" s="1" t="s">
        <v>72</v>
      </c>
      <c r="I3847">
        <v>20267</v>
      </c>
      <c r="J3847" s="3">
        <v>31.43</v>
      </c>
      <c r="K3847" s="3">
        <v>636991.81000000006</v>
      </c>
    </row>
    <row r="3848" spans="1:11" x14ac:dyDescent="0.2">
      <c r="A3848" s="1" t="s">
        <v>4966</v>
      </c>
      <c r="B3848" s="2">
        <v>45817</v>
      </c>
      <c r="C3848" s="1" t="s">
        <v>160</v>
      </c>
      <c r="D3848" s="1" t="s">
        <v>161</v>
      </c>
      <c r="E3848" s="1" t="s">
        <v>21</v>
      </c>
      <c r="F3848" s="1" t="s">
        <v>189</v>
      </c>
      <c r="G3848" s="1" t="s">
        <v>190</v>
      </c>
      <c r="H3848" s="1" t="s">
        <v>17</v>
      </c>
      <c r="I3848">
        <v>90219</v>
      </c>
      <c r="J3848" s="3">
        <v>41.12</v>
      </c>
      <c r="K3848" s="3">
        <v>3709805.28</v>
      </c>
    </row>
    <row r="3849" spans="1:11" x14ac:dyDescent="0.2">
      <c r="A3849" s="1" t="s">
        <v>4967</v>
      </c>
      <c r="B3849" s="2">
        <v>45830</v>
      </c>
      <c r="C3849" s="1" t="s">
        <v>106</v>
      </c>
      <c r="D3849" s="1" t="s">
        <v>107</v>
      </c>
      <c r="E3849" s="1" t="s">
        <v>14</v>
      </c>
      <c r="F3849" s="1" t="s">
        <v>157</v>
      </c>
      <c r="G3849" s="1" t="s">
        <v>158</v>
      </c>
      <c r="H3849" s="1" t="s">
        <v>48</v>
      </c>
      <c r="I3849">
        <v>83564</v>
      </c>
      <c r="J3849" s="3">
        <v>11.28</v>
      </c>
      <c r="K3849" s="3">
        <v>942601.92</v>
      </c>
    </row>
    <row r="3850" spans="1:11" x14ac:dyDescent="0.2">
      <c r="A3850" s="1" t="s">
        <v>4968</v>
      </c>
      <c r="B3850" s="2">
        <v>45805</v>
      </c>
      <c r="C3850" s="1" t="s">
        <v>1615</v>
      </c>
      <c r="D3850" s="1" t="s">
        <v>1616</v>
      </c>
      <c r="E3850" s="1" t="s">
        <v>37</v>
      </c>
      <c r="F3850" s="1" t="s">
        <v>339</v>
      </c>
      <c r="G3850" s="1" t="s">
        <v>340</v>
      </c>
      <c r="H3850" s="1" t="s">
        <v>24</v>
      </c>
      <c r="I3850">
        <v>90436</v>
      </c>
      <c r="J3850" s="3">
        <v>7.78</v>
      </c>
      <c r="K3850" s="3">
        <v>703592.08</v>
      </c>
    </row>
    <row r="3851" spans="1:11" x14ac:dyDescent="0.2">
      <c r="A3851" s="1" t="s">
        <v>4969</v>
      </c>
      <c r="B3851" s="2">
        <v>45497</v>
      </c>
      <c r="C3851" s="1" t="s">
        <v>801</v>
      </c>
      <c r="D3851" s="1" t="s">
        <v>802</v>
      </c>
      <c r="E3851" s="1" t="s">
        <v>14</v>
      </c>
      <c r="F3851" s="1" t="s">
        <v>394</v>
      </c>
      <c r="G3851" s="1" t="s">
        <v>395</v>
      </c>
      <c r="H3851" s="1" t="s">
        <v>48</v>
      </c>
      <c r="I3851">
        <v>89057</v>
      </c>
      <c r="J3851" s="3">
        <v>24.04</v>
      </c>
      <c r="K3851" s="3">
        <v>2140930.2799999998</v>
      </c>
    </row>
    <row r="3852" spans="1:11" x14ac:dyDescent="0.2">
      <c r="A3852" s="1" t="s">
        <v>4970</v>
      </c>
      <c r="B3852" s="2">
        <v>45528</v>
      </c>
      <c r="C3852" s="1" t="s">
        <v>2121</v>
      </c>
      <c r="D3852" s="1" t="s">
        <v>2122</v>
      </c>
      <c r="E3852" s="1" t="s">
        <v>34</v>
      </c>
      <c r="F3852" s="1" t="s">
        <v>103</v>
      </c>
      <c r="G3852" s="1" t="s">
        <v>104</v>
      </c>
      <c r="H3852" s="1" t="s">
        <v>37</v>
      </c>
      <c r="I3852">
        <v>6924</v>
      </c>
      <c r="J3852" s="3">
        <v>25.11</v>
      </c>
      <c r="K3852" s="3">
        <v>173861.64</v>
      </c>
    </row>
    <row r="3853" spans="1:11" x14ac:dyDescent="0.2">
      <c r="A3853" s="1" t="s">
        <v>4971</v>
      </c>
      <c r="B3853" s="2">
        <v>45796</v>
      </c>
      <c r="C3853" s="1" t="s">
        <v>2807</v>
      </c>
      <c r="D3853" s="1" t="s">
        <v>2808</v>
      </c>
      <c r="E3853" s="1" t="s">
        <v>37</v>
      </c>
      <c r="F3853" s="1" t="s">
        <v>228</v>
      </c>
      <c r="G3853" s="1" t="s">
        <v>229</v>
      </c>
      <c r="H3853" s="1" t="s">
        <v>48</v>
      </c>
      <c r="I3853">
        <v>34015</v>
      </c>
      <c r="J3853" s="3">
        <v>35.81</v>
      </c>
      <c r="K3853" s="3">
        <v>1218077.1499999999</v>
      </c>
    </row>
    <row r="3854" spans="1:11" x14ac:dyDescent="0.2">
      <c r="A3854" s="1" t="s">
        <v>4972</v>
      </c>
      <c r="B3854" s="2">
        <v>45438</v>
      </c>
      <c r="C3854" s="1" t="s">
        <v>1658</v>
      </c>
      <c r="D3854" s="1" t="s">
        <v>1659</v>
      </c>
      <c r="E3854" s="1" t="s">
        <v>28</v>
      </c>
      <c r="F3854" s="1" t="s">
        <v>284</v>
      </c>
      <c r="G3854" s="1" t="s">
        <v>285</v>
      </c>
      <c r="H3854" s="1" t="s">
        <v>37</v>
      </c>
      <c r="I3854">
        <v>37136</v>
      </c>
      <c r="J3854" s="3">
        <v>11.32</v>
      </c>
      <c r="K3854" s="3">
        <v>420379.52</v>
      </c>
    </row>
    <row r="3855" spans="1:11" x14ac:dyDescent="0.2">
      <c r="A3855" s="1" t="s">
        <v>4973</v>
      </c>
      <c r="B3855" s="2">
        <v>45878</v>
      </c>
      <c r="C3855" s="1" t="s">
        <v>1630</v>
      </c>
      <c r="D3855" s="1" t="s">
        <v>1631</v>
      </c>
      <c r="E3855" s="1" t="s">
        <v>37</v>
      </c>
      <c r="F3855" s="1" t="s">
        <v>406</v>
      </c>
      <c r="G3855" s="1" t="s">
        <v>407</v>
      </c>
      <c r="H3855" s="1" t="s">
        <v>17</v>
      </c>
      <c r="I3855">
        <v>11532</v>
      </c>
      <c r="J3855" s="3">
        <v>45.83</v>
      </c>
      <c r="K3855" s="3">
        <v>528511.56000000006</v>
      </c>
    </row>
    <row r="3856" spans="1:11" x14ac:dyDescent="0.2">
      <c r="A3856" s="1" t="s">
        <v>4974</v>
      </c>
      <c r="B3856" s="2">
        <v>45721</v>
      </c>
      <c r="C3856" s="1" t="s">
        <v>794</v>
      </c>
      <c r="D3856" s="1" t="s">
        <v>795</v>
      </c>
      <c r="E3856" s="1" t="s">
        <v>28</v>
      </c>
      <c r="F3856" s="1" t="s">
        <v>22</v>
      </c>
      <c r="G3856" s="1" t="s">
        <v>23</v>
      </c>
      <c r="H3856" s="1" t="s">
        <v>24</v>
      </c>
      <c r="I3856">
        <v>17159</v>
      </c>
      <c r="J3856" s="3">
        <v>33.159999999999997</v>
      </c>
      <c r="K3856" s="3">
        <v>568992.43999999994</v>
      </c>
    </row>
    <row r="3857" spans="1:11" x14ac:dyDescent="0.2">
      <c r="A3857" s="1" t="s">
        <v>4975</v>
      </c>
      <c r="B3857" s="2">
        <v>45304</v>
      </c>
      <c r="C3857" s="1" t="s">
        <v>481</v>
      </c>
      <c r="D3857" s="1" t="s">
        <v>482</v>
      </c>
      <c r="E3857" s="1" t="s">
        <v>34</v>
      </c>
      <c r="F3857" s="1" t="s">
        <v>263</v>
      </c>
      <c r="G3857" s="1" t="s">
        <v>264</v>
      </c>
      <c r="H3857" s="1" t="s">
        <v>17</v>
      </c>
      <c r="I3857">
        <v>65070</v>
      </c>
      <c r="J3857" s="3">
        <v>47.43</v>
      </c>
      <c r="K3857" s="3">
        <v>3086270.1</v>
      </c>
    </row>
    <row r="3858" spans="1:11" x14ac:dyDescent="0.2">
      <c r="A3858" s="1" t="s">
        <v>4976</v>
      </c>
      <c r="B3858" s="2">
        <v>45564</v>
      </c>
      <c r="C3858" s="1" t="s">
        <v>1105</v>
      </c>
      <c r="D3858" s="1" t="s">
        <v>1106</v>
      </c>
      <c r="E3858" s="1" t="s">
        <v>34</v>
      </c>
      <c r="F3858" s="1" t="s">
        <v>52</v>
      </c>
      <c r="G3858" s="1" t="s">
        <v>53</v>
      </c>
      <c r="H3858" s="1" t="s">
        <v>17</v>
      </c>
      <c r="I3858">
        <v>43893</v>
      </c>
      <c r="J3858" s="3">
        <v>3.25</v>
      </c>
      <c r="K3858" s="3">
        <v>142652.25</v>
      </c>
    </row>
    <row r="3859" spans="1:11" x14ac:dyDescent="0.2">
      <c r="A3859" s="1" t="s">
        <v>4977</v>
      </c>
      <c r="B3859" s="2">
        <v>45671</v>
      </c>
      <c r="C3859" s="1" t="s">
        <v>684</v>
      </c>
      <c r="D3859" s="1" t="s">
        <v>685</v>
      </c>
      <c r="E3859" s="1" t="s">
        <v>37</v>
      </c>
      <c r="F3859" s="1" t="s">
        <v>57</v>
      </c>
      <c r="G3859" s="1" t="s">
        <v>58</v>
      </c>
      <c r="H3859" s="1" t="s">
        <v>48</v>
      </c>
      <c r="I3859">
        <v>38642</v>
      </c>
      <c r="J3859" s="3">
        <v>22.32</v>
      </c>
      <c r="K3859" s="3">
        <v>862489.44</v>
      </c>
    </row>
    <row r="3860" spans="1:11" x14ac:dyDescent="0.2">
      <c r="A3860" s="1" t="s">
        <v>4978</v>
      </c>
      <c r="B3860" s="2">
        <v>45501</v>
      </c>
      <c r="C3860" s="1" t="s">
        <v>1376</v>
      </c>
      <c r="D3860" s="1" t="s">
        <v>1377</v>
      </c>
      <c r="E3860" s="1" t="s">
        <v>14</v>
      </c>
      <c r="F3860" s="1" t="s">
        <v>237</v>
      </c>
      <c r="G3860" s="1" t="s">
        <v>238</v>
      </c>
      <c r="H3860" s="1" t="s">
        <v>17</v>
      </c>
      <c r="I3860">
        <v>26345</v>
      </c>
      <c r="J3860" s="3">
        <v>25.26</v>
      </c>
      <c r="K3860" s="3">
        <v>665474.69999999995</v>
      </c>
    </row>
    <row r="3861" spans="1:11" x14ac:dyDescent="0.2">
      <c r="A3861" s="1" t="s">
        <v>4979</v>
      </c>
      <c r="B3861" s="2">
        <v>45311</v>
      </c>
      <c r="C3861" s="1" t="s">
        <v>257</v>
      </c>
      <c r="D3861" s="1" t="s">
        <v>258</v>
      </c>
      <c r="E3861" s="1" t="s">
        <v>28</v>
      </c>
      <c r="F3861" s="1" t="s">
        <v>113</v>
      </c>
      <c r="G3861" s="1" t="s">
        <v>114</v>
      </c>
      <c r="H3861" s="1" t="s">
        <v>37</v>
      </c>
      <c r="I3861">
        <v>19997</v>
      </c>
      <c r="J3861" s="3">
        <v>38.18</v>
      </c>
      <c r="K3861" s="3">
        <v>763485.46</v>
      </c>
    </row>
    <row r="3862" spans="1:11" x14ac:dyDescent="0.2">
      <c r="A3862" s="1" t="s">
        <v>4980</v>
      </c>
      <c r="B3862" s="2">
        <v>46010</v>
      </c>
      <c r="C3862" s="1" t="s">
        <v>1571</v>
      </c>
      <c r="D3862" s="1" t="s">
        <v>1572</v>
      </c>
      <c r="E3862" s="1" t="s">
        <v>14</v>
      </c>
      <c r="F3862" s="1" t="s">
        <v>108</v>
      </c>
      <c r="G3862" s="1" t="s">
        <v>109</v>
      </c>
      <c r="H3862" s="1" t="s">
        <v>37</v>
      </c>
      <c r="I3862">
        <v>15561</v>
      </c>
      <c r="J3862" s="3">
        <v>39.35</v>
      </c>
      <c r="K3862" s="3">
        <v>612325.35</v>
      </c>
    </row>
    <row r="3863" spans="1:11" x14ac:dyDescent="0.2">
      <c r="A3863" s="1" t="s">
        <v>4981</v>
      </c>
      <c r="B3863" s="2">
        <v>45627</v>
      </c>
      <c r="C3863" s="1" t="s">
        <v>1117</v>
      </c>
      <c r="D3863" s="1" t="s">
        <v>1118</v>
      </c>
      <c r="E3863" s="1" t="s">
        <v>37</v>
      </c>
      <c r="F3863" s="1" t="s">
        <v>189</v>
      </c>
      <c r="G3863" s="1" t="s">
        <v>190</v>
      </c>
      <c r="H3863" s="1" t="s">
        <v>17</v>
      </c>
      <c r="I3863">
        <v>11740</v>
      </c>
      <c r="J3863" s="3">
        <v>24.31</v>
      </c>
      <c r="K3863" s="3">
        <v>285399.40000000002</v>
      </c>
    </row>
    <row r="3864" spans="1:11" x14ac:dyDescent="0.2">
      <c r="A3864" s="1" t="s">
        <v>4982</v>
      </c>
      <c r="B3864" s="2">
        <v>45851</v>
      </c>
      <c r="C3864" s="1" t="s">
        <v>1571</v>
      </c>
      <c r="D3864" s="1" t="s">
        <v>1572</v>
      </c>
      <c r="E3864" s="1" t="s">
        <v>14</v>
      </c>
      <c r="F3864" s="1" t="s">
        <v>406</v>
      </c>
      <c r="G3864" s="1" t="s">
        <v>407</v>
      </c>
      <c r="H3864" s="1" t="s">
        <v>17</v>
      </c>
      <c r="I3864">
        <v>75854</v>
      </c>
      <c r="J3864" s="3">
        <v>43.22</v>
      </c>
      <c r="K3864" s="3">
        <v>3278409.88</v>
      </c>
    </row>
    <row r="3865" spans="1:11" x14ac:dyDescent="0.2">
      <c r="A3865" s="1" t="s">
        <v>4983</v>
      </c>
      <c r="B3865" s="2">
        <v>45396</v>
      </c>
      <c r="C3865" s="1" t="s">
        <v>2100</v>
      </c>
      <c r="D3865" s="1" t="s">
        <v>2101</v>
      </c>
      <c r="E3865" s="1" t="s">
        <v>37</v>
      </c>
      <c r="F3865" s="1" t="s">
        <v>81</v>
      </c>
      <c r="G3865" s="1" t="s">
        <v>82</v>
      </c>
      <c r="H3865" s="1" t="s">
        <v>72</v>
      </c>
      <c r="I3865">
        <v>65213</v>
      </c>
      <c r="J3865" s="3">
        <v>12.5</v>
      </c>
      <c r="K3865" s="3">
        <v>815162.5</v>
      </c>
    </row>
    <row r="3866" spans="1:11" x14ac:dyDescent="0.2">
      <c r="A3866" s="1" t="s">
        <v>4984</v>
      </c>
      <c r="B3866" s="2">
        <v>45832</v>
      </c>
      <c r="C3866" s="1" t="s">
        <v>1028</v>
      </c>
      <c r="D3866" s="1" t="s">
        <v>1029</v>
      </c>
      <c r="E3866" s="1" t="s">
        <v>14</v>
      </c>
      <c r="F3866" s="1" t="s">
        <v>195</v>
      </c>
      <c r="G3866" s="1" t="s">
        <v>196</v>
      </c>
      <c r="H3866" s="1" t="s">
        <v>48</v>
      </c>
      <c r="I3866">
        <v>90524</v>
      </c>
      <c r="J3866" s="3">
        <v>41.95</v>
      </c>
      <c r="K3866" s="3">
        <v>3797481.8</v>
      </c>
    </row>
    <row r="3867" spans="1:11" x14ac:dyDescent="0.2">
      <c r="A3867" s="1" t="s">
        <v>4985</v>
      </c>
      <c r="B3867" s="2">
        <v>45936</v>
      </c>
      <c r="C3867" s="1" t="s">
        <v>1125</v>
      </c>
      <c r="D3867" s="1" t="s">
        <v>1126</v>
      </c>
      <c r="E3867" s="1" t="s">
        <v>21</v>
      </c>
      <c r="F3867" s="1" t="s">
        <v>251</v>
      </c>
      <c r="G3867" s="1" t="s">
        <v>252</v>
      </c>
      <c r="H3867" s="1" t="s">
        <v>72</v>
      </c>
      <c r="I3867">
        <v>11832</v>
      </c>
      <c r="J3867" s="3">
        <v>3.89</v>
      </c>
      <c r="K3867" s="3">
        <v>46026.48</v>
      </c>
    </row>
    <row r="3868" spans="1:11" x14ac:dyDescent="0.2">
      <c r="A3868" s="1" t="s">
        <v>4986</v>
      </c>
      <c r="B3868" s="2">
        <v>45527</v>
      </c>
      <c r="C3868" s="1" t="s">
        <v>984</v>
      </c>
      <c r="D3868" s="1" t="s">
        <v>985</v>
      </c>
      <c r="E3868" s="1" t="s">
        <v>14</v>
      </c>
      <c r="F3868" s="1" t="s">
        <v>324</v>
      </c>
      <c r="G3868" s="1" t="s">
        <v>325</v>
      </c>
      <c r="H3868" s="1" t="s">
        <v>24</v>
      </c>
      <c r="I3868">
        <v>6926</v>
      </c>
      <c r="J3868" s="3">
        <v>19.12</v>
      </c>
      <c r="K3868" s="3">
        <v>132425.12</v>
      </c>
    </row>
    <row r="3869" spans="1:11" x14ac:dyDescent="0.2">
      <c r="A3869" s="1" t="s">
        <v>4987</v>
      </c>
      <c r="B3869" s="2">
        <v>45814</v>
      </c>
      <c r="C3869" s="1" t="s">
        <v>1095</v>
      </c>
      <c r="D3869" s="1" t="s">
        <v>1096</v>
      </c>
      <c r="E3869" s="1" t="s">
        <v>14</v>
      </c>
      <c r="F3869" s="1" t="s">
        <v>463</v>
      </c>
      <c r="G3869" s="1" t="s">
        <v>464</v>
      </c>
      <c r="H3869" s="1" t="s">
        <v>37</v>
      </c>
      <c r="I3869">
        <v>36473</v>
      </c>
      <c r="J3869" s="3">
        <v>42.22</v>
      </c>
      <c r="K3869" s="3">
        <v>1539890.06</v>
      </c>
    </row>
    <row r="3870" spans="1:11" x14ac:dyDescent="0.2">
      <c r="A3870" s="1" t="s">
        <v>4988</v>
      </c>
      <c r="B3870" s="2">
        <v>45315</v>
      </c>
      <c r="C3870" s="1" t="s">
        <v>1368</v>
      </c>
      <c r="D3870" s="1" t="s">
        <v>1369</v>
      </c>
      <c r="E3870" s="1" t="s">
        <v>28</v>
      </c>
      <c r="F3870" s="1" t="s">
        <v>184</v>
      </c>
      <c r="G3870" s="1" t="s">
        <v>185</v>
      </c>
      <c r="H3870" s="1" t="s">
        <v>17</v>
      </c>
      <c r="I3870">
        <v>22004</v>
      </c>
      <c r="J3870" s="3">
        <v>8.48</v>
      </c>
      <c r="K3870" s="3">
        <v>186593.92000000001</v>
      </c>
    </row>
    <row r="3871" spans="1:11" x14ac:dyDescent="0.2">
      <c r="A3871" s="1" t="s">
        <v>4989</v>
      </c>
      <c r="B3871" s="2">
        <v>45750</v>
      </c>
      <c r="C3871" s="1" t="s">
        <v>246</v>
      </c>
      <c r="D3871" s="1" t="s">
        <v>247</v>
      </c>
      <c r="E3871" s="1" t="s">
        <v>21</v>
      </c>
      <c r="F3871" s="1" t="s">
        <v>29</v>
      </c>
      <c r="G3871" s="1" t="s">
        <v>30</v>
      </c>
      <c r="H3871" s="1" t="s">
        <v>24</v>
      </c>
      <c r="I3871">
        <v>7396</v>
      </c>
      <c r="J3871" s="3">
        <v>39</v>
      </c>
      <c r="K3871" s="3">
        <v>288444</v>
      </c>
    </row>
    <row r="3872" spans="1:11" x14ac:dyDescent="0.2">
      <c r="A3872" s="1" t="s">
        <v>4990</v>
      </c>
      <c r="B3872" s="2">
        <v>45726</v>
      </c>
      <c r="C3872" s="1" t="s">
        <v>322</v>
      </c>
      <c r="D3872" s="1" t="s">
        <v>323</v>
      </c>
      <c r="E3872" s="1" t="s">
        <v>14</v>
      </c>
      <c r="F3872" s="1" t="s">
        <v>189</v>
      </c>
      <c r="G3872" s="1" t="s">
        <v>190</v>
      </c>
      <c r="H3872" s="1" t="s">
        <v>17</v>
      </c>
      <c r="I3872">
        <v>52597</v>
      </c>
      <c r="J3872" s="3">
        <v>21.33</v>
      </c>
      <c r="K3872" s="3">
        <v>1121894.01</v>
      </c>
    </row>
    <row r="3873" spans="1:11" x14ac:dyDescent="0.2">
      <c r="A3873" s="1" t="s">
        <v>4991</v>
      </c>
      <c r="B3873" s="2">
        <v>45559</v>
      </c>
      <c r="C3873" s="1" t="s">
        <v>1679</v>
      </c>
      <c r="D3873" s="1" t="s">
        <v>1680</v>
      </c>
      <c r="E3873" s="1" t="s">
        <v>37</v>
      </c>
      <c r="F3873" s="1" t="s">
        <v>15</v>
      </c>
      <c r="G3873" s="1" t="s">
        <v>16</v>
      </c>
      <c r="H3873" s="1" t="s">
        <v>17</v>
      </c>
      <c r="I3873">
        <v>50859</v>
      </c>
      <c r="J3873" s="3">
        <v>23.32</v>
      </c>
      <c r="K3873" s="3">
        <v>1186031.8799999999</v>
      </c>
    </row>
    <row r="3874" spans="1:11" x14ac:dyDescent="0.2">
      <c r="A3874" s="1" t="s">
        <v>4992</v>
      </c>
      <c r="B3874" s="2">
        <v>45541</v>
      </c>
      <c r="C3874" s="1" t="s">
        <v>163</v>
      </c>
      <c r="D3874" s="1" t="s">
        <v>164</v>
      </c>
      <c r="E3874" s="1" t="s">
        <v>14</v>
      </c>
      <c r="F3874" s="1" t="s">
        <v>29</v>
      </c>
      <c r="G3874" s="1" t="s">
        <v>30</v>
      </c>
      <c r="H3874" s="1" t="s">
        <v>24</v>
      </c>
      <c r="I3874">
        <v>79547</v>
      </c>
      <c r="J3874" s="3">
        <v>10.62</v>
      </c>
      <c r="K3874" s="3">
        <v>844789.14</v>
      </c>
    </row>
    <row r="3875" spans="1:11" x14ac:dyDescent="0.2">
      <c r="A3875" s="1" t="s">
        <v>4993</v>
      </c>
      <c r="B3875" s="2">
        <v>45794</v>
      </c>
      <c r="C3875" s="1" t="s">
        <v>710</v>
      </c>
      <c r="D3875" s="1" t="s">
        <v>711</v>
      </c>
      <c r="E3875" s="1" t="s">
        <v>21</v>
      </c>
      <c r="F3875" s="1" t="s">
        <v>81</v>
      </c>
      <c r="G3875" s="1" t="s">
        <v>82</v>
      </c>
      <c r="H3875" s="1" t="s">
        <v>72</v>
      </c>
      <c r="I3875">
        <v>49189</v>
      </c>
      <c r="J3875" s="3">
        <v>35.36</v>
      </c>
      <c r="K3875" s="3">
        <v>1739323.04</v>
      </c>
    </row>
    <row r="3876" spans="1:11" x14ac:dyDescent="0.2">
      <c r="A3876" s="1" t="s">
        <v>4994</v>
      </c>
      <c r="B3876" s="2">
        <v>45358</v>
      </c>
      <c r="C3876" s="1" t="s">
        <v>920</v>
      </c>
      <c r="D3876" s="1" t="s">
        <v>921</v>
      </c>
      <c r="E3876" s="1" t="s">
        <v>14</v>
      </c>
      <c r="F3876" s="1" t="s">
        <v>98</v>
      </c>
      <c r="G3876" s="1" t="s">
        <v>99</v>
      </c>
      <c r="H3876" s="1" t="s">
        <v>72</v>
      </c>
      <c r="I3876">
        <v>30694</v>
      </c>
      <c r="J3876" s="3">
        <v>5.0199999999999996</v>
      </c>
      <c r="K3876" s="3">
        <v>154083.88</v>
      </c>
    </row>
    <row r="3877" spans="1:11" x14ac:dyDescent="0.2">
      <c r="A3877" s="1" t="s">
        <v>4995</v>
      </c>
      <c r="B3877" s="2">
        <v>45345</v>
      </c>
      <c r="C3877" s="1" t="s">
        <v>648</v>
      </c>
      <c r="D3877" s="1" t="s">
        <v>649</v>
      </c>
      <c r="E3877" s="1" t="s">
        <v>28</v>
      </c>
      <c r="F3877" s="1" t="s">
        <v>273</v>
      </c>
      <c r="G3877" s="1" t="s">
        <v>274</v>
      </c>
      <c r="H3877" s="1" t="s">
        <v>24</v>
      </c>
      <c r="I3877">
        <v>74167</v>
      </c>
      <c r="J3877" s="3">
        <v>15.84</v>
      </c>
      <c r="K3877" s="3">
        <v>1174805.28</v>
      </c>
    </row>
    <row r="3878" spans="1:11" x14ac:dyDescent="0.2">
      <c r="A3878" s="1" t="s">
        <v>4996</v>
      </c>
      <c r="B3878" s="2">
        <v>45448</v>
      </c>
      <c r="C3878" s="1" t="s">
        <v>590</v>
      </c>
      <c r="D3878" s="1" t="s">
        <v>591</v>
      </c>
      <c r="E3878" s="1" t="s">
        <v>37</v>
      </c>
      <c r="F3878" s="1" t="s">
        <v>189</v>
      </c>
      <c r="G3878" s="1" t="s">
        <v>190</v>
      </c>
      <c r="H3878" s="1" t="s">
        <v>17</v>
      </c>
      <c r="I3878">
        <v>46607</v>
      </c>
      <c r="J3878" s="3">
        <v>8.93</v>
      </c>
      <c r="K3878" s="3">
        <v>416200.51</v>
      </c>
    </row>
    <row r="3879" spans="1:11" x14ac:dyDescent="0.2">
      <c r="A3879" s="1" t="s">
        <v>4997</v>
      </c>
      <c r="B3879" s="2">
        <v>45551</v>
      </c>
      <c r="C3879" s="1" t="s">
        <v>826</v>
      </c>
      <c r="D3879" s="1" t="s">
        <v>827</v>
      </c>
      <c r="E3879" s="1" t="s">
        <v>37</v>
      </c>
      <c r="F3879" s="1" t="s">
        <v>113</v>
      </c>
      <c r="G3879" s="1" t="s">
        <v>114</v>
      </c>
      <c r="H3879" s="1" t="s">
        <v>37</v>
      </c>
      <c r="I3879">
        <v>63640</v>
      </c>
      <c r="J3879" s="3">
        <v>5.33</v>
      </c>
      <c r="K3879" s="3">
        <v>339201.2</v>
      </c>
    </row>
    <row r="3880" spans="1:11" x14ac:dyDescent="0.2">
      <c r="A3880" s="1" t="s">
        <v>4998</v>
      </c>
      <c r="B3880" s="2">
        <v>45933</v>
      </c>
      <c r="C3880" s="1" t="s">
        <v>1310</v>
      </c>
      <c r="D3880" s="1" t="s">
        <v>1311</v>
      </c>
      <c r="E3880" s="1" t="s">
        <v>37</v>
      </c>
      <c r="F3880" s="1" t="s">
        <v>22</v>
      </c>
      <c r="G3880" s="1" t="s">
        <v>23</v>
      </c>
      <c r="H3880" s="1" t="s">
        <v>24</v>
      </c>
      <c r="I3880">
        <v>4968</v>
      </c>
      <c r="J3880" s="3">
        <v>9.7200000000000006</v>
      </c>
      <c r="K3880" s="3">
        <v>48288.959999999999</v>
      </c>
    </row>
    <row r="3881" spans="1:11" x14ac:dyDescent="0.2">
      <c r="A3881" s="1" t="s">
        <v>4999</v>
      </c>
      <c r="B3881" s="2">
        <v>45493</v>
      </c>
      <c r="C3881" s="1" t="s">
        <v>1317</v>
      </c>
      <c r="D3881" s="1" t="s">
        <v>1318</v>
      </c>
      <c r="E3881" s="1" t="s">
        <v>28</v>
      </c>
      <c r="F3881" s="1" t="s">
        <v>339</v>
      </c>
      <c r="G3881" s="1" t="s">
        <v>340</v>
      </c>
      <c r="H3881" s="1" t="s">
        <v>24</v>
      </c>
      <c r="I3881">
        <v>74915</v>
      </c>
      <c r="J3881" s="3">
        <v>9.25</v>
      </c>
      <c r="K3881" s="3">
        <v>692963.75</v>
      </c>
    </row>
    <row r="3882" spans="1:11" x14ac:dyDescent="0.2">
      <c r="A3882" s="1" t="s">
        <v>5000</v>
      </c>
      <c r="B3882" s="2">
        <v>45797</v>
      </c>
      <c r="C3882" s="1" t="s">
        <v>1630</v>
      </c>
      <c r="D3882" s="1" t="s">
        <v>1631</v>
      </c>
      <c r="E3882" s="1" t="s">
        <v>37</v>
      </c>
      <c r="F3882" s="1" t="s">
        <v>15</v>
      </c>
      <c r="G3882" s="1" t="s">
        <v>16</v>
      </c>
      <c r="H3882" s="1" t="s">
        <v>17</v>
      </c>
      <c r="I3882">
        <v>43852</v>
      </c>
      <c r="J3882" s="3">
        <v>18.05</v>
      </c>
      <c r="K3882" s="3">
        <v>791528.6</v>
      </c>
    </row>
    <row r="3883" spans="1:11" x14ac:dyDescent="0.2">
      <c r="A3883" s="1" t="s">
        <v>5001</v>
      </c>
      <c r="B3883" s="2">
        <v>45412</v>
      </c>
      <c r="C3883" s="1" t="s">
        <v>916</v>
      </c>
      <c r="D3883" s="1" t="s">
        <v>917</v>
      </c>
      <c r="E3883" s="1" t="s">
        <v>28</v>
      </c>
      <c r="F3883" s="1" t="s">
        <v>237</v>
      </c>
      <c r="G3883" s="1" t="s">
        <v>238</v>
      </c>
      <c r="H3883" s="1" t="s">
        <v>17</v>
      </c>
      <c r="I3883">
        <v>21325</v>
      </c>
      <c r="J3883" s="3">
        <v>13.41</v>
      </c>
      <c r="K3883" s="3">
        <v>285968.25</v>
      </c>
    </row>
    <row r="3884" spans="1:11" x14ac:dyDescent="0.2">
      <c r="A3884" s="1" t="s">
        <v>5002</v>
      </c>
      <c r="B3884" s="2">
        <v>45765</v>
      </c>
      <c r="C3884" s="1" t="s">
        <v>2059</v>
      </c>
      <c r="D3884" s="1" t="s">
        <v>2060</v>
      </c>
      <c r="E3884" s="1" t="s">
        <v>21</v>
      </c>
      <c r="F3884" s="1" t="s">
        <v>195</v>
      </c>
      <c r="G3884" s="1" t="s">
        <v>196</v>
      </c>
      <c r="H3884" s="1" t="s">
        <v>48</v>
      </c>
      <c r="I3884">
        <v>24836</v>
      </c>
      <c r="J3884" s="3">
        <v>3.05</v>
      </c>
      <c r="K3884" s="3">
        <v>75749.8</v>
      </c>
    </row>
    <row r="3885" spans="1:11" x14ac:dyDescent="0.2">
      <c r="A3885" s="1" t="s">
        <v>5003</v>
      </c>
      <c r="B3885" s="2">
        <v>45626</v>
      </c>
      <c r="C3885" s="1" t="s">
        <v>388</v>
      </c>
      <c r="D3885" s="1" t="s">
        <v>389</v>
      </c>
      <c r="E3885" s="1" t="s">
        <v>14</v>
      </c>
      <c r="F3885" s="1" t="s">
        <v>406</v>
      </c>
      <c r="G3885" s="1" t="s">
        <v>407</v>
      </c>
      <c r="H3885" s="1" t="s">
        <v>17</v>
      </c>
      <c r="I3885">
        <v>27781</v>
      </c>
      <c r="J3885" s="3">
        <v>46.39</v>
      </c>
      <c r="K3885" s="3">
        <v>1288760.5900000001</v>
      </c>
    </row>
    <row r="3886" spans="1:11" x14ac:dyDescent="0.2">
      <c r="A3886" s="1" t="s">
        <v>5004</v>
      </c>
      <c r="B3886" s="2">
        <v>45673</v>
      </c>
      <c r="C3886" s="1" t="s">
        <v>734</v>
      </c>
      <c r="D3886" s="1" t="s">
        <v>735</v>
      </c>
      <c r="E3886" s="1" t="s">
        <v>28</v>
      </c>
      <c r="F3886" s="1" t="s">
        <v>165</v>
      </c>
      <c r="G3886" s="1" t="s">
        <v>166</v>
      </c>
      <c r="H3886" s="1" t="s">
        <v>24</v>
      </c>
      <c r="I3886">
        <v>46601</v>
      </c>
      <c r="J3886" s="3">
        <v>22.8</v>
      </c>
      <c r="K3886" s="3">
        <v>1062502.8</v>
      </c>
    </row>
    <row r="3887" spans="1:11" x14ac:dyDescent="0.2">
      <c r="A3887" s="1" t="s">
        <v>5005</v>
      </c>
      <c r="B3887" s="2">
        <v>45422</v>
      </c>
      <c r="C3887" s="1" t="s">
        <v>1708</v>
      </c>
      <c r="D3887" s="1" t="s">
        <v>1709</v>
      </c>
      <c r="E3887" s="1" t="s">
        <v>14</v>
      </c>
      <c r="F3887" s="1" t="s">
        <v>165</v>
      </c>
      <c r="G3887" s="1" t="s">
        <v>166</v>
      </c>
      <c r="H3887" s="1" t="s">
        <v>24</v>
      </c>
      <c r="I3887">
        <v>43819</v>
      </c>
      <c r="J3887" s="3">
        <v>8.09</v>
      </c>
      <c r="K3887" s="3">
        <v>354495.71</v>
      </c>
    </row>
    <row r="3888" spans="1:11" x14ac:dyDescent="0.2">
      <c r="A3888" s="1" t="s">
        <v>5006</v>
      </c>
      <c r="B3888" s="2">
        <v>45387</v>
      </c>
      <c r="C3888" s="1" t="s">
        <v>684</v>
      </c>
      <c r="D3888" s="1" t="s">
        <v>685</v>
      </c>
      <c r="E3888" s="1" t="s">
        <v>37</v>
      </c>
      <c r="F3888" s="1" t="s">
        <v>22</v>
      </c>
      <c r="G3888" s="1" t="s">
        <v>23</v>
      </c>
      <c r="H3888" s="1" t="s">
        <v>24</v>
      </c>
      <c r="I3888">
        <v>34206</v>
      </c>
      <c r="J3888" s="3">
        <v>49.91</v>
      </c>
      <c r="K3888" s="3">
        <v>1707221.46</v>
      </c>
    </row>
    <row r="3889" spans="1:11" x14ac:dyDescent="0.2">
      <c r="A3889" s="1" t="s">
        <v>5007</v>
      </c>
      <c r="B3889" s="2">
        <v>45469</v>
      </c>
      <c r="C3889" s="1" t="s">
        <v>333</v>
      </c>
      <c r="D3889" s="1" t="s">
        <v>334</v>
      </c>
      <c r="E3889" s="1" t="s">
        <v>21</v>
      </c>
      <c r="F3889" s="1" t="s">
        <v>113</v>
      </c>
      <c r="G3889" s="1" t="s">
        <v>114</v>
      </c>
      <c r="H3889" s="1" t="s">
        <v>37</v>
      </c>
      <c r="I3889">
        <v>63642</v>
      </c>
      <c r="J3889" s="3">
        <v>21.71</v>
      </c>
      <c r="K3889" s="3">
        <v>1381667.82</v>
      </c>
    </row>
    <row r="3890" spans="1:11" x14ac:dyDescent="0.2">
      <c r="A3890" s="1" t="s">
        <v>5008</v>
      </c>
      <c r="B3890" s="2">
        <v>45928</v>
      </c>
      <c r="C3890" s="1" t="s">
        <v>106</v>
      </c>
      <c r="D3890" s="1" t="s">
        <v>107</v>
      </c>
      <c r="E3890" s="1" t="s">
        <v>14</v>
      </c>
      <c r="F3890" s="1" t="s">
        <v>184</v>
      </c>
      <c r="G3890" s="1" t="s">
        <v>185</v>
      </c>
      <c r="H3890" s="1" t="s">
        <v>17</v>
      </c>
      <c r="I3890">
        <v>21790</v>
      </c>
      <c r="J3890" s="3">
        <v>46.45</v>
      </c>
      <c r="K3890" s="3">
        <v>1012145.5</v>
      </c>
    </row>
    <row r="3891" spans="1:11" x14ac:dyDescent="0.2">
      <c r="A3891" s="1" t="s">
        <v>5009</v>
      </c>
      <c r="B3891" s="2">
        <v>45416</v>
      </c>
      <c r="C3891" s="1" t="s">
        <v>643</v>
      </c>
      <c r="D3891" s="1" t="s">
        <v>644</v>
      </c>
      <c r="E3891" s="1" t="s">
        <v>37</v>
      </c>
      <c r="F3891" s="1" t="s">
        <v>189</v>
      </c>
      <c r="G3891" s="1" t="s">
        <v>190</v>
      </c>
      <c r="H3891" s="1" t="s">
        <v>17</v>
      </c>
      <c r="I3891">
        <v>61053</v>
      </c>
      <c r="J3891" s="3">
        <v>2.2400000000000002</v>
      </c>
      <c r="K3891" s="3">
        <v>136758.72</v>
      </c>
    </row>
    <row r="3892" spans="1:11" x14ac:dyDescent="0.2">
      <c r="A3892" s="1" t="s">
        <v>5010</v>
      </c>
      <c r="B3892" s="2">
        <v>45392</v>
      </c>
      <c r="C3892" s="1" t="s">
        <v>1535</v>
      </c>
      <c r="D3892" s="1" t="s">
        <v>1536</v>
      </c>
      <c r="E3892" s="1" t="s">
        <v>21</v>
      </c>
      <c r="F3892" s="1" t="s">
        <v>98</v>
      </c>
      <c r="G3892" s="1" t="s">
        <v>99</v>
      </c>
      <c r="H3892" s="1" t="s">
        <v>72</v>
      </c>
      <c r="I3892">
        <v>85853</v>
      </c>
      <c r="J3892" s="3">
        <v>8.68</v>
      </c>
      <c r="K3892" s="3">
        <v>745204.04</v>
      </c>
    </row>
    <row r="3893" spans="1:11" x14ac:dyDescent="0.2">
      <c r="A3893" s="1" t="s">
        <v>5011</v>
      </c>
      <c r="B3893" s="2">
        <v>45573</v>
      </c>
      <c r="C3893" s="1" t="s">
        <v>1340</v>
      </c>
      <c r="D3893" s="1" t="s">
        <v>1341</v>
      </c>
      <c r="E3893" s="1" t="s">
        <v>28</v>
      </c>
      <c r="F3893" s="1" t="s">
        <v>330</v>
      </c>
      <c r="G3893" s="1" t="s">
        <v>331</v>
      </c>
      <c r="H3893" s="1" t="s">
        <v>72</v>
      </c>
      <c r="I3893">
        <v>60144</v>
      </c>
      <c r="J3893" s="3">
        <v>7.62</v>
      </c>
      <c r="K3893" s="3">
        <v>458297.28</v>
      </c>
    </row>
    <row r="3894" spans="1:11" x14ac:dyDescent="0.2">
      <c r="A3894" s="1" t="s">
        <v>5012</v>
      </c>
      <c r="B3894" s="2">
        <v>45503</v>
      </c>
      <c r="C3894" s="1" t="s">
        <v>984</v>
      </c>
      <c r="D3894" s="1" t="s">
        <v>985</v>
      </c>
      <c r="E3894" s="1" t="s">
        <v>14</v>
      </c>
      <c r="F3894" s="1" t="s">
        <v>251</v>
      </c>
      <c r="G3894" s="1" t="s">
        <v>252</v>
      </c>
      <c r="H3894" s="1" t="s">
        <v>72</v>
      </c>
      <c r="I3894">
        <v>14662</v>
      </c>
      <c r="J3894" s="3">
        <v>26.61</v>
      </c>
      <c r="K3894" s="3">
        <v>390155.82</v>
      </c>
    </row>
    <row r="3895" spans="1:11" x14ac:dyDescent="0.2">
      <c r="A3895" s="1" t="s">
        <v>5013</v>
      </c>
      <c r="B3895" s="2">
        <v>45605</v>
      </c>
      <c r="C3895" s="1" t="s">
        <v>851</v>
      </c>
      <c r="D3895" s="1" t="s">
        <v>852</v>
      </c>
      <c r="E3895" s="1" t="s">
        <v>21</v>
      </c>
      <c r="F3895" s="1" t="s">
        <v>463</v>
      </c>
      <c r="G3895" s="1" t="s">
        <v>464</v>
      </c>
      <c r="H3895" s="1" t="s">
        <v>37</v>
      </c>
      <c r="I3895">
        <v>44096</v>
      </c>
      <c r="J3895" s="3">
        <v>45.61</v>
      </c>
      <c r="K3895" s="3">
        <v>2011218.56</v>
      </c>
    </row>
    <row r="3896" spans="1:11" x14ac:dyDescent="0.2">
      <c r="A3896" s="1" t="s">
        <v>5014</v>
      </c>
      <c r="B3896" s="2">
        <v>45596</v>
      </c>
      <c r="C3896" s="1" t="s">
        <v>2326</v>
      </c>
      <c r="D3896" s="1" t="s">
        <v>2327</v>
      </c>
      <c r="E3896" s="1" t="s">
        <v>37</v>
      </c>
      <c r="F3896" s="1" t="s">
        <v>228</v>
      </c>
      <c r="G3896" s="1" t="s">
        <v>229</v>
      </c>
      <c r="H3896" s="1" t="s">
        <v>48</v>
      </c>
      <c r="I3896">
        <v>1478</v>
      </c>
      <c r="J3896" s="3">
        <v>30.01</v>
      </c>
      <c r="K3896" s="3">
        <v>44354.78</v>
      </c>
    </row>
    <row r="3897" spans="1:11" x14ac:dyDescent="0.2">
      <c r="A3897" s="1" t="s">
        <v>5015</v>
      </c>
      <c r="B3897" s="2">
        <v>45305</v>
      </c>
      <c r="C3897" s="1" t="s">
        <v>1220</v>
      </c>
      <c r="D3897" s="1" t="s">
        <v>1221</v>
      </c>
      <c r="E3897" s="1" t="s">
        <v>34</v>
      </c>
      <c r="F3897" s="1" t="s">
        <v>52</v>
      </c>
      <c r="G3897" s="1" t="s">
        <v>53</v>
      </c>
      <c r="H3897" s="1" t="s">
        <v>17</v>
      </c>
      <c r="I3897">
        <v>5312</v>
      </c>
      <c r="J3897" s="3">
        <v>49.57</v>
      </c>
      <c r="K3897" s="3">
        <v>263315.84000000003</v>
      </c>
    </row>
    <row r="3898" spans="1:11" x14ac:dyDescent="0.2">
      <c r="A3898" s="1" t="s">
        <v>5016</v>
      </c>
      <c r="B3898" s="2">
        <v>45763</v>
      </c>
      <c r="C3898" s="1" t="s">
        <v>1630</v>
      </c>
      <c r="D3898" s="1" t="s">
        <v>1631</v>
      </c>
      <c r="E3898" s="1" t="s">
        <v>37</v>
      </c>
      <c r="F3898" s="1" t="s">
        <v>268</v>
      </c>
      <c r="G3898" s="1" t="s">
        <v>269</v>
      </c>
      <c r="H3898" s="1" t="s">
        <v>72</v>
      </c>
      <c r="I3898">
        <v>52568</v>
      </c>
      <c r="J3898" s="3">
        <v>36.29</v>
      </c>
      <c r="K3898" s="3">
        <v>1907692.72</v>
      </c>
    </row>
    <row r="3899" spans="1:11" x14ac:dyDescent="0.2">
      <c r="A3899" s="1" t="s">
        <v>5017</v>
      </c>
      <c r="B3899" s="2">
        <v>45695</v>
      </c>
      <c r="C3899" s="1" t="s">
        <v>1064</v>
      </c>
      <c r="D3899" s="1" t="s">
        <v>1065</v>
      </c>
      <c r="E3899" s="1" t="s">
        <v>14</v>
      </c>
      <c r="F3899" s="1" t="s">
        <v>152</v>
      </c>
      <c r="G3899" s="1" t="s">
        <v>153</v>
      </c>
      <c r="H3899" s="1" t="s">
        <v>17</v>
      </c>
      <c r="I3899">
        <v>7540</v>
      </c>
      <c r="J3899" s="3">
        <v>35.28</v>
      </c>
      <c r="K3899" s="3">
        <v>266011.2</v>
      </c>
    </row>
    <row r="3900" spans="1:11" x14ac:dyDescent="0.2">
      <c r="A3900" s="1" t="s">
        <v>5018</v>
      </c>
      <c r="B3900" s="2">
        <v>45325</v>
      </c>
      <c r="C3900" s="1" t="s">
        <v>2363</v>
      </c>
      <c r="D3900" s="1" t="s">
        <v>2364</v>
      </c>
      <c r="E3900" s="1" t="s">
        <v>14</v>
      </c>
      <c r="F3900" s="1" t="s">
        <v>176</v>
      </c>
      <c r="G3900" s="1" t="s">
        <v>177</v>
      </c>
      <c r="H3900" s="1" t="s">
        <v>37</v>
      </c>
      <c r="I3900">
        <v>96930</v>
      </c>
      <c r="J3900" s="3">
        <v>19.93</v>
      </c>
      <c r="K3900" s="3">
        <v>1931814.9</v>
      </c>
    </row>
    <row r="3901" spans="1:11" x14ac:dyDescent="0.2">
      <c r="A3901" s="1" t="s">
        <v>5019</v>
      </c>
      <c r="B3901" s="2">
        <v>45465</v>
      </c>
      <c r="C3901" s="1" t="s">
        <v>823</v>
      </c>
      <c r="D3901" s="1" t="s">
        <v>824</v>
      </c>
      <c r="E3901" s="1" t="s">
        <v>21</v>
      </c>
      <c r="F3901" s="1" t="s">
        <v>189</v>
      </c>
      <c r="G3901" s="1" t="s">
        <v>190</v>
      </c>
      <c r="H3901" s="1" t="s">
        <v>17</v>
      </c>
      <c r="I3901">
        <v>28146</v>
      </c>
      <c r="J3901" s="3">
        <v>42.01</v>
      </c>
      <c r="K3901" s="3">
        <v>1182413.46</v>
      </c>
    </row>
    <row r="3902" spans="1:11" x14ac:dyDescent="0.2">
      <c r="A3902" s="1" t="s">
        <v>5020</v>
      </c>
      <c r="B3902" s="2">
        <v>45361</v>
      </c>
      <c r="C3902" s="1" t="s">
        <v>1474</v>
      </c>
      <c r="D3902" s="1" t="s">
        <v>1475</v>
      </c>
      <c r="E3902" s="1" t="s">
        <v>28</v>
      </c>
      <c r="F3902" s="1" t="s">
        <v>339</v>
      </c>
      <c r="G3902" s="1" t="s">
        <v>340</v>
      </c>
      <c r="H3902" s="1" t="s">
        <v>24</v>
      </c>
      <c r="I3902">
        <v>86985</v>
      </c>
      <c r="J3902" s="3">
        <v>14.9</v>
      </c>
      <c r="K3902" s="3">
        <v>1296076.5</v>
      </c>
    </row>
    <row r="3903" spans="1:11" x14ac:dyDescent="0.2">
      <c r="A3903" s="1" t="s">
        <v>5021</v>
      </c>
      <c r="B3903" s="2">
        <v>45521</v>
      </c>
      <c r="C3903" s="1" t="s">
        <v>2597</v>
      </c>
      <c r="D3903" s="1" t="s">
        <v>2598</v>
      </c>
      <c r="E3903" s="1" t="s">
        <v>21</v>
      </c>
      <c r="F3903" s="1" t="s">
        <v>184</v>
      </c>
      <c r="G3903" s="1" t="s">
        <v>185</v>
      </c>
      <c r="H3903" s="1" t="s">
        <v>17</v>
      </c>
      <c r="I3903">
        <v>29070</v>
      </c>
      <c r="J3903" s="3">
        <v>34.630000000000003</v>
      </c>
      <c r="K3903" s="3">
        <v>1006694.1</v>
      </c>
    </row>
    <row r="3904" spans="1:11" x14ac:dyDescent="0.2">
      <c r="A3904" s="1" t="s">
        <v>5022</v>
      </c>
      <c r="B3904" s="2">
        <v>45802</v>
      </c>
      <c r="C3904" s="1" t="s">
        <v>1039</v>
      </c>
      <c r="D3904" s="1" t="s">
        <v>1040</v>
      </c>
      <c r="E3904" s="1" t="s">
        <v>14</v>
      </c>
      <c r="F3904" s="1" t="s">
        <v>81</v>
      </c>
      <c r="G3904" s="1" t="s">
        <v>82</v>
      </c>
      <c r="H3904" s="1" t="s">
        <v>72</v>
      </c>
      <c r="I3904">
        <v>91918</v>
      </c>
      <c r="J3904" s="3">
        <v>29.57</v>
      </c>
      <c r="K3904" s="3">
        <v>2718015.26</v>
      </c>
    </row>
    <row r="3905" spans="1:11" x14ac:dyDescent="0.2">
      <c r="A3905" s="1" t="s">
        <v>5023</v>
      </c>
      <c r="B3905" s="2">
        <v>45583</v>
      </c>
      <c r="C3905" s="1" t="s">
        <v>388</v>
      </c>
      <c r="D3905" s="1" t="s">
        <v>389</v>
      </c>
      <c r="E3905" s="1" t="s">
        <v>14</v>
      </c>
      <c r="F3905" s="1" t="s">
        <v>52</v>
      </c>
      <c r="G3905" s="1" t="s">
        <v>53</v>
      </c>
      <c r="H3905" s="1" t="s">
        <v>17</v>
      </c>
      <c r="I3905">
        <v>78304</v>
      </c>
      <c r="J3905" s="3">
        <v>21.78</v>
      </c>
      <c r="K3905" s="3">
        <v>1705461.12</v>
      </c>
    </row>
    <row r="3906" spans="1:11" x14ac:dyDescent="0.2">
      <c r="A3906" s="1" t="s">
        <v>5024</v>
      </c>
      <c r="B3906" s="2">
        <v>45870</v>
      </c>
      <c r="C3906" s="1" t="s">
        <v>920</v>
      </c>
      <c r="D3906" s="1" t="s">
        <v>921</v>
      </c>
      <c r="E3906" s="1" t="s">
        <v>14</v>
      </c>
      <c r="F3906" s="1" t="s">
        <v>195</v>
      </c>
      <c r="G3906" s="1" t="s">
        <v>196</v>
      </c>
      <c r="H3906" s="1" t="s">
        <v>48</v>
      </c>
      <c r="I3906">
        <v>70661</v>
      </c>
      <c r="J3906" s="3">
        <v>19.07</v>
      </c>
      <c r="K3906" s="3">
        <v>1347505.27</v>
      </c>
    </row>
    <row r="3907" spans="1:11" x14ac:dyDescent="0.2">
      <c r="A3907" s="1" t="s">
        <v>5025</v>
      </c>
      <c r="B3907" s="2">
        <v>45759</v>
      </c>
      <c r="C3907" s="1" t="s">
        <v>279</v>
      </c>
      <c r="D3907" s="1" t="s">
        <v>280</v>
      </c>
      <c r="E3907" s="1" t="s">
        <v>37</v>
      </c>
      <c r="F3907" s="1" t="s">
        <v>237</v>
      </c>
      <c r="G3907" s="1" t="s">
        <v>238</v>
      </c>
      <c r="H3907" s="1" t="s">
        <v>17</v>
      </c>
      <c r="I3907">
        <v>17709</v>
      </c>
      <c r="J3907" s="3">
        <v>14.79</v>
      </c>
      <c r="K3907" s="3">
        <v>261916.11</v>
      </c>
    </row>
    <row r="3908" spans="1:11" x14ac:dyDescent="0.2">
      <c r="A3908" s="1" t="s">
        <v>5026</v>
      </c>
      <c r="B3908" s="2">
        <v>45345</v>
      </c>
      <c r="C3908" s="1" t="s">
        <v>182</v>
      </c>
      <c r="D3908" s="1" t="s">
        <v>183</v>
      </c>
      <c r="E3908" s="1" t="s">
        <v>14</v>
      </c>
      <c r="F3908" s="1" t="s">
        <v>251</v>
      </c>
      <c r="G3908" s="1" t="s">
        <v>252</v>
      </c>
      <c r="H3908" s="1" t="s">
        <v>72</v>
      </c>
      <c r="I3908">
        <v>56517</v>
      </c>
      <c r="J3908" s="3">
        <v>34.17</v>
      </c>
      <c r="K3908" s="3">
        <v>1931185.89</v>
      </c>
    </row>
    <row r="3909" spans="1:11" x14ac:dyDescent="0.2">
      <c r="A3909" s="1" t="s">
        <v>5027</v>
      </c>
      <c r="B3909" s="2">
        <v>45804</v>
      </c>
      <c r="C3909" s="1" t="s">
        <v>1662</v>
      </c>
      <c r="D3909" s="1" t="s">
        <v>1663</v>
      </c>
      <c r="E3909" s="1" t="s">
        <v>37</v>
      </c>
      <c r="F3909" s="1" t="s">
        <v>263</v>
      </c>
      <c r="G3909" s="1" t="s">
        <v>264</v>
      </c>
      <c r="H3909" s="1" t="s">
        <v>17</v>
      </c>
      <c r="I3909">
        <v>37571</v>
      </c>
      <c r="J3909" s="3">
        <v>26.16</v>
      </c>
      <c r="K3909" s="3">
        <v>982857.36</v>
      </c>
    </row>
    <row r="3910" spans="1:11" x14ac:dyDescent="0.2">
      <c r="A3910" s="1" t="s">
        <v>5028</v>
      </c>
      <c r="B3910" s="2">
        <v>45590</v>
      </c>
      <c r="C3910" s="1" t="s">
        <v>1894</v>
      </c>
      <c r="D3910" s="1" t="s">
        <v>1895</v>
      </c>
      <c r="E3910" s="1" t="s">
        <v>28</v>
      </c>
      <c r="F3910" s="1" t="s">
        <v>273</v>
      </c>
      <c r="G3910" s="1" t="s">
        <v>274</v>
      </c>
      <c r="H3910" s="1" t="s">
        <v>24</v>
      </c>
      <c r="I3910">
        <v>4026</v>
      </c>
      <c r="J3910" s="3">
        <v>5.2</v>
      </c>
      <c r="K3910" s="3">
        <v>20935.2</v>
      </c>
    </row>
    <row r="3911" spans="1:11" x14ac:dyDescent="0.2">
      <c r="A3911" s="1" t="s">
        <v>5029</v>
      </c>
      <c r="B3911" s="2">
        <v>45650</v>
      </c>
      <c r="C3911" s="1" t="s">
        <v>1658</v>
      </c>
      <c r="D3911" s="1" t="s">
        <v>1659</v>
      </c>
      <c r="E3911" s="1" t="s">
        <v>28</v>
      </c>
      <c r="F3911" s="1" t="s">
        <v>165</v>
      </c>
      <c r="G3911" s="1" t="s">
        <v>166</v>
      </c>
      <c r="H3911" s="1" t="s">
        <v>24</v>
      </c>
      <c r="I3911">
        <v>44288</v>
      </c>
      <c r="J3911" s="3">
        <v>33.880000000000003</v>
      </c>
      <c r="K3911" s="3">
        <v>1500477.4399999999</v>
      </c>
    </row>
    <row r="3912" spans="1:11" x14ac:dyDescent="0.2">
      <c r="A3912" s="1" t="s">
        <v>5030</v>
      </c>
      <c r="B3912" s="2">
        <v>45945</v>
      </c>
      <c r="C3912" s="1" t="s">
        <v>1393</v>
      </c>
      <c r="D3912" s="1" t="s">
        <v>1394</v>
      </c>
      <c r="E3912" s="1" t="s">
        <v>28</v>
      </c>
      <c r="F3912" s="1" t="s">
        <v>46</v>
      </c>
      <c r="G3912" s="1" t="s">
        <v>47</v>
      </c>
      <c r="H3912" s="1" t="s">
        <v>48</v>
      </c>
      <c r="I3912">
        <v>2722</v>
      </c>
      <c r="J3912" s="3">
        <v>19.850000000000001</v>
      </c>
      <c r="K3912" s="3">
        <v>54031.7</v>
      </c>
    </row>
    <row r="3913" spans="1:11" x14ac:dyDescent="0.2">
      <c r="A3913" s="1" t="s">
        <v>5031</v>
      </c>
      <c r="B3913" s="2">
        <v>45550</v>
      </c>
      <c r="C3913" s="1" t="s">
        <v>119</v>
      </c>
      <c r="D3913" s="1" t="s">
        <v>120</v>
      </c>
      <c r="E3913" s="1" t="s">
        <v>28</v>
      </c>
      <c r="F3913" s="1" t="s">
        <v>157</v>
      </c>
      <c r="G3913" s="1" t="s">
        <v>158</v>
      </c>
      <c r="H3913" s="1" t="s">
        <v>48</v>
      </c>
      <c r="I3913">
        <v>3573</v>
      </c>
      <c r="J3913" s="3">
        <v>8.44</v>
      </c>
      <c r="K3913" s="3">
        <v>30156.12</v>
      </c>
    </row>
    <row r="3914" spans="1:11" x14ac:dyDescent="0.2">
      <c r="A3914" s="1" t="s">
        <v>5032</v>
      </c>
      <c r="B3914" s="2">
        <v>45490</v>
      </c>
      <c r="C3914" s="1" t="s">
        <v>2628</v>
      </c>
      <c r="D3914" s="1" t="s">
        <v>2629</v>
      </c>
      <c r="E3914" s="1" t="s">
        <v>14</v>
      </c>
      <c r="F3914" s="1" t="s">
        <v>113</v>
      </c>
      <c r="G3914" s="1" t="s">
        <v>114</v>
      </c>
      <c r="H3914" s="1" t="s">
        <v>37</v>
      </c>
      <c r="I3914">
        <v>36699</v>
      </c>
      <c r="J3914" s="3">
        <v>18.93</v>
      </c>
      <c r="K3914" s="3">
        <v>694712.07</v>
      </c>
    </row>
    <row r="3915" spans="1:11" x14ac:dyDescent="0.2">
      <c r="A3915" s="1" t="s">
        <v>5033</v>
      </c>
      <c r="B3915" s="2">
        <v>45298</v>
      </c>
      <c r="C3915" s="1" t="s">
        <v>698</v>
      </c>
      <c r="D3915" s="1" t="s">
        <v>699</v>
      </c>
      <c r="E3915" s="1" t="s">
        <v>28</v>
      </c>
      <c r="F3915" s="1" t="s">
        <v>108</v>
      </c>
      <c r="G3915" s="1" t="s">
        <v>109</v>
      </c>
      <c r="H3915" s="1" t="s">
        <v>37</v>
      </c>
      <c r="I3915">
        <v>88254</v>
      </c>
      <c r="J3915" s="3">
        <v>45.18</v>
      </c>
      <c r="K3915" s="3">
        <v>3987315.72</v>
      </c>
    </row>
    <row r="3916" spans="1:11" x14ac:dyDescent="0.2">
      <c r="A3916" s="1" t="s">
        <v>5034</v>
      </c>
      <c r="B3916" s="2">
        <v>45678</v>
      </c>
      <c r="C3916" s="1" t="s">
        <v>147</v>
      </c>
      <c r="D3916" s="1" t="s">
        <v>148</v>
      </c>
      <c r="E3916" s="1" t="s">
        <v>37</v>
      </c>
      <c r="F3916" s="1" t="s">
        <v>324</v>
      </c>
      <c r="G3916" s="1" t="s">
        <v>325</v>
      </c>
      <c r="H3916" s="1" t="s">
        <v>24</v>
      </c>
      <c r="I3916">
        <v>26787</v>
      </c>
      <c r="J3916" s="3">
        <v>23.67</v>
      </c>
      <c r="K3916" s="3">
        <v>634048.29</v>
      </c>
    </row>
    <row r="3917" spans="1:11" x14ac:dyDescent="0.2">
      <c r="A3917" s="1" t="s">
        <v>5035</v>
      </c>
      <c r="B3917" s="2">
        <v>45313</v>
      </c>
      <c r="C3917" s="1" t="s">
        <v>359</v>
      </c>
      <c r="D3917" s="1" t="s">
        <v>360</v>
      </c>
      <c r="E3917" s="1" t="s">
        <v>34</v>
      </c>
      <c r="F3917" s="1" t="s">
        <v>217</v>
      </c>
      <c r="G3917" s="1" t="s">
        <v>218</v>
      </c>
      <c r="H3917" s="1" t="s">
        <v>72</v>
      </c>
      <c r="I3917">
        <v>95405</v>
      </c>
      <c r="J3917" s="3">
        <v>18.41</v>
      </c>
      <c r="K3917" s="3">
        <v>1756406.05</v>
      </c>
    </row>
    <row r="3918" spans="1:11" x14ac:dyDescent="0.2">
      <c r="A3918" s="1" t="s">
        <v>5036</v>
      </c>
      <c r="B3918" s="2">
        <v>45390</v>
      </c>
      <c r="C3918" s="1" t="s">
        <v>1626</v>
      </c>
      <c r="D3918" s="1" t="s">
        <v>1627</v>
      </c>
      <c r="E3918" s="1" t="s">
        <v>34</v>
      </c>
      <c r="F3918" s="1" t="s">
        <v>474</v>
      </c>
      <c r="G3918" s="1" t="s">
        <v>475</v>
      </c>
      <c r="H3918" s="1" t="s">
        <v>48</v>
      </c>
      <c r="I3918">
        <v>68040</v>
      </c>
      <c r="J3918" s="3">
        <v>16.43</v>
      </c>
      <c r="K3918" s="3">
        <v>1117897.2</v>
      </c>
    </row>
    <row r="3919" spans="1:11" x14ac:dyDescent="0.2">
      <c r="A3919" s="1" t="s">
        <v>5037</v>
      </c>
      <c r="B3919" s="2">
        <v>45933</v>
      </c>
      <c r="C3919" s="1" t="s">
        <v>1014</v>
      </c>
      <c r="D3919" s="1" t="s">
        <v>1015</v>
      </c>
      <c r="E3919" s="1" t="s">
        <v>34</v>
      </c>
      <c r="F3919" s="1" t="s">
        <v>108</v>
      </c>
      <c r="G3919" s="1" t="s">
        <v>109</v>
      </c>
      <c r="H3919" s="1" t="s">
        <v>37</v>
      </c>
      <c r="I3919">
        <v>22085</v>
      </c>
      <c r="J3919" s="3">
        <v>48.48</v>
      </c>
      <c r="K3919" s="3">
        <v>1070680.8</v>
      </c>
    </row>
    <row r="3920" spans="1:11" x14ac:dyDescent="0.2">
      <c r="A3920" s="1" t="s">
        <v>5038</v>
      </c>
      <c r="B3920" s="2">
        <v>45351</v>
      </c>
      <c r="C3920" s="1" t="s">
        <v>1591</v>
      </c>
      <c r="D3920" s="1" t="s">
        <v>1592</v>
      </c>
      <c r="E3920" s="1" t="s">
        <v>34</v>
      </c>
      <c r="F3920" s="1" t="s">
        <v>195</v>
      </c>
      <c r="G3920" s="1" t="s">
        <v>196</v>
      </c>
      <c r="H3920" s="1" t="s">
        <v>48</v>
      </c>
      <c r="I3920">
        <v>47157</v>
      </c>
      <c r="J3920" s="3">
        <v>33.08</v>
      </c>
      <c r="K3920" s="3">
        <v>1559953.56</v>
      </c>
    </row>
    <row r="3921" spans="1:11" x14ac:dyDescent="0.2">
      <c r="A3921" s="1" t="s">
        <v>5039</v>
      </c>
      <c r="B3921" s="2">
        <v>45718</v>
      </c>
      <c r="C3921" s="1" t="s">
        <v>2418</v>
      </c>
      <c r="D3921" s="1" t="s">
        <v>2419</v>
      </c>
      <c r="E3921" s="1" t="s">
        <v>37</v>
      </c>
      <c r="F3921" s="1" t="s">
        <v>139</v>
      </c>
      <c r="G3921" s="1" t="s">
        <v>140</v>
      </c>
      <c r="H3921" s="1" t="s">
        <v>24</v>
      </c>
      <c r="I3921">
        <v>22891</v>
      </c>
      <c r="J3921" s="3">
        <v>18.649999999999999</v>
      </c>
      <c r="K3921" s="3">
        <v>426917.15</v>
      </c>
    </row>
    <row r="3922" spans="1:11" x14ac:dyDescent="0.2">
      <c r="A3922" s="1" t="s">
        <v>5040</v>
      </c>
      <c r="B3922" s="2">
        <v>45795</v>
      </c>
      <c r="C3922" s="1" t="s">
        <v>388</v>
      </c>
      <c r="D3922" s="1" t="s">
        <v>389</v>
      </c>
      <c r="E3922" s="1" t="s">
        <v>14</v>
      </c>
      <c r="F3922" s="1" t="s">
        <v>406</v>
      </c>
      <c r="G3922" s="1" t="s">
        <v>407</v>
      </c>
      <c r="H3922" s="1" t="s">
        <v>17</v>
      </c>
      <c r="I3922">
        <v>45348</v>
      </c>
      <c r="J3922" s="3">
        <v>30.62</v>
      </c>
      <c r="K3922" s="3">
        <v>1388555.76</v>
      </c>
    </row>
    <row r="3923" spans="1:11" x14ac:dyDescent="0.2">
      <c r="A3923" s="1" t="s">
        <v>5041</v>
      </c>
      <c r="B3923" s="2">
        <v>45922</v>
      </c>
      <c r="C3923" s="1" t="s">
        <v>276</v>
      </c>
      <c r="D3923" s="1" t="s">
        <v>277</v>
      </c>
      <c r="E3923" s="1" t="s">
        <v>34</v>
      </c>
      <c r="F3923" s="1" t="s">
        <v>195</v>
      </c>
      <c r="G3923" s="1" t="s">
        <v>196</v>
      </c>
      <c r="H3923" s="1" t="s">
        <v>48</v>
      </c>
      <c r="I3923">
        <v>76608</v>
      </c>
      <c r="J3923" s="3">
        <v>45.07</v>
      </c>
      <c r="K3923" s="3">
        <v>3452722.56</v>
      </c>
    </row>
    <row r="3924" spans="1:11" x14ac:dyDescent="0.2">
      <c r="A3924" s="1" t="s">
        <v>5042</v>
      </c>
      <c r="B3924" s="2">
        <v>45303</v>
      </c>
      <c r="C3924" s="1" t="s">
        <v>871</v>
      </c>
      <c r="D3924" s="1" t="s">
        <v>872</v>
      </c>
      <c r="E3924" s="1" t="s">
        <v>14</v>
      </c>
      <c r="F3924" s="1" t="s">
        <v>41</v>
      </c>
      <c r="G3924" s="1" t="s">
        <v>42</v>
      </c>
      <c r="H3924" s="1" t="s">
        <v>24</v>
      </c>
      <c r="I3924">
        <v>17356</v>
      </c>
      <c r="J3924" s="3">
        <v>17.5</v>
      </c>
      <c r="K3924" s="3">
        <v>303730</v>
      </c>
    </row>
    <row r="3925" spans="1:11" x14ac:dyDescent="0.2">
      <c r="A3925" s="1" t="s">
        <v>5043</v>
      </c>
      <c r="B3925" s="2">
        <v>45945</v>
      </c>
      <c r="C3925" s="1" t="s">
        <v>223</v>
      </c>
      <c r="D3925" s="1" t="s">
        <v>224</v>
      </c>
      <c r="E3925" s="1" t="s">
        <v>28</v>
      </c>
      <c r="F3925" s="1" t="s">
        <v>65</v>
      </c>
      <c r="G3925" s="1" t="s">
        <v>66</v>
      </c>
      <c r="H3925" s="1" t="s">
        <v>48</v>
      </c>
      <c r="I3925">
        <v>15906</v>
      </c>
      <c r="J3925" s="3">
        <v>18.329999999999998</v>
      </c>
      <c r="K3925" s="3">
        <v>291556.98</v>
      </c>
    </row>
    <row r="3926" spans="1:11" x14ac:dyDescent="0.2">
      <c r="A3926" s="1" t="s">
        <v>5044</v>
      </c>
      <c r="B3926" s="2">
        <v>45991</v>
      </c>
      <c r="C3926" s="1" t="s">
        <v>1454</v>
      </c>
      <c r="D3926" s="1" t="s">
        <v>1455</v>
      </c>
      <c r="E3926" s="1" t="s">
        <v>37</v>
      </c>
      <c r="F3926" s="1" t="s">
        <v>76</v>
      </c>
      <c r="G3926" s="1" t="s">
        <v>77</v>
      </c>
      <c r="H3926" s="1" t="s">
        <v>48</v>
      </c>
      <c r="I3926">
        <v>20990</v>
      </c>
      <c r="J3926" s="3">
        <v>11.96</v>
      </c>
      <c r="K3926" s="3">
        <v>251040.4</v>
      </c>
    </row>
    <row r="3927" spans="1:11" x14ac:dyDescent="0.2">
      <c r="A3927" s="1" t="s">
        <v>5045</v>
      </c>
      <c r="B3927" s="2">
        <v>45813</v>
      </c>
      <c r="C3927" s="1" t="s">
        <v>359</v>
      </c>
      <c r="D3927" s="1" t="s">
        <v>360</v>
      </c>
      <c r="E3927" s="1" t="s">
        <v>34</v>
      </c>
      <c r="F3927" s="1" t="s">
        <v>189</v>
      </c>
      <c r="G3927" s="1" t="s">
        <v>190</v>
      </c>
      <c r="H3927" s="1" t="s">
        <v>17</v>
      </c>
      <c r="I3927">
        <v>27817</v>
      </c>
      <c r="J3927" s="3">
        <v>23.25</v>
      </c>
      <c r="K3927" s="3">
        <v>646745.25</v>
      </c>
    </row>
    <row r="3928" spans="1:11" x14ac:dyDescent="0.2">
      <c r="A3928" s="1" t="s">
        <v>5046</v>
      </c>
      <c r="B3928" s="2">
        <v>45547</v>
      </c>
      <c r="C3928" s="1" t="s">
        <v>478</v>
      </c>
      <c r="D3928" s="1" t="s">
        <v>479</v>
      </c>
      <c r="E3928" s="1" t="s">
        <v>34</v>
      </c>
      <c r="F3928" s="1" t="s">
        <v>46</v>
      </c>
      <c r="G3928" s="1" t="s">
        <v>47</v>
      </c>
      <c r="H3928" s="1" t="s">
        <v>48</v>
      </c>
      <c r="I3928">
        <v>72103</v>
      </c>
      <c r="J3928" s="3">
        <v>12.98</v>
      </c>
      <c r="K3928" s="3">
        <v>935896.94</v>
      </c>
    </row>
    <row r="3929" spans="1:11" x14ac:dyDescent="0.2">
      <c r="A3929" s="1" t="s">
        <v>5047</v>
      </c>
      <c r="B3929" s="2">
        <v>45886</v>
      </c>
      <c r="C3929" s="1" t="s">
        <v>257</v>
      </c>
      <c r="D3929" s="1" t="s">
        <v>258</v>
      </c>
      <c r="E3929" s="1" t="s">
        <v>28</v>
      </c>
      <c r="F3929" s="1" t="s">
        <v>176</v>
      </c>
      <c r="G3929" s="1" t="s">
        <v>177</v>
      </c>
      <c r="H3929" s="1" t="s">
        <v>37</v>
      </c>
      <c r="I3929">
        <v>40447</v>
      </c>
      <c r="J3929" s="3">
        <v>32.39</v>
      </c>
      <c r="K3929" s="3">
        <v>1310078.33</v>
      </c>
    </row>
    <row r="3930" spans="1:11" x14ac:dyDescent="0.2">
      <c r="A3930" s="1" t="s">
        <v>5048</v>
      </c>
      <c r="B3930" s="2">
        <v>45650</v>
      </c>
      <c r="C3930" s="1" t="s">
        <v>1004</v>
      </c>
      <c r="D3930" s="1" t="s">
        <v>1005</v>
      </c>
      <c r="E3930" s="1" t="s">
        <v>21</v>
      </c>
      <c r="F3930" s="1" t="s">
        <v>165</v>
      </c>
      <c r="G3930" s="1" t="s">
        <v>166</v>
      </c>
      <c r="H3930" s="1" t="s">
        <v>24</v>
      </c>
      <c r="I3930">
        <v>63175</v>
      </c>
      <c r="J3930" s="3">
        <v>27.4</v>
      </c>
      <c r="K3930" s="3">
        <v>1730995</v>
      </c>
    </row>
    <row r="3931" spans="1:11" x14ac:dyDescent="0.2">
      <c r="A3931" s="1" t="s">
        <v>5049</v>
      </c>
      <c r="B3931" s="2">
        <v>45557</v>
      </c>
      <c r="C3931" s="1" t="s">
        <v>2472</v>
      </c>
      <c r="D3931" s="1" t="s">
        <v>2473</v>
      </c>
      <c r="E3931" s="1" t="s">
        <v>28</v>
      </c>
      <c r="F3931" s="1" t="s">
        <v>103</v>
      </c>
      <c r="G3931" s="1" t="s">
        <v>104</v>
      </c>
      <c r="H3931" s="1" t="s">
        <v>37</v>
      </c>
      <c r="I3931">
        <v>20500</v>
      </c>
      <c r="J3931" s="3">
        <v>8.32</v>
      </c>
      <c r="K3931" s="3">
        <v>170560</v>
      </c>
    </row>
    <row r="3932" spans="1:11" x14ac:dyDescent="0.2">
      <c r="A3932" s="1" t="s">
        <v>5050</v>
      </c>
      <c r="B3932" s="2">
        <v>45439</v>
      </c>
      <c r="C3932" s="1" t="s">
        <v>901</v>
      </c>
      <c r="D3932" s="1" t="s">
        <v>902</v>
      </c>
      <c r="E3932" s="1" t="s">
        <v>21</v>
      </c>
      <c r="F3932" s="1" t="s">
        <v>113</v>
      </c>
      <c r="G3932" s="1" t="s">
        <v>114</v>
      </c>
      <c r="H3932" s="1" t="s">
        <v>37</v>
      </c>
      <c r="I3932">
        <v>94775</v>
      </c>
      <c r="J3932" s="3">
        <v>37.630000000000003</v>
      </c>
      <c r="K3932" s="3">
        <v>3566383.25</v>
      </c>
    </row>
    <row r="3933" spans="1:11" x14ac:dyDescent="0.2">
      <c r="A3933" s="1" t="s">
        <v>5051</v>
      </c>
      <c r="B3933" s="2">
        <v>46007</v>
      </c>
      <c r="C3933" s="1" t="s">
        <v>1368</v>
      </c>
      <c r="D3933" s="1" t="s">
        <v>1369</v>
      </c>
      <c r="E3933" s="1" t="s">
        <v>28</v>
      </c>
      <c r="F3933" s="1" t="s">
        <v>474</v>
      </c>
      <c r="G3933" s="1" t="s">
        <v>475</v>
      </c>
      <c r="H3933" s="1" t="s">
        <v>48</v>
      </c>
      <c r="I3933">
        <v>89124</v>
      </c>
      <c r="J3933" s="3">
        <v>38.65</v>
      </c>
      <c r="K3933" s="3">
        <v>3444642.6</v>
      </c>
    </row>
    <row r="3934" spans="1:11" x14ac:dyDescent="0.2">
      <c r="A3934" s="1" t="s">
        <v>5052</v>
      </c>
      <c r="B3934" s="2">
        <v>45444</v>
      </c>
      <c r="C3934" s="1" t="s">
        <v>307</v>
      </c>
      <c r="D3934" s="1" t="s">
        <v>308</v>
      </c>
      <c r="E3934" s="1" t="s">
        <v>14</v>
      </c>
      <c r="F3934" s="1" t="s">
        <v>251</v>
      </c>
      <c r="G3934" s="1" t="s">
        <v>252</v>
      </c>
      <c r="H3934" s="1" t="s">
        <v>72</v>
      </c>
      <c r="I3934">
        <v>1009</v>
      </c>
      <c r="J3934" s="3">
        <v>35.799999999999997</v>
      </c>
      <c r="K3934" s="3">
        <v>36122.199999999997</v>
      </c>
    </row>
    <row r="3935" spans="1:11" x14ac:dyDescent="0.2">
      <c r="A3935" s="1" t="s">
        <v>5053</v>
      </c>
      <c r="B3935" s="2">
        <v>45796</v>
      </c>
      <c r="C3935" s="1" t="s">
        <v>1885</v>
      </c>
      <c r="D3935" s="1" t="s">
        <v>1886</v>
      </c>
      <c r="E3935" s="1" t="s">
        <v>28</v>
      </c>
      <c r="F3935" s="1" t="s">
        <v>412</v>
      </c>
      <c r="G3935" s="1" t="s">
        <v>413</v>
      </c>
      <c r="H3935" s="1" t="s">
        <v>72</v>
      </c>
      <c r="I3935">
        <v>61840</v>
      </c>
      <c r="J3935" s="3">
        <v>33.35</v>
      </c>
      <c r="K3935" s="3">
        <v>2062364</v>
      </c>
    </row>
    <row r="3936" spans="1:11" x14ac:dyDescent="0.2">
      <c r="A3936" s="1" t="s">
        <v>5054</v>
      </c>
      <c r="B3936" s="2">
        <v>45403</v>
      </c>
      <c r="C3936" s="1" t="s">
        <v>1701</v>
      </c>
      <c r="D3936" s="1" t="s">
        <v>1702</v>
      </c>
      <c r="E3936" s="1" t="s">
        <v>34</v>
      </c>
      <c r="F3936" s="1" t="s">
        <v>263</v>
      </c>
      <c r="G3936" s="1" t="s">
        <v>264</v>
      </c>
      <c r="H3936" s="1" t="s">
        <v>17</v>
      </c>
      <c r="I3936">
        <v>2773</v>
      </c>
      <c r="J3936" s="3">
        <v>14.81</v>
      </c>
      <c r="K3936" s="3">
        <v>41068.129999999997</v>
      </c>
    </row>
    <row r="3937" spans="1:11" x14ac:dyDescent="0.2">
      <c r="A3937" s="1" t="s">
        <v>5055</v>
      </c>
      <c r="B3937" s="2">
        <v>45492</v>
      </c>
      <c r="C3937" s="1" t="s">
        <v>1489</v>
      </c>
      <c r="D3937" s="1" t="s">
        <v>1490</v>
      </c>
      <c r="E3937" s="1" t="s">
        <v>37</v>
      </c>
      <c r="F3937" s="1" t="s">
        <v>176</v>
      </c>
      <c r="G3937" s="1" t="s">
        <v>177</v>
      </c>
      <c r="H3937" s="1" t="s">
        <v>37</v>
      </c>
      <c r="I3937">
        <v>38088</v>
      </c>
      <c r="J3937" s="3">
        <v>10.92</v>
      </c>
      <c r="K3937" s="3">
        <v>415920.96</v>
      </c>
    </row>
    <row r="3938" spans="1:11" x14ac:dyDescent="0.2">
      <c r="A3938" s="1" t="s">
        <v>5056</v>
      </c>
      <c r="B3938" s="2">
        <v>45710</v>
      </c>
      <c r="C3938" s="1" t="s">
        <v>220</v>
      </c>
      <c r="D3938" s="1" t="s">
        <v>221</v>
      </c>
      <c r="E3938" s="1" t="s">
        <v>21</v>
      </c>
      <c r="F3938" s="1" t="s">
        <v>263</v>
      </c>
      <c r="G3938" s="1" t="s">
        <v>264</v>
      </c>
      <c r="H3938" s="1" t="s">
        <v>17</v>
      </c>
      <c r="I3938">
        <v>87208</v>
      </c>
      <c r="J3938" s="3">
        <v>21.96</v>
      </c>
      <c r="K3938" s="3">
        <v>1915087.68</v>
      </c>
    </row>
    <row r="3939" spans="1:11" x14ac:dyDescent="0.2">
      <c r="A3939" s="1" t="s">
        <v>5057</v>
      </c>
      <c r="B3939" s="2">
        <v>45737</v>
      </c>
      <c r="C3939" s="1" t="s">
        <v>702</v>
      </c>
      <c r="D3939" s="1" t="s">
        <v>703</v>
      </c>
      <c r="E3939" s="1" t="s">
        <v>34</v>
      </c>
      <c r="F3939" s="1" t="s">
        <v>436</v>
      </c>
      <c r="G3939" s="1" t="s">
        <v>437</v>
      </c>
      <c r="H3939" s="1" t="s">
        <v>24</v>
      </c>
      <c r="I3939">
        <v>36701</v>
      </c>
      <c r="J3939" s="3">
        <v>32.64</v>
      </c>
      <c r="K3939" s="3">
        <v>1197920.6399999999</v>
      </c>
    </row>
    <row r="3940" spans="1:11" x14ac:dyDescent="0.2">
      <c r="A3940" s="1" t="s">
        <v>5058</v>
      </c>
      <c r="B3940" s="2">
        <v>45718</v>
      </c>
      <c r="C3940" s="1" t="s">
        <v>617</v>
      </c>
      <c r="D3940" s="1" t="s">
        <v>618</v>
      </c>
      <c r="E3940" s="1" t="s">
        <v>37</v>
      </c>
      <c r="F3940" s="1" t="s">
        <v>41</v>
      </c>
      <c r="G3940" s="1" t="s">
        <v>42</v>
      </c>
      <c r="H3940" s="1" t="s">
        <v>24</v>
      </c>
      <c r="I3940">
        <v>15637</v>
      </c>
      <c r="J3940" s="3">
        <v>17.22</v>
      </c>
      <c r="K3940" s="3">
        <v>269269.14</v>
      </c>
    </row>
    <row r="3941" spans="1:11" x14ac:dyDescent="0.2">
      <c r="A3941" s="1" t="s">
        <v>5059</v>
      </c>
      <c r="B3941" s="2">
        <v>45364</v>
      </c>
      <c r="C3941" s="1" t="s">
        <v>2386</v>
      </c>
      <c r="D3941" s="1" t="s">
        <v>2387</v>
      </c>
      <c r="E3941" s="1" t="s">
        <v>28</v>
      </c>
      <c r="F3941" s="1" t="s">
        <v>57</v>
      </c>
      <c r="G3941" s="1" t="s">
        <v>58</v>
      </c>
      <c r="H3941" s="1" t="s">
        <v>48</v>
      </c>
      <c r="I3941">
        <v>88683</v>
      </c>
      <c r="J3941" s="3">
        <v>39.909999999999997</v>
      </c>
      <c r="K3941" s="3">
        <v>3539338.53</v>
      </c>
    </row>
    <row r="3942" spans="1:11" x14ac:dyDescent="0.2">
      <c r="A3942" s="1" t="s">
        <v>5060</v>
      </c>
      <c r="B3942" s="2">
        <v>45747</v>
      </c>
      <c r="C3942" s="1" t="s">
        <v>365</v>
      </c>
      <c r="D3942" s="1" t="s">
        <v>366</v>
      </c>
      <c r="E3942" s="1" t="s">
        <v>14</v>
      </c>
      <c r="F3942" s="1" t="s">
        <v>76</v>
      </c>
      <c r="G3942" s="1" t="s">
        <v>77</v>
      </c>
      <c r="H3942" s="1" t="s">
        <v>48</v>
      </c>
      <c r="I3942">
        <v>97821</v>
      </c>
      <c r="J3942" s="3">
        <v>7.77</v>
      </c>
      <c r="K3942" s="3">
        <v>760069.17</v>
      </c>
    </row>
    <row r="3943" spans="1:11" x14ac:dyDescent="0.2">
      <c r="A3943" s="1" t="s">
        <v>5061</v>
      </c>
      <c r="B3943" s="2">
        <v>45604</v>
      </c>
      <c r="C3943" s="1" t="s">
        <v>2293</v>
      </c>
      <c r="D3943" s="1" t="s">
        <v>2294</v>
      </c>
      <c r="E3943" s="1" t="s">
        <v>34</v>
      </c>
      <c r="F3943" s="1" t="s">
        <v>57</v>
      </c>
      <c r="G3943" s="1" t="s">
        <v>58</v>
      </c>
      <c r="H3943" s="1" t="s">
        <v>48</v>
      </c>
      <c r="I3943">
        <v>34933</v>
      </c>
      <c r="J3943" s="3">
        <v>25.37</v>
      </c>
      <c r="K3943" s="3">
        <v>886250.21</v>
      </c>
    </row>
    <row r="3944" spans="1:11" x14ac:dyDescent="0.2">
      <c r="A3944" s="1" t="s">
        <v>5062</v>
      </c>
      <c r="B3944" s="2">
        <v>45697</v>
      </c>
      <c r="C3944" s="1" t="s">
        <v>1197</v>
      </c>
      <c r="D3944" s="1" t="s">
        <v>1198</v>
      </c>
      <c r="E3944" s="1" t="s">
        <v>34</v>
      </c>
      <c r="F3944" s="1" t="s">
        <v>237</v>
      </c>
      <c r="G3944" s="1" t="s">
        <v>238</v>
      </c>
      <c r="H3944" s="1" t="s">
        <v>17</v>
      </c>
      <c r="I3944">
        <v>19867</v>
      </c>
      <c r="J3944" s="3">
        <v>3.07</v>
      </c>
      <c r="K3944" s="3">
        <v>60991.69</v>
      </c>
    </row>
    <row r="3945" spans="1:11" x14ac:dyDescent="0.2">
      <c r="A3945" s="1" t="s">
        <v>5063</v>
      </c>
      <c r="B3945" s="2">
        <v>45392</v>
      </c>
      <c r="C3945" s="1" t="s">
        <v>550</v>
      </c>
      <c r="D3945" s="1" t="s">
        <v>551</v>
      </c>
      <c r="E3945" s="1" t="s">
        <v>34</v>
      </c>
      <c r="F3945" s="1" t="s">
        <v>184</v>
      </c>
      <c r="G3945" s="1" t="s">
        <v>185</v>
      </c>
      <c r="H3945" s="1" t="s">
        <v>17</v>
      </c>
      <c r="I3945">
        <v>19849</v>
      </c>
      <c r="J3945" s="3">
        <v>44.96</v>
      </c>
      <c r="K3945" s="3">
        <v>892411.04</v>
      </c>
    </row>
    <row r="3946" spans="1:11" x14ac:dyDescent="0.2">
      <c r="A3946" s="1" t="s">
        <v>5064</v>
      </c>
      <c r="B3946" s="2">
        <v>45422</v>
      </c>
      <c r="C3946" s="1" t="s">
        <v>639</v>
      </c>
      <c r="D3946" s="1" t="s">
        <v>640</v>
      </c>
      <c r="E3946" s="1" t="s">
        <v>28</v>
      </c>
      <c r="F3946" s="1" t="s">
        <v>251</v>
      </c>
      <c r="G3946" s="1" t="s">
        <v>252</v>
      </c>
      <c r="H3946" s="1" t="s">
        <v>72</v>
      </c>
      <c r="I3946">
        <v>87361</v>
      </c>
      <c r="J3946" s="3">
        <v>30.96</v>
      </c>
      <c r="K3946" s="3">
        <v>2704696.56</v>
      </c>
    </row>
    <row r="3947" spans="1:11" x14ac:dyDescent="0.2">
      <c r="A3947" s="1" t="s">
        <v>5065</v>
      </c>
      <c r="B3947" s="2">
        <v>45379</v>
      </c>
      <c r="C3947" s="1" t="s">
        <v>1449</v>
      </c>
      <c r="D3947" s="1" t="s">
        <v>1450</v>
      </c>
      <c r="E3947" s="1" t="s">
        <v>28</v>
      </c>
      <c r="F3947" s="1" t="s">
        <v>284</v>
      </c>
      <c r="G3947" s="1" t="s">
        <v>285</v>
      </c>
      <c r="H3947" s="1" t="s">
        <v>37</v>
      </c>
      <c r="I3947">
        <v>4817</v>
      </c>
      <c r="J3947" s="3">
        <v>12.84</v>
      </c>
      <c r="K3947" s="3">
        <v>61850.28</v>
      </c>
    </row>
    <row r="3948" spans="1:11" x14ac:dyDescent="0.2">
      <c r="A3948" s="1" t="s">
        <v>5066</v>
      </c>
      <c r="B3948" s="2">
        <v>45438</v>
      </c>
      <c r="C3948" s="1" t="s">
        <v>87</v>
      </c>
      <c r="D3948" s="1" t="s">
        <v>88</v>
      </c>
      <c r="E3948" s="1" t="s">
        <v>14</v>
      </c>
      <c r="F3948" s="1" t="s">
        <v>157</v>
      </c>
      <c r="G3948" s="1" t="s">
        <v>158</v>
      </c>
      <c r="H3948" s="1" t="s">
        <v>48</v>
      </c>
      <c r="I3948">
        <v>64508</v>
      </c>
      <c r="J3948" s="3">
        <v>10.85</v>
      </c>
      <c r="K3948" s="3">
        <v>699911.8</v>
      </c>
    </row>
    <row r="3949" spans="1:11" x14ac:dyDescent="0.2">
      <c r="A3949" s="1" t="s">
        <v>5067</v>
      </c>
      <c r="B3949" s="2">
        <v>45383</v>
      </c>
      <c r="C3949" s="1" t="s">
        <v>1020</v>
      </c>
      <c r="D3949" s="1" t="s">
        <v>1021</v>
      </c>
      <c r="E3949" s="1" t="s">
        <v>14</v>
      </c>
      <c r="F3949" s="1" t="s">
        <v>76</v>
      </c>
      <c r="G3949" s="1" t="s">
        <v>77</v>
      </c>
      <c r="H3949" s="1" t="s">
        <v>48</v>
      </c>
      <c r="I3949">
        <v>59646</v>
      </c>
      <c r="J3949" s="3">
        <v>10.76</v>
      </c>
      <c r="K3949" s="3">
        <v>641790.96</v>
      </c>
    </row>
    <row r="3950" spans="1:11" x14ac:dyDescent="0.2">
      <c r="A3950" s="1" t="s">
        <v>5068</v>
      </c>
      <c r="B3950" s="2">
        <v>46016</v>
      </c>
      <c r="C3950" s="1" t="s">
        <v>243</v>
      </c>
      <c r="D3950" s="1" t="s">
        <v>244</v>
      </c>
      <c r="E3950" s="1" t="s">
        <v>21</v>
      </c>
      <c r="F3950" s="1" t="s">
        <v>552</v>
      </c>
      <c r="G3950" s="1" t="s">
        <v>553</v>
      </c>
      <c r="H3950" s="1" t="s">
        <v>37</v>
      </c>
      <c r="I3950">
        <v>43728</v>
      </c>
      <c r="J3950" s="3">
        <v>40.26</v>
      </c>
      <c r="K3950" s="3">
        <v>1760489.28</v>
      </c>
    </row>
    <row r="3951" spans="1:11" x14ac:dyDescent="0.2">
      <c r="A3951" s="1" t="s">
        <v>5069</v>
      </c>
      <c r="B3951" s="2">
        <v>45851</v>
      </c>
      <c r="C3951" s="1" t="s">
        <v>319</v>
      </c>
      <c r="D3951" s="1" t="s">
        <v>320</v>
      </c>
      <c r="E3951" s="1" t="s">
        <v>21</v>
      </c>
      <c r="F3951" s="1" t="s">
        <v>237</v>
      </c>
      <c r="G3951" s="1" t="s">
        <v>238</v>
      </c>
      <c r="H3951" s="1" t="s">
        <v>17</v>
      </c>
      <c r="I3951">
        <v>9842</v>
      </c>
      <c r="J3951" s="3">
        <v>21.89</v>
      </c>
      <c r="K3951" s="3">
        <v>215441.38</v>
      </c>
    </row>
    <row r="3952" spans="1:11" x14ac:dyDescent="0.2">
      <c r="A3952" s="1" t="s">
        <v>5070</v>
      </c>
      <c r="B3952" s="2">
        <v>45344</v>
      </c>
      <c r="C3952" s="1" t="s">
        <v>111</v>
      </c>
      <c r="D3952" s="1" t="s">
        <v>112</v>
      </c>
      <c r="E3952" s="1" t="s">
        <v>14</v>
      </c>
      <c r="F3952" s="1" t="s">
        <v>474</v>
      </c>
      <c r="G3952" s="1" t="s">
        <v>475</v>
      </c>
      <c r="H3952" s="1" t="s">
        <v>48</v>
      </c>
      <c r="I3952">
        <v>76756</v>
      </c>
      <c r="J3952" s="3">
        <v>37.96</v>
      </c>
      <c r="K3952" s="3">
        <v>2913657.76</v>
      </c>
    </row>
    <row r="3953" spans="1:11" x14ac:dyDescent="0.2">
      <c r="A3953" s="1" t="s">
        <v>5071</v>
      </c>
      <c r="B3953" s="2">
        <v>45886</v>
      </c>
      <c r="C3953" s="1" t="s">
        <v>1814</v>
      </c>
      <c r="D3953" s="1" t="s">
        <v>1815</v>
      </c>
      <c r="E3953" s="1" t="s">
        <v>14</v>
      </c>
      <c r="F3953" s="1" t="s">
        <v>152</v>
      </c>
      <c r="G3953" s="1" t="s">
        <v>153</v>
      </c>
      <c r="H3953" s="1" t="s">
        <v>17</v>
      </c>
      <c r="I3953">
        <v>62640</v>
      </c>
      <c r="J3953" s="3">
        <v>35.17</v>
      </c>
      <c r="K3953" s="3">
        <v>2203048.7999999998</v>
      </c>
    </row>
    <row r="3954" spans="1:11" x14ac:dyDescent="0.2">
      <c r="A3954" s="1" t="s">
        <v>5072</v>
      </c>
      <c r="B3954" s="2">
        <v>45730</v>
      </c>
      <c r="C3954" s="1" t="s">
        <v>1698</v>
      </c>
      <c r="D3954" s="1" t="s">
        <v>1699</v>
      </c>
      <c r="E3954" s="1" t="s">
        <v>14</v>
      </c>
      <c r="F3954" s="1" t="s">
        <v>144</v>
      </c>
      <c r="G3954" s="1" t="s">
        <v>145</v>
      </c>
      <c r="H3954" s="1" t="s">
        <v>24</v>
      </c>
      <c r="I3954">
        <v>87997</v>
      </c>
      <c r="J3954" s="3">
        <v>16.649999999999999</v>
      </c>
      <c r="K3954" s="3">
        <v>1465150.05</v>
      </c>
    </row>
    <row r="3955" spans="1:11" x14ac:dyDescent="0.2">
      <c r="A3955" s="1" t="s">
        <v>5073</v>
      </c>
      <c r="B3955" s="2">
        <v>46018</v>
      </c>
      <c r="C3955" s="1" t="s">
        <v>119</v>
      </c>
      <c r="D3955" s="1" t="s">
        <v>120</v>
      </c>
      <c r="E3955" s="1" t="s">
        <v>28</v>
      </c>
      <c r="F3955" s="1" t="s">
        <v>81</v>
      </c>
      <c r="G3955" s="1" t="s">
        <v>82</v>
      </c>
      <c r="H3955" s="1" t="s">
        <v>72</v>
      </c>
      <c r="I3955">
        <v>9147</v>
      </c>
      <c r="J3955" s="3">
        <v>31.37</v>
      </c>
      <c r="K3955" s="3">
        <v>286941.39</v>
      </c>
    </row>
    <row r="3956" spans="1:11" x14ac:dyDescent="0.2">
      <c r="A3956" s="1" t="s">
        <v>5074</v>
      </c>
      <c r="B3956" s="2">
        <v>45318</v>
      </c>
      <c r="C3956" s="1" t="s">
        <v>801</v>
      </c>
      <c r="D3956" s="1" t="s">
        <v>802</v>
      </c>
      <c r="E3956" s="1" t="s">
        <v>14</v>
      </c>
      <c r="F3956" s="1" t="s">
        <v>761</v>
      </c>
      <c r="G3956" s="1" t="s">
        <v>762</v>
      </c>
      <c r="H3956" s="1" t="s">
        <v>48</v>
      </c>
      <c r="I3956">
        <v>63827</v>
      </c>
      <c r="J3956" s="3">
        <v>24.65</v>
      </c>
      <c r="K3956" s="3">
        <v>1573335.55</v>
      </c>
    </row>
    <row r="3957" spans="1:11" x14ac:dyDescent="0.2">
      <c r="A3957" s="1" t="s">
        <v>5075</v>
      </c>
      <c r="B3957" s="2">
        <v>45452</v>
      </c>
      <c r="C3957" s="1" t="s">
        <v>570</v>
      </c>
      <c r="D3957" s="1" t="s">
        <v>571</v>
      </c>
      <c r="E3957" s="1" t="s">
        <v>28</v>
      </c>
      <c r="F3957" s="1" t="s">
        <v>15</v>
      </c>
      <c r="G3957" s="1" t="s">
        <v>16</v>
      </c>
      <c r="H3957" s="1" t="s">
        <v>17</v>
      </c>
      <c r="I3957">
        <v>17091</v>
      </c>
      <c r="J3957" s="3">
        <v>39.520000000000003</v>
      </c>
      <c r="K3957" s="3">
        <v>675436.32</v>
      </c>
    </row>
    <row r="3958" spans="1:11" x14ac:dyDescent="0.2">
      <c r="A3958" s="1" t="s">
        <v>5076</v>
      </c>
      <c r="B3958" s="2">
        <v>45632</v>
      </c>
      <c r="C3958" s="1" t="s">
        <v>300</v>
      </c>
      <c r="D3958" s="1" t="s">
        <v>301</v>
      </c>
      <c r="E3958" s="1" t="s">
        <v>14</v>
      </c>
      <c r="F3958" s="1" t="s">
        <v>41</v>
      </c>
      <c r="G3958" s="1" t="s">
        <v>42</v>
      </c>
      <c r="H3958" s="1" t="s">
        <v>24</v>
      </c>
      <c r="I3958">
        <v>68832</v>
      </c>
      <c r="J3958" s="3">
        <v>3.9</v>
      </c>
      <c r="K3958" s="3">
        <v>268444.79999999999</v>
      </c>
    </row>
    <row r="3959" spans="1:11" x14ac:dyDescent="0.2">
      <c r="A3959" s="1" t="s">
        <v>5077</v>
      </c>
      <c r="B3959" s="2">
        <v>45954</v>
      </c>
      <c r="C3959" s="1" t="s">
        <v>705</v>
      </c>
      <c r="D3959" s="1" t="s">
        <v>706</v>
      </c>
      <c r="E3959" s="1" t="s">
        <v>28</v>
      </c>
      <c r="F3959" s="1" t="s">
        <v>540</v>
      </c>
      <c r="G3959" s="1" t="s">
        <v>541</v>
      </c>
      <c r="H3959" s="1" t="s">
        <v>37</v>
      </c>
      <c r="I3959">
        <v>64329</v>
      </c>
      <c r="J3959" s="3">
        <v>10.72</v>
      </c>
      <c r="K3959" s="3">
        <v>689606.88</v>
      </c>
    </row>
    <row r="3960" spans="1:11" x14ac:dyDescent="0.2">
      <c r="A3960" s="1" t="s">
        <v>5078</v>
      </c>
      <c r="B3960" s="2">
        <v>45368</v>
      </c>
      <c r="C3960" s="1" t="s">
        <v>2481</v>
      </c>
      <c r="D3960" s="1" t="s">
        <v>2482</v>
      </c>
      <c r="E3960" s="1" t="s">
        <v>21</v>
      </c>
      <c r="F3960" s="1" t="s">
        <v>57</v>
      </c>
      <c r="G3960" s="1" t="s">
        <v>58</v>
      </c>
      <c r="H3960" s="1" t="s">
        <v>48</v>
      </c>
      <c r="I3960">
        <v>55855</v>
      </c>
      <c r="J3960" s="3">
        <v>2.73</v>
      </c>
      <c r="K3960" s="3">
        <v>152484.15</v>
      </c>
    </row>
    <row r="3961" spans="1:11" x14ac:dyDescent="0.2">
      <c r="A3961" s="1" t="s">
        <v>5079</v>
      </c>
      <c r="B3961" s="2">
        <v>46005</v>
      </c>
      <c r="C3961" s="1" t="s">
        <v>1683</v>
      </c>
      <c r="D3961" s="1" t="s">
        <v>1684</v>
      </c>
      <c r="E3961" s="1" t="s">
        <v>14</v>
      </c>
      <c r="F3961" s="1" t="s">
        <v>76</v>
      </c>
      <c r="G3961" s="1" t="s">
        <v>77</v>
      </c>
      <c r="H3961" s="1" t="s">
        <v>48</v>
      </c>
      <c r="I3961">
        <v>75062</v>
      </c>
      <c r="J3961" s="3">
        <v>37.14</v>
      </c>
      <c r="K3961" s="3">
        <v>2787802.68</v>
      </c>
    </row>
    <row r="3962" spans="1:11" x14ac:dyDescent="0.2">
      <c r="A3962" s="1" t="s">
        <v>5080</v>
      </c>
      <c r="B3962" s="2">
        <v>45597</v>
      </c>
      <c r="C3962" s="1" t="s">
        <v>1288</v>
      </c>
      <c r="D3962" s="1" t="s">
        <v>1289</v>
      </c>
      <c r="E3962" s="1" t="s">
        <v>34</v>
      </c>
      <c r="F3962" s="1" t="s">
        <v>81</v>
      </c>
      <c r="G3962" s="1" t="s">
        <v>82</v>
      </c>
      <c r="H3962" s="1" t="s">
        <v>72</v>
      </c>
      <c r="I3962">
        <v>82549</v>
      </c>
      <c r="J3962" s="3">
        <v>16.059999999999999</v>
      </c>
      <c r="K3962" s="3">
        <v>1325736.94</v>
      </c>
    </row>
    <row r="3963" spans="1:11" x14ac:dyDescent="0.2">
      <c r="A3963" s="1" t="s">
        <v>5081</v>
      </c>
      <c r="B3963" s="2">
        <v>45908</v>
      </c>
      <c r="C3963" s="1" t="s">
        <v>688</v>
      </c>
      <c r="D3963" s="1" t="s">
        <v>689</v>
      </c>
      <c r="E3963" s="1" t="s">
        <v>37</v>
      </c>
      <c r="F3963" s="1" t="s">
        <v>263</v>
      </c>
      <c r="G3963" s="1" t="s">
        <v>264</v>
      </c>
      <c r="H3963" s="1" t="s">
        <v>17</v>
      </c>
      <c r="I3963">
        <v>41392</v>
      </c>
      <c r="J3963" s="3">
        <v>48.99</v>
      </c>
      <c r="K3963" s="3">
        <v>2027794.08</v>
      </c>
    </row>
    <row r="3964" spans="1:11" x14ac:dyDescent="0.2">
      <c r="A3964" s="1" t="s">
        <v>5082</v>
      </c>
      <c r="B3964" s="2">
        <v>45688</v>
      </c>
      <c r="C3964" s="1" t="s">
        <v>2662</v>
      </c>
      <c r="D3964" s="1" t="s">
        <v>2663</v>
      </c>
      <c r="E3964" s="1" t="s">
        <v>21</v>
      </c>
      <c r="F3964" s="1" t="s">
        <v>540</v>
      </c>
      <c r="G3964" s="1" t="s">
        <v>541</v>
      </c>
      <c r="H3964" s="1" t="s">
        <v>37</v>
      </c>
      <c r="I3964">
        <v>34378</v>
      </c>
      <c r="J3964" s="3">
        <v>41.35</v>
      </c>
      <c r="K3964" s="3">
        <v>1421530.3</v>
      </c>
    </row>
    <row r="3965" spans="1:11" x14ac:dyDescent="0.2">
      <c r="A3965" s="1" t="s">
        <v>5083</v>
      </c>
      <c r="B3965" s="2">
        <v>45939</v>
      </c>
      <c r="C3965" s="1" t="s">
        <v>2323</v>
      </c>
      <c r="D3965" s="1" t="s">
        <v>2324</v>
      </c>
      <c r="E3965" s="1" t="s">
        <v>34</v>
      </c>
      <c r="F3965" s="1" t="s">
        <v>139</v>
      </c>
      <c r="G3965" s="1" t="s">
        <v>140</v>
      </c>
      <c r="H3965" s="1" t="s">
        <v>24</v>
      </c>
      <c r="I3965">
        <v>1811</v>
      </c>
      <c r="J3965" s="3">
        <v>43.36</v>
      </c>
      <c r="K3965" s="3">
        <v>78524.960000000006</v>
      </c>
    </row>
    <row r="3966" spans="1:11" x14ac:dyDescent="0.2">
      <c r="A3966" s="1" t="s">
        <v>5084</v>
      </c>
      <c r="B3966" s="2">
        <v>45815</v>
      </c>
      <c r="C3966" s="1" t="s">
        <v>2002</v>
      </c>
      <c r="D3966" s="1" t="s">
        <v>2003</v>
      </c>
      <c r="E3966" s="1" t="s">
        <v>34</v>
      </c>
      <c r="F3966" s="1" t="s">
        <v>81</v>
      </c>
      <c r="G3966" s="1" t="s">
        <v>82</v>
      </c>
      <c r="H3966" s="1" t="s">
        <v>72</v>
      </c>
      <c r="I3966">
        <v>19432</v>
      </c>
      <c r="J3966" s="3">
        <v>35.130000000000003</v>
      </c>
      <c r="K3966" s="3">
        <v>682646.16</v>
      </c>
    </row>
    <row r="3967" spans="1:11" x14ac:dyDescent="0.2">
      <c r="A3967" s="1" t="s">
        <v>5085</v>
      </c>
      <c r="B3967" s="2">
        <v>45509</v>
      </c>
      <c r="C3967" s="1" t="s">
        <v>1310</v>
      </c>
      <c r="D3967" s="1" t="s">
        <v>1311</v>
      </c>
      <c r="E3967" s="1" t="s">
        <v>37</v>
      </c>
      <c r="F3967" s="1" t="s">
        <v>41</v>
      </c>
      <c r="G3967" s="1" t="s">
        <v>42</v>
      </c>
      <c r="H3967" s="1" t="s">
        <v>24</v>
      </c>
      <c r="I3967">
        <v>32059</v>
      </c>
      <c r="J3967" s="3">
        <v>23.57</v>
      </c>
      <c r="K3967" s="3">
        <v>755630.63</v>
      </c>
    </row>
    <row r="3968" spans="1:11" x14ac:dyDescent="0.2">
      <c r="A3968" s="1" t="s">
        <v>5086</v>
      </c>
      <c r="B3968" s="2">
        <v>45328</v>
      </c>
      <c r="C3968" s="1" t="s">
        <v>2467</v>
      </c>
      <c r="D3968" s="1" t="s">
        <v>2468</v>
      </c>
      <c r="E3968" s="1" t="s">
        <v>37</v>
      </c>
      <c r="F3968" s="1" t="s">
        <v>203</v>
      </c>
      <c r="G3968" s="1" t="s">
        <v>204</v>
      </c>
      <c r="H3968" s="1" t="s">
        <v>72</v>
      </c>
      <c r="I3968">
        <v>54083</v>
      </c>
      <c r="J3968" s="3">
        <v>20.75</v>
      </c>
      <c r="K3968" s="3">
        <v>1122222.25</v>
      </c>
    </row>
    <row r="3969" spans="1:11" x14ac:dyDescent="0.2">
      <c r="A3969" s="1" t="s">
        <v>5087</v>
      </c>
      <c r="B3969" s="2">
        <v>45709</v>
      </c>
      <c r="C3969" s="1" t="s">
        <v>2613</v>
      </c>
      <c r="D3969" s="1" t="s">
        <v>2614</v>
      </c>
      <c r="E3969" s="1" t="s">
        <v>28</v>
      </c>
      <c r="F3969" s="1" t="s">
        <v>189</v>
      </c>
      <c r="G3969" s="1" t="s">
        <v>190</v>
      </c>
      <c r="H3969" s="1" t="s">
        <v>17</v>
      </c>
      <c r="I3969">
        <v>94268</v>
      </c>
      <c r="J3969" s="3">
        <v>24.26</v>
      </c>
      <c r="K3969" s="3">
        <v>2286941.6800000002</v>
      </c>
    </row>
    <row r="3970" spans="1:11" x14ac:dyDescent="0.2">
      <c r="A3970" s="1" t="s">
        <v>5088</v>
      </c>
      <c r="B3970" s="2">
        <v>45889</v>
      </c>
      <c r="C3970" s="1" t="s">
        <v>418</v>
      </c>
      <c r="D3970" s="1" t="s">
        <v>419</v>
      </c>
      <c r="E3970" s="1" t="s">
        <v>14</v>
      </c>
      <c r="F3970" s="1" t="s">
        <v>152</v>
      </c>
      <c r="G3970" s="1" t="s">
        <v>153</v>
      </c>
      <c r="H3970" s="1" t="s">
        <v>17</v>
      </c>
      <c r="I3970">
        <v>61809</v>
      </c>
      <c r="J3970" s="3">
        <v>4.1500000000000004</v>
      </c>
      <c r="K3970" s="3">
        <v>256507.35</v>
      </c>
    </row>
    <row r="3971" spans="1:11" x14ac:dyDescent="0.2">
      <c r="A3971" s="1" t="s">
        <v>5089</v>
      </c>
      <c r="B3971" s="2">
        <v>45998</v>
      </c>
      <c r="C3971" s="1" t="s">
        <v>1061</v>
      </c>
      <c r="D3971" s="1" t="s">
        <v>1062</v>
      </c>
      <c r="E3971" s="1" t="s">
        <v>14</v>
      </c>
      <c r="F3971" s="1" t="s">
        <v>15</v>
      </c>
      <c r="G3971" s="1" t="s">
        <v>16</v>
      </c>
      <c r="H3971" s="1" t="s">
        <v>17</v>
      </c>
      <c r="I3971">
        <v>83563</v>
      </c>
      <c r="J3971" s="3">
        <v>9.1300000000000008</v>
      </c>
      <c r="K3971" s="3">
        <v>762930.19</v>
      </c>
    </row>
    <row r="3972" spans="1:11" x14ac:dyDescent="0.2">
      <c r="A3972" s="1" t="s">
        <v>5090</v>
      </c>
      <c r="B3972" s="2">
        <v>45643</v>
      </c>
      <c r="C3972" s="1" t="s">
        <v>1276</v>
      </c>
      <c r="D3972" s="1" t="s">
        <v>1277</v>
      </c>
      <c r="E3972" s="1" t="s">
        <v>37</v>
      </c>
      <c r="F3972" s="1" t="s">
        <v>46</v>
      </c>
      <c r="G3972" s="1" t="s">
        <v>47</v>
      </c>
      <c r="H3972" s="1" t="s">
        <v>48</v>
      </c>
      <c r="I3972">
        <v>76456</v>
      </c>
      <c r="J3972" s="3">
        <v>37.68</v>
      </c>
      <c r="K3972" s="3">
        <v>2880862.08</v>
      </c>
    </row>
    <row r="3973" spans="1:11" x14ac:dyDescent="0.2">
      <c r="A3973" s="1" t="s">
        <v>5091</v>
      </c>
      <c r="B3973" s="2">
        <v>45658</v>
      </c>
      <c r="C3973" s="1" t="s">
        <v>359</v>
      </c>
      <c r="D3973" s="1" t="s">
        <v>360</v>
      </c>
      <c r="E3973" s="1" t="s">
        <v>34</v>
      </c>
      <c r="F3973" s="1" t="s">
        <v>113</v>
      </c>
      <c r="G3973" s="1" t="s">
        <v>114</v>
      </c>
      <c r="H3973" s="1" t="s">
        <v>37</v>
      </c>
      <c r="I3973">
        <v>69519</v>
      </c>
      <c r="J3973" s="3">
        <v>7.17</v>
      </c>
      <c r="K3973" s="3">
        <v>498451.23</v>
      </c>
    </row>
    <row r="3974" spans="1:11" x14ac:dyDescent="0.2">
      <c r="A3974" s="1" t="s">
        <v>5092</v>
      </c>
      <c r="B3974" s="2">
        <v>45326</v>
      </c>
      <c r="C3974" s="1" t="s">
        <v>466</v>
      </c>
      <c r="D3974" s="1" t="s">
        <v>467</v>
      </c>
      <c r="E3974" s="1" t="s">
        <v>28</v>
      </c>
      <c r="F3974" s="1" t="s">
        <v>29</v>
      </c>
      <c r="G3974" s="1" t="s">
        <v>30</v>
      </c>
      <c r="H3974" s="1" t="s">
        <v>24</v>
      </c>
      <c r="I3974">
        <v>17067</v>
      </c>
      <c r="J3974" s="3">
        <v>48.12</v>
      </c>
      <c r="K3974" s="3">
        <v>821264.04</v>
      </c>
    </row>
    <row r="3975" spans="1:11" x14ac:dyDescent="0.2">
      <c r="A3975" s="1" t="s">
        <v>5093</v>
      </c>
      <c r="B3975" s="2">
        <v>45862</v>
      </c>
      <c r="C3975" s="1" t="s">
        <v>79</v>
      </c>
      <c r="D3975" s="1" t="s">
        <v>80</v>
      </c>
      <c r="E3975" s="1" t="s">
        <v>34</v>
      </c>
      <c r="F3975" s="1" t="s">
        <v>436</v>
      </c>
      <c r="G3975" s="1" t="s">
        <v>437</v>
      </c>
      <c r="H3975" s="1" t="s">
        <v>24</v>
      </c>
      <c r="I3975">
        <v>23071</v>
      </c>
      <c r="J3975" s="3">
        <v>9.2200000000000006</v>
      </c>
      <c r="K3975" s="3">
        <v>212714.62</v>
      </c>
    </row>
    <row r="3976" spans="1:11" x14ac:dyDescent="0.2">
      <c r="A3976" s="1" t="s">
        <v>5094</v>
      </c>
      <c r="B3976" s="2">
        <v>45679</v>
      </c>
      <c r="C3976" s="1" t="s">
        <v>2571</v>
      </c>
      <c r="D3976" s="1" t="s">
        <v>2572</v>
      </c>
      <c r="E3976" s="1" t="s">
        <v>34</v>
      </c>
      <c r="F3976" s="1" t="s">
        <v>98</v>
      </c>
      <c r="G3976" s="1" t="s">
        <v>99</v>
      </c>
      <c r="H3976" s="1" t="s">
        <v>72</v>
      </c>
      <c r="I3976">
        <v>82714</v>
      </c>
      <c r="J3976" s="3">
        <v>7.85</v>
      </c>
      <c r="K3976" s="3">
        <v>649304.9</v>
      </c>
    </row>
    <row r="3977" spans="1:11" x14ac:dyDescent="0.2">
      <c r="A3977" s="1" t="s">
        <v>5095</v>
      </c>
      <c r="B3977" s="2">
        <v>45882</v>
      </c>
      <c r="C3977" s="1" t="s">
        <v>1007</v>
      </c>
      <c r="D3977" s="1" t="s">
        <v>1008</v>
      </c>
      <c r="E3977" s="1" t="s">
        <v>37</v>
      </c>
      <c r="F3977" s="1" t="s">
        <v>463</v>
      </c>
      <c r="G3977" s="1" t="s">
        <v>464</v>
      </c>
      <c r="H3977" s="1" t="s">
        <v>37</v>
      </c>
      <c r="I3977">
        <v>58349</v>
      </c>
      <c r="J3977" s="3">
        <v>29.77</v>
      </c>
      <c r="K3977" s="3">
        <v>1737049.73</v>
      </c>
    </row>
    <row r="3978" spans="1:11" x14ac:dyDescent="0.2">
      <c r="A3978" s="1" t="s">
        <v>5096</v>
      </c>
      <c r="B3978" s="2">
        <v>45452</v>
      </c>
      <c r="C3978" s="1" t="s">
        <v>487</v>
      </c>
      <c r="D3978" s="1" t="s">
        <v>488</v>
      </c>
      <c r="E3978" s="1" t="s">
        <v>28</v>
      </c>
      <c r="F3978" s="1" t="s">
        <v>15</v>
      </c>
      <c r="G3978" s="1" t="s">
        <v>16</v>
      </c>
      <c r="H3978" s="1" t="s">
        <v>17</v>
      </c>
      <c r="I3978">
        <v>27376</v>
      </c>
      <c r="J3978" s="3">
        <v>24.18</v>
      </c>
      <c r="K3978" s="3">
        <v>661951.68000000005</v>
      </c>
    </row>
    <row r="3979" spans="1:11" x14ac:dyDescent="0.2">
      <c r="A3979" s="1" t="s">
        <v>5097</v>
      </c>
      <c r="B3979" s="2">
        <v>45962</v>
      </c>
      <c r="C3979" s="1" t="s">
        <v>1337</v>
      </c>
      <c r="D3979" s="1" t="s">
        <v>1338</v>
      </c>
      <c r="E3979" s="1" t="s">
        <v>34</v>
      </c>
      <c r="F3979" s="1" t="s">
        <v>65</v>
      </c>
      <c r="G3979" s="1" t="s">
        <v>66</v>
      </c>
      <c r="H3979" s="1" t="s">
        <v>48</v>
      </c>
      <c r="I3979">
        <v>14244</v>
      </c>
      <c r="J3979" s="3">
        <v>41.7</v>
      </c>
      <c r="K3979" s="3">
        <v>593974.80000000005</v>
      </c>
    </row>
    <row r="3980" spans="1:11" x14ac:dyDescent="0.2">
      <c r="A3980" s="1" t="s">
        <v>5098</v>
      </c>
      <c r="B3980" s="2">
        <v>45927</v>
      </c>
      <c r="C3980" s="1" t="s">
        <v>643</v>
      </c>
      <c r="D3980" s="1" t="s">
        <v>644</v>
      </c>
      <c r="E3980" s="1" t="s">
        <v>37</v>
      </c>
      <c r="F3980" s="1" t="s">
        <v>263</v>
      </c>
      <c r="G3980" s="1" t="s">
        <v>264</v>
      </c>
      <c r="H3980" s="1" t="s">
        <v>17</v>
      </c>
      <c r="I3980">
        <v>25332</v>
      </c>
      <c r="J3980" s="3">
        <v>47.44</v>
      </c>
      <c r="K3980" s="3">
        <v>1201750.08</v>
      </c>
    </row>
    <row r="3981" spans="1:11" x14ac:dyDescent="0.2">
      <c r="A3981" s="1" t="s">
        <v>5099</v>
      </c>
      <c r="B3981" s="2">
        <v>45760</v>
      </c>
      <c r="C3981" s="1" t="s">
        <v>920</v>
      </c>
      <c r="D3981" s="1" t="s">
        <v>921</v>
      </c>
      <c r="E3981" s="1" t="s">
        <v>14</v>
      </c>
      <c r="F3981" s="1" t="s">
        <v>284</v>
      </c>
      <c r="G3981" s="1" t="s">
        <v>285</v>
      </c>
      <c r="H3981" s="1" t="s">
        <v>37</v>
      </c>
      <c r="I3981">
        <v>97703</v>
      </c>
      <c r="J3981" s="3">
        <v>27.3</v>
      </c>
      <c r="K3981" s="3">
        <v>2667291.9</v>
      </c>
    </row>
    <row r="3982" spans="1:11" x14ac:dyDescent="0.2">
      <c r="A3982" s="1" t="s">
        <v>5100</v>
      </c>
      <c r="B3982" s="2">
        <v>45302</v>
      </c>
      <c r="C3982" s="1" t="s">
        <v>1498</v>
      </c>
      <c r="D3982" s="1" t="s">
        <v>1499</v>
      </c>
      <c r="E3982" s="1" t="s">
        <v>14</v>
      </c>
      <c r="F3982" s="1" t="s">
        <v>474</v>
      </c>
      <c r="G3982" s="1" t="s">
        <v>475</v>
      </c>
      <c r="H3982" s="1" t="s">
        <v>48</v>
      </c>
      <c r="I3982">
        <v>50643</v>
      </c>
      <c r="J3982" s="3">
        <v>15.66</v>
      </c>
      <c r="K3982" s="3">
        <v>793069.38</v>
      </c>
    </row>
    <row r="3983" spans="1:11" x14ac:dyDescent="0.2">
      <c r="A3983" s="1" t="s">
        <v>5101</v>
      </c>
      <c r="B3983" s="2">
        <v>45329</v>
      </c>
      <c r="C3983" s="1" t="s">
        <v>2613</v>
      </c>
      <c r="D3983" s="1" t="s">
        <v>2614</v>
      </c>
      <c r="E3983" s="1" t="s">
        <v>28</v>
      </c>
      <c r="F3983" s="1" t="s">
        <v>761</v>
      </c>
      <c r="G3983" s="1" t="s">
        <v>762</v>
      </c>
      <c r="H3983" s="1" t="s">
        <v>48</v>
      </c>
      <c r="I3983">
        <v>55617</v>
      </c>
      <c r="J3983" s="3">
        <v>20.98</v>
      </c>
      <c r="K3983" s="3">
        <v>1166844.6599999999</v>
      </c>
    </row>
    <row r="3984" spans="1:11" x14ac:dyDescent="0.2">
      <c r="A3984" s="1" t="s">
        <v>5102</v>
      </c>
      <c r="B3984" s="2">
        <v>45938</v>
      </c>
      <c r="C3984" s="1" t="s">
        <v>596</v>
      </c>
      <c r="D3984" s="1" t="s">
        <v>597</v>
      </c>
      <c r="E3984" s="1" t="s">
        <v>37</v>
      </c>
      <c r="F3984" s="1" t="s">
        <v>195</v>
      </c>
      <c r="G3984" s="1" t="s">
        <v>196</v>
      </c>
      <c r="H3984" s="1" t="s">
        <v>48</v>
      </c>
      <c r="I3984">
        <v>15232</v>
      </c>
      <c r="J3984" s="3">
        <v>19.41</v>
      </c>
      <c r="K3984" s="3">
        <v>295653.12</v>
      </c>
    </row>
    <row r="3985" spans="1:11" x14ac:dyDescent="0.2">
      <c r="A3985" s="1" t="s">
        <v>5103</v>
      </c>
      <c r="B3985" s="2">
        <v>45681</v>
      </c>
      <c r="C3985" s="1" t="s">
        <v>442</v>
      </c>
      <c r="D3985" s="1" t="s">
        <v>443</v>
      </c>
      <c r="E3985" s="1" t="s">
        <v>34</v>
      </c>
      <c r="F3985" s="1" t="s">
        <v>412</v>
      </c>
      <c r="G3985" s="1" t="s">
        <v>413</v>
      </c>
      <c r="H3985" s="1" t="s">
        <v>72</v>
      </c>
      <c r="I3985">
        <v>18646</v>
      </c>
      <c r="J3985" s="3">
        <v>4.09</v>
      </c>
      <c r="K3985" s="3">
        <v>76262.14</v>
      </c>
    </row>
    <row r="3986" spans="1:11" x14ac:dyDescent="0.2">
      <c r="A3986" s="1" t="s">
        <v>5104</v>
      </c>
      <c r="B3986" s="2">
        <v>45423</v>
      </c>
      <c r="C3986" s="1" t="s">
        <v>901</v>
      </c>
      <c r="D3986" s="1" t="s">
        <v>902</v>
      </c>
      <c r="E3986" s="1" t="s">
        <v>21</v>
      </c>
      <c r="F3986" s="1" t="s">
        <v>406</v>
      </c>
      <c r="G3986" s="1" t="s">
        <v>407</v>
      </c>
      <c r="H3986" s="1" t="s">
        <v>17</v>
      </c>
      <c r="I3986">
        <v>76385</v>
      </c>
      <c r="J3986" s="3">
        <v>16.87</v>
      </c>
      <c r="K3986" s="3">
        <v>1288614.95</v>
      </c>
    </row>
    <row r="3987" spans="1:11" x14ac:dyDescent="0.2">
      <c r="A3987" s="1" t="s">
        <v>5105</v>
      </c>
      <c r="B3987" s="2">
        <v>45990</v>
      </c>
      <c r="C3987" s="1" t="s">
        <v>1001</v>
      </c>
      <c r="D3987" s="1" t="s">
        <v>1002</v>
      </c>
      <c r="E3987" s="1" t="s">
        <v>37</v>
      </c>
      <c r="F3987" s="1" t="s">
        <v>41</v>
      </c>
      <c r="G3987" s="1" t="s">
        <v>42</v>
      </c>
      <c r="H3987" s="1" t="s">
        <v>24</v>
      </c>
      <c r="I3987">
        <v>97639</v>
      </c>
      <c r="J3987" s="3">
        <v>36.14</v>
      </c>
      <c r="K3987" s="3">
        <v>3528673.46</v>
      </c>
    </row>
    <row r="3988" spans="1:11" x14ac:dyDescent="0.2">
      <c r="A3988" s="1" t="s">
        <v>5106</v>
      </c>
      <c r="B3988" s="2">
        <v>45990</v>
      </c>
      <c r="C3988" s="1" t="s">
        <v>2785</v>
      </c>
      <c r="D3988" s="1" t="s">
        <v>2786</v>
      </c>
      <c r="E3988" s="1" t="s">
        <v>14</v>
      </c>
      <c r="F3988" s="1" t="s">
        <v>46</v>
      </c>
      <c r="G3988" s="1" t="s">
        <v>47</v>
      </c>
      <c r="H3988" s="1" t="s">
        <v>48</v>
      </c>
      <c r="I3988">
        <v>45388</v>
      </c>
      <c r="J3988" s="3">
        <v>29.14</v>
      </c>
      <c r="K3988" s="3">
        <v>1322606.32</v>
      </c>
    </row>
    <row r="3989" spans="1:11" x14ac:dyDescent="0.2">
      <c r="A3989" s="1" t="s">
        <v>5107</v>
      </c>
      <c r="B3989" s="2">
        <v>45481</v>
      </c>
      <c r="C3989" s="1" t="s">
        <v>1761</v>
      </c>
      <c r="D3989" s="1" t="s">
        <v>1762</v>
      </c>
      <c r="E3989" s="1" t="s">
        <v>14</v>
      </c>
      <c r="F3989" s="1" t="s">
        <v>273</v>
      </c>
      <c r="G3989" s="1" t="s">
        <v>274</v>
      </c>
      <c r="H3989" s="1" t="s">
        <v>24</v>
      </c>
      <c r="I3989">
        <v>86493</v>
      </c>
      <c r="J3989" s="3">
        <v>16.29</v>
      </c>
      <c r="K3989" s="3">
        <v>1408970.97</v>
      </c>
    </row>
    <row r="3990" spans="1:11" x14ac:dyDescent="0.2">
      <c r="A3990" s="1" t="s">
        <v>5108</v>
      </c>
      <c r="B3990" s="2">
        <v>45769</v>
      </c>
      <c r="C3990" s="1" t="s">
        <v>566</v>
      </c>
      <c r="D3990" s="1" t="s">
        <v>567</v>
      </c>
      <c r="E3990" s="1" t="s">
        <v>28</v>
      </c>
      <c r="F3990" s="1" t="s">
        <v>228</v>
      </c>
      <c r="G3990" s="1" t="s">
        <v>229</v>
      </c>
      <c r="H3990" s="1" t="s">
        <v>48</v>
      </c>
      <c r="I3990">
        <v>36256</v>
      </c>
      <c r="J3990" s="3">
        <v>17.86</v>
      </c>
      <c r="K3990" s="3">
        <v>647532.16</v>
      </c>
    </row>
    <row r="3991" spans="1:11" x14ac:dyDescent="0.2">
      <c r="A3991" s="1" t="s">
        <v>5109</v>
      </c>
      <c r="B3991" s="2">
        <v>45684</v>
      </c>
      <c r="C3991" s="1" t="s">
        <v>648</v>
      </c>
      <c r="D3991" s="1" t="s">
        <v>649</v>
      </c>
      <c r="E3991" s="1" t="s">
        <v>28</v>
      </c>
      <c r="F3991" s="1" t="s">
        <v>268</v>
      </c>
      <c r="G3991" s="1" t="s">
        <v>269</v>
      </c>
      <c r="H3991" s="1" t="s">
        <v>72</v>
      </c>
      <c r="I3991">
        <v>20845</v>
      </c>
      <c r="J3991" s="3">
        <v>9.5500000000000007</v>
      </c>
      <c r="K3991" s="3">
        <v>199069.75</v>
      </c>
    </row>
    <row r="3992" spans="1:11" x14ac:dyDescent="0.2">
      <c r="A3992" s="1" t="s">
        <v>5110</v>
      </c>
      <c r="B3992" s="2">
        <v>46011</v>
      </c>
      <c r="C3992" s="1" t="s">
        <v>1272</v>
      </c>
      <c r="D3992" s="1" t="s">
        <v>1273</v>
      </c>
      <c r="E3992" s="1" t="s">
        <v>34</v>
      </c>
      <c r="F3992" s="1" t="s">
        <v>474</v>
      </c>
      <c r="G3992" s="1" t="s">
        <v>475</v>
      </c>
      <c r="H3992" s="1" t="s">
        <v>48</v>
      </c>
      <c r="I3992">
        <v>61458</v>
      </c>
      <c r="J3992" s="3">
        <v>19.52</v>
      </c>
      <c r="K3992" s="3">
        <v>1199660.1599999999</v>
      </c>
    </row>
    <row r="3993" spans="1:11" x14ac:dyDescent="0.2">
      <c r="A3993" s="1" t="s">
        <v>5111</v>
      </c>
      <c r="B3993" s="2">
        <v>45570</v>
      </c>
      <c r="C3993" s="1" t="s">
        <v>1643</v>
      </c>
      <c r="D3993" s="1" t="s">
        <v>1644</v>
      </c>
      <c r="E3993" s="1" t="s">
        <v>28</v>
      </c>
      <c r="F3993" s="1" t="s">
        <v>540</v>
      </c>
      <c r="G3993" s="1" t="s">
        <v>541</v>
      </c>
      <c r="H3993" s="1" t="s">
        <v>37</v>
      </c>
      <c r="I3993">
        <v>2050</v>
      </c>
      <c r="J3993" s="3">
        <v>37.090000000000003</v>
      </c>
      <c r="K3993" s="3">
        <v>76034.5</v>
      </c>
    </row>
    <row r="3994" spans="1:11" x14ac:dyDescent="0.2">
      <c r="A3994" s="1" t="s">
        <v>5112</v>
      </c>
      <c r="B3994" s="2">
        <v>45723</v>
      </c>
      <c r="C3994" s="1" t="s">
        <v>1357</v>
      </c>
      <c r="D3994" s="1" t="s">
        <v>1358</v>
      </c>
      <c r="E3994" s="1" t="s">
        <v>37</v>
      </c>
      <c r="F3994" s="1" t="s">
        <v>761</v>
      </c>
      <c r="G3994" s="1" t="s">
        <v>762</v>
      </c>
      <c r="H3994" s="1" t="s">
        <v>48</v>
      </c>
      <c r="I3994">
        <v>20237</v>
      </c>
      <c r="J3994" s="3">
        <v>6.73</v>
      </c>
      <c r="K3994" s="3">
        <v>136195.01</v>
      </c>
    </row>
    <row r="3995" spans="1:11" x14ac:dyDescent="0.2">
      <c r="A3995" s="1" t="s">
        <v>5113</v>
      </c>
      <c r="B3995" s="2">
        <v>45875</v>
      </c>
      <c r="C3995" s="1" t="s">
        <v>353</v>
      </c>
      <c r="D3995" s="1" t="s">
        <v>354</v>
      </c>
      <c r="E3995" s="1" t="s">
        <v>14</v>
      </c>
      <c r="F3995" s="1" t="s">
        <v>268</v>
      </c>
      <c r="G3995" s="1" t="s">
        <v>269</v>
      </c>
      <c r="H3995" s="1" t="s">
        <v>72</v>
      </c>
      <c r="I3995">
        <v>50711</v>
      </c>
      <c r="J3995" s="3">
        <v>7.88</v>
      </c>
      <c r="K3995" s="3">
        <v>399602.68</v>
      </c>
    </row>
    <row r="3996" spans="1:11" x14ac:dyDescent="0.2">
      <c r="A3996" s="1" t="s">
        <v>5114</v>
      </c>
      <c r="B3996" s="2">
        <v>45519</v>
      </c>
      <c r="C3996" s="1" t="s">
        <v>1637</v>
      </c>
      <c r="D3996" s="1" t="s">
        <v>1638</v>
      </c>
      <c r="E3996" s="1" t="s">
        <v>34</v>
      </c>
      <c r="F3996" s="1" t="s">
        <v>103</v>
      </c>
      <c r="G3996" s="1" t="s">
        <v>104</v>
      </c>
      <c r="H3996" s="1" t="s">
        <v>37</v>
      </c>
      <c r="I3996">
        <v>41140</v>
      </c>
      <c r="J3996" s="3">
        <v>11.66</v>
      </c>
      <c r="K3996" s="3">
        <v>479692.4</v>
      </c>
    </row>
    <row r="3997" spans="1:11" x14ac:dyDescent="0.2">
      <c r="A3997" s="1" t="s">
        <v>5115</v>
      </c>
      <c r="B3997" s="2">
        <v>45968</v>
      </c>
      <c r="C3997" s="1" t="s">
        <v>171</v>
      </c>
      <c r="D3997" s="1" t="s">
        <v>172</v>
      </c>
      <c r="E3997" s="1" t="s">
        <v>28</v>
      </c>
      <c r="F3997" s="1" t="s">
        <v>203</v>
      </c>
      <c r="G3997" s="1" t="s">
        <v>204</v>
      </c>
      <c r="H3997" s="1" t="s">
        <v>72</v>
      </c>
      <c r="I3997">
        <v>5290</v>
      </c>
      <c r="J3997" s="3">
        <v>28.62</v>
      </c>
      <c r="K3997" s="3">
        <v>151399.79999999999</v>
      </c>
    </row>
    <row r="3998" spans="1:11" x14ac:dyDescent="0.2">
      <c r="A3998" s="1" t="s">
        <v>5116</v>
      </c>
      <c r="B3998" s="2">
        <v>45409</v>
      </c>
      <c r="C3998" s="1" t="s">
        <v>1417</v>
      </c>
      <c r="D3998" s="1" t="s">
        <v>1418</v>
      </c>
      <c r="E3998" s="1" t="s">
        <v>34</v>
      </c>
      <c r="F3998" s="1" t="s">
        <v>217</v>
      </c>
      <c r="G3998" s="1" t="s">
        <v>218</v>
      </c>
      <c r="H3998" s="1" t="s">
        <v>72</v>
      </c>
      <c r="I3998">
        <v>80976</v>
      </c>
      <c r="J3998" s="3">
        <v>6.01</v>
      </c>
      <c r="K3998" s="3">
        <v>486665.76</v>
      </c>
    </row>
    <row r="3999" spans="1:11" x14ac:dyDescent="0.2">
      <c r="A3999" s="1" t="s">
        <v>5117</v>
      </c>
      <c r="B3999" s="2">
        <v>45553</v>
      </c>
      <c r="C3999" s="1" t="s">
        <v>319</v>
      </c>
      <c r="D3999" s="1" t="s">
        <v>320</v>
      </c>
      <c r="E3999" s="1" t="s">
        <v>21</v>
      </c>
      <c r="F3999" s="1" t="s">
        <v>552</v>
      </c>
      <c r="G3999" s="1" t="s">
        <v>553</v>
      </c>
      <c r="H3999" s="1" t="s">
        <v>37</v>
      </c>
      <c r="I3999">
        <v>23288</v>
      </c>
      <c r="J3999" s="3">
        <v>21.22</v>
      </c>
      <c r="K3999" s="3">
        <v>494171.36</v>
      </c>
    </row>
    <row r="4000" spans="1:11" x14ac:dyDescent="0.2">
      <c r="A4000" s="1" t="s">
        <v>5118</v>
      </c>
      <c r="B4000" s="2">
        <v>45296</v>
      </c>
      <c r="C4000" s="1" t="s">
        <v>303</v>
      </c>
      <c r="D4000" s="1" t="s">
        <v>304</v>
      </c>
      <c r="E4000" s="1" t="s">
        <v>28</v>
      </c>
      <c r="F4000" s="1" t="s">
        <v>458</v>
      </c>
      <c r="G4000" s="1" t="s">
        <v>459</v>
      </c>
      <c r="H4000" s="1" t="s">
        <v>72</v>
      </c>
      <c r="I4000">
        <v>61880</v>
      </c>
      <c r="J4000" s="3">
        <v>46.23</v>
      </c>
      <c r="K4000" s="3">
        <v>2860712.4</v>
      </c>
    </row>
    <row r="4001" spans="1:11" x14ac:dyDescent="0.2">
      <c r="A4001" s="1" t="s">
        <v>5119</v>
      </c>
      <c r="B4001" s="2">
        <v>45455</v>
      </c>
      <c r="C4001" s="1" t="s">
        <v>388</v>
      </c>
      <c r="D4001" s="1" t="s">
        <v>389</v>
      </c>
      <c r="E4001" s="1" t="s">
        <v>14</v>
      </c>
      <c r="F4001" s="1" t="s">
        <v>108</v>
      </c>
      <c r="G4001" s="1" t="s">
        <v>109</v>
      </c>
      <c r="H4001" s="1" t="s">
        <v>37</v>
      </c>
      <c r="I4001">
        <v>20878</v>
      </c>
      <c r="J4001" s="3">
        <v>46.19</v>
      </c>
      <c r="K4001" s="3">
        <v>964354.82</v>
      </c>
    </row>
    <row r="4002" spans="1:11" x14ac:dyDescent="0.2">
      <c r="A4002" s="1" t="s">
        <v>5120</v>
      </c>
      <c r="B4002" s="2">
        <v>45854</v>
      </c>
      <c r="C4002" s="1" t="s">
        <v>374</v>
      </c>
      <c r="D4002" s="1" t="s">
        <v>375</v>
      </c>
      <c r="E4002" s="1" t="s">
        <v>14</v>
      </c>
      <c r="F4002" s="1" t="s">
        <v>284</v>
      </c>
      <c r="G4002" s="1" t="s">
        <v>285</v>
      </c>
      <c r="H4002" s="1" t="s">
        <v>37</v>
      </c>
      <c r="I4002">
        <v>97979</v>
      </c>
      <c r="J4002" s="3">
        <v>42.8</v>
      </c>
      <c r="K4002" s="3">
        <v>4193501.2</v>
      </c>
    </row>
    <row r="4003" spans="1:11" x14ac:dyDescent="0.2">
      <c r="A4003" s="1" t="s">
        <v>5121</v>
      </c>
      <c r="B4003" s="2">
        <v>45664</v>
      </c>
      <c r="C4003" s="1" t="s">
        <v>901</v>
      </c>
      <c r="D4003" s="1" t="s">
        <v>902</v>
      </c>
      <c r="E4003" s="1" t="s">
        <v>21</v>
      </c>
      <c r="F4003" s="1" t="s">
        <v>474</v>
      </c>
      <c r="G4003" s="1" t="s">
        <v>475</v>
      </c>
      <c r="H4003" s="1" t="s">
        <v>48</v>
      </c>
      <c r="I4003">
        <v>37653</v>
      </c>
      <c r="J4003" s="3">
        <v>16.18</v>
      </c>
      <c r="K4003" s="3">
        <v>609225.54</v>
      </c>
    </row>
    <row r="4004" spans="1:11" x14ac:dyDescent="0.2">
      <c r="A4004" s="1" t="s">
        <v>5122</v>
      </c>
      <c r="B4004" s="2">
        <v>45414</v>
      </c>
      <c r="C4004" s="1" t="s">
        <v>2597</v>
      </c>
      <c r="D4004" s="1" t="s">
        <v>2598</v>
      </c>
      <c r="E4004" s="1" t="s">
        <v>21</v>
      </c>
      <c r="F4004" s="1" t="s">
        <v>29</v>
      </c>
      <c r="G4004" s="1" t="s">
        <v>30</v>
      </c>
      <c r="H4004" s="1" t="s">
        <v>24</v>
      </c>
      <c r="I4004">
        <v>44613</v>
      </c>
      <c r="J4004" s="3">
        <v>49.96</v>
      </c>
      <c r="K4004" s="3">
        <v>2228865.48</v>
      </c>
    </row>
    <row r="4005" spans="1:11" x14ac:dyDescent="0.2">
      <c r="A4005" s="1" t="s">
        <v>5123</v>
      </c>
      <c r="B4005" s="2">
        <v>45337</v>
      </c>
      <c r="C4005" s="1" t="s">
        <v>3221</v>
      </c>
      <c r="D4005" s="1" t="s">
        <v>3222</v>
      </c>
      <c r="E4005" s="1" t="s">
        <v>37</v>
      </c>
      <c r="F4005" s="1" t="s">
        <v>324</v>
      </c>
      <c r="G4005" s="1" t="s">
        <v>325</v>
      </c>
      <c r="H4005" s="1" t="s">
        <v>24</v>
      </c>
      <c r="I4005">
        <v>69979</v>
      </c>
      <c r="J4005" s="3">
        <v>35.479999999999997</v>
      </c>
      <c r="K4005" s="3">
        <v>2482854.92</v>
      </c>
    </row>
    <row r="4006" spans="1:11" x14ac:dyDescent="0.2">
      <c r="A4006" s="1" t="s">
        <v>5124</v>
      </c>
      <c r="B4006" s="2">
        <v>45436</v>
      </c>
      <c r="C4006" s="1" t="s">
        <v>2662</v>
      </c>
      <c r="D4006" s="1" t="s">
        <v>2663</v>
      </c>
      <c r="E4006" s="1" t="s">
        <v>21</v>
      </c>
      <c r="F4006" s="1" t="s">
        <v>324</v>
      </c>
      <c r="G4006" s="1" t="s">
        <v>325</v>
      </c>
      <c r="H4006" s="1" t="s">
        <v>24</v>
      </c>
      <c r="I4006">
        <v>88416</v>
      </c>
      <c r="J4006" s="3">
        <v>7.36</v>
      </c>
      <c r="K4006" s="3">
        <v>650741.76000000001</v>
      </c>
    </row>
    <row r="4007" spans="1:11" x14ac:dyDescent="0.2">
      <c r="A4007" s="1" t="s">
        <v>5125</v>
      </c>
      <c r="B4007" s="2">
        <v>45448</v>
      </c>
      <c r="C4007" s="1" t="s">
        <v>1099</v>
      </c>
      <c r="D4007" s="1" t="s">
        <v>1100</v>
      </c>
      <c r="E4007" s="1" t="s">
        <v>34</v>
      </c>
      <c r="F4007" s="1" t="s">
        <v>761</v>
      </c>
      <c r="G4007" s="1" t="s">
        <v>762</v>
      </c>
      <c r="H4007" s="1" t="s">
        <v>48</v>
      </c>
      <c r="I4007">
        <v>81915</v>
      </c>
      <c r="J4007" s="3">
        <v>32.11</v>
      </c>
      <c r="K4007" s="3">
        <v>2630290.65</v>
      </c>
    </row>
    <row r="4008" spans="1:11" x14ac:dyDescent="0.2">
      <c r="A4008" s="1" t="s">
        <v>5126</v>
      </c>
      <c r="B4008" s="2">
        <v>46010</v>
      </c>
      <c r="C4008" s="1" t="s">
        <v>1750</v>
      </c>
      <c r="D4008" s="1" t="s">
        <v>1751</v>
      </c>
      <c r="E4008" s="1" t="s">
        <v>14</v>
      </c>
      <c r="F4008" s="1" t="s">
        <v>284</v>
      </c>
      <c r="G4008" s="1" t="s">
        <v>285</v>
      </c>
      <c r="H4008" s="1" t="s">
        <v>37</v>
      </c>
      <c r="I4008">
        <v>83256</v>
      </c>
      <c r="J4008" s="3">
        <v>47.66</v>
      </c>
      <c r="K4008" s="3">
        <v>3967980.96</v>
      </c>
    </row>
    <row r="4009" spans="1:11" x14ac:dyDescent="0.2">
      <c r="A4009" s="1" t="s">
        <v>5127</v>
      </c>
      <c r="B4009" s="2">
        <v>45332</v>
      </c>
      <c r="C4009" s="1" t="s">
        <v>811</v>
      </c>
      <c r="D4009" s="1" t="s">
        <v>812</v>
      </c>
      <c r="E4009" s="1" t="s">
        <v>14</v>
      </c>
      <c r="F4009" s="1" t="s">
        <v>41</v>
      </c>
      <c r="G4009" s="1" t="s">
        <v>42</v>
      </c>
      <c r="H4009" s="1" t="s">
        <v>24</v>
      </c>
      <c r="I4009">
        <v>22512</v>
      </c>
      <c r="J4009" s="3">
        <v>18.309999999999999</v>
      </c>
      <c r="K4009" s="3">
        <v>412194.72</v>
      </c>
    </row>
    <row r="4010" spans="1:11" x14ac:dyDescent="0.2">
      <c r="A4010" s="1" t="s">
        <v>5128</v>
      </c>
      <c r="B4010" s="2">
        <v>45419</v>
      </c>
      <c r="C4010" s="1" t="s">
        <v>563</v>
      </c>
      <c r="D4010" s="1" t="s">
        <v>564</v>
      </c>
      <c r="E4010" s="1" t="s">
        <v>37</v>
      </c>
      <c r="F4010" s="1" t="s">
        <v>552</v>
      </c>
      <c r="G4010" s="1" t="s">
        <v>553</v>
      </c>
      <c r="H4010" s="1" t="s">
        <v>37</v>
      </c>
      <c r="I4010">
        <v>52287</v>
      </c>
      <c r="J4010" s="3">
        <v>27.18</v>
      </c>
      <c r="K4010" s="3">
        <v>1421160.66</v>
      </c>
    </row>
    <row r="4011" spans="1:11" x14ac:dyDescent="0.2">
      <c r="A4011" s="1" t="s">
        <v>5129</v>
      </c>
      <c r="B4011" s="2">
        <v>45686</v>
      </c>
      <c r="C4011" s="1" t="s">
        <v>182</v>
      </c>
      <c r="D4011" s="1" t="s">
        <v>183</v>
      </c>
      <c r="E4011" s="1" t="s">
        <v>14</v>
      </c>
      <c r="F4011" s="1" t="s">
        <v>350</v>
      </c>
      <c r="G4011" s="1" t="s">
        <v>351</v>
      </c>
      <c r="H4011" s="1" t="s">
        <v>37</v>
      </c>
      <c r="I4011">
        <v>9101</v>
      </c>
      <c r="J4011" s="3">
        <v>11.79</v>
      </c>
      <c r="K4011" s="3">
        <v>107300.79</v>
      </c>
    </row>
    <row r="4012" spans="1:11" x14ac:dyDescent="0.2">
      <c r="A4012" s="1" t="s">
        <v>5130</v>
      </c>
      <c r="B4012" s="2">
        <v>45681</v>
      </c>
      <c r="C4012" s="1" t="s">
        <v>2300</v>
      </c>
      <c r="D4012" s="1" t="s">
        <v>2301</v>
      </c>
      <c r="E4012" s="1" t="s">
        <v>21</v>
      </c>
      <c r="F4012" s="1" t="s">
        <v>46</v>
      </c>
      <c r="G4012" s="1" t="s">
        <v>47</v>
      </c>
      <c r="H4012" s="1" t="s">
        <v>48</v>
      </c>
      <c r="I4012">
        <v>63258</v>
      </c>
      <c r="J4012" s="3">
        <v>12.75</v>
      </c>
      <c r="K4012" s="3">
        <v>806539.5</v>
      </c>
    </row>
    <row r="4013" spans="1:11" x14ac:dyDescent="0.2">
      <c r="A4013" s="1" t="s">
        <v>5131</v>
      </c>
      <c r="B4013" s="2">
        <v>45663</v>
      </c>
      <c r="C4013" s="1" t="s">
        <v>276</v>
      </c>
      <c r="D4013" s="1" t="s">
        <v>277</v>
      </c>
      <c r="E4013" s="1" t="s">
        <v>34</v>
      </c>
      <c r="F4013" s="1" t="s">
        <v>217</v>
      </c>
      <c r="G4013" s="1" t="s">
        <v>218</v>
      </c>
      <c r="H4013" s="1" t="s">
        <v>72</v>
      </c>
      <c r="I4013">
        <v>61281</v>
      </c>
      <c r="J4013" s="3">
        <v>29.43</v>
      </c>
      <c r="K4013" s="3">
        <v>1803499.83</v>
      </c>
    </row>
    <row r="4014" spans="1:11" x14ac:dyDescent="0.2">
      <c r="A4014" s="1" t="s">
        <v>5132</v>
      </c>
      <c r="B4014" s="2">
        <v>45736</v>
      </c>
      <c r="C4014" s="1" t="s">
        <v>388</v>
      </c>
      <c r="D4014" s="1" t="s">
        <v>389</v>
      </c>
      <c r="E4014" s="1" t="s">
        <v>14</v>
      </c>
      <c r="F4014" s="1" t="s">
        <v>552</v>
      </c>
      <c r="G4014" s="1" t="s">
        <v>553</v>
      </c>
      <c r="H4014" s="1" t="s">
        <v>37</v>
      </c>
      <c r="I4014">
        <v>16622</v>
      </c>
      <c r="J4014" s="3">
        <v>39.79</v>
      </c>
      <c r="K4014" s="3">
        <v>661389.38</v>
      </c>
    </row>
    <row r="4015" spans="1:11" x14ac:dyDescent="0.2">
      <c r="A4015" s="1" t="s">
        <v>5133</v>
      </c>
      <c r="B4015" s="2">
        <v>45701</v>
      </c>
      <c r="C4015" s="1" t="s">
        <v>63</v>
      </c>
      <c r="D4015" s="1" t="s">
        <v>64</v>
      </c>
      <c r="E4015" s="1" t="s">
        <v>37</v>
      </c>
      <c r="F4015" s="1" t="s">
        <v>144</v>
      </c>
      <c r="G4015" s="1" t="s">
        <v>145</v>
      </c>
      <c r="H4015" s="1" t="s">
        <v>24</v>
      </c>
      <c r="I4015">
        <v>9850</v>
      </c>
      <c r="J4015" s="3">
        <v>19.29</v>
      </c>
      <c r="K4015" s="3">
        <v>190006.5</v>
      </c>
    </row>
    <row r="4016" spans="1:11" x14ac:dyDescent="0.2">
      <c r="A4016" s="1" t="s">
        <v>5134</v>
      </c>
      <c r="B4016" s="2">
        <v>45570</v>
      </c>
      <c r="C4016" s="1" t="s">
        <v>871</v>
      </c>
      <c r="D4016" s="1" t="s">
        <v>872</v>
      </c>
      <c r="E4016" s="1" t="s">
        <v>14</v>
      </c>
      <c r="F4016" s="1" t="s">
        <v>184</v>
      </c>
      <c r="G4016" s="1" t="s">
        <v>185</v>
      </c>
      <c r="H4016" s="1" t="s">
        <v>17</v>
      </c>
      <c r="I4016">
        <v>97150</v>
      </c>
      <c r="J4016" s="3">
        <v>49.91</v>
      </c>
      <c r="K4016" s="3">
        <v>4848756.5</v>
      </c>
    </row>
    <row r="4017" spans="1:11" x14ac:dyDescent="0.2">
      <c r="A4017" s="1" t="s">
        <v>5135</v>
      </c>
      <c r="B4017" s="2">
        <v>45417</v>
      </c>
      <c r="C4017" s="1" t="s">
        <v>1079</v>
      </c>
      <c r="D4017" s="1" t="s">
        <v>1080</v>
      </c>
      <c r="E4017" s="1" t="s">
        <v>14</v>
      </c>
      <c r="F4017" s="1" t="s">
        <v>406</v>
      </c>
      <c r="G4017" s="1" t="s">
        <v>407</v>
      </c>
      <c r="H4017" s="1" t="s">
        <v>17</v>
      </c>
      <c r="I4017">
        <v>83217</v>
      </c>
      <c r="J4017" s="3">
        <v>42.05</v>
      </c>
      <c r="K4017" s="3">
        <v>3499274.85</v>
      </c>
    </row>
    <row r="4018" spans="1:11" x14ac:dyDescent="0.2">
      <c r="A4018" s="1" t="s">
        <v>5136</v>
      </c>
      <c r="B4018" s="2">
        <v>45561</v>
      </c>
      <c r="C4018" s="1" t="s">
        <v>835</v>
      </c>
      <c r="D4018" s="1" t="s">
        <v>836</v>
      </c>
      <c r="E4018" s="1" t="s">
        <v>21</v>
      </c>
      <c r="F4018" s="1" t="s">
        <v>144</v>
      </c>
      <c r="G4018" s="1" t="s">
        <v>145</v>
      </c>
      <c r="H4018" s="1" t="s">
        <v>24</v>
      </c>
      <c r="I4018">
        <v>11839</v>
      </c>
      <c r="J4018" s="3">
        <v>24.2</v>
      </c>
      <c r="K4018" s="3">
        <v>286503.8</v>
      </c>
    </row>
    <row r="4019" spans="1:11" x14ac:dyDescent="0.2">
      <c r="A4019" s="1" t="s">
        <v>5137</v>
      </c>
      <c r="B4019" s="2">
        <v>45765</v>
      </c>
      <c r="C4019" s="1" t="s">
        <v>692</v>
      </c>
      <c r="D4019" s="1" t="s">
        <v>693</v>
      </c>
      <c r="E4019" s="1" t="s">
        <v>28</v>
      </c>
      <c r="F4019" s="1" t="s">
        <v>189</v>
      </c>
      <c r="G4019" s="1" t="s">
        <v>190</v>
      </c>
      <c r="H4019" s="1" t="s">
        <v>17</v>
      </c>
      <c r="I4019">
        <v>35824</v>
      </c>
      <c r="J4019" s="3">
        <v>7.84</v>
      </c>
      <c r="K4019" s="3">
        <v>280860.15999999997</v>
      </c>
    </row>
    <row r="4020" spans="1:11" x14ac:dyDescent="0.2">
      <c r="A4020" s="1" t="s">
        <v>5138</v>
      </c>
      <c r="B4020" s="2">
        <v>45830</v>
      </c>
      <c r="C4020" s="1" t="s">
        <v>628</v>
      </c>
      <c r="D4020" s="1" t="s">
        <v>629</v>
      </c>
      <c r="E4020" s="1" t="s">
        <v>14</v>
      </c>
      <c r="F4020" s="1" t="s">
        <v>284</v>
      </c>
      <c r="G4020" s="1" t="s">
        <v>285</v>
      </c>
      <c r="H4020" s="1" t="s">
        <v>37</v>
      </c>
      <c r="I4020">
        <v>96047</v>
      </c>
      <c r="J4020" s="3">
        <v>13.68</v>
      </c>
      <c r="K4020" s="3">
        <v>1313922.96</v>
      </c>
    </row>
    <row r="4021" spans="1:11" x14ac:dyDescent="0.2">
      <c r="A4021" s="1" t="s">
        <v>5139</v>
      </c>
      <c r="B4021" s="2">
        <v>45500</v>
      </c>
      <c r="C4021" s="1" t="s">
        <v>779</v>
      </c>
      <c r="D4021" s="1" t="s">
        <v>780</v>
      </c>
      <c r="E4021" s="1" t="s">
        <v>21</v>
      </c>
      <c r="F4021" s="1" t="s">
        <v>394</v>
      </c>
      <c r="G4021" s="1" t="s">
        <v>395</v>
      </c>
      <c r="H4021" s="1" t="s">
        <v>48</v>
      </c>
      <c r="I4021">
        <v>46484</v>
      </c>
      <c r="J4021" s="3">
        <v>21.58</v>
      </c>
      <c r="K4021" s="3">
        <v>1003124.72</v>
      </c>
    </row>
    <row r="4022" spans="1:11" x14ac:dyDescent="0.2">
      <c r="A4022" s="1" t="s">
        <v>5140</v>
      </c>
      <c r="B4022" s="2">
        <v>45406</v>
      </c>
      <c r="C4022" s="1" t="s">
        <v>206</v>
      </c>
      <c r="D4022" s="1" t="s">
        <v>207</v>
      </c>
      <c r="E4022" s="1" t="s">
        <v>14</v>
      </c>
      <c r="F4022" s="1" t="s">
        <v>35</v>
      </c>
      <c r="G4022" s="1" t="s">
        <v>36</v>
      </c>
      <c r="H4022" s="1" t="s">
        <v>37</v>
      </c>
      <c r="I4022">
        <v>55867</v>
      </c>
      <c r="J4022" s="3">
        <v>48.48</v>
      </c>
      <c r="K4022" s="3">
        <v>2708432.16</v>
      </c>
    </row>
    <row r="4023" spans="1:11" x14ac:dyDescent="0.2">
      <c r="A4023" s="1" t="s">
        <v>5141</v>
      </c>
      <c r="B4023" s="2">
        <v>45714</v>
      </c>
      <c r="C4023" s="1" t="s">
        <v>1662</v>
      </c>
      <c r="D4023" s="1" t="s">
        <v>1663</v>
      </c>
      <c r="E4023" s="1" t="s">
        <v>37</v>
      </c>
      <c r="F4023" s="1" t="s">
        <v>761</v>
      </c>
      <c r="G4023" s="1" t="s">
        <v>762</v>
      </c>
      <c r="H4023" s="1" t="s">
        <v>48</v>
      </c>
      <c r="I4023">
        <v>82426</v>
      </c>
      <c r="J4023" s="3">
        <v>4.34</v>
      </c>
      <c r="K4023" s="3">
        <v>357728.84</v>
      </c>
    </row>
    <row r="4024" spans="1:11" x14ac:dyDescent="0.2">
      <c r="A4024" s="1" t="s">
        <v>5142</v>
      </c>
      <c r="B4024" s="2">
        <v>45787</v>
      </c>
      <c r="C4024" s="1" t="s">
        <v>814</v>
      </c>
      <c r="D4024" s="1" t="s">
        <v>815</v>
      </c>
      <c r="E4024" s="1" t="s">
        <v>14</v>
      </c>
      <c r="F4024" s="1" t="s">
        <v>35</v>
      </c>
      <c r="G4024" s="1" t="s">
        <v>36</v>
      </c>
      <c r="H4024" s="1" t="s">
        <v>37</v>
      </c>
      <c r="I4024">
        <v>99165</v>
      </c>
      <c r="J4024" s="3">
        <v>22.68</v>
      </c>
      <c r="K4024" s="3">
        <v>2249062.2000000002</v>
      </c>
    </row>
    <row r="4025" spans="1:11" x14ac:dyDescent="0.2">
      <c r="A4025" s="1" t="s">
        <v>5143</v>
      </c>
      <c r="B4025" s="2">
        <v>45925</v>
      </c>
      <c r="C4025" s="1" t="s">
        <v>1154</v>
      </c>
      <c r="D4025" s="1" t="s">
        <v>1155</v>
      </c>
      <c r="E4025" s="1" t="s">
        <v>37</v>
      </c>
      <c r="F4025" s="1" t="s">
        <v>552</v>
      </c>
      <c r="G4025" s="1" t="s">
        <v>553</v>
      </c>
      <c r="H4025" s="1" t="s">
        <v>37</v>
      </c>
      <c r="I4025">
        <v>92803</v>
      </c>
      <c r="J4025" s="3">
        <v>43.96</v>
      </c>
      <c r="K4025" s="3">
        <v>4079619.88</v>
      </c>
    </row>
    <row r="4026" spans="1:11" x14ac:dyDescent="0.2">
      <c r="A4026" s="1" t="s">
        <v>5144</v>
      </c>
      <c r="B4026" s="2">
        <v>45705</v>
      </c>
      <c r="C4026" s="1" t="s">
        <v>1429</v>
      </c>
      <c r="D4026" s="1" t="s">
        <v>1430</v>
      </c>
      <c r="E4026" s="1" t="s">
        <v>37</v>
      </c>
      <c r="F4026" s="1" t="s">
        <v>406</v>
      </c>
      <c r="G4026" s="1" t="s">
        <v>407</v>
      </c>
      <c r="H4026" s="1" t="s">
        <v>17</v>
      </c>
      <c r="I4026">
        <v>38546</v>
      </c>
      <c r="J4026" s="3">
        <v>34.94</v>
      </c>
      <c r="K4026" s="3">
        <v>1346797.24</v>
      </c>
    </row>
    <row r="4027" spans="1:11" x14ac:dyDescent="0.2">
      <c r="A4027" s="1" t="s">
        <v>5145</v>
      </c>
      <c r="B4027" s="2">
        <v>45388</v>
      </c>
      <c r="C4027" s="1" t="s">
        <v>936</v>
      </c>
      <c r="D4027" s="1" t="s">
        <v>937</v>
      </c>
      <c r="E4027" s="1" t="s">
        <v>28</v>
      </c>
      <c r="F4027" s="1" t="s">
        <v>436</v>
      </c>
      <c r="G4027" s="1" t="s">
        <v>437</v>
      </c>
      <c r="H4027" s="1" t="s">
        <v>24</v>
      </c>
      <c r="I4027">
        <v>94369</v>
      </c>
      <c r="J4027" s="3">
        <v>15.15</v>
      </c>
      <c r="K4027" s="3">
        <v>1429690.35</v>
      </c>
    </row>
    <row r="4028" spans="1:11" x14ac:dyDescent="0.2">
      <c r="A4028" s="1" t="s">
        <v>5146</v>
      </c>
      <c r="B4028" s="2">
        <v>45340</v>
      </c>
      <c r="C4028" s="1" t="s">
        <v>356</v>
      </c>
      <c r="D4028" s="1" t="s">
        <v>357</v>
      </c>
      <c r="E4028" s="1" t="s">
        <v>14</v>
      </c>
      <c r="F4028" s="1" t="s">
        <v>263</v>
      </c>
      <c r="G4028" s="1" t="s">
        <v>264</v>
      </c>
      <c r="H4028" s="1" t="s">
        <v>17</v>
      </c>
      <c r="I4028">
        <v>38625</v>
      </c>
      <c r="J4028" s="3">
        <v>4.13</v>
      </c>
      <c r="K4028" s="3">
        <v>159521.25</v>
      </c>
    </row>
    <row r="4029" spans="1:11" x14ac:dyDescent="0.2">
      <c r="A4029" s="1" t="s">
        <v>5147</v>
      </c>
      <c r="B4029" s="2">
        <v>45684</v>
      </c>
      <c r="C4029" s="1" t="s">
        <v>1020</v>
      </c>
      <c r="D4029" s="1" t="s">
        <v>1021</v>
      </c>
      <c r="E4029" s="1" t="s">
        <v>14</v>
      </c>
      <c r="F4029" s="1" t="s">
        <v>139</v>
      </c>
      <c r="G4029" s="1" t="s">
        <v>140</v>
      </c>
      <c r="H4029" s="1" t="s">
        <v>24</v>
      </c>
      <c r="I4029">
        <v>42900</v>
      </c>
      <c r="J4029" s="3">
        <v>44.78</v>
      </c>
      <c r="K4029" s="3">
        <v>1921062</v>
      </c>
    </row>
    <row r="4030" spans="1:11" x14ac:dyDescent="0.2">
      <c r="A4030" s="1" t="s">
        <v>5148</v>
      </c>
      <c r="B4030" s="2">
        <v>45395</v>
      </c>
      <c r="C4030" s="1" t="s">
        <v>2597</v>
      </c>
      <c r="D4030" s="1" t="s">
        <v>2598</v>
      </c>
      <c r="E4030" s="1" t="s">
        <v>21</v>
      </c>
      <c r="F4030" s="1" t="s">
        <v>324</v>
      </c>
      <c r="G4030" s="1" t="s">
        <v>325</v>
      </c>
      <c r="H4030" s="1" t="s">
        <v>24</v>
      </c>
      <c r="I4030">
        <v>76564</v>
      </c>
      <c r="J4030" s="3">
        <v>40.380000000000003</v>
      </c>
      <c r="K4030" s="3">
        <v>3091654.32</v>
      </c>
    </row>
    <row r="4031" spans="1:11" x14ac:dyDescent="0.2">
      <c r="A4031" s="1" t="s">
        <v>5149</v>
      </c>
      <c r="B4031" s="2">
        <v>45593</v>
      </c>
      <c r="C4031" s="1" t="s">
        <v>625</v>
      </c>
      <c r="D4031" s="1" t="s">
        <v>626</v>
      </c>
      <c r="E4031" s="1" t="s">
        <v>34</v>
      </c>
      <c r="F4031" s="1" t="s">
        <v>139</v>
      </c>
      <c r="G4031" s="1" t="s">
        <v>140</v>
      </c>
      <c r="H4031" s="1" t="s">
        <v>24</v>
      </c>
      <c r="I4031">
        <v>91627</v>
      </c>
      <c r="J4031" s="3">
        <v>28.55</v>
      </c>
      <c r="K4031" s="3">
        <v>2615950.85</v>
      </c>
    </row>
    <row r="4032" spans="1:11" x14ac:dyDescent="0.2">
      <c r="A4032" s="1" t="s">
        <v>5150</v>
      </c>
      <c r="B4032" s="2">
        <v>45423</v>
      </c>
      <c r="C4032" s="1" t="s">
        <v>570</v>
      </c>
      <c r="D4032" s="1" t="s">
        <v>571</v>
      </c>
      <c r="E4032" s="1" t="s">
        <v>28</v>
      </c>
      <c r="F4032" s="1" t="s">
        <v>268</v>
      </c>
      <c r="G4032" s="1" t="s">
        <v>269</v>
      </c>
      <c r="H4032" s="1" t="s">
        <v>72</v>
      </c>
      <c r="I4032">
        <v>46746</v>
      </c>
      <c r="J4032" s="3">
        <v>48.33</v>
      </c>
      <c r="K4032" s="3">
        <v>2259234.1800000002</v>
      </c>
    </row>
    <row r="4033" spans="1:11" x14ac:dyDescent="0.2">
      <c r="A4033" s="1" t="s">
        <v>5151</v>
      </c>
      <c r="B4033" s="2">
        <v>45551</v>
      </c>
      <c r="C4033" s="1" t="s">
        <v>2785</v>
      </c>
      <c r="D4033" s="1" t="s">
        <v>2786</v>
      </c>
      <c r="E4033" s="1" t="s">
        <v>14</v>
      </c>
      <c r="F4033" s="1" t="s">
        <v>52</v>
      </c>
      <c r="G4033" s="1" t="s">
        <v>53</v>
      </c>
      <c r="H4033" s="1" t="s">
        <v>17</v>
      </c>
      <c r="I4033">
        <v>20829</v>
      </c>
      <c r="J4033" s="3">
        <v>40.53</v>
      </c>
      <c r="K4033" s="3">
        <v>844199.37</v>
      </c>
    </row>
    <row r="4034" spans="1:11" x14ac:dyDescent="0.2">
      <c r="A4034" s="1" t="s">
        <v>5152</v>
      </c>
      <c r="B4034" s="2">
        <v>45908</v>
      </c>
      <c r="C4034" s="1" t="s">
        <v>359</v>
      </c>
      <c r="D4034" s="1" t="s">
        <v>360</v>
      </c>
      <c r="E4034" s="1" t="s">
        <v>34</v>
      </c>
      <c r="F4034" s="1" t="s">
        <v>436</v>
      </c>
      <c r="G4034" s="1" t="s">
        <v>437</v>
      </c>
      <c r="H4034" s="1" t="s">
        <v>24</v>
      </c>
      <c r="I4034">
        <v>28929</v>
      </c>
      <c r="J4034" s="3">
        <v>34.44</v>
      </c>
      <c r="K4034" s="3">
        <v>996314.76</v>
      </c>
    </row>
    <row r="4035" spans="1:11" x14ac:dyDescent="0.2">
      <c r="A4035" s="1" t="s">
        <v>5153</v>
      </c>
      <c r="B4035" s="2">
        <v>45701</v>
      </c>
      <c r="C4035" s="1" t="s">
        <v>1121</v>
      </c>
      <c r="D4035" s="1" t="s">
        <v>1122</v>
      </c>
      <c r="E4035" s="1" t="s">
        <v>28</v>
      </c>
      <c r="F4035" s="1" t="s">
        <v>350</v>
      </c>
      <c r="G4035" s="1" t="s">
        <v>351</v>
      </c>
      <c r="H4035" s="1" t="s">
        <v>37</v>
      </c>
      <c r="I4035">
        <v>46999</v>
      </c>
      <c r="J4035" s="3">
        <v>39.590000000000003</v>
      </c>
      <c r="K4035" s="3">
        <v>1860690.41</v>
      </c>
    </row>
    <row r="4036" spans="1:11" x14ac:dyDescent="0.2">
      <c r="A4036" s="1" t="s">
        <v>5154</v>
      </c>
      <c r="B4036" s="2">
        <v>45504</v>
      </c>
      <c r="C4036" s="1" t="s">
        <v>1240</v>
      </c>
      <c r="D4036" s="1" t="s">
        <v>1241</v>
      </c>
      <c r="E4036" s="1" t="s">
        <v>28</v>
      </c>
      <c r="F4036" s="1" t="s">
        <v>176</v>
      </c>
      <c r="G4036" s="1" t="s">
        <v>177</v>
      </c>
      <c r="H4036" s="1" t="s">
        <v>37</v>
      </c>
      <c r="I4036">
        <v>39128</v>
      </c>
      <c r="J4036" s="3">
        <v>13.16</v>
      </c>
      <c r="K4036" s="3">
        <v>514924.48</v>
      </c>
    </row>
    <row r="4037" spans="1:11" x14ac:dyDescent="0.2">
      <c r="A4037" s="1" t="s">
        <v>5155</v>
      </c>
      <c r="B4037" s="2">
        <v>45768</v>
      </c>
      <c r="C4037" s="1" t="s">
        <v>2711</v>
      </c>
      <c r="D4037" s="1" t="s">
        <v>2712</v>
      </c>
      <c r="E4037" s="1" t="s">
        <v>14</v>
      </c>
      <c r="F4037" s="1" t="s">
        <v>70</v>
      </c>
      <c r="G4037" s="1" t="s">
        <v>71</v>
      </c>
      <c r="H4037" s="1" t="s">
        <v>72</v>
      </c>
      <c r="I4037">
        <v>12836</v>
      </c>
      <c r="J4037" s="3">
        <v>20.260000000000002</v>
      </c>
      <c r="K4037" s="3">
        <v>260057.36</v>
      </c>
    </row>
    <row r="4038" spans="1:11" x14ac:dyDescent="0.2">
      <c r="A4038" s="1" t="s">
        <v>5156</v>
      </c>
      <c r="B4038" s="2">
        <v>45978</v>
      </c>
      <c r="C4038" s="1" t="s">
        <v>240</v>
      </c>
      <c r="D4038" s="1" t="s">
        <v>241</v>
      </c>
      <c r="E4038" s="1" t="s">
        <v>28</v>
      </c>
      <c r="F4038" s="1" t="s">
        <v>189</v>
      </c>
      <c r="G4038" s="1" t="s">
        <v>190</v>
      </c>
      <c r="H4038" s="1" t="s">
        <v>17</v>
      </c>
      <c r="I4038">
        <v>74657</v>
      </c>
      <c r="J4038" s="3">
        <v>31.74</v>
      </c>
      <c r="K4038" s="3">
        <v>2369613.1800000002</v>
      </c>
    </row>
    <row r="4039" spans="1:11" x14ac:dyDescent="0.2">
      <c r="A4039" s="1" t="s">
        <v>5157</v>
      </c>
      <c r="B4039" s="2">
        <v>45772</v>
      </c>
      <c r="C4039" s="1" t="s">
        <v>1261</v>
      </c>
      <c r="D4039" s="1" t="s">
        <v>1262</v>
      </c>
      <c r="E4039" s="1" t="s">
        <v>28</v>
      </c>
      <c r="F4039" s="1" t="s">
        <v>57</v>
      </c>
      <c r="G4039" s="1" t="s">
        <v>58</v>
      </c>
      <c r="H4039" s="1" t="s">
        <v>48</v>
      </c>
      <c r="I4039">
        <v>76851</v>
      </c>
      <c r="J4039" s="3">
        <v>5.75</v>
      </c>
      <c r="K4039" s="3">
        <v>441893.25</v>
      </c>
    </row>
    <row r="4040" spans="1:11" x14ac:dyDescent="0.2">
      <c r="A4040" s="1" t="s">
        <v>5158</v>
      </c>
      <c r="B4040" s="2">
        <v>45537</v>
      </c>
      <c r="C4040" s="1" t="s">
        <v>596</v>
      </c>
      <c r="D4040" s="1" t="s">
        <v>597</v>
      </c>
      <c r="E4040" s="1" t="s">
        <v>37</v>
      </c>
      <c r="F4040" s="1" t="s">
        <v>57</v>
      </c>
      <c r="G4040" s="1" t="s">
        <v>58</v>
      </c>
      <c r="H4040" s="1" t="s">
        <v>48</v>
      </c>
      <c r="I4040">
        <v>5787</v>
      </c>
      <c r="J4040" s="3">
        <v>10.41</v>
      </c>
      <c r="K4040" s="3">
        <v>60242.67</v>
      </c>
    </row>
    <row r="4041" spans="1:11" x14ac:dyDescent="0.2">
      <c r="A4041" s="1" t="s">
        <v>5159</v>
      </c>
      <c r="B4041" s="2">
        <v>45815</v>
      </c>
      <c r="C4041" s="1" t="s">
        <v>788</v>
      </c>
      <c r="D4041" s="1" t="s">
        <v>789</v>
      </c>
      <c r="E4041" s="1" t="s">
        <v>14</v>
      </c>
      <c r="F4041" s="1" t="s">
        <v>46</v>
      </c>
      <c r="G4041" s="1" t="s">
        <v>47</v>
      </c>
      <c r="H4041" s="1" t="s">
        <v>48</v>
      </c>
      <c r="I4041">
        <v>75802</v>
      </c>
      <c r="J4041" s="3">
        <v>35.590000000000003</v>
      </c>
      <c r="K4041" s="3">
        <v>2697793.18</v>
      </c>
    </row>
    <row r="4042" spans="1:11" x14ac:dyDescent="0.2">
      <c r="A4042" s="1" t="s">
        <v>5160</v>
      </c>
      <c r="B4042" s="2">
        <v>45653</v>
      </c>
      <c r="C4042" s="1" t="s">
        <v>39</v>
      </c>
      <c r="D4042" s="1" t="s">
        <v>40</v>
      </c>
      <c r="E4042" s="1" t="s">
        <v>21</v>
      </c>
      <c r="F4042" s="1" t="s">
        <v>81</v>
      </c>
      <c r="G4042" s="1" t="s">
        <v>82</v>
      </c>
      <c r="H4042" s="1" t="s">
        <v>72</v>
      </c>
      <c r="I4042">
        <v>27753</v>
      </c>
      <c r="J4042" s="3">
        <v>5.48</v>
      </c>
      <c r="K4042" s="3">
        <v>152086.44</v>
      </c>
    </row>
    <row r="4043" spans="1:11" x14ac:dyDescent="0.2">
      <c r="A4043" s="1" t="s">
        <v>5161</v>
      </c>
      <c r="B4043" s="2">
        <v>45792</v>
      </c>
      <c r="C4043" s="1" t="s">
        <v>1421</v>
      </c>
      <c r="D4043" s="1" t="s">
        <v>1422</v>
      </c>
      <c r="E4043" s="1" t="s">
        <v>21</v>
      </c>
      <c r="F4043" s="1" t="s">
        <v>406</v>
      </c>
      <c r="G4043" s="1" t="s">
        <v>407</v>
      </c>
      <c r="H4043" s="1" t="s">
        <v>17</v>
      </c>
      <c r="I4043">
        <v>70802</v>
      </c>
      <c r="J4043" s="3">
        <v>9</v>
      </c>
      <c r="K4043" s="3">
        <v>637218</v>
      </c>
    </row>
    <row r="4044" spans="1:11" x14ac:dyDescent="0.2">
      <c r="A4044" s="1" t="s">
        <v>5162</v>
      </c>
      <c r="B4044" s="2">
        <v>45954</v>
      </c>
      <c r="C4044" s="1" t="s">
        <v>1292</v>
      </c>
      <c r="D4044" s="1" t="s">
        <v>1293</v>
      </c>
      <c r="E4044" s="1" t="s">
        <v>21</v>
      </c>
      <c r="F4044" s="1" t="s">
        <v>189</v>
      </c>
      <c r="G4044" s="1" t="s">
        <v>190</v>
      </c>
      <c r="H4044" s="1" t="s">
        <v>17</v>
      </c>
      <c r="I4044">
        <v>8957</v>
      </c>
      <c r="J4044" s="3">
        <v>43.73</v>
      </c>
      <c r="K4044" s="3">
        <v>391689.61</v>
      </c>
    </row>
    <row r="4045" spans="1:11" x14ac:dyDescent="0.2">
      <c r="A4045" s="1" t="s">
        <v>5163</v>
      </c>
      <c r="B4045" s="2">
        <v>45501</v>
      </c>
      <c r="C4045" s="1" t="s">
        <v>3733</v>
      </c>
      <c r="D4045" s="1" t="s">
        <v>3734</v>
      </c>
      <c r="E4045" s="1" t="s">
        <v>14</v>
      </c>
      <c r="F4045" s="1" t="s">
        <v>203</v>
      </c>
      <c r="G4045" s="1" t="s">
        <v>204</v>
      </c>
      <c r="H4045" s="1" t="s">
        <v>72</v>
      </c>
      <c r="I4045">
        <v>48866</v>
      </c>
      <c r="J4045" s="3">
        <v>2.31</v>
      </c>
      <c r="K4045" s="3">
        <v>112880.46</v>
      </c>
    </row>
    <row r="4046" spans="1:11" x14ac:dyDescent="0.2">
      <c r="A4046" s="1" t="s">
        <v>5164</v>
      </c>
      <c r="B4046" s="2">
        <v>45422</v>
      </c>
      <c r="C4046" s="1" t="s">
        <v>835</v>
      </c>
      <c r="D4046" s="1" t="s">
        <v>836</v>
      </c>
      <c r="E4046" s="1" t="s">
        <v>21</v>
      </c>
      <c r="F4046" s="1" t="s">
        <v>22</v>
      </c>
      <c r="G4046" s="1" t="s">
        <v>23</v>
      </c>
      <c r="H4046" s="1" t="s">
        <v>24</v>
      </c>
      <c r="I4046">
        <v>80642</v>
      </c>
      <c r="J4046" s="3">
        <v>33.51</v>
      </c>
      <c r="K4046" s="3">
        <v>2702313.42</v>
      </c>
    </row>
    <row r="4047" spans="1:11" x14ac:dyDescent="0.2">
      <c r="A4047" s="1" t="s">
        <v>5165</v>
      </c>
      <c r="B4047" s="2">
        <v>45942</v>
      </c>
      <c r="C4047" s="1" t="s">
        <v>254</v>
      </c>
      <c r="D4047" s="1" t="s">
        <v>255</v>
      </c>
      <c r="E4047" s="1" t="s">
        <v>14</v>
      </c>
      <c r="F4047" s="1" t="s">
        <v>203</v>
      </c>
      <c r="G4047" s="1" t="s">
        <v>204</v>
      </c>
      <c r="H4047" s="1" t="s">
        <v>72</v>
      </c>
      <c r="I4047">
        <v>70282</v>
      </c>
      <c r="J4047" s="3">
        <v>43.9</v>
      </c>
      <c r="K4047" s="3">
        <v>3085379.8</v>
      </c>
    </row>
    <row r="4048" spans="1:11" x14ac:dyDescent="0.2">
      <c r="A4048" s="1" t="s">
        <v>5166</v>
      </c>
      <c r="B4048" s="2">
        <v>45616</v>
      </c>
      <c r="C4048" s="1" t="s">
        <v>963</v>
      </c>
      <c r="D4048" s="1" t="s">
        <v>964</v>
      </c>
      <c r="E4048" s="1" t="s">
        <v>37</v>
      </c>
      <c r="F4048" s="1" t="s">
        <v>268</v>
      </c>
      <c r="G4048" s="1" t="s">
        <v>269</v>
      </c>
      <c r="H4048" s="1" t="s">
        <v>72</v>
      </c>
      <c r="I4048">
        <v>15627</v>
      </c>
      <c r="J4048" s="3">
        <v>8.31</v>
      </c>
      <c r="K4048" s="3">
        <v>129860.37</v>
      </c>
    </row>
    <row r="4049" spans="1:11" x14ac:dyDescent="0.2">
      <c r="A4049" s="1" t="s">
        <v>5167</v>
      </c>
      <c r="B4049" s="2">
        <v>45979</v>
      </c>
      <c r="C4049" s="1" t="s">
        <v>2991</v>
      </c>
      <c r="D4049" s="1" t="s">
        <v>2992</v>
      </c>
      <c r="E4049" s="1" t="s">
        <v>37</v>
      </c>
      <c r="F4049" s="1" t="s">
        <v>176</v>
      </c>
      <c r="G4049" s="1" t="s">
        <v>177</v>
      </c>
      <c r="H4049" s="1" t="s">
        <v>37</v>
      </c>
      <c r="I4049">
        <v>11654</v>
      </c>
      <c r="J4049" s="3">
        <v>24.77</v>
      </c>
      <c r="K4049" s="3">
        <v>288669.58</v>
      </c>
    </row>
    <row r="4050" spans="1:11" x14ac:dyDescent="0.2">
      <c r="A4050" s="1" t="s">
        <v>5168</v>
      </c>
      <c r="B4050" s="2">
        <v>45372</v>
      </c>
      <c r="C4050" s="1" t="s">
        <v>737</v>
      </c>
      <c r="D4050" s="1" t="s">
        <v>738</v>
      </c>
      <c r="E4050" s="1" t="s">
        <v>37</v>
      </c>
      <c r="F4050" s="1" t="s">
        <v>139</v>
      </c>
      <c r="G4050" s="1" t="s">
        <v>140</v>
      </c>
      <c r="H4050" s="1" t="s">
        <v>24</v>
      </c>
      <c r="I4050">
        <v>39908</v>
      </c>
      <c r="J4050" s="3">
        <v>20.13</v>
      </c>
      <c r="K4050" s="3">
        <v>803348.04</v>
      </c>
    </row>
    <row r="4051" spans="1:11" x14ac:dyDescent="0.2">
      <c r="A4051" s="1" t="s">
        <v>5169</v>
      </c>
      <c r="B4051" s="2">
        <v>45720</v>
      </c>
      <c r="C4051" s="1" t="s">
        <v>287</v>
      </c>
      <c r="D4051" s="1" t="s">
        <v>288</v>
      </c>
      <c r="E4051" s="1" t="s">
        <v>21</v>
      </c>
      <c r="F4051" s="1" t="s">
        <v>474</v>
      </c>
      <c r="G4051" s="1" t="s">
        <v>475</v>
      </c>
      <c r="H4051" s="1" t="s">
        <v>48</v>
      </c>
      <c r="I4051">
        <v>24164</v>
      </c>
      <c r="J4051" s="3">
        <v>32.770000000000003</v>
      </c>
      <c r="K4051" s="3">
        <v>791854.28</v>
      </c>
    </row>
    <row r="4052" spans="1:11" x14ac:dyDescent="0.2">
      <c r="A4052" s="1" t="s">
        <v>5170</v>
      </c>
      <c r="B4052" s="2">
        <v>45541</v>
      </c>
      <c r="C4052" s="1" t="s">
        <v>1894</v>
      </c>
      <c r="D4052" s="1" t="s">
        <v>1895</v>
      </c>
      <c r="E4052" s="1" t="s">
        <v>28</v>
      </c>
      <c r="F4052" s="1" t="s">
        <v>406</v>
      </c>
      <c r="G4052" s="1" t="s">
        <v>407</v>
      </c>
      <c r="H4052" s="1" t="s">
        <v>17</v>
      </c>
      <c r="I4052">
        <v>46762</v>
      </c>
      <c r="J4052" s="3">
        <v>3.8</v>
      </c>
      <c r="K4052" s="3">
        <v>177695.6</v>
      </c>
    </row>
    <row r="4053" spans="1:11" x14ac:dyDescent="0.2">
      <c r="A4053" s="1" t="s">
        <v>5171</v>
      </c>
      <c r="B4053" s="2">
        <v>45765</v>
      </c>
      <c r="C4053" s="1" t="s">
        <v>2038</v>
      </c>
      <c r="D4053" s="1" t="s">
        <v>2039</v>
      </c>
      <c r="E4053" s="1" t="s">
        <v>28</v>
      </c>
      <c r="F4053" s="1" t="s">
        <v>251</v>
      </c>
      <c r="G4053" s="1" t="s">
        <v>252</v>
      </c>
      <c r="H4053" s="1" t="s">
        <v>72</v>
      </c>
      <c r="I4053">
        <v>94419</v>
      </c>
      <c r="J4053" s="3">
        <v>10.75</v>
      </c>
      <c r="K4053" s="3">
        <v>1015004.25</v>
      </c>
    </row>
    <row r="4054" spans="1:11" x14ac:dyDescent="0.2">
      <c r="A4054" s="1" t="s">
        <v>5172</v>
      </c>
      <c r="B4054" s="2">
        <v>45418</v>
      </c>
      <c r="C4054" s="1" t="s">
        <v>883</v>
      </c>
      <c r="D4054" s="1" t="s">
        <v>884</v>
      </c>
      <c r="E4054" s="1" t="s">
        <v>37</v>
      </c>
      <c r="F4054" s="1" t="s">
        <v>406</v>
      </c>
      <c r="G4054" s="1" t="s">
        <v>407</v>
      </c>
      <c r="H4054" s="1" t="s">
        <v>17</v>
      </c>
      <c r="I4054">
        <v>92897</v>
      </c>
      <c r="J4054" s="3">
        <v>41.11</v>
      </c>
      <c r="K4054" s="3">
        <v>3818995.67</v>
      </c>
    </row>
    <row r="4055" spans="1:11" x14ac:dyDescent="0.2">
      <c r="A4055" s="1" t="s">
        <v>5173</v>
      </c>
      <c r="B4055" s="2">
        <v>45582</v>
      </c>
      <c r="C4055" s="1" t="s">
        <v>863</v>
      </c>
      <c r="D4055" s="1" t="s">
        <v>864</v>
      </c>
      <c r="E4055" s="1" t="s">
        <v>37</v>
      </c>
      <c r="F4055" s="1" t="s">
        <v>113</v>
      </c>
      <c r="G4055" s="1" t="s">
        <v>114</v>
      </c>
      <c r="H4055" s="1" t="s">
        <v>37</v>
      </c>
      <c r="I4055">
        <v>75168</v>
      </c>
      <c r="J4055" s="3">
        <v>40.51</v>
      </c>
      <c r="K4055" s="3">
        <v>3045055.68</v>
      </c>
    </row>
    <row r="4056" spans="1:11" x14ac:dyDescent="0.2">
      <c r="A4056" s="1" t="s">
        <v>5174</v>
      </c>
      <c r="B4056" s="2">
        <v>45912</v>
      </c>
      <c r="C4056" s="1" t="s">
        <v>87</v>
      </c>
      <c r="D4056" s="1" t="s">
        <v>88</v>
      </c>
      <c r="E4056" s="1" t="s">
        <v>14</v>
      </c>
      <c r="F4056" s="1" t="s">
        <v>284</v>
      </c>
      <c r="G4056" s="1" t="s">
        <v>285</v>
      </c>
      <c r="H4056" s="1" t="s">
        <v>37</v>
      </c>
      <c r="I4056">
        <v>93269</v>
      </c>
      <c r="J4056" s="3">
        <v>30.1</v>
      </c>
      <c r="K4056" s="3">
        <v>2807396.9</v>
      </c>
    </row>
    <row r="4057" spans="1:11" x14ac:dyDescent="0.2">
      <c r="A4057" s="1" t="s">
        <v>5175</v>
      </c>
      <c r="B4057" s="2">
        <v>45717</v>
      </c>
      <c r="C4057" s="1" t="s">
        <v>1994</v>
      </c>
      <c r="D4057" s="1" t="s">
        <v>1995</v>
      </c>
      <c r="E4057" s="1" t="s">
        <v>28</v>
      </c>
      <c r="F4057" s="1" t="s">
        <v>152</v>
      </c>
      <c r="G4057" s="1" t="s">
        <v>153</v>
      </c>
      <c r="H4057" s="1" t="s">
        <v>17</v>
      </c>
      <c r="I4057">
        <v>76779</v>
      </c>
      <c r="J4057" s="3">
        <v>32</v>
      </c>
      <c r="K4057" s="3">
        <v>2456928</v>
      </c>
    </row>
    <row r="4058" spans="1:11" x14ac:dyDescent="0.2">
      <c r="A4058" s="1" t="s">
        <v>5176</v>
      </c>
      <c r="B4058" s="2">
        <v>45509</v>
      </c>
      <c r="C4058" s="1" t="s">
        <v>79</v>
      </c>
      <c r="D4058" s="1" t="s">
        <v>80</v>
      </c>
      <c r="E4058" s="1" t="s">
        <v>34</v>
      </c>
      <c r="F4058" s="1" t="s">
        <v>324</v>
      </c>
      <c r="G4058" s="1" t="s">
        <v>325</v>
      </c>
      <c r="H4058" s="1" t="s">
        <v>24</v>
      </c>
      <c r="I4058">
        <v>2941</v>
      </c>
      <c r="J4058" s="3">
        <v>42.42</v>
      </c>
      <c r="K4058" s="3">
        <v>124757.22</v>
      </c>
    </row>
    <row r="4059" spans="1:11" x14ac:dyDescent="0.2">
      <c r="A4059" s="1" t="s">
        <v>5177</v>
      </c>
      <c r="B4059" s="2">
        <v>45934</v>
      </c>
      <c r="C4059" s="1" t="s">
        <v>4149</v>
      </c>
      <c r="D4059" s="1" t="s">
        <v>4150</v>
      </c>
      <c r="E4059" s="1" t="s">
        <v>14</v>
      </c>
      <c r="F4059" s="1" t="s">
        <v>165</v>
      </c>
      <c r="G4059" s="1" t="s">
        <v>166</v>
      </c>
      <c r="H4059" s="1" t="s">
        <v>24</v>
      </c>
      <c r="I4059">
        <v>7854</v>
      </c>
      <c r="J4059" s="3">
        <v>28.28</v>
      </c>
      <c r="K4059" s="3">
        <v>222111.12</v>
      </c>
    </row>
    <row r="4060" spans="1:11" x14ac:dyDescent="0.2">
      <c r="A4060" s="1" t="s">
        <v>5178</v>
      </c>
      <c r="B4060" s="2">
        <v>45749</v>
      </c>
      <c r="C4060" s="1" t="s">
        <v>1643</v>
      </c>
      <c r="D4060" s="1" t="s">
        <v>1644</v>
      </c>
      <c r="E4060" s="1" t="s">
        <v>28</v>
      </c>
      <c r="F4060" s="1" t="s">
        <v>268</v>
      </c>
      <c r="G4060" s="1" t="s">
        <v>269</v>
      </c>
      <c r="H4060" s="1" t="s">
        <v>72</v>
      </c>
      <c r="I4060">
        <v>94583</v>
      </c>
      <c r="J4060" s="3">
        <v>5.35</v>
      </c>
      <c r="K4060" s="3">
        <v>506019.05</v>
      </c>
    </row>
    <row r="4061" spans="1:11" x14ac:dyDescent="0.2">
      <c r="A4061" s="1" t="s">
        <v>5179</v>
      </c>
      <c r="B4061" s="2">
        <v>45769</v>
      </c>
      <c r="C4061" s="1" t="s">
        <v>529</v>
      </c>
      <c r="D4061" s="1" t="s">
        <v>530</v>
      </c>
      <c r="E4061" s="1" t="s">
        <v>34</v>
      </c>
      <c r="F4061" s="1" t="s">
        <v>15</v>
      </c>
      <c r="G4061" s="1" t="s">
        <v>16</v>
      </c>
      <c r="H4061" s="1" t="s">
        <v>17</v>
      </c>
      <c r="I4061">
        <v>94374</v>
      </c>
      <c r="J4061" s="3">
        <v>25.46</v>
      </c>
      <c r="K4061" s="3">
        <v>2402762.04</v>
      </c>
    </row>
    <row r="4062" spans="1:11" x14ac:dyDescent="0.2">
      <c r="A4062" s="1" t="s">
        <v>5180</v>
      </c>
      <c r="B4062" s="2">
        <v>45565</v>
      </c>
      <c r="C4062" s="1" t="s">
        <v>472</v>
      </c>
      <c r="D4062" s="1" t="s">
        <v>473</v>
      </c>
      <c r="E4062" s="1" t="s">
        <v>14</v>
      </c>
      <c r="F4062" s="1" t="s">
        <v>113</v>
      </c>
      <c r="G4062" s="1" t="s">
        <v>114</v>
      </c>
      <c r="H4062" s="1" t="s">
        <v>37</v>
      </c>
      <c r="I4062">
        <v>39292</v>
      </c>
      <c r="J4062" s="3">
        <v>3.25</v>
      </c>
      <c r="K4062" s="3">
        <v>127699</v>
      </c>
    </row>
    <row r="4063" spans="1:11" x14ac:dyDescent="0.2">
      <c r="A4063" s="1" t="s">
        <v>5181</v>
      </c>
      <c r="B4063" s="2">
        <v>45621</v>
      </c>
      <c r="C4063" s="1" t="s">
        <v>368</v>
      </c>
      <c r="D4063" s="1" t="s">
        <v>369</v>
      </c>
      <c r="E4063" s="1" t="s">
        <v>37</v>
      </c>
      <c r="F4063" s="1" t="s">
        <v>552</v>
      </c>
      <c r="G4063" s="1" t="s">
        <v>553</v>
      </c>
      <c r="H4063" s="1" t="s">
        <v>37</v>
      </c>
      <c r="I4063">
        <v>96823</v>
      </c>
      <c r="J4063" s="3">
        <v>40.67</v>
      </c>
      <c r="K4063" s="3">
        <v>3937791.41</v>
      </c>
    </row>
    <row r="4064" spans="1:11" x14ac:dyDescent="0.2">
      <c r="A4064" s="1" t="s">
        <v>5182</v>
      </c>
      <c r="B4064" s="2">
        <v>45663</v>
      </c>
      <c r="C4064" s="1" t="s">
        <v>705</v>
      </c>
      <c r="D4064" s="1" t="s">
        <v>706</v>
      </c>
      <c r="E4064" s="1" t="s">
        <v>28</v>
      </c>
      <c r="F4064" s="1" t="s">
        <v>184</v>
      </c>
      <c r="G4064" s="1" t="s">
        <v>185</v>
      </c>
      <c r="H4064" s="1" t="s">
        <v>17</v>
      </c>
      <c r="I4064">
        <v>51571</v>
      </c>
      <c r="J4064" s="3">
        <v>2.96</v>
      </c>
      <c r="K4064" s="3">
        <v>152650.16</v>
      </c>
    </row>
    <row r="4065" spans="1:11" x14ac:dyDescent="0.2">
      <c r="A4065" s="1" t="s">
        <v>5183</v>
      </c>
      <c r="B4065" s="2">
        <v>45986</v>
      </c>
      <c r="C4065" s="1" t="s">
        <v>2128</v>
      </c>
      <c r="D4065" s="1" t="s">
        <v>2129</v>
      </c>
      <c r="E4065" s="1" t="s">
        <v>37</v>
      </c>
      <c r="F4065" s="1" t="s">
        <v>463</v>
      </c>
      <c r="G4065" s="1" t="s">
        <v>464</v>
      </c>
      <c r="H4065" s="1" t="s">
        <v>37</v>
      </c>
      <c r="I4065">
        <v>37750</v>
      </c>
      <c r="J4065" s="3">
        <v>3.78</v>
      </c>
      <c r="K4065" s="3">
        <v>142695</v>
      </c>
    </row>
    <row r="4066" spans="1:11" x14ac:dyDescent="0.2">
      <c r="A4066" s="1" t="s">
        <v>5184</v>
      </c>
      <c r="B4066" s="2">
        <v>45481</v>
      </c>
      <c r="C4066" s="1" t="s">
        <v>788</v>
      </c>
      <c r="D4066" s="1" t="s">
        <v>789</v>
      </c>
      <c r="E4066" s="1" t="s">
        <v>14</v>
      </c>
      <c r="F4066" s="1" t="s">
        <v>463</v>
      </c>
      <c r="G4066" s="1" t="s">
        <v>464</v>
      </c>
      <c r="H4066" s="1" t="s">
        <v>37</v>
      </c>
      <c r="I4066">
        <v>31150</v>
      </c>
      <c r="J4066" s="3">
        <v>28.42</v>
      </c>
      <c r="K4066" s="3">
        <v>885283</v>
      </c>
    </row>
    <row r="4067" spans="1:11" x14ac:dyDescent="0.2">
      <c r="A4067" s="1" t="s">
        <v>5185</v>
      </c>
      <c r="B4067" s="2">
        <v>45426</v>
      </c>
      <c r="C4067" s="1" t="s">
        <v>2686</v>
      </c>
      <c r="D4067" s="1" t="s">
        <v>2687</v>
      </c>
      <c r="E4067" s="1" t="s">
        <v>21</v>
      </c>
      <c r="F4067" s="1" t="s">
        <v>474</v>
      </c>
      <c r="G4067" s="1" t="s">
        <v>475</v>
      </c>
      <c r="H4067" s="1" t="s">
        <v>48</v>
      </c>
      <c r="I4067">
        <v>43756</v>
      </c>
      <c r="J4067" s="3">
        <v>12.09</v>
      </c>
      <c r="K4067" s="3">
        <v>529010.04</v>
      </c>
    </row>
    <row r="4068" spans="1:11" x14ac:dyDescent="0.2">
      <c r="A4068" s="1" t="s">
        <v>5186</v>
      </c>
      <c r="B4068" s="2">
        <v>45550</v>
      </c>
      <c r="C4068" s="1" t="s">
        <v>599</v>
      </c>
      <c r="D4068" s="1" t="s">
        <v>600</v>
      </c>
      <c r="E4068" s="1" t="s">
        <v>37</v>
      </c>
      <c r="F4068" s="1" t="s">
        <v>152</v>
      </c>
      <c r="G4068" s="1" t="s">
        <v>153</v>
      </c>
      <c r="H4068" s="1" t="s">
        <v>17</v>
      </c>
      <c r="I4068">
        <v>36776</v>
      </c>
      <c r="J4068" s="3">
        <v>36.85</v>
      </c>
      <c r="K4068" s="3">
        <v>1355195.6</v>
      </c>
    </row>
    <row r="4069" spans="1:11" x14ac:dyDescent="0.2">
      <c r="A4069" s="1" t="s">
        <v>5187</v>
      </c>
      <c r="B4069" s="2">
        <v>45507</v>
      </c>
      <c r="C4069" s="1" t="s">
        <v>1268</v>
      </c>
      <c r="D4069" s="1" t="s">
        <v>1269</v>
      </c>
      <c r="E4069" s="1" t="s">
        <v>34</v>
      </c>
      <c r="F4069" s="1" t="s">
        <v>52</v>
      </c>
      <c r="G4069" s="1" t="s">
        <v>53</v>
      </c>
      <c r="H4069" s="1" t="s">
        <v>17</v>
      </c>
      <c r="I4069">
        <v>32436</v>
      </c>
      <c r="J4069" s="3">
        <v>15.69</v>
      </c>
      <c r="K4069" s="3">
        <v>508920.84</v>
      </c>
    </row>
    <row r="4070" spans="1:11" x14ac:dyDescent="0.2">
      <c r="A4070" s="1" t="s">
        <v>5188</v>
      </c>
      <c r="B4070" s="2">
        <v>45654</v>
      </c>
      <c r="C4070" s="1" t="s">
        <v>2104</v>
      </c>
      <c r="D4070" s="1" t="s">
        <v>2105</v>
      </c>
      <c r="E4070" s="1" t="s">
        <v>34</v>
      </c>
      <c r="F4070" s="1" t="s">
        <v>552</v>
      </c>
      <c r="G4070" s="1" t="s">
        <v>553</v>
      </c>
      <c r="H4070" s="1" t="s">
        <v>37</v>
      </c>
      <c r="I4070">
        <v>92796</v>
      </c>
      <c r="J4070" s="3">
        <v>2.97</v>
      </c>
      <c r="K4070" s="3">
        <v>275604.12</v>
      </c>
    </row>
    <row r="4071" spans="1:11" x14ac:dyDescent="0.2">
      <c r="A4071" s="1" t="s">
        <v>5189</v>
      </c>
      <c r="B4071" s="2">
        <v>45785</v>
      </c>
      <c r="C4071" s="1" t="s">
        <v>55</v>
      </c>
      <c r="D4071" s="1" t="s">
        <v>56</v>
      </c>
      <c r="E4071" s="1" t="s">
        <v>21</v>
      </c>
      <c r="F4071" s="1" t="s">
        <v>761</v>
      </c>
      <c r="G4071" s="1" t="s">
        <v>762</v>
      </c>
      <c r="H4071" s="1" t="s">
        <v>48</v>
      </c>
      <c r="I4071">
        <v>77936</v>
      </c>
      <c r="J4071" s="3">
        <v>36.89</v>
      </c>
      <c r="K4071" s="3">
        <v>2875059.04</v>
      </c>
    </row>
    <row r="4072" spans="1:11" x14ac:dyDescent="0.2">
      <c r="A4072" s="1" t="s">
        <v>5190</v>
      </c>
      <c r="B4072" s="2">
        <v>45843</v>
      </c>
      <c r="C4072" s="1" t="s">
        <v>1373</v>
      </c>
      <c r="D4072" s="1" t="s">
        <v>1374</v>
      </c>
      <c r="E4072" s="1" t="s">
        <v>21</v>
      </c>
      <c r="F4072" s="1" t="s">
        <v>22</v>
      </c>
      <c r="G4072" s="1" t="s">
        <v>23</v>
      </c>
      <c r="H4072" s="1" t="s">
        <v>24</v>
      </c>
      <c r="I4072">
        <v>99564</v>
      </c>
      <c r="J4072" s="3">
        <v>4.8099999999999996</v>
      </c>
      <c r="K4072" s="3">
        <v>478902.84</v>
      </c>
    </row>
    <row r="4073" spans="1:11" x14ac:dyDescent="0.2">
      <c r="A4073" s="1" t="s">
        <v>5191</v>
      </c>
      <c r="B4073" s="2">
        <v>45983</v>
      </c>
      <c r="C4073" s="1" t="s">
        <v>2270</v>
      </c>
      <c r="D4073" s="1" t="s">
        <v>2271</v>
      </c>
      <c r="E4073" s="1" t="s">
        <v>21</v>
      </c>
      <c r="F4073" s="1" t="s">
        <v>184</v>
      </c>
      <c r="G4073" s="1" t="s">
        <v>185</v>
      </c>
      <c r="H4073" s="1" t="s">
        <v>17</v>
      </c>
      <c r="I4073">
        <v>19113</v>
      </c>
      <c r="J4073" s="3">
        <v>39.24</v>
      </c>
      <c r="K4073" s="3">
        <v>749994.12</v>
      </c>
    </row>
    <row r="4074" spans="1:11" x14ac:dyDescent="0.2">
      <c r="A4074" s="1" t="s">
        <v>5192</v>
      </c>
      <c r="B4074" s="2">
        <v>45828</v>
      </c>
      <c r="C4074" s="1" t="s">
        <v>1460</v>
      </c>
      <c r="D4074" s="1" t="s">
        <v>1461</v>
      </c>
      <c r="E4074" s="1" t="s">
        <v>37</v>
      </c>
      <c r="F4074" s="1" t="s">
        <v>113</v>
      </c>
      <c r="G4074" s="1" t="s">
        <v>114</v>
      </c>
      <c r="H4074" s="1" t="s">
        <v>37</v>
      </c>
      <c r="I4074">
        <v>7346</v>
      </c>
      <c r="J4074" s="3">
        <v>39.479999999999997</v>
      </c>
      <c r="K4074" s="3">
        <v>290020.08</v>
      </c>
    </row>
    <row r="4075" spans="1:11" x14ac:dyDescent="0.2">
      <c r="A4075" s="1" t="s">
        <v>5193</v>
      </c>
      <c r="B4075" s="2">
        <v>45713</v>
      </c>
      <c r="C4075" s="1" t="s">
        <v>1310</v>
      </c>
      <c r="D4075" s="1" t="s">
        <v>1311</v>
      </c>
      <c r="E4075" s="1" t="s">
        <v>37</v>
      </c>
      <c r="F4075" s="1" t="s">
        <v>458</v>
      </c>
      <c r="G4075" s="1" t="s">
        <v>459</v>
      </c>
      <c r="H4075" s="1" t="s">
        <v>72</v>
      </c>
      <c r="I4075">
        <v>36550</v>
      </c>
      <c r="J4075" s="3">
        <v>31.72</v>
      </c>
      <c r="K4075" s="3">
        <v>1159366</v>
      </c>
    </row>
    <row r="4076" spans="1:11" x14ac:dyDescent="0.2">
      <c r="A4076" s="1" t="s">
        <v>5194</v>
      </c>
      <c r="B4076" s="2">
        <v>45651</v>
      </c>
      <c r="C4076" s="1" t="s">
        <v>1747</v>
      </c>
      <c r="D4076" s="1" t="s">
        <v>1748</v>
      </c>
      <c r="E4076" s="1" t="s">
        <v>37</v>
      </c>
      <c r="F4076" s="1" t="s">
        <v>22</v>
      </c>
      <c r="G4076" s="1" t="s">
        <v>23</v>
      </c>
      <c r="H4076" s="1" t="s">
        <v>24</v>
      </c>
      <c r="I4076">
        <v>19707</v>
      </c>
      <c r="J4076" s="3">
        <v>6.36</v>
      </c>
      <c r="K4076" s="3">
        <v>125336.52</v>
      </c>
    </row>
    <row r="4077" spans="1:11" x14ac:dyDescent="0.2">
      <c r="A4077" s="1" t="s">
        <v>5195</v>
      </c>
      <c r="B4077" s="2">
        <v>45315</v>
      </c>
      <c r="C4077" s="1" t="s">
        <v>1154</v>
      </c>
      <c r="D4077" s="1" t="s">
        <v>1155</v>
      </c>
      <c r="E4077" s="1" t="s">
        <v>37</v>
      </c>
      <c r="F4077" s="1" t="s">
        <v>41</v>
      </c>
      <c r="G4077" s="1" t="s">
        <v>42</v>
      </c>
      <c r="H4077" s="1" t="s">
        <v>24</v>
      </c>
      <c r="I4077">
        <v>46449</v>
      </c>
      <c r="J4077" s="3">
        <v>10.27</v>
      </c>
      <c r="K4077" s="3">
        <v>477031.23</v>
      </c>
    </row>
    <row r="4078" spans="1:11" x14ac:dyDescent="0.2">
      <c r="A4078" s="1" t="s">
        <v>5196</v>
      </c>
      <c r="B4078" s="2">
        <v>45539</v>
      </c>
      <c r="C4078" s="1" t="s">
        <v>1483</v>
      </c>
      <c r="D4078" s="1" t="s">
        <v>1484</v>
      </c>
      <c r="E4078" s="1" t="s">
        <v>21</v>
      </c>
      <c r="F4078" s="1" t="s">
        <v>108</v>
      </c>
      <c r="G4078" s="1" t="s">
        <v>109</v>
      </c>
      <c r="H4078" s="1" t="s">
        <v>37</v>
      </c>
      <c r="I4078">
        <v>20490</v>
      </c>
      <c r="J4078" s="3">
        <v>27.03</v>
      </c>
      <c r="K4078" s="3">
        <v>553844.69999999995</v>
      </c>
    </row>
    <row r="4079" spans="1:11" x14ac:dyDescent="0.2">
      <c r="A4079" s="1" t="s">
        <v>5197</v>
      </c>
      <c r="B4079" s="2">
        <v>45901</v>
      </c>
      <c r="C4079" s="1" t="s">
        <v>400</v>
      </c>
      <c r="D4079" s="1" t="s">
        <v>401</v>
      </c>
      <c r="E4079" s="1" t="s">
        <v>21</v>
      </c>
      <c r="F4079" s="1" t="s">
        <v>70</v>
      </c>
      <c r="G4079" s="1" t="s">
        <v>71</v>
      </c>
      <c r="H4079" s="1" t="s">
        <v>72</v>
      </c>
      <c r="I4079">
        <v>29440</v>
      </c>
      <c r="J4079" s="3">
        <v>29.13</v>
      </c>
      <c r="K4079" s="3">
        <v>857587.19999999995</v>
      </c>
    </row>
    <row r="4080" spans="1:11" x14ac:dyDescent="0.2">
      <c r="A4080" s="1" t="s">
        <v>5198</v>
      </c>
      <c r="B4080" s="2">
        <v>45379</v>
      </c>
      <c r="C4080" s="1" t="s">
        <v>1397</v>
      </c>
      <c r="D4080" s="1" t="s">
        <v>1398</v>
      </c>
      <c r="E4080" s="1" t="s">
        <v>14</v>
      </c>
      <c r="F4080" s="1" t="s">
        <v>463</v>
      </c>
      <c r="G4080" s="1" t="s">
        <v>464</v>
      </c>
      <c r="H4080" s="1" t="s">
        <v>37</v>
      </c>
      <c r="I4080">
        <v>61061</v>
      </c>
      <c r="J4080" s="3">
        <v>45.49</v>
      </c>
      <c r="K4080" s="3">
        <v>2777664.89</v>
      </c>
    </row>
    <row r="4081" spans="1:11" x14ac:dyDescent="0.2">
      <c r="A4081" s="1" t="s">
        <v>5199</v>
      </c>
      <c r="B4081" s="2">
        <v>45686</v>
      </c>
      <c r="C4081" s="1" t="s">
        <v>362</v>
      </c>
      <c r="D4081" s="1" t="s">
        <v>363</v>
      </c>
      <c r="E4081" s="1" t="s">
        <v>37</v>
      </c>
      <c r="F4081" s="1" t="s">
        <v>144</v>
      </c>
      <c r="G4081" s="1" t="s">
        <v>145</v>
      </c>
      <c r="H4081" s="1" t="s">
        <v>24</v>
      </c>
      <c r="I4081">
        <v>12069</v>
      </c>
      <c r="J4081" s="3">
        <v>10.58</v>
      </c>
      <c r="K4081" s="3">
        <v>127690.02</v>
      </c>
    </row>
    <row r="4082" spans="1:11" x14ac:dyDescent="0.2">
      <c r="A4082" s="1" t="s">
        <v>5200</v>
      </c>
      <c r="B4082" s="2">
        <v>45816</v>
      </c>
      <c r="C4082" s="1" t="s">
        <v>1295</v>
      </c>
      <c r="D4082" s="1" t="s">
        <v>1296</v>
      </c>
      <c r="E4082" s="1" t="s">
        <v>21</v>
      </c>
      <c r="F4082" s="1" t="s">
        <v>98</v>
      </c>
      <c r="G4082" s="1" t="s">
        <v>99</v>
      </c>
      <c r="H4082" s="1" t="s">
        <v>72</v>
      </c>
      <c r="I4082">
        <v>21760</v>
      </c>
      <c r="J4082" s="3">
        <v>33.31</v>
      </c>
      <c r="K4082" s="3">
        <v>724825.59999999998</v>
      </c>
    </row>
    <row r="4083" spans="1:11" x14ac:dyDescent="0.2">
      <c r="A4083" s="1" t="s">
        <v>5201</v>
      </c>
      <c r="B4083" s="2">
        <v>45962</v>
      </c>
      <c r="C4083" s="1" t="s">
        <v>2011</v>
      </c>
      <c r="D4083" s="1" t="s">
        <v>2012</v>
      </c>
      <c r="E4083" s="1" t="s">
        <v>37</v>
      </c>
      <c r="F4083" s="1" t="s">
        <v>406</v>
      </c>
      <c r="G4083" s="1" t="s">
        <v>407</v>
      </c>
      <c r="H4083" s="1" t="s">
        <v>17</v>
      </c>
      <c r="I4083">
        <v>16394</v>
      </c>
      <c r="J4083" s="3">
        <v>25.85</v>
      </c>
      <c r="K4083" s="3">
        <v>423784.9</v>
      </c>
    </row>
    <row r="4084" spans="1:11" x14ac:dyDescent="0.2">
      <c r="A4084" s="1" t="s">
        <v>5202</v>
      </c>
      <c r="B4084" s="2">
        <v>45953</v>
      </c>
      <c r="C4084" s="1" t="s">
        <v>508</v>
      </c>
      <c r="D4084" s="1" t="s">
        <v>509</v>
      </c>
      <c r="E4084" s="1" t="s">
        <v>34</v>
      </c>
      <c r="F4084" s="1" t="s">
        <v>22</v>
      </c>
      <c r="G4084" s="1" t="s">
        <v>23</v>
      </c>
      <c r="H4084" s="1" t="s">
        <v>24</v>
      </c>
      <c r="I4084">
        <v>82910</v>
      </c>
      <c r="J4084" s="3">
        <v>5.34</v>
      </c>
      <c r="K4084" s="3">
        <v>442739.4</v>
      </c>
    </row>
    <row r="4085" spans="1:11" x14ac:dyDescent="0.2">
      <c r="A4085" s="1" t="s">
        <v>5203</v>
      </c>
      <c r="B4085" s="2">
        <v>45749</v>
      </c>
      <c r="C4085" s="1" t="s">
        <v>1658</v>
      </c>
      <c r="D4085" s="1" t="s">
        <v>1659</v>
      </c>
      <c r="E4085" s="1" t="s">
        <v>28</v>
      </c>
      <c r="F4085" s="1" t="s">
        <v>263</v>
      </c>
      <c r="G4085" s="1" t="s">
        <v>264</v>
      </c>
      <c r="H4085" s="1" t="s">
        <v>17</v>
      </c>
      <c r="I4085">
        <v>50538</v>
      </c>
      <c r="J4085" s="3">
        <v>13.42</v>
      </c>
      <c r="K4085" s="3">
        <v>678219.96</v>
      </c>
    </row>
    <row r="4086" spans="1:11" x14ac:dyDescent="0.2">
      <c r="A4086" s="1" t="s">
        <v>5204</v>
      </c>
      <c r="B4086" s="2">
        <v>45898</v>
      </c>
      <c r="C4086" s="1" t="s">
        <v>1337</v>
      </c>
      <c r="D4086" s="1" t="s">
        <v>1338</v>
      </c>
      <c r="E4086" s="1" t="s">
        <v>34</v>
      </c>
      <c r="F4086" s="1" t="s">
        <v>330</v>
      </c>
      <c r="G4086" s="1" t="s">
        <v>331</v>
      </c>
      <c r="H4086" s="1" t="s">
        <v>72</v>
      </c>
      <c r="I4086">
        <v>59985</v>
      </c>
      <c r="J4086" s="3">
        <v>17.61</v>
      </c>
      <c r="K4086" s="3">
        <v>1056335.8500000001</v>
      </c>
    </row>
    <row r="4087" spans="1:11" x14ac:dyDescent="0.2">
      <c r="A4087" s="1" t="s">
        <v>5205</v>
      </c>
      <c r="B4087" s="2">
        <v>45513</v>
      </c>
      <c r="C4087" s="1" t="s">
        <v>291</v>
      </c>
      <c r="D4087" s="1" t="s">
        <v>292</v>
      </c>
      <c r="E4087" s="1" t="s">
        <v>14</v>
      </c>
      <c r="F4087" s="1" t="s">
        <v>208</v>
      </c>
      <c r="G4087" s="1" t="s">
        <v>209</v>
      </c>
      <c r="H4087" s="1" t="s">
        <v>17</v>
      </c>
      <c r="I4087">
        <v>49540</v>
      </c>
      <c r="J4087" s="3">
        <v>4.8899999999999997</v>
      </c>
      <c r="K4087" s="3">
        <v>242250.6</v>
      </c>
    </row>
    <row r="4088" spans="1:11" x14ac:dyDescent="0.2">
      <c r="A4088" s="1" t="s">
        <v>5206</v>
      </c>
      <c r="B4088" s="2">
        <v>45523</v>
      </c>
      <c r="C4088" s="1" t="s">
        <v>434</v>
      </c>
      <c r="D4088" s="1" t="s">
        <v>435</v>
      </c>
      <c r="E4088" s="1" t="s">
        <v>21</v>
      </c>
      <c r="F4088" s="1" t="s">
        <v>46</v>
      </c>
      <c r="G4088" s="1" t="s">
        <v>47</v>
      </c>
      <c r="H4088" s="1" t="s">
        <v>48</v>
      </c>
      <c r="I4088">
        <v>65399</v>
      </c>
      <c r="J4088" s="3">
        <v>29.69</v>
      </c>
      <c r="K4088" s="3">
        <v>1941696.31</v>
      </c>
    </row>
    <row r="4089" spans="1:11" x14ac:dyDescent="0.2">
      <c r="A4089" s="1" t="s">
        <v>5207</v>
      </c>
      <c r="B4089" s="2">
        <v>45699</v>
      </c>
      <c r="C4089" s="1" t="s">
        <v>3733</v>
      </c>
      <c r="D4089" s="1" t="s">
        <v>3734</v>
      </c>
      <c r="E4089" s="1" t="s">
        <v>14</v>
      </c>
      <c r="F4089" s="1" t="s">
        <v>510</v>
      </c>
      <c r="G4089" s="1" t="s">
        <v>511</v>
      </c>
      <c r="H4089" s="1" t="s">
        <v>17</v>
      </c>
      <c r="I4089">
        <v>34273</v>
      </c>
      <c r="J4089" s="3">
        <v>34.24</v>
      </c>
      <c r="K4089" s="3">
        <v>1173507.52</v>
      </c>
    </row>
    <row r="4090" spans="1:11" x14ac:dyDescent="0.2">
      <c r="A4090" s="1" t="s">
        <v>5208</v>
      </c>
      <c r="B4090" s="2">
        <v>45545</v>
      </c>
      <c r="C4090" s="1" t="s">
        <v>811</v>
      </c>
      <c r="D4090" s="1" t="s">
        <v>812</v>
      </c>
      <c r="E4090" s="1" t="s">
        <v>14</v>
      </c>
      <c r="F4090" s="1" t="s">
        <v>761</v>
      </c>
      <c r="G4090" s="1" t="s">
        <v>762</v>
      </c>
      <c r="H4090" s="1" t="s">
        <v>48</v>
      </c>
      <c r="I4090">
        <v>18679</v>
      </c>
      <c r="J4090" s="3">
        <v>41.69</v>
      </c>
      <c r="K4090" s="3">
        <v>778727.51</v>
      </c>
    </row>
    <row r="4091" spans="1:11" x14ac:dyDescent="0.2">
      <c r="A4091" s="1" t="s">
        <v>5209</v>
      </c>
      <c r="B4091" s="2">
        <v>45501</v>
      </c>
      <c r="C4091" s="1" t="s">
        <v>722</v>
      </c>
      <c r="D4091" s="1" t="s">
        <v>723</v>
      </c>
      <c r="E4091" s="1" t="s">
        <v>21</v>
      </c>
      <c r="F4091" s="1" t="s">
        <v>41</v>
      </c>
      <c r="G4091" s="1" t="s">
        <v>42</v>
      </c>
      <c r="H4091" s="1" t="s">
        <v>24</v>
      </c>
      <c r="I4091">
        <v>93653</v>
      </c>
      <c r="J4091" s="3">
        <v>41.19</v>
      </c>
      <c r="K4091" s="3">
        <v>3857567.07</v>
      </c>
    </row>
    <row r="4092" spans="1:11" x14ac:dyDescent="0.2">
      <c r="A4092" s="1" t="s">
        <v>5210</v>
      </c>
      <c r="B4092" s="2">
        <v>45471</v>
      </c>
      <c r="C4092" s="1" t="s">
        <v>1683</v>
      </c>
      <c r="D4092" s="1" t="s">
        <v>1684</v>
      </c>
      <c r="E4092" s="1" t="s">
        <v>14</v>
      </c>
      <c r="F4092" s="1" t="s">
        <v>217</v>
      </c>
      <c r="G4092" s="1" t="s">
        <v>218</v>
      </c>
      <c r="H4092" s="1" t="s">
        <v>72</v>
      </c>
      <c r="I4092">
        <v>13282</v>
      </c>
      <c r="J4092" s="3">
        <v>32.01</v>
      </c>
      <c r="K4092" s="3">
        <v>425156.82</v>
      </c>
    </row>
    <row r="4093" spans="1:11" x14ac:dyDescent="0.2">
      <c r="A4093" s="1" t="s">
        <v>5211</v>
      </c>
      <c r="B4093" s="2">
        <v>45987</v>
      </c>
      <c r="C4093" s="1" t="s">
        <v>695</v>
      </c>
      <c r="D4093" s="1" t="s">
        <v>696</v>
      </c>
      <c r="E4093" s="1" t="s">
        <v>14</v>
      </c>
      <c r="F4093" s="1" t="s">
        <v>217</v>
      </c>
      <c r="G4093" s="1" t="s">
        <v>218</v>
      </c>
      <c r="H4093" s="1" t="s">
        <v>72</v>
      </c>
      <c r="I4093">
        <v>44392</v>
      </c>
      <c r="J4093" s="3">
        <v>25.39</v>
      </c>
      <c r="K4093" s="3">
        <v>1127112.8799999999</v>
      </c>
    </row>
    <row r="4094" spans="1:11" x14ac:dyDescent="0.2">
      <c r="A4094" s="1" t="s">
        <v>5212</v>
      </c>
      <c r="B4094" s="2">
        <v>45808</v>
      </c>
      <c r="C4094" s="1" t="s">
        <v>96</v>
      </c>
      <c r="D4094" s="1" t="s">
        <v>97</v>
      </c>
      <c r="E4094" s="1" t="s">
        <v>21</v>
      </c>
      <c r="F4094" s="1" t="s">
        <v>157</v>
      </c>
      <c r="G4094" s="1" t="s">
        <v>158</v>
      </c>
      <c r="H4094" s="1" t="s">
        <v>48</v>
      </c>
      <c r="I4094">
        <v>81371</v>
      </c>
      <c r="J4094" s="3">
        <v>23.48</v>
      </c>
      <c r="K4094" s="3">
        <v>1910591.08</v>
      </c>
    </row>
    <row r="4095" spans="1:11" x14ac:dyDescent="0.2">
      <c r="A4095" s="1" t="s">
        <v>5213</v>
      </c>
      <c r="B4095" s="2">
        <v>45455</v>
      </c>
      <c r="C4095" s="1" t="s">
        <v>1020</v>
      </c>
      <c r="D4095" s="1" t="s">
        <v>1021</v>
      </c>
      <c r="E4095" s="1" t="s">
        <v>14</v>
      </c>
      <c r="F4095" s="1" t="s">
        <v>195</v>
      </c>
      <c r="G4095" s="1" t="s">
        <v>196</v>
      </c>
      <c r="H4095" s="1" t="s">
        <v>48</v>
      </c>
      <c r="I4095">
        <v>44647</v>
      </c>
      <c r="J4095" s="3">
        <v>19.87</v>
      </c>
      <c r="K4095" s="3">
        <v>887135.89</v>
      </c>
    </row>
    <row r="4096" spans="1:11" x14ac:dyDescent="0.2">
      <c r="A4096" s="1" t="s">
        <v>5214</v>
      </c>
      <c r="B4096" s="2">
        <v>45441</v>
      </c>
      <c r="C4096" s="1" t="s">
        <v>1337</v>
      </c>
      <c r="D4096" s="1" t="s">
        <v>1338</v>
      </c>
      <c r="E4096" s="1" t="s">
        <v>34</v>
      </c>
      <c r="F4096" s="1" t="s">
        <v>195</v>
      </c>
      <c r="G4096" s="1" t="s">
        <v>196</v>
      </c>
      <c r="H4096" s="1" t="s">
        <v>48</v>
      </c>
      <c r="I4096">
        <v>82302</v>
      </c>
      <c r="J4096" s="3">
        <v>27.77</v>
      </c>
      <c r="K4096" s="3">
        <v>2285526.54</v>
      </c>
    </row>
    <row r="4097" spans="1:11" x14ac:dyDescent="0.2">
      <c r="A4097" s="1" t="s">
        <v>5215</v>
      </c>
      <c r="B4097" s="2">
        <v>45847</v>
      </c>
      <c r="C4097" s="1" t="s">
        <v>1513</v>
      </c>
      <c r="D4097" s="1" t="s">
        <v>1514</v>
      </c>
      <c r="E4097" s="1" t="s">
        <v>28</v>
      </c>
      <c r="F4097" s="1" t="s">
        <v>350</v>
      </c>
      <c r="G4097" s="1" t="s">
        <v>351</v>
      </c>
      <c r="H4097" s="1" t="s">
        <v>37</v>
      </c>
      <c r="I4097">
        <v>6771</v>
      </c>
      <c r="J4097" s="3">
        <v>41.82</v>
      </c>
      <c r="K4097" s="3">
        <v>283163.21999999997</v>
      </c>
    </row>
    <row r="4098" spans="1:11" x14ac:dyDescent="0.2">
      <c r="A4098" s="1" t="s">
        <v>5216</v>
      </c>
      <c r="B4098" s="2">
        <v>45551</v>
      </c>
      <c r="C4098" s="1" t="s">
        <v>719</v>
      </c>
      <c r="D4098" s="1" t="s">
        <v>720</v>
      </c>
      <c r="E4098" s="1" t="s">
        <v>37</v>
      </c>
      <c r="F4098" s="1" t="s">
        <v>324</v>
      </c>
      <c r="G4098" s="1" t="s">
        <v>325</v>
      </c>
      <c r="H4098" s="1" t="s">
        <v>24</v>
      </c>
      <c r="I4098">
        <v>85413</v>
      </c>
      <c r="J4098" s="3">
        <v>35.53</v>
      </c>
      <c r="K4098" s="3">
        <v>3034723.89</v>
      </c>
    </row>
    <row r="4099" spans="1:11" x14ac:dyDescent="0.2">
      <c r="A4099" s="1" t="s">
        <v>5217</v>
      </c>
      <c r="B4099" s="2">
        <v>45659</v>
      </c>
      <c r="C4099" s="1" t="s">
        <v>660</v>
      </c>
      <c r="D4099" s="1" t="s">
        <v>661</v>
      </c>
      <c r="E4099" s="1" t="s">
        <v>34</v>
      </c>
      <c r="F4099" s="1" t="s">
        <v>217</v>
      </c>
      <c r="G4099" s="1" t="s">
        <v>218</v>
      </c>
      <c r="H4099" s="1" t="s">
        <v>72</v>
      </c>
      <c r="I4099">
        <v>55764</v>
      </c>
      <c r="J4099" s="3">
        <v>21.31</v>
      </c>
      <c r="K4099" s="3">
        <v>1188330.8400000001</v>
      </c>
    </row>
    <row r="4100" spans="1:11" x14ac:dyDescent="0.2">
      <c r="A4100" s="1" t="s">
        <v>5218</v>
      </c>
      <c r="B4100" s="2">
        <v>45726</v>
      </c>
      <c r="C4100" s="1" t="s">
        <v>137</v>
      </c>
      <c r="D4100" s="1" t="s">
        <v>138</v>
      </c>
      <c r="E4100" s="1" t="s">
        <v>37</v>
      </c>
      <c r="F4100" s="1" t="s">
        <v>458</v>
      </c>
      <c r="G4100" s="1" t="s">
        <v>459</v>
      </c>
      <c r="H4100" s="1" t="s">
        <v>72</v>
      </c>
      <c r="I4100">
        <v>62476</v>
      </c>
      <c r="J4100" s="3">
        <v>19.920000000000002</v>
      </c>
      <c r="K4100" s="3">
        <v>1244521.92</v>
      </c>
    </row>
    <row r="4101" spans="1:11" x14ac:dyDescent="0.2">
      <c r="A4101" s="1" t="s">
        <v>5219</v>
      </c>
      <c r="B4101" s="2">
        <v>45564</v>
      </c>
      <c r="C4101" s="1" t="s">
        <v>374</v>
      </c>
      <c r="D4101" s="1" t="s">
        <v>375</v>
      </c>
      <c r="E4101" s="1" t="s">
        <v>14</v>
      </c>
      <c r="F4101" s="1" t="s">
        <v>228</v>
      </c>
      <c r="G4101" s="1" t="s">
        <v>229</v>
      </c>
      <c r="H4101" s="1" t="s">
        <v>48</v>
      </c>
      <c r="I4101">
        <v>69269</v>
      </c>
      <c r="J4101" s="3">
        <v>43.6</v>
      </c>
      <c r="K4101" s="3">
        <v>3020128.4</v>
      </c>
    </row>
    <row r="4102" spans="1:11" x14ac:dyDescent="0.2">
      <c r="A4102" s="1" t="s">
        <v>5220</v>
      </c>
      <c r="B4102" s="2">
        <v>45319</v>
      </c>
      <c r="C4102" s="1" t="s">
        <v>1105</v>
      </c>
      <c r="D4102" s="1" t="s">
        <v>1106</v>
      </c>
      <c r="E4102" s="1" t="s">
        <v>34</v>
      </c>
      <c r="F4102" s="1" t="s">
        <v>540</v>
      </c>
      <c r="G4102" s="1" t="s">
        <v>541</v>
      </c>
      <c r="H4102" s="1" t="s">
        <v>37</v>
      </c>
      <c r="I4102">
        <v>12267</v>
      </c>
      <c r="J4102" s="3">
        <v>8.4600000000000009</v>
      </c>
      <c r="K4102" s="3">
        <v>103778.82</v>
      </c>
    </row>
    <row r="4103" spans="1:11" x14ac:dyDescent="0.2">
      <c r="A4103" s="1" t="s">
        <v>5221</v>
      </c>
      <c r="B4103" s="2">
        <v>45447</v>
      </c>
      <c r="C4103" s="1" t="s">
        <v>397</v>
      </c>
      <c r="D4103" s="1" t="s">
        <v>398</v>
      </c>
      <c r="E4103" s="1" t="s">
        <v>34</v>
      </c>
      <c r="F4103" s="1" t="s">
        <v>157</v>
      </c>
      <c r="G4103" s="1" t="s">
        <v>158</v>
      </c>
      <c r="H4103" s="1" t="s">
        <v>48</v>
      </c>
      <c r="I4103">
        <v>54305</v>
      </c>
      <c r="J4103" s="3">
        <v>7.38</v>
      </c>
      <c r="K4103" s="3">
        <v>400770.9</v>
      </c>
    </row>
    <row r="4104" spans="1:11" x14ac:dyDescent="0.2">
      <c r="A4104" s="1" t="s">
        <v>5222</v>
      </c>
      <c r="B4104" s="2">
        <v>45308</v>
      </c>
      <c r="C4104" s="1" t="s">
        <v>710</v>
      </c>
      <c r="D4104" s="1" t="s">
        <v>711</v>
      </c>
      <c r="E4104" s="1" t="s">
        <v>21</v>
      </c>
      <c r="F4104" s="1" t="s">
        <v>70</v>
      </c>
      <c r="G4104" s="1" t="s">
        <v>71</v>
      </c>
      <c r="H4104" s="1" t="s">
        <v>72</v>
      </c>
      <c r="I4104">
        <v>84858</v>
      </c>
      <c r="J4104" s="3">
        <v>44.71</v>
      </c>
      <c r="K4104" s="3">
        <v>3794001.18</v>
      </c>
    </row>
    <row r="4105" spans="1:11" x14ac:dyDescent="0.2">
      <c r="A4105" s="1" t="s">
        <v>5223</v>
      </c>
      <c r="B4105" s="2">
        <v>45870</v>
      </c>
      <c r="C4105" s="1" t="s">
        <v>926</v>
      </c>
      <c r="D4105" s="1" t="s">
        <v>927</v>
      </c>
      <c r="E4105" s="1" t="s">
        <v>28</v>
      </c>
      <c r="F4105" s="1" t="s">
        <v>251</v>
      </c>
      <c r="G4105" s="1" t="s">
        <v>252</v>
      </c>
      <c r="H4105" s="1" t="s">
        <v>72</v>
      </c>
      <c r="I4105">
        <v>44821</v>
      </c>
      <c r="J4105" s="3">
        <v>16.190000000000001</v>
      </c>
      <c r="K4105" s="3">
        <v>725651.99</v>
      </c>
    </row>
    <row r="4106" spans="1:11" x14ac:dyDescent="0.2">
      <c r="A4106" s="1" t="s">
        <v>5224</v>
      </c>
      <c r="B4106" s="2">
        <v>46002</v>
      </c>
      <c r="C4106" s="1" t="s">
        <v>1001</v>
      </c>
      <c r="D4106" s="1" t="s">
        <v>1002</v>
      </c>
      <c r="E4106" s="1" t="s">
        <v>37</v>
      </c>
      <c r="F4106" s="1" t="s">
        <v>46</v>
      </c>
      <c r="G4106" s="1" t="s">
        <v>47</v>
      </c>
      <c r="H4106" s="1" t="s">
        <v>48</v>
      </c>
      <c r="I4106">
        <v>23122</v>
      </c>
      <c r="J4106" s="3">
        <v>28.12</v>
      </c>
      <c r="K4106" s="3">
        <v>650190.64</v>
      </c>
    </row>
    <row r="4107" spans="1:11" x14ac:dyDescent="0.2">
      <c r="A4107" s="1" t="s">
        <v>5225</v>
      </c>
      <c r="B4107" s="2">
        <v>45707</v>
      </c>
      <c r="C4107" s="1" t="s">
        <v>1446</v>
      </c>
      <c r="D4107" s="1" t="s">
        <v>1447</v>
      </c>
      <c r="E4107" s="1" t="s">
        <v>37</v>
      </c>
      <c r="F4107" s="1" t="s">
        <v>98</v>
      </c>
      <c r="G4107" s="1" t="s">
        <v>99</v>
      </c>
      <c r="H4107" s="1" t="s">
        <v>72</v>
      </c>
      <c r="I4107">
        <v>23322</v>
      </c>
      <c r="J4107" s="3">
        <v>31.59</v>
      </c>
      <c r="K4107" s="3">
        <v>736741.98</v>
      </c>
    </row>
    <row r="4108" spans="1:11" x14ac:dyDescent="0.2">
      <c r="A4108" s="1" t="s">
        <v>5226</v>
      </c>
      <c r="B4108" s="2">
        <v>46003</v>
      </c>
      <c r="C4108" s="1" t="s">
        <v>2233</v>
      </c>
      <c r="D4108" s="1" t="s">
        <v>2234</v>
      </c>
      <c r="E4108" s="1" t="s">
        <v>37</v>
      </c>
      <c r="F4108" s="1" t="s">
        <v>70</v>
      </c>
      <c r="G4108" s="1" t="s">
        <v>71</v>
      </c>
      <c r="H4108" s="1" t="s">
        <v>72</v>
      </c>
      <c r="I4108">
        <v>85002</v>
      </c>
      <c r="J4108" s="3">
        <v>43.41</v>
      </c>
      <c r="K4108" s="3">
        <v>3689936.82</v>
      </c>
    </row>
    <row r="4109" spans="1:11" x14ac:dyDescent="0.2">
      <c r="A4109" s="1" t="s">
        <v>5227</v>
      </c>
      <c r="B4109" s="2">
        <v>45522</v>
      </c>
      <c r="C4109" s="1" t="s">
        <v>291</v>
      </c>
      <c r="D4109" s="1" t="s">
        <v>292</v>
      </c>
      <c r="E4109" s="1" t="s">
        <v>14</v>
      </c>
      <c r="F4109" s="1" t="s">
        <v>165</v>
      </c>
      <c r="G4109" s="1" t="s">
        <v>166</v>
      </c>
      <c r="H4109" s="1" t="s">
        <v>24</v>
      </c>
      <c r="I4109">
        <v>59131</v>
      </c>
      <c r="J4109" s="3">
        <v>5.4</v>
      </c>
      <c r="K4109" s="3">
        <v>319307.40000000002</v>
      </c>
    </row>
    <row r="4110" spans="1:11" x14ac:dyDescent="0.2">
      <c r="A4110" s="1" t="s">
        <v>5228</v>
      </c>
      <c r="B4110" s="2">
        <v>45617</v>
      </c>
      <c r="C4110" s="1" t="s">
        <v>570</v>
      </c>
      <c r="D4110" s="1" t="s">
        <v>571</v>
      </c>
      <c r="E4110" s="1" t="s">
        <v>28</v>
      </c>
      <c r="F4110" s="1" t="s">
        <v>139</v>
      </c>
      <c r="G4110" s="1" t="s">
        <v>140</v>
      </c>
      <c r="H4110" s="1" t="s">
        <v>24</v>
      </c>
      <c r="I4110">
        <v>44165</v>
      </c>
      <c r="J4110" s="3">
        <v>19.190000000000001</v>
      </c>
      <c r="K4110" s="3">
        <v>847526.35</v>
      </c>
    </row>
    <row r="4111" spans="1:11" x14ac:dyDescent="0.2">
      <c r="A4111" s="1" t="s">
        <v>5229</v>
      </c>
      <c r="B4111" s="2">
        <v>45886</v>
      </c>
      <c r="C4111" s="1" t="s">
        <v>1154</v>
      </c>
      <c r="D4111" s="1" t="s">
        <v>1155</v>
      </c>
      <c r="E4111" s="1" t="s">
        <v>37</v>
      </c>
      <c r="F4111" s="1" t="s">
        <v>35</v>
      </c>
      <c r="G4111" s="1" t="s">
        <v>36</v>
      </c>
      <c r="H4111" s="1" t="s">
        <v>37</v>
      </c>
      <c r="I4111">
        <v>78073</v>
      </c>
      <c r="J4111" s="3">
        <v>31.11</v>
      </c>
      <c r="K4111" s="3">
        <v>2428851.0299999998</v>
      </c>
    </row>
    <row r="4112" spans="1:11" x14ac:dyDescent="0.2">
      <c r="A4112" s="1" t="s">
        <v>5230</v>
      </c>
      <c r="B4112" s="2">
        <v>45810</v>
      </c>
      <c r="C4112" s="1" t="s">
        <v>1797</v>
      </c>
      <c r="D4112" s="1" t="s">
        <v>1798</v>
      </c>
      <c r="E4112" s="1" t="s">
        <v>37</v>
      </c>
      <c r="F4112" s="1" t="s">
        <v>184</v>
      </c>
      <c r="G4112" s="1" t="s">
        <v>185</v>
      </c>
      <c r="H4112" s="1" t="s">
        <v>17</v>
      </c>
      <c r="I4112">
        <v>16428</v>
      </c>
      <c r="J4112" s="3">
        <v>26.07</v>
      </c>
      <c r="K4112" s="3">
        <v>428277.96</v>
      </c>
    </row>
    <row r="4113" spans="1:11" x14ac:dyDescent="0.2">
      <c r="A4113" s="1" t="s">
        <v>5231</v>
      </c>
      <c r="B4113" s="2">
        <v>45620</v>
      </c>
      <c r="C4113" s="1" t="s">
        <v>356</v>
      </c>
      <c r="D4113" s="1" t="s">
        <v>357</v>
      </c>
      <c r="E4113" s="1" t="s">
        <v>14</v>
      </c>
      <c r="F4113" s="1" t="s">
        <v>217</v>
      </c>
      <c r="G4113" s="1" t="s">
        <v>218</v>
      </c>
      <c r="H4113" s="1" t="s">
        <v>72</v>
      </c>
      <c r="I4113">
        <v>82564</v>
      </c>
      <c r="J4113" s="3">
        <v>32.979999999999997</v>
      </c>
      <c r="K4113" s="3">
        <v>2722960.72</v>
      </c>
    </row>
    <row r="4114" spans="1:11" x14ac:dyDescent="0.2">
      <c r="A4114" s="1" t="s">
        <v>5232</v>
      </c>
      <c r="B4114" s="2">
        <v>45469</v>
      </c>
      <c r="C4114" s="1" t="s">
        <v>1637</v>
      </c>
      <c r="D4114" s="1" t="s">
        <v>1638</v>
      </c>
      <c r="E4114" s="1" t="s">
        <v>34</v>
      </c>
      <c r="F4114" s="1" t="s">
        <v>237</v>
      </c>
      <c r="G4114" s="1" t="s">
        <v>238</v>
      </c>
      <c r="H4114" s="1" t="s">
        <v>17</v>
      </c>
      <c r="I4114">
        <v>31493</v>
      </c>
      <c r="J4114" s="3">
        <v>38.04</v>
      </c>
      <c r="K4114" s="3">
        <v>1197993.72</v>
      </c>
    </row>
    <row r="4115" spans="1:11" x14ac:dyDescent="0.2">
      <c r="A4115" s="1" t="s">
        <v>5233</v>
      </c>
      <c r="B4115" s="2">
        <v>45738</v>
      </c>
      <c r="C4115" s="1" t="s">
        <v>2031</v>
      </c>
      <c r="D4115" s="1" t="s">
        <v>2032</v>
      </c>
      <c r="E4115" s="1" t="s">
        <v>14</v>
      </c>
      <c r="F4115" s="1" t="s">
        <v>406</v>
      </c>
      <c r="G4115" s="1" t="s">
        <v>407</v>
      </c>
      <c r="H4115" s="1" t="s">
        <v>17</v>
      </c>
      <c r="I4115">
        <v>83548</v>
      </c>
      <c r="J4115" s="3">
        <v>27.06</v>
      </c>
      <c r="K4115" s="3">
        <v>2260808.88</v>
      </c>
    </row>
    <row r="4116" spans="1:11" x14ac:dyDescent="0.2">
      <c r="A4116" s="1" t="s">
        <v>5234</v>
      </c>
      <c r="B4116" s="2">
        <v>45705</v>
      </c>
      <c r="C4116" s="1" t="s">
        <v>4720</v>
      </c>
      <c r="D4116" s="1" t="s">
        <v>4721</v>
      </c>
      <c r="E4116" s="1" t="s">
        <v>37</v>
      </c>
      <c r="F4116" s="1" t="s">
        <v>157</v>
      </c>
      <c r="G4116" s="1" t="s">
        <v>158</v>
      </c>
      <c r="H4116" s="1" t="s">
        <v>48</v>
      </c>
      <c r="I4116">
        <v>29337</v>
      </c>
      <c r="J4116" s="3">
        <v>24.91</v>
      </c>
      <c r="K4116" s="3">
        <v>730784.67</v>
      </c>
    </row>
    <row r="4117" spans="1:11" x14ac:dyDescent="0.2">
      <c r="A4117" s="1" t="s">
        <v>5235</v>
      </c>
      <c r="B4117" s="2">
        <v>45504</v>
      </c>
      <c r="C4117" s="1" t="s">
        <v>1324</v>
      </c>
      <c r="D4117" s="1" t="s">
        <v>1325</v>
      </c>
      <c r="E4117" s="1" t="s">
        <v>34</v>
      </c>
      <c r="F4117" s="1" t="s">
        <v>268</v>
      </c>
      <c r="G4117" s="1" t="s">
        <v>269</v>
      </c>
      <c r="H4117" s="1" t="s">
        <v>72</v>
      </c>
      <c r="I4117">
        <v>87808</v>
      </c>
      <c r="J4117" s="3">
        <v>39.380000000000003</v>
      </c>
      <c r="K4117" s="3">
        <v>3457879.04</v>
      </c>
    </row>
    <row r="4118" spans="1:11" x14ac:dyDescent="0.2">
      <c r="A4118" s="1" t="s">
        <v>5236</v>
      </c>
      <c r="B4118" s="2">
        <v>45837</v>
      </c>
      <c r="C4118" s="1" t="s">
        <v>1132</v>
      </c>
      <c r="D4118" s="1" t="s">
        <v>1133</v>
      </c>
      <c r="E4118" s="1" t="s">
        <v>34</v>
      </c>
      <c r="F4118" s="1" t="s">
        <v>330</v>
      </c>
      <c r="G4118" s="1" t="s">
        <v>331</v>
      </c>
      <c r="H4118" s="1" t="s">
        <v>72</v>
      </c>
      <c r="I4118">
        <v>10803</v>
      </c>
      <c r="J4118" s="3">
        <v>16.760000000000002</v>
      </c>
      <c r="K4118" s="3">
        <v>181058.28</v>
      </c>
    </row>
    <row r="4119" spans="1:11" x14ac:dyDescent="0.2">
      <c r="A4119" s="1" t="s">
        <v>5237</v>
      </c>
      <c r="B4119" s="2">
        <v>46007</v>
      </c>
      <c r="C4119" s="1" t="s">
        <v>844</v>
      </c>
      <c r="D4119" s="1" t="s">
        <v>845</v>
      </c>
      <c r="E4119" s="1" t="s">
        <v>37</v>
      </c>
      <c r="F4119" s="1" t="s">
        <v>65</v>
      </c>
      <c r="G4119" s="1" t="s">
        <v>66</v>
      </c>
      <c r="H4119" s="1" t="s">
        <v>48</v>
      </c>
      <c r="I4119">
        <v>91324</v>
      </c>
      <c r="J4119" s="3">
        <v>38.36</v>
      </c>
      <c r="K4119" s="3">
        <v>3503188.64</v>
      </c>
    </row>
    <row r="4120" spans="1:11" x14ac:dyDescent="0.2">
      <c r="A4120" s="1" t="s">
        <v>5238</v>
      </c>
      <c r="B4120" s="2">
        <v>45601</v>
      </c>
      <c r="C4120" s="1" t="s">
        <v>1438</v>
      </c>
      <c r="D4120" s="1" t="s">
        <v>1439</v>
      </c>
      <c r="E4120" s="1" t="s">
        <v>34</v>
      </c>
      <c r="F4120" s="1" t="s">
        <v>263</v>
      </c>
      <c r="G4120" s="1" t="s">
        <v>264</v>
      </c>
      <c r="H4120" s="1" t="s">
        <v>17</v>
      </c>
      <c r="I4120">
        <v>5214</v>
      </c>
      <c r="J4120" s="3">
        <v>5.85</v>
      </c>
      <c r="K4120" s="3">
        <v>30501.9</v>
      </c>
    </row>
    <row r="4121" spans="1:11" x14ac:dyDescent="0.2">
      <c r="A4121" s="1" t="s">
        <v>5239</v>
      </c>
      <c r="B4121" s="2">
        <v>45566</v>
      </c>
      <c r="C4121" s="1" t="s">
        <v>963</v>
      </c>
      <c r="D4121" s="1" t="s">
        <v>964</v>
      </c>
      <c r="E4121" s="1" t="s">
        <v>37</v>
      </c>
      <c r="F4121" s="1" t="s">
        <v>81</v>
      </c>
      <c r="G4121" s="1" t="s">
        <v>82</v>
      </c>
      <c r="H4121" s="1" t="s">
        <v>72</v>
      </c>
      <c r="I4121">
        <v>32313</v>
      </c>
      <c r="J4121" s="3">
        <v>39.130000000000003</v>
      </c>
      <c r="K4121" s="3">
        <v>1264407.69</v>
      </c>
    </row>
    <row r="4122" spans="1:11" x14ac:dyDescent="0.2">
      <c r="A4122" s="1" t="s">
        <v>5240</v>
      </c>
      <c r="B4122" s="2">
        <v>45760</v>
      </c>
      <c r="C4122" s="1" t="s">
        <v>404</v>
      </c>
      <c r="D4122" s="1" t="s">
        <v>405</v>
      </c>
      <c r="E4122" s="1" t="s">
        <v>37</v>
      </c>
      <c r="F4122" s="1" t="s">
        <v>52</v>
      </c>
      <c r="G4122" s="1" t="s">
        <v>53</v>
      </c>
      <c r="H4122" s="1" t="s">
        <v>17</v>
      </c>
      <c r="I4122">
        <v>79898</v>
      </c>
      <c r="J4122" s="3">
        <v>24.15</v>
      </c>
      <c r="K4122" s="3">
        <v>1929536.7</v>
      </c>
    </row>
    <row r="4123" spans="1:11" x14ac:dyDescent="0.2">
      <c r="A4123" s="1" t="s">
        <v>5241</v>
      </c>
      <c r="B4123" s="2">
        <v>45607</v>
      </c>
      <c r="C4123" s="1" t="s">
        <v>362</v>
      </c>
      <c r="D4123" s="1" t="s">
        <v>363</v>
      </c>
      <c r="E4123" s="1" t="s">
        <v>37</v>
      </c>
      <c r="F4123" s="1" t="s">
        <v>268</v>
      </c>
      <c r="G4123" s="1" t="s">
        <v>269</v>
      </c>
      <c r="H4123" s="1" t="s">
        <v>72</v>
      </c>
      <c r="I4123">
        <v>8688</v>
      </c>
      <c r="J4123" s="3">
        <v>19.059999999999999</v>
      </c>
      <c r="K4123" s="3">
        <v>165593.28</v>
      </c>
    </row>
    <row r="4124" spans="1:11" x14ac:dyDescent="0.2">
      <c r="A4124" s="1" t="s">
        <v>5242</v>
      </c>
      <c r="B4124" s="2">
        <v>45406</v>
      </c>
      <c r="C4124" s="1" t="s">
        <v>566</v>
      </c>
      <c r="D4124" s="1" t="s">
        <v>567</v>
      </c>
      <c r="E4124" s="1" t="s">
        <v>28</v>
      </c>
      <c r="F4124" s="1" t="s">
        <v>237</v>
      </c>
      <c r="G4124" s="1" t="s">
        <v>238</v>
      </c>
      <c r="H4124" s="1" t="s">
        <v>17</v>
      </c>
      <c r="I4124">
        <v>80909</v>
      </c>
      <c r="J4124" s="3">
        <v>36.19</v>
      </c>
      <c r="K4124" s="3">
        <v>2928096.71</v>
      </c>
    </row>
    <row r="4125" spans="1:11" x14ac:dyDescent="0.2">
      <c r="A4125" s="1" t="s">
        <v>5243</v>
      </c>
      <c r="B4125" s="2">
        <v>45645</v>
      </c>
      <c r="C4125" s="1" t="s">
        <v>1520</v>
      </c>
      <c r="D4125" s="1" t="s">
        <v>1521</v>
      </c>
      <c r="E4125" s="1" t="s">
        <v>37</v>
      </c>
      <c r="F4125" s="1" t="s">
        <v>284</v>
      </c>
      <c r="G4125" s="1" t="s">
        <v>285</v>
      </c>
      <c r="H4125" s="1" t="s">
        <v>37</v>
      </c>
      <c r="I4125">
        <v>7557</v>
      </c>
      <c r="J4125" s="3">
        <v>36.85</v>
      </c>
      <c r="K4125" s="3">
        <v>278475.45</v>
      </c>
    </row>
    <row r="4126" spans="1:11" x14ac:dyDescent="0.2">
      <c r="A4126" s="1" t="s">
        <v>5244</v>
      </c>
      <c r="B4126" s="2">
        <v>46016</v>
      </c>
      <c r="C4126" s="1" t="s">
        <v>1044</v>
      </c>
      <c r="D4126" s="1" t="s">
        <v>1045</v>
      </c>
      <c r="E4126" s="1" t="s">
        <v>14</v>
      </c>
      <c r="F4126" s="1" t="s">
        <v>70</v>
      </c>
      <c r="G4126" s="1" t="s">
        <v>71</v>
      </c>
      <c r="H4126" s="1" t="s">
        <v>72</v>
      </c>
      <c r="I4126">
        <v>88852</v>
      </c>
      <c r="J4126" s="3">
        <v>42.19</v>
      </c>
      <c r="K4126" s="3">
        <v>3748665.88</v>
      </c>
    </row>
    <row r="4127" spans="1:11" x14ac:dyDescent="0.2">
      <c r="A4127" s="1" t="s">
        <v>5245</v>
      </c>
      <c r="B4127" s="2">
        <v>45917</v>
      </c>
      <c r="C4127" s="1" t="s">
        <v>1728</v>
      </c>
      <c r="D4127" s="1" t="s">
        <v>1729</v>
      </c>
      <c r="E4127" s="1" t="s">
        <v>21</v>
      </c>
      <c r="F4127" s="1" t="s">
        <v>41</v>
      </c>
      <c r="G4127" s="1" t="s">
        <v>42</v>
      </c>
      <c r="H4127" s="1" t="s">
        <v>24</v>
      </c>
      <c r="I4127">
        <v>25850</v>
      </c>
      <c r="J4127" s="3">
        <v>30.33</v>
      </c>
      <c r="K4127" s="3">
        <v>784030.5</v>
      </c>
    </row>
    <row r="4128" spans="1:11" x14ac:dyDescent="0.2">
      <c r="A4128" s="1" t="s">
        <v>5246</v>
      </c>
      <c r="B4128" s="2">
        <v>45886</v>
      </c>
      <c r="C4128" s="1" t="s">
        <v>625</v>
      </c>
      <c r="D4128" s="1" t="s">
        <v>626</v>
      </c>
      <c r="E4128" s="1" t="s">
        <v>34</v>
      </c>
      <c r="F4128" s="1" t="s">
        <v>15</v>
      </c>
      <c r="G4128" s="1" t="s">
        <v>16</v>
      </c>
      <c r="H4128" s="1" t="s">
        <v>17</v>
      </c>
      <c r="I4128">
        <v>20655</v>
      </c>
      <c r="J4128" s="3">
        <v>9.06</v>
      </c>
      <c r="K4128" s="3">
        <v>187134.3</v>
      </c>
    </row>
    <row r="4129" spans="1:11" x14ac:dyDescent="0.2">
      <c r="A4129" s="1" t="s">
        <v>5247</v>
      </c>
      <c r="B4129" s="2">
        <v>45349</v>
      </c>
      <c r="C4129" s="1" t="s">
        <v>282</v>
      </c>
      <c r="D4129" s="1" t="s">
        <v>283</v>
      </c>
      <c r="E4129" s="1" t="s">
        <v>21</v>
      </c>
      <c r="F4129" s="1" t="s">
        <v>350</v>
      </c>
      <c r="G4129" s="1" t="s">
        <v>351</v>
      </c>
      <c r="H4129" s="1" t="s">
        <v>37</v>
      </c>
      <c r="I4129">
        <v>56784</v>
      </c>
      <c r="J4129" s="3">
        <v>17.89</v>
      </c>
      <c r="K4129" s="3">
        <v>1015865.76</v>
      </c>
    </row>
    <row r="4130" spans="1:11" x14ac:dyDescent="0.2">
      <c r="A4130" s="1" t="s">
        <v>5248</v>
      </c>
      <c r="B4130" s="2">
        <v>45416</v>
      </c>
      <c r="C4130" s="1" t="s">
        <v>1004</v>
      </c>
      <c r="D4130" s="1" t="s">
        <v>1005</v>
      </c>
      <c r="E4130" s="1" t="s">
        <v>21</v>
      </c>
      <c r="F4130" s="1" t="s">
        <v>284</v>
      </c>
      <c r="G4130" s="1" t="s">
        <v>285</v>
      </c>
      <c r="H4130" s="1" t="s">
        <v>37</v>
      </c>
      <c r="I4130">
        <v>40122</v>
      </c>
      <c r="J4130" s="3">
        <v>7.51</v>
      </c>
      <c r="K4130" s="3">
        <v>301316.21999999997</v>
      </c>
    </row>
    <row r="4131" spans="1:11" x14ac:dyDescent="0.2">
      <c r="A4131" s="1" t="s">
        <v>5249</v>
      </c>
      <c r="B4131" s="2">
        <v>45941</v>
      </c>
      <c r="C4131" s="1" t="s">
        <v>605</v>
      </c>
      <c r="D4131" s="1" t="s">
        <v>606</v>
      </c>
      <c r="E4131" s="1" t="s">
        <v>14</v>
      </c>
      <c r="F4131" s="1" t="s">
        <v>394</v>
      </c>
      <c r="G4131" s="1" t="s">
        <v>395</v>
      </c>
      <c r="H4131" s="1" t="s">
        <v>48</v>
      </c>
      <c r="I4131">
        <v>51894</v>
      </c>
      <c r="J4131" s="3">
        <v>45.37</v>
      </c>
      <c r="K4131" s="3">
        <v>2354430.7799999998</v>
      </c>
    </row>
    <row r="4132" spans="1:11" x14ac:dyDescent="0.2">
      <c r="A4132" s="1" t="s">
        <v>5250</v>
      </c>
      <c r="B4132" s="2">
        <v>45805</v>
      </c>
      <c r="C4132" s="1" t="s">
        <v>886</v>
      </c>
      <c r="D4132" s="1" t="s">
        <v>887</v>
      </c>
      <c r="E4132" s="1" t="s">
        <v>21</v>
      </c>
      <c r="F4132" s="1" t="s">
        <v>463</v>
      </c>
      <c r="G4132" s="1" t="s">
        <v>464</v>
      </c>
      <c r="H4132" s="1" t="s">
        <v>37</v>
      </c>
      <c r="I4132">
        <v>32755</v>
      </c>
      <c r="J4132" s="3">
        <v>26.55</v>
      </c>
      <c r="K4132" s="3">
        <v>869645.25</v>
      </c>
    </row>
    <row r="4133" spans="1:11" x14ac:dyDescent="0.2">
      <c r="A4133" s="1" t="s">
        <v>5251</v>
      </c>
      <c r="B4133" s="2">
        <v>45355</v>
      </c>
      <c r="C4133" s="1" t="s">
        <v>1079</v>
      </c>
      <c r="D4133" s="1" t="s">
        <v>1080</v>
      </c>
      <c r="E4133" s="1" t="s">
        <v>14</v>
      </c>
      <c r="F4133" s="1" t="s">
        <v>412</v>
      </c>
      <c r="G4133" s="1" t="s">
        <v>413</v>
      </c>
      <c r="H4133" s="1" t="s">
        <v>72</v>
      </c>
      <c r="I4133">
        <v>31431</v>
      </c>
      <c r="J4133" s="3">
        <v>28.69</v>
      </c>
      <c r="K4133" s="3">
        <v>901755.39</v>
      </c>
    </row>
    <row r="4134" spans="1:11" x14ac:dyDescent="0.2">
      <c r="A4134" s="1" t="s">
        <v>5252</v>
      </c>
      <c r="B4134" s="2">
        <v>45558</v>
      </c>
      <c r="C4134" s="1" t="s">
        <v>678</v>
      </c>
      <c r="D4134" s="1" t="s">
        <v>679</v>
      </c>
      <c r="E4134" s="1" t="s">
        <v>28</v>
      </c>
      <c r="F4134" s="1" t="s">
        <v>139</v>
      </c>
      <c r="G4134" s="1" t="s">
        <v>140</v>
      </c>
      <c r="H4134" s="1" t="s">
        <v>24</v>
      </c>
      <c r="I4134">
        <v>45869</v>
      </c>
      <c r="J4134" s="3">
        <v>44.79</v>
      </c>
      <c r="K4134" s="3">
        <v>2054472.51</v>
      </c>
    </row>
    <row r="4135" spans="1:11" x14ac:dyDescent="0.2">
      <c r="A4135" s="1" t="s">
        <v>5253</v>
      </c>
      <c r="B4135" s="2">
        <v>45880</v>
      </c>
      <c r="C4135" s="1" t="s">
        <v>2601</v>
      </c>
      <c r="D4135" s="1" t="s">
        <v>2602</v>
      </c>
      <c r="E4135" s="1" t="s">
        <v>21</v>
      </c>
      <c r="F4135" s="1" t="s">
        <v>57</v>
      </c>
      <c r="G4135" s="1" t="s">
        <v>58</v>
      </c>
      <c r="H4135" s="1" t="s">
        <v>48</v>
      </c>
      <c r="I4135">
        <v>48407</v>
      </c>
      <c r="J4135" s="3">
        <v>23.66</v>
      </c>
      <c r="K4135" s="3">
        <v>1145309.6200000001</v>
      </c>
    </row>
    <row r="4136" spans="1:11" x14ac:dyDescent="0.2">
      <c r="A4136" s="1" t="s">
        <v>5254</v>
      </c>
      <c r="B4136" s="2">
        <v>45515</v>
      </c>
      <c r="C4136" s="1" t="s">
        <v>3221</v>
      </c>
      <c r="D4136" s="1" t="s">
        <v>3222</v>
      </c>
      <c r="E4136" s="1" t="s">
        <v>37</v>
      </c>
      <c r="F4136" s="1" t="s">
        <v>157</v>
      </c>
      <c r="G4136" s="1" t="s">
        <v>158</v>
      </c>
      <c r="H4136" s="1" t="s">
        <v>48</v>
      </c>
      <c r="I4136">
        <v>16722</v>
      </c>
      <c r="J4136" s="3">
        <v>8</v>
      </c>
      <c r="K4136" s="3">
        <v>133776</v>
      </c>
    </row>
    <row r="4137" spans="1:11" x14ac:dyDescent="0.2">
      <c r="A4137" s="1" t="s">
        <v>5255</v>
      </c>
      <c r="B4137" s="2">
        <v>45662</v>
      </c>
      <c r="C4137" s="1" t="s">
        <v>206</v>
      </c>
      <c r="D4137" s="1" t="s">
        <v>207</v>
      </c>
      <c r="E4137" s="1" t="s">
        <v>14</v>
      </c>
      <c r="F4137" s="1" t="s">
        <v>57</v>
      </c>
      <c r="G4137" s="1" t="s">
        <v>58</v>
      </c>
      <c r="H4137" s="1" t="s">
        <v>48</v>
      </c>
      <c r="I4137">
        <v>67544</v>
      </c>
      <c r="J4137" s="3">
        <v>7.03</v>
      </c>
      <c r="K4137" s="3">
        <v>474834.32</v>
      </c>
    </row>
    <row r="4138" spans="1:11" x14ac:dyDescent="0.2">
      <c r="A4138" s="1" t="s">
        <v>5256</v>
      </c>
      <c r="B4138" s="2">
        <v>45907</v>
      </c>
      <c r="C4138" s="1" t="s">
        <v>1789</v>
      </c>
      <c r="D4138" s="1" t="s">
        <v>1790</v>
      </c>
      <c r="E4138" s="1" t="s">
        <v>21</v>
      </c>
      <c r="F4138" s="1" t="s">
        <v>29</v>
      </c>
      <c r="G4138" s="1" t="s">
        <v>30</v>
      </c>
      <c r="H4138" s="1" t="s">
        <v>24</v>
      </c>
      <c r="I4138">
        <v>79065</v>
      </c>
      <c r="J4138" s="3">
        <v>25.95</v>
      </c>
      <c r="K4138" s="3">
        <v>2051736.75</v>
      </c>
    </row>
    <row r="4139" spans="1:11" x14ac:dyDescent="0.2">
      <c r="A4139" s="1" t="s">
        <v>5257</v>
      </c>
      <c r="B4139" s="2">
        <v>45694</v>
      </c>
      <c r="C4139" s="1" t="s">
        <v>243</v>
      </c>
      <c r="D4139" s="1" t="s">
        <v>244</v>
      </c>
      <c r="E4139" s="1" t="s">
        <v>21</v>
      </c>
      <c r="F4139" s="1" t="s">
        <v>70</v>
      </c>
      <c r="G4139" s="1" t="s">
        <v>71</v>
      </c>
      <c r="H4139" s="1" t="s">
        <v>72</v>
      </c>
      <c r="I4139">
        <v>57936</v>
      </c>
      <c r="J4139" s="3">
        <v>2.13</v>
      </c>
      <c r="K4139" s="3">
        <v>123403.68</v>
      </c>
    </row>
    <row r="4140" spans="1:11" x14ac:dyDescent="0.2">
      <c r="A4140" s="1" t="s">
        <v>5258</v>
      </c>
      <c r="B4140" s="2">
        <v>45800</v>
      </c>
      <c r="C4140" s="1" t="s">
        <v>883</v>
      </c>
      <c r="D4140" s="1" t="s">
        <v>884</v>
      </c>
      <c r="E4140" s="1" t="s">
        <v>37</v>
      </c>
      <c r="F4140" s="1" t="s">
        <v>113</v>
      </c>
      <c r="G4140" s="1" t="s">
        <v>114</v>
      </c>
      <c r="H4140" s="1" t="s">
        <v>37</v>
      </c>
      <c r="I4140">
        <v>96762</v>
      </c>
      <c r="J4140" s="3">
        <v>24.95</v>
      </c>
      <c r="K4140" s="3">
        <v>2414211.9</v>
      </c>
    </row>
    <row r="4141" spans="1:11" x14ac:dyDescent="0.2">
      <c r="A4141" s="1" t="s">
        <v>5259</v>
      </c>
      <c r="B4141" s="2">
        <v>45397</v>
      </c>
      <c r="C4141" s="1" t="s">
        <v>223</v>
      </c>
      <c r="D4141" s="1" t="s">
        <v>224</v>
      </c>
      <c r="E4141" s="1" t="s">
        <v>28</v>
      </c>
      <c r="F4141" s="1" t="s">
        <v>339</v>
      </c>
      <c r="G4141" s="1" t="s">
        <v>340</v>
      </c>
      <c r="H4141" s="1" t="s">
        <v>24</v>
      </c>
      <c r="I4141">
        <v>46657</v>
      </c>
      <c r="J4141" s="3">
        <v>25.83</v>
      </c>
      <c r="K4141" s="3">
        <v>1205150.31</v>
      </c>
    </row>
    <row r="4142" spans="1:11" x14ac:dyDescent="0.2">
      <c r="A4142" s="1" t="s">
        <v>5260</v>
      </c>
      <c r="B4142" s="2">
        <v>45718</v>
      </c>
      <c r="C4142" s="1" t="s">
        <v>688</v>
      </c>
      <c r="D4142" s="1" t="s">
        <v>689</v>
      </c>
      <c r="E4142" s="1" t="s">
        <v>37</v>
      </c>
      <c r="F4142" s="1" t="s">
        <v>70</v>
      </c>
      <c r="G4142" s="1" t="s">
        <v>71</v>
      </c>
      <c r="H4142" s="1" t="s">
        <v>72</v>
      </c>
      <c r="I4142">
        <v>91481</v>
      </c>
      <c r="J4142" s="3">
        <v>7.7</v>
      </c>
      <c r="K4142" s="3">
        <v>704403.7</v>
      </c>
    </row>
    <row r="4143" spans="1:11" x14ac:dyDescent="0.2">
      <c r="A4143" s="1" t="s">
        <v>5261</v>
      </c>
      <c r="B4143" s="2">
        <v>45452</v>
      </c>
      <c r="C4143" s="1" t="s">
        <v>2260</v>
      </c>
      <c r="D4143" s="1" t="s">
        <v>2261</v>
      </c>
      <c r="E4143" s="1" t="s">
        <v>14</v>
      </c>
      <c r="F4143" s="1" t="s">
        <v>144</v>
      </c>
      <c r="G4143" s="1" t="s">
        <v>145</v>
      </c>
      <c r="H4143" s="1" t="s">
        <v>24</v>
      </c>
      <c r="I4143">
        <v>78160</v>
      </c>
      <c r="J4143" s="3">
        <v>41.55</v>
      </c>
      <c r="K4143" s="3">
        <v>3247548</v>
      </c>
    </row>
    <row r="4144" spans="1:11" x14ac:dyDescent="0.2">
      <c r="A4144" s="1" t="s">
        <v>5262</v>
      </c>
      <c r="B4144" s="2">
        <v>45502</v>
      </c>
      <c r="C4144" s="1" t="s">
        <v>128</v>
      </c>
      <c r="D4144" s="1" t="s">
        <v>129</v>
      </c>
      <c r="E4144" s="1" t="s">
        <v>28</v>
      </c>
      <c r="F4144" s="1" t="s">
        <v>268</v>
      </c>
      <c r="G4144" s="1" t="s">
        <v>269</v>
      </c>
      <c r="H4144" s="1" t="s">
        <v>72</v>
      </c>
      <c r="I4144">
        <v>98273</v>
      </c>
      <c r="J4144" s="3">
        <v>25.11</v>
      </c>
      <c r="K4144" s="3">
        <v>2467635.0299999998</v>
      </c>
    </row>
    <row r="4145" spans="1:11" x14ac:dyDescent="0.2">
      <c r="A4145" s="1" t="s">
        <v>5263</v>
      </c>
      <c r="B4145" s="2">
        <v>45388</v>
      </c>
      <c r="C4145" s="1" t="s">
        <v>529</v>
      </c>
      <c r="D4145" s="1" t="s">
        <v>530</v>
      </c>
      <c r="E4145" s="1" t="s">
        <v>34</v>
      </c>
      <c r="F4145" s="1" t="s">
        <v>57</v>
      </c>
      <c r="G4145" s="1" t="s">
        <v>58</v>
      </c>
      <c r="H4145" s="1" t="s">
        <v>48</v>
      </c>
      <c r="I4145">
        <v>47352</v>
      </c>
      <c r="J4145" s="3">
        <v>15.02</v>
      </c>
      <c r="K4145" s="3">
        <v>711227.04</v>
      </c>
    </row>
    <row r="4146" spans="1:11" x14ac:dyDescent="0.2">
      <c r="A4146" s="1" t="s">
        <v>5264</v>
      </c>
      <c r="B4146" s="2">
        <v>45318</v>
      </c>
      <c r="C4146" s="1" t="s">
        <v>2398</v>
      </c>
      <c r="D4146" s="1" t="s">
        <v>2399</v>
      </c>
      <c r="E4146" s="1" t="s">
        <v>37</v>
      </c>
      <c r="F4146" s="1" t="s">
        <v>103</v>
      </c>
      <c r="G4146" s="1" t="s">
        <v>104</v>
      </c>
      <c r="H4146" s="1" t="s">
        <v>37</v>
      </c>
      <c r="I4146">
        <v>12022</v>
      </c>
      <c r="J4146" s="3">
        <v>4.01</v>
      </c>
      <c r="K4146" s="3">
        <v>48208.22</v>
      </c>
    </row>
    <row r="4147" spans="1:11" x14ac:dyDescent="0.2">
      <c r="A4147" s="1" t="s">
        <v>5265</v>
      </c>
      <c r="B4147" s="2">
        <v>45439</v>
      </c>
      <c r="C4147" s="1" t="s">
        <v>660</v>
      </c>
      <c r="D4147" s="1" t="s">
        <v>661</v>
      </c>
      <c r="E4147" s="1" t="s">
        <v>34</v>
      </c>
      <c r="F4147" s="1" t="s">
        <v>35</v>
      </c>
      <c r="G4147" s="1" t="s">
        <v>36</v>
      </c>
      <c r="H4147" s="1" t="s">
        <v>37</v>
      </c>
      <c r="I4147">
        <v>98490</v>
      </c>
      <c r="J4147" s="3">
        <v>26.3</v>
      </c>
      <c r="K4147" s="3">
        <v>2590287</v>
      </c>
    </row>
    <row r="4148" spans="1:11" x14ac:dyDescent="0.2">
      <c r="A4148" s="1" t="s">
        <v>5266</v>
      </c>
      <c r="B4148" s="2">
        <v>45802</v>
      </c>
      <c r="C4148" s="1" t="s">
        <v>975</v>
      </c>
      <c r="D4148" s="1" t="s">
        <v>976</v>
      </c>
      <c r="E4148" s="1" t="s">
        <v>28</v>
      </c>
      <c r="F4148" s="1" t="s">
        <v>263</v>
      </c>
      <c r="G4148" s="1" t="s">
        <v>264</v>
      </c>
      <c r="H4148" s="1" t="s">
        <v>17</v>
      </c>
      <c r="I4148">
        <v>16699</v>
      </c>
      <c r="J4148" s="3">
        <v>47.29</v>
      </c>
      <c r="K4148" s="3">
        <v>789695.71</v>
      </c>
    </row>
    <row r="4149" spans="1:11" x14ac:dyDescent="0.2">
      <c r="A4149" s="1" t="s">
        <v>5267</v>
      </c>
      <c r="B4149" s="2">
        <v>45594</v>
      </c>
      <c r="C4149" s="1" t="s">
        <v>1201</v>
      </c>
      <c r="D4149" s="1" t="s">
        <v>1202</v>
      </c>
      <c r="E4149" s="1" t="s">
        <v>37</v>
      </c>
      <c r="F4149" s="1" t="s">
        <v>108</v>
      </c>
      <c r="G4149" s="1" t="s">
        <v>109</v>
      </c>
      <c r="H4149" s="1" t="s">
        <v>37</v>
      </c>
      <c r="I4149">
        <v>37918</v>
      </c>
      <c r="J4149" s="3">
        <v>41.75</v>
      </c>
      <c r="K4149" s="3">
        <v>1583076.5</v>
      </c>
    </row>
    <row r="4150" spans="1:11" x14ac:dyDescent="0.2">
      <c r="A4150" s="1" t="s">
        <v>5268</v>
      </c>
      <c r="B4150" s="2">
        <v>45488</v>
      </c>
      <c r="C4150" s="1" t="s">
        <v>1793</v>
      </c>
      <c r="D4150" s="1" t="s">
        <v>1794</v>
      </c>
      <c r="E4150" s="1" t="s">
        <v>37</v>
      </c>
      <c r="F4150" s="1" t="s">
        <v>552</v>
      </c>
      <c r="G4150" s="1" t="s">
        <v>553</v>
      </c>
      <c r="H4150" s="1" t="s">
        <v>37</v>
      </c>
      <c r="I4150">
        <v>24224</v>
      </c>
      <c r="J4150" s="3">
        <v>39.51</v>
      </c>
      <c r="K4150" s="3">
        <v>957090.24</v>
      </c>
    </row>
    <row r="4151" spans="1:11" x14ac:dyDescent="0.2">
      <c r="A4151" s="1" t="s">
        <v>5269</v>
      </c>
      <c r="B4151" s="2">
        <v>45617</v>
      </c>
      <c r="C4151" s="1" t="s">
        <v>871</v>
      </c>
      <c r="D4151" s="1" t="s">
        <v>872</v>
      </c>
      <c r="E4151" s="1" t="s">
        <v>14</v>
      </c>
      <c r="F4151" s="1" t="s">
        <v>57</v>
      </c>
      <c r="G4151" s="1" t="s">
        <v>58</v>
      </c>
      <c r="H4151" s="1" t="s">
        <v>48</v>
      </c>
      <c r="I4151">
        <v>11382</v>
      </c>
      <c r="J4151" s="3">
        <v>36.82</v>
      </c>
      <c r="K4151" s="3">
        <v>419085.24</v>
      </c>
    </row>
    <row r="4152" spans="1:11" x14ac:dyDescent="0.2">
      <c r="A4152" s="1" t="s">
        <v>5270</v>
      </c>
      <c r="B4152" s="2">
        <v>45485</v>
      </c>
      <c r="C4152" s="1" t="s">
        <v>90</v>
      </c>
      <c r="D4152" s="1" t="s">
        <v>91</v>
      </c>
      <c r="E4152" s="1" t="s">
        <v>28</v>
      </c>
      <c r="F4152" s="1" t="s">
        <v>76</v>
      </c>
      <c r="G4152" s="1" t="s">
        <v>77</v>
      </c>
      <c r="H4152" s="1" t="s">
        <v>48</v>
      </c>
      <c r="I4152">
        <v>58761</v>
      </c>
      <c r="J4152" s="3">
        <v>10.41</v>
      </c>
      <c r="K4152" s="3">
        <v>611702.01</v>
      </c>
    </row>
    <row r="4153" spans="1:11" x14ac:dyDescent="0.2">
      <c r="A4153" s="1" t="s">
        <v>5271</v>
      </c>
      <c r="B4153" s="2">
        <v>45663</v>
      </c>
      <c r="C4153" s="1" t="s">
        <v>1622</v>
      </c>
      <c r="D4153" s="1" t="s">
        <v>1623</v>
      </c>
      <c r="E4153" s="1" t="s">
        <v>21</v>
      </c>
      <c r="F4153" s="1" t="s">
        <v>57</v>
      </c>
      <c r="G4153" s="1" t="s">
        <v>58</v>
      </c>
      <c r="H4153" s="1" t="s">
        <v>48</v>
      </c>
      <c r="I4153">
        <v>20796</v>
      </c>
      <c r="J4153" s="3">
        <v>26.9</v>
      </c>
      <c r="K4153" s="3">
        <v>559412.4</v>
      </c>
    </row>
    <row r="4154" spans="1:11" x14ac:dyDescent="0.2">
      <c r="A4154" s="1" t="s">
        <v>5272</v>
      </c>
      <c r="B4154" s="2">
        <v>45895</v>
      </c>
      <c r="C4154" s="1" t="s">
        <v>664</v>
      </c>
      <c r="D4154" s="1" t="s">
        <v>665</v>
      </c>
      <c r="E4154" s="1" t="s">
        <v>21</v>
      </c>
      <c r="F4154" s="1" t="s">
        <v>65</v>
      </c>
      <c r="G4154" s="1" t="s">
        <v>66</v>
      </c>
      <c r="H4154" s="1" t="s">
        <v>48</v>
      </c>
      <c r="I4154">
        <v>14574</v>
      </c>
      <c r="J4154" s="3">
        <v>42.09</v>
      </c>
      <c r="K4154" s="3">
        <v>613419.66</v>
      </c>
    </row>
    <row r="4155" spans="1:11" x14ac:dyDescent="0.2">
      <c r="A4155" s="1" t="s">
        <v>5273</v>
      </c>
      <c r="B4155" s="2">
        <v>45603</v>
      </c>
      <c r="C4155" s="1" t="s">
        <v>1474</v>
      </c>
      <c r="D4155" s="1" t="s">
        <v>1475</v>
      </c>
      <c r="E4155" s="1" t="s">
        <v>28</v>
      </c>
      <c r="F4155" s="1" t="s">
        <v>52</v>
      </c>
      <c r="G4155" s="1" t="s">
        <v>53</v>
      </c>
      <c r="H4155" s="1" t="s">
        <v>17</v>
      </c>
      <c r="I4155">
        <v>14516</v>
      </c>
      <c r="J4155" s="3">
        <v>48.53</v>
      </c>
      <c r="K4155" s="3">
        <v>704461.48</v>
      </c>
    </row>
    <row r="4156" spans="1:11" x14ac:dyDescent="0.2">
      <c r="A4156" s="1" t="s">
        <v>5274</v>
      </c>
      <c r="B4156" s="2">
        <v>45532</v>
      </c>
      <c r="C4156" s="1" t="s">
        <v>1695</v>
      </c>
      <c r="D4156" s="1" t="s">
        <v>1696</v>
      </c>
      <c r="E4156" s="1" t="s">
        <v>34</v>
      </c>
      <c r="F4156" s="1" t="s">
        <v>540</v>
      </c>
      <c r="G4156" s="1" t="s">
        <v>541</v>
      </c>
      <c r="H4156" s="1" t="s">
        <v>37</v>
      </c>
      <c r="I4156">
        <v>86181</v>
      </c>
      <c r="J4156" s="3">
        <v>9.33</v>
      </c>
      <c r="K4156" s="3">
        <v>804068.73</v>
      </c>
    </row>
    <row r="4157" spans="1:11" x14ac:dyDescent="0.2">
      <c r="A4157" s="1" t="s">
        <v>5275</v>
      </c>
      <c r="B4157" s="2">
        <v>45528</v>
      </c>
      <c r="C4157" s="1" t="s">
        <v>409</v>
      </c>
      <c r="D4157" s="1" t="s">
        <v>410</v>
      </c>
      <c r="E4157" s="1" t="s">
        <v>14</v>
      </c>
      <c r="F4157" s="1" t="s">
        <v>15</v>
      </c>
      <c r="G4157" s="1" t="s">
        <v>16</v>
      </c>
      <c r="H4157" s="1" t="s">
        <v>17</v>
      </c>
      <c r="I4157">
        <v>70313</v>
      </c>
      <c r="J4157" s="3">
        <v>29.94</v>
      </c>
      <c r="K4157" s="3">
        <v>2105171.2200000002</v>
      </c>
    </row>
    <row r="4158" spans="1:11" x14ac:dyDescent="0.2">
      <c r="A4158" s="1" t="s">
        <v>5276</v>
      </c>
      <c r="B4158" s="2">
        <v>45863</v>
      </c>
      <c r="C4158" s="1" t="s">
        <v>1578</v>
      </c>
      <c r="D4158" s="1" t="s">
        <v>1579</v>
      </c>
      <c r="E4158" s="1" t="s">
        <v>28</v>
      </c>
      <c r="F4158" s="1" t="s">
        <v>436</v>
      </c>
      <c r="G4158" s="1" t="s">
        <v>437</v>
      </c>
      <c r="H4158" s="1" t="s">
        <v>24</v>
      </c>
      <c r="I4158">
        <v>47347</v>
      </c>
      <c r="J4158" s="3">
        <v>38.26</v>
      </c>
      <c r="K4158" s="3">
        <v>1811496.22</v>
      </c>
    </row>
    <row r="4159" spans="1:11" x14ac:dyDescent="0.2">
      <c r="A4159" s="1" t="s">
        <v>5277</v>
      </c>
      <c r="B4159" s="2">
        <v>45496</v>
      </c>
      <c r="C4159" s="1" t="s">
        <v>39</v>
      </c>
      <c r="D4159" s="1" t="s">
        <v>40</v>
      </c>
      <c r="E4159" s="1" t="s">
        <v>21</v>
      </c>
      <c r="F4159" s="1" t="s">
        <v>458</v>
      </c>
      <c r="G4159" s="1" t="s">
        <v>459</v>
      </c>
      <c r="H4159" s="1" t="s">
        <v>72</v>
      </c>
      <c r="I4159">
        <v>14781</v>
      </c>
      <c r="J4159" s="3">
        <v>36.35</v>
      </c>
      <c r="K4159" s="3">
        <v>537289.35</v>
      </c>
    </row>
    <row r="4160" spans="1:11" x14ac:dyDescent="0.2">
      <c r="A4160" s="1" t="s">
        <v>5278</v>
      </c>
      <c r="B4160" s="2">
        <v>45328</v>
      </c>
      <c r="C4160" s="1" t="s">
        <v>546</v>
      </c>
      <c r="D4160" s="1" t="s">
        <v>547</v>
      </c>
      <c r="E4160" s="1" t="s">
        <v>34</v>
      </c>
      <c r="F4160" s="1" t="s">
        <v>46</v>
      </c>
      <c r="G4160" s="1" t="s">
        <v>47</v>
      </c>
      <c r="H4160" s="1" t="s">
        <v>48</v>
      </c>
      <c r="I4160">
        <v>63938</v>
      </c>
      <c r="J4160" s="3">
        <v>24.64</v>
      </c>
      <c r="K4160" s="3">
        <v>1575432.32</v>
      </c>
    </row>
    <row r="4161" spans="1:11" x14ac:dyDescent="0.2">
      <c r="A4161" s="1" t="s">
        <v>5279</v>
      </c>
      <c r="B4161" s="2">
        <v>45292</v>
      </c>
      <c r="C4161" s="1" t="s">
        <v>1036</v>
      </c>
      <c r="D4161" s="1" t="s">
        <v>1037</v>
      </c>
      <c r="E4161" s="1" t="s">
        <v>21</v>
      </c>
      <c r="F4161" s="1" t="s">
        <v>103</v>
      </c>
      <c r="G4161" s="1" t="s">
        <v>104</v>
      </c>
      <c r="H4161" s="1" t="s">
        <v>37</v>
      </c>
      <c r="I4161">
        <v>31746</v>
      </c>
      <c r="J4161" s="3">
        <v>45.5</v>
      </c>
      <c r="K4161" s="3">
        <v>1444443</v>
      </c>
    </row>
    <row r="4162" spans="1:11" x14ac:dyDescent="0.2">
      <c r="A4162" s="1" t="s">
        <v>5280</v>
      </c>
      <c r="B4162" s="2">
        <v>45963</v>
      </c>
      <c r="C4162" s="1" t="s">
        <v>617</v>
      </c>
      <c r="D4162" s="1" t="s">
        <v>618</v>
      </c>
      <c r="E4162" s="1" t="s">
        <v>37</v>
      </c>
      <c r="F4162" s="1" t="s">
        <v>458</v>
      </c>
      <c r="G4162" s="1" t="s">
        <v>459</v>
      </c>
      <c r="H4162" s="1" t="s">
        <v>72</v>
      </c>
      <c r="I4162">
        <v>44383</v>
      </c>
      <c r="J4162" s="3">
        <v>13.02</v>
      </c>
      <c r="K4162" s="3">
        <v>577866.66</v>
      </c>
    </row>
    <row r="4163" spans="1:11" x14ac:dyDescent="0.2">
      <c r="A4163" s="1" t="s">
        <v>5281</v>
      </c>
      <c r="B4163" s="2">
        <v>45324</v>
      </c>
      <c r="C4163" s="1" t="s">
        <v>1575</v>
      </c>
      <c r="D4163" s="1" t="s">
        <v>1576</v>
      </c>
      <c r="E4163" s="1" t="s">
        <v>14</v>
      </c>
      <c r="F4163" s="1" t="s">
        <v>29</v>
      </c>
      <c r="G4163" s="1" t="s">
        <v>30</v>
      </c>
      <c r="H4163" s="1" t="s">
        <v>24</v>
      </c>
      <c r="I4163">
        <v>25989</v>
      </c>
      <c r="J4163" s="3">
        <v>11.68</v>
      </c>
      <c r="K4163" s="3">
        <v>303551.52</v>
      </c>
    </row>
    <row r="4164" spans="1:11" x14ac:dyDescent="0.2">
      <c r="A4164" s="1" t="s">
        <v>5282</v>
      </c>
      <c r="B4164" s="2">
        <v>45636</v>
      </c>
      <c r="C4164" s="1" t="s">
        <v>817</v>
      </c>
      <c r="D4164" s="1" t="s">
        <v>818</v>
      </c>
      <c r="E4164" s="1" t="s">
        <v>14</v>
      </c>
      <c r="F4164" s="1" t="s">
        <v>761</v>
      </c>
      <c r="G4164" s="1" t="s">
        <v>762</v>
      </c>
      <c r="H4164" s="1" t="s">
        <v>48</v>
      </c>
      <c r="I4164">
        <v>43019</v>
      </c>
      <c r="J4164" s="3">
        <v>11.94</v>
      </c>
      <c r="K4164" s="3">
        <v>513646.86</v>
      </c>
    </row>
    <row r="4165" spans="1:11" x14ac:dyDescent="0.2">
      <c r="A4165" s="1" t="s">
        <v>5283</v>
      </c>
      <c r="B4165" s="2">
        <v>45518</v>
      </c>
      <c r="C4165" s="1" t="s">
        <v>576</v>
      </c>
      <c r="D4165" s="1" t="s">
        <v>577</v>
      </c>
      <c r="E4165" s="1" t="s">
        <v>14</v>
      </c>
      <c r="F4165" s="1" t="s">
        <v>436</v>
      </c>
      <c r="G4165" s="1" t="s">
        <v>437</v>
      </c>
      <c r="H4165" s="1" t="s">
        <v>24</v>
      </c>
      <c r="I4165">
        <v>36126</v>
      </c>
      <c r="J4165" s="3">
        <v>29.19</v>
      </c>
      <c r="K4165" s="3">
        <v>1054517.94</v>
      </c>
    </row>
    <row r="4166" spans="1:11" x14ac:dyDescent="0.2">
      <c r="A4166" s="1" t="s">
        <v>5284</v>
      </c>
      <c r="B4166" s="2">
        <v>45695</v>
      </c>
      <c r="C4166" s="1" t="s">
        <v>385</v>
      </c>
      <c r="D4166" s="1" t="s">
        <v>386</v>
      </c>
      <c r="E4166" s="1" t="s">
        <v>34</v>
      </c>
      <c r="F4166" s="1" t="s">
        <v>263</v>
      </c>
      <c r="G4166" s="1" t="s">
        <v>264</v>
      </c>
      <c r="H4166" s="1" t="s">
        <v>17</v>
      </c>
      <c r="I4166">
        <v>10185</v>
      </c>
      <c r="J4166" s="3">
        <v>30.95</v>
      </c>
      <c r="K4166" s="3">
        <v>315225.75</v>
      </c>
    </row>
    <row r="4167" spans="1:11" x14ac:dyDescent="0.2">
      <c r="A4167" s="1" t="s">
        <v>5285</v>
      </c>
      <c r="B4167" s="2">
        <v>45298</v>
      </c>
      <c r="C4167" s="1" t="s">
        <v>963</v>
      </c>
      <c r="D4167" s="1" t="s">
        <v>964</v>
      </c>
      <c r="E4167" s="1" t="s">
        <v>37</v>
      </c>
      <c r="F4167" s="1" t="s">
        <v>203</v>
      </c>
      <c r="G4167" s="1" t="s">
        <v>204</v>
      </c>
      <c r="H4167" s="1" t="s">
        <v>72</v>
      </c>
      <c r="I4167">
        <v>97278</v>
      </c>
      <c r="J4167" s="3">
        <v>28.66</v>
      </c>
      <c r="K4167" s="3">
        <v>2787987.48</v>
      </c>
    </row>
    <row r="4168" spans="1:11" x14ac:dyDescent="0.2">
      <c r="A4168" s="1" t="s">
        <v>5286</v>
      </c>
      <c r="B4168" s="2">
        <v>45608</v>
      </c>
      <c r="C4168" s="1" t="s">
        <v>905</v>
      </c>
      <c r="D4168" s="1" t="s">
        <v>906</v>
      </c>
      <c r="E4168" s="1" t="s">
        <v>14</v>
      </c>
      <c r="F4168" s="1" t="s">
        <v>540</v>
      </c>
      <c r="G4168" s="1" t="s">
        <v>541</v>
      </c>
      <c r="H4168" s="1" t="s">
        <v>37</v>
      </c>
      <c r="I4168">
        <v>59402</v>
      </c>
      <c r="J4168" s="3">
        <v>7.24</v>
      </c>
      <c r="K4168" s="3">
        <v>430070.48</v>
      </c>
    </row>
    <row r="4169" spans="1:11" x14ac:dyDescent="0.2">
      <c r="A4169" s="1" t="s">
        <v>5287</v>
      </c>
      <c r="B4169" s="2">
        <v>45978</v>
      </c>
      <c r="C4169" s="1" t="s">
        <v>716</v>
      </c>
      <c r="D4169" s="1" t="s">
        <v>717</v>
      </c>
      <c r="E4169" s="1" t="s">
        <v>34</v>
      </c>
      <c r="F4169" s="1" t="s">
        <v>41</v>
      </c>
      <c r="G4169" s="1" t="s">
        <v>42</v>
      </c>
      <c r="H4169" s="1" t="s">
        <v>24</v>
      </c>
      <c r="I4169">
        <v>76899</v>
      </c>
      <c r="J4169" s="3">
        <v>33.56</v>
      </c>
      <c r="K4169" s="3">
        <v>2580730.44</v>
      </c>
    </row>
    <row r="4170" spans="1:11" x14ac:dyDescent="0.2">
      <c r="A4170" s="1" t="s">
        <v>5288</v>
      </c>
      <c r="B4170" s="2">
        <v>45732</v>
      </c>
      <c r="C4170" s="1" t="s">
        <v>3221</v>
      </c>
      <c r="D4170" s="1" t="s">
        <v>3222</v>
      </c>
      <c r="E4170" s="1" t="s">
        <v>37</v>
      </c>
      <c r="F4170" s="1" t="s">
        <v>228</v>
      </c>
      <c r="G4170" s="1" t="s">
        <v>229</v>
      </c>
      <c r="H4170" s="1" t="s">
        <v>48</v>
      </c>
      <c r="I4170">
        <v>22448</v>
      </c>
      <c r="J4170" s="3">
        <v>29.65</v>
      </c>
      <c r="K4170" s="3">
        <v>665583.19999999995</v>
      </c>
    </row>
    <row r="4171" spans="1:11" x14ac:dyDescent="0.2">
      <c r="A4171" s="1" t="s">
        <v>5289</v>
      </c>
      <c r="B4171" s="2">
        <v>45405</v>
      </c>
      <c r="C4171" s="1" t="s">
        <v>198</v>
      </c>
      <c r="D4171" s="1" t="s">
        <v>199</v>
      </c>
      <c r="E4171" s="1" t="s">
        <v>21</v>
      </c>
      <c r="F4171" s="1" t="s">
        <v>228</v>
      </c>
      <c r="G4171" s="1" t="s">
        <v>229</v>
      </c>
      <c r="H4171" s="1" t="s">
        <v>48</v>
      </c>
      <c r="I4171">
        <v>54998</v>
      </c>
      <c r="J4171" s="3">
        <v>48.82</v>
      </c>
      <c r="K4171" s="3">
        <v>2685002.36</v>
      </c>
    </row>
    <row r="4172" spans="1:11" x14ac:dyDescent="0.2">
      <c r="A4172" s="1" t="s">
        <v>5290</v>
      </c>
      <c r="B4172" s="2">
        <v>45877</v>
      </c>
      <c r="C4172" s="1" t="s">
        <v>566</v>
      </c>
      <c r="D4172" s="1" t="s">
        <v>567</v>
      </c>
      <c r="E4172" s="1" t="s">
        <v>28</v>
      </c>
      <c r="F4172" s="1" t="s">
        <v>208</v>
      </c>
      <c r="G4172" s="1" t="s">
        <v>209</v>
      </c>
      <c r="H4172" s="1" t="s">
        <v>17</v>
      </c>
      <c r="I4172">
        <v>50351</v>
      </c>
      <c r="J4172" s="3">
        <v>25.56</v>
      </c>
      <c r="K4172" s="3">
        <v>1286971.56</v>
      </c>
    </row>
    <row r="4173" spans="1:11" x14ac:dyDescent="0.2">
      <c r="A4173" s="1" t="s">
        <v>5291</v>
      </c>
      <c r="B4173" s="2">
        <v>45824</v>
      </c>
      <c r="C4173" s="1" t="s">
        <v>851</v>
      </c>
      <c r="D4173" s="1" t="s">
        <v>852</v>
      </c>
      <c r="E4173" s="1" t="s">
        <v>21</v>
      </c>
      <c r="F4173" s="1" t="s">
        <v>98</v>
      </c>
      <c r="G4173" s="1" t="s">
        <v>99</v>
      </c>
      <c r="H4173" s="1" t="s">
        <v>72</v>
      </c>
      <c r="I4173">
        <v>65650</v>
      </c>
      <c r="J4173" s="3">
        <v>15.02</v>
      </c>
      <c r="K4173" s="3">
        <v>986063</v>
      </c>
    </row>
    <row r="4174" spans="1:11" x14ac:dyDescent="0.2">
      <c r="A4174" s="1" t="s">
        <v>5292</v>
      </c>
      <c r="B4174" s="2">
        <v>45823</v>
      </c>
      <c r="C4174" s="1" t="s">
        <v>719</v>
      </c>
      <c r="D4174" s="1" t="s">
        <v>720</v>
      </c>
      <c r="E4174" s="1" t="s">
        <v>37</v>
      </c>
      <c r="F4174" s="1" t="s">
        <v>103</v>
      </c>
      <c r="G4174" s="1" t="s">
        <v>104</v>
      </c>
      <c r="H4174" s="1" t="s">
        <v>37</v>
      </c>
      <c r="I4174">
        <v>10183</v>
      </c>
      <c r="J4174" s="3">
        <v>46.11</v>
      </c>
      <c r="K4174" s="3">
        <v>469538.13</v>
      </c>
    </row>
    <row r="4175" spans="1:11" x14ac:dyDescent="0.2">
      <c r="A4175" s="1" t="s">
        <v>5293</v>
      </c>
      <c r="B4175" s="2">
        <v>45612</v>
      </c>
      <c r="C4175" s="1" t="s">
        <v>1230</v>
      </c>
      <c r="D4175" s="1" t="s">
        <v>1231</v>
      </c>
      <c r="E4175" s="1" t="s">
        <v>21</v>
      </c>
      <c r="F4175" s="1" t="s">
        <v>52</v>
      </c>
      <c r="G4175" s="1" t="s">
        <v>53</v>
      </c>
      <c r="H4175" s="1" t="s">
        <v>17</v>
      </c>
      <c r="I4175">
        <v>50676</v>
      </c>
      <c r="J4175" s="3">
        <v>22.11</v>
      </c>
      <c r="K4175" s="3">
        <v>1120446.3600000001</v>
      </c>
    </row>
    <row r="4176" spans="1:11" x14ac:dyDescent="0.2">
      <c r="A4176" s="1" t="s">
        <v>5294</v>
      </c>
      <c r="B4176" s="2">
        <v>45321</v>
      </c>
      <c r="C4176" s="1" t="s">
        <v>1626</v>
      </c>
      <c r="D4176" s="1" t="s">
        <v>1627</v>
      </c>
      <c r="E4176" s="1" t="s">
        <v>34</v>
      </c>
      <c r="F4176" s="1" t="s">
        <v>108</v>
      </c>
      <c r="G4176" s="1" t="s">
        <v>109</v>
      </c>
      <c r="H4176" s="1" t="s">
        <v>37</v>
      </c>
      <c r="I4176">
        <v>40822</v>
      </c>
      <c r="J4176" s="3">
        <v>21.01</v>
      </c>
      <c r="K4176" s="3">
        <v>857670.22</v>
      </c>
    </row>
    <row r="4177" spans="1:11" x14ac:dyDescent="0.2">
      <c r="A4177" s="1" t="s">
        <v>5295</v>
      </c>
      <c r="B4177" s="2">
        <v>46002</v>
      </c>
      <c r="C4177" s="1" t="s">
        <v>692</v>
      </c>
      <c r="D4177" s="1" t="s">
        <v>693</v>
      </c>
      <c r="E4177" s="1" t="s">
        <v>28</v>
      </c>
      <c r="F4177" s="1" t="s">
        <v>76</v>
      </c>
      <c r="G4177" s="1" t="s">
        <v>77</v>
      </c>
      <c r="H4177" s="1" t="s">
        <v>48</v>
      </c>
      <c r="I4177">
        <v>34432</v>
      </c>
      <c r="J4177" s="3">
        <v>32.29</v>
      </c>
      <c r="K4177" s="3">
        <v>1111809.28</v>
      </c>
    </row>
    <row r="4178" spans="1:11" x14ac:dyDescent="0.2">
      <c r="A4178" s="1" t="s">
        <v>5296</v>
      </c>
      <c r="B4178" s="2">
        <v>45655</v>
      </c>
      <c r="C4178" s="1" t="s">
        <v>246</v>
      </c>
      <c r="D4178" s="1" t="s">
        <v>247</v>
      </c>
      <c r="E4178" s="1" t="s">
        <v>21</v>
      </c>
      <c r="F4178" s="1" t="s">
        <v>237</v>
      </c>
      <c r="G4178" s="1" t="s">
        <v>238</v>
      </c>
      <c r="H4178" s="1" t="s">
        <v>17</v>
      </c>
      <c r="I4178">
        <v>3976</v>
      </c>
      <c r="J4178" s="3">
        <v>13.02</v>
      </c>
      <c r="K4178" s="3">
        <v>51767.519999999997</v>
      </c>
    </row>
    <row r="4179" spans="1:11" x14ac:dyDescent="0.2">
      <c r="A4179" s="1" t="s">
        <v>5297</v>
      </c>
      <c r="B4179" s="2">
        <v>45663</v>
      </c>
      <c r="C4179" s="1" t="s">
        <v>2031</v>
      </c>
      <c r="D4179" s="1" t="s">
        <v>2032</v>
      </c>
      <c r="E4179" s="1" t="s">
        <v>14</v>
      </c>
      <c r="F4179" s="1" t="s">
        <v>436</v>
      </c>
      <c r="G4179" s="1" t="s">
        <v>437</v>
      </c>
      <c r="H4179" s="1" t="s">
        <v>24</v>
      </c>
      <c r="I4179">
        <v>36824</v>
      </c>
      <c r="J4179" s="3">
        <v>34.71</v>
      </c>
      <c r="K4179" s="3">
        <v>1278161.04</v>
      </c>
    </row>
    <row r="4180" spans="1:11" x14ac:dyDescent="0.2">
      <c r="A4180" s="1" t="s">
        <v>5298</v>
      </c>
      <c r="B4180" s="2">
        <v>45947</v>
      </c>
      <c r="C4180" s="1" t="s">
        <v>448</v>
      </c>
      <c r="D4180" s="1" t="s">
        <v>449</v>
      </c>
      <c r="E4180" s="1" t="s">
        <v>28</v>
      </c>
      <c r="F4180" s="1" t="s">
        <v>57</v>
      </c>
      <c r="G4180" s="1" t="s">
        <v>58</v>
      </c>
      <c r="H4180" s="1" t="s">
        <v>48</v>
      </c>
      <c r="I4180">
        <v>9150</v>
      </c>
      <c r="J4180" s="3">
        <v>5.32</v>
      </c>
      <c r="K4180" s="3">
        <v>48678</v>
      </c>
    </row>
    <row r="4181" spans="1:11" x14ac:dyDescent="0.2">
      <c r="A4181" s="1" t="s">
        <v>5299</v>
      </c>
      <c r="B4181" s="2">
        <v>45854</v>
      </c>
      <c r="C4181" s="1" t="s">
        <v>478</v>
      </c>
      <c r="D4181" s="1" t="s">
        <v>479</v>
      </c>
      <c r="E4181" s="1" t="s">
        <v>34</v>
      </c>
      <c r="F4181" s="1" t="s">
        <v>113</v>
      </c>
      <c r="G4181" s="1" t="s">
        <v>114</v>
      </c>
      <c r="H4181" s="1" t="s">
        <v>37</v>
      </c>
      <c r="I4181">
        <v>90842</v>
      </c>
      <c r="J4181" s="3">
        <v>8.2100000000000009</v>
      </c>
      <c r="K4181" s="3">
        <v>745812.82</v>
      </c>
    </row>
    <row r="4182" spans="1:11" x14ac:dyDescent="0.2">
      <c r="A4182" s="1" t="s">
        <v>5300</v>
      </c>
      <c r="B4182" s="2">
        <v>45861</v>
      </c>
      <c r="C4182" s="1" t="s">
        <v>1652</v>
      </c>
      <c r="D4182" s="1" t="s">
        <v>1653</v>
      </c>
      <c r="E4182" s="1" t="s">
        <v>28</v>
      </c>
      <c r="F4182" s="1" t="s">
        <v>57</v>
      </c>
      <c r="G4182" s="1" t="s">
        <v>58</v>
      </c>
      <c r="H4182" s="1" t="s">
        <v>48</v>
      </c>
      <c r="I4182">
        <v>8708</v>
      </c>
      <c r="J4182" s="3">
        <v>34.78</v>
      </c>
      <c r="K4182" s="3">
        <v>302864.24</v>
      </c>
    </row>
    <row r="4183" spans="1:11" x14ac:dyDescent="0.2">
      <c r="A4183" s="1" t="s">
        <v>5301</v>
      </c>
      <c r="B4183" s="2">
        <v>45537</v>
      </c>
      <c r="C4183" s="1" t="s">
        <v>1393</v>
      </c>
      <c r="D4183" s="1" t="s">
        <v>1394</v>
      </c>
      <c r="E4183" s="1" t="s">
        <v>28</v>
      </c>
      <c r="F4183" s="1" t="s">
        <v>324</v>
      </c>
      <c r="G4183" s="1" t="s">
        <v>325</v>
      </c>
      <c r="H4183" s="1" t="s">
        <v>24</v>
      </c>
      <c r="I4183">
        <v>96973</v>
      </c>
      <c r="J4183" s="3">
        <v>48.46</v>
      </c>
      <c r="K4183" s="3">
        <v>4699311.58</v>
      </c>
    </row>
    <row r="4184" spans="1:11" x14ac:dyDescent="0.2">
      <c r="A4184" s="1" t="s">
        <v>5302</v>
      </c>
      <c r="B4184" s="2">
        <v>45593</v>
      </c>
      <c r="C4184" s="1" t="s">
        <v>1953</v>
      </c>
      <c r="D4184" s="1" t="s">
        <v>1954</v>
      </c>
      <c r="E4184" s="1" t="s">
        <v>34</v>
      </c>
      <c r="F4184" s="1" t="s">
        <v>273</v>
      </c>
      <c r="G4184" s="1" t="s">
        <v>274</v>
      </c>
      <c r="H4184" s="1" t="s">
        <v>24</v>
      </c>
      <c r="I4184">
        <v>48770</v>
      </c>
      <c r="J4184" s="3">
        <v>25.97</v>
      </c>
      <c r="K4184" s="3">
        <v>1266556.8999999999</v>
      </c>
    </row>
    <row r="4185" spans="1:11" x14ac:dyDescent="0.2">
      <c r="A4185" s="1" t="s">
        <v>5303</v>
      </c>
      <c r="B4185" s="2">
        <v>45473</v>
      </c>
      <c r="C4185" s="1" t="s">
        <v>657</v>
      </c>
      <c r="D4185" s="1" t="s">
        <v>658</v>
      </c>
      <c r="E4185" s="1" t="s">
        <v>37</v>
      </c>
      <c r="F4185" s="1" t="s">
        <v>22</v>
      </c>
      <c r="G4185" s="1" t="s">
        <v>23</v>
      </c>
      <c r="H4185" s="1" t="s">
        <v>24</v>
      </c>
      <c r="I4185">
        <v>26897</v>
      </c>
      <c r="J4185" s="3">
        <v>8.1999999999999993</v>
      </c>
      <c r="K4185" s="3">
        <v>220555.4</v>
      </c>
    </row>
    <row r="4186" spans="1:11" x14ac:dyDescent="0.2">
      <c r="A4186" s="1" t="s">
        <v>5304</v>
      </c>
      <c r="B4186" s="2">
        <v>45989</v>
      </c>
      <c r="C4186" s="1" t="s">
        <v>1507</v>
      </c>
      <c r="D4186" s="1" t="s">
        <v>1508</v>
      </c>
      <c r="E4186" s="1" t="s">
        <v>37</v>
      </c>
      <c r="F4186" s="1" t="s">
        <v>406</v>
      </c>
      <c r="G4186" s="1" t="s">
        <v>407</v>
      </c>
      <c r="H4186" s="1" t="s">
        <v>17</v>
      </c>
      <c r="I4186">
        <v>37783</v>
      </c>
      <c r="J4186" s="3">
        <v>44.89</v>
      </c>
      <c r="K4186" s="3">
        <v>1696078.87</v>
      </c>
    </row>
    <row r="4187" spans="1:11" x14ac:dyDescent="0.2">
      <c r="A4187" s="1" t="s">
        <v>5305</v>
      </c>
      <c r="B4187" s="2">
        <v>45731</v>
      </c>
      <c r="C4187" s="1" t="s">
        <v>362</v>
      </c>
      <c r="D4187" s="1" t="s">
        <v>363</v>
      </c>
      <c r="E4187" s="1" t="s">
        <v>37</v>
      </c>
      <c r="F4187" s="1" t="s">
        <v>108</v>
      </c>
      <c r="G4187" s="1" t="s">
        <v>109</v>
      </c>
      <c r="H4187" s="1" t="s">
        <v>37</v>
      </c>
      <c r="I4187">
        <v>98144</v>
      </c>
      <c r="J4187" s="3">
        <v>20.81</v>
      </c>
      <c r="K4187" s="3">
        <v>2042376.64</v>
      </c>
    </row>
    <row r="4188" spans="1:11" x14ac:dyDescent="0.2">
      <c r="A4188" s="1" t="s">
        <v>5306</v>
      </c>
      <c r="B4188" s="2">
        <v>45297</v>
      </c>
      <c r="C4188" s="1" t="s">
        <v>1535</v>
      </c>
      <c r="D4188" s="1" t="s">
        <v>1536</v>
      </c>
      <c r="E4188" s="1" t="s">
        <v>21</v>
      </c>
      <c r="F4188" s="1" t="s">
        <v>228</v>
      </c>
      <c r="G4188" s="1" t="s">
        <v>229</v>
      </c>
      <c r="H4188" s="1" t="s">
        <v>48</v>
      </c>
      <c r="I4188">
        <v>83913</v>
      </c>
      <c r="J4188" s="3">
        <v>12.08</v>
      </c>
      <c r="K4188" s="3">
        <v>1013669.04</v>
      </c>
    </row>
    <row r="4189" spans="1:11" x14ac:dyDescent="0.2">
      <c r="A4189" s="1" t="s">
        <v>5307</v>
      </c>
      <c r="B4189" s="2">
        <v>45513</v>
      </c>
      <c r="C4189" s="1" t="s">
        <v>137</v>
      </c>
      <c r="D4189" s="1" t="s">
        <v>138</v>
      </c>
      <c r="E4189" s="1" t="s">
        <v>37</v>
      </c>
      <c r="F4189" s="1" t="s">
        <v>203</v>
      </c>
      <c r="G4189" s="1" t="s">
        <v>204</v>
      </c>
      <c r="H4189" s="1" t="s">
        <v>72</v>
      </c>
      <c r="I4189">
        <v>12717</v>
      </c>
      <c r="J4189" s="3">
        <v>19.670000000000002</v>
      </c>
      <c r="K4189" s="3">
        <v>250143.39</v>
      </c>
    </row>
    <row r="4190" spans="1:11" x14ac:dyDescent="0.2">
      <c r="A4190" s="1" t="s">
        <v>5308</v>
      </c>
      <c r="B4190" s="2">
        <v>45878</v>
      </c>
      <c r="C4190" s="1" t="s">
        <v>657</v>
      </c>
      <c r="D4190" s="1" t="s">
        <v>658</v>
      </c>
      <c r="E4190" s="1" t="s">
        <v>37</v>
      </c>
      <c r="F4190" s="1" t="s">
        <v>208</v>
      </c>
      <c r="G4190" s="1" t="s">
        <v>209</v>
      </c>
      <c r="H4190" s="1" t="s">
        <v>17</v>
      </c>
      <c r="I4190">
        <v>22068</v>
      </c>
      <c r="J4190" s="3">
        <v>24.29</v>
      </c>
      <c r="K4190" s="3">
        <v>536031.72</v>
      </c>
    </row>
    <row r="4191" spans="1:11" x14ac:dyDescent="0.2">
      <c r="A4191" s="1" t="s">
        <v>5309</v>
      </c>
      <c r="B4191" s="2">
        <v>45492</v>
      </c>
      <c r="C4191" s="1" t="s">
        <v>570</v>
      </c>
      <c r="D4191" s="1" t="s">
        <v>571</v>
      </c>
      <c r="E4191" s="1" t="s">
        <v>28</v>
      </c>
      <c r="F4191" s="1" t="s">
        <v>463</v>
      </c>
      <c r="G4191" s="1" t="s">
        <v>464</v>
      </c>
      <c r="H4191" s="1" t="s">
        <v>37</v>
      </c>
      <c r="I4191">
        <v>31955</v>
      </c>
      <c r="J4191" s="3">
        <v>10.28</v>
      </c>
      <c r="K4191" s="3">
        <v>328497.40000000002</v>
      </c>
    </row>
    <row r="4192" spans="1:11" x14ac:dyDescent="0.2">
      <c r="A4192" s="1" t="s">
        <v>5310</v>
      </c>
      <c r="B4192" s="2">
        <v>45355</v>
      </c>
      <c r="C4192" s="1" t="s">
        <v>223</v>
      </c>
      <c r="D4192" s="1" t="s">
        <v>224</v>
      </c>
      <c r="E4192" s="1" t="s">
        <v>28</v>
      </c>
      <c r="F4192" s="1" t="s">
        <v>284</v>
      </c>
      <c r="G4192" s="1" t="s">
        <v>285</v>
      </c>
      <c r="H4192" s="1" t="s">
        <v>37</v>
      </c>
      <c r="I4192">
        <v>22896</v>
      </c>
      <c r="J4192" s="3">
        <v>7.28</v>
      </c>
      <c r="K4192" s="3">
        <v>166682.88</v>
      </c>
    </row>
    <row r="4193" spans="1:11" x14ac:dyDescent="0.2">
      <c r="A4193" s="1" t="s">
        <v>5311</v>
      </c>
      <c r="B4193" s="2">
        <v>45519</v>
      </c>
      <c r="C4193" s="1" t="s">
        <v>550</v>
      </c>
      <c r="D4193" s="1" t="s">
        <v>551</v>
      </c>
      <c r="E4193" s="1" t="s">
        <v>34</v>
      </c>
      <c r="F4193" s="1" t="s">
        <v>251</v>
      </c>
      <c r="G4193" s="1" t="s">
        <v>252</v>
      </c>
      <c r="H4193" s="1" t="s">
        <v>72</v>
      </c>
      <c r="I4193">
        <v>83159</v>
      </c>
      <c r="J4193" s="3">
        <v>5.34</v>
      </c>
      <c r="K4193" s="3">
        <v>444069.06</v>
      </c>
    </row>
    <row r="4194" spans="1:11" x14ac:dyDescent="0.2">
      <c r="A4194" s="1" t="s">
        <v>5312</v>
      </c>
      <c r="B4194" s="2">
        <v>45358</v>
      </c>
      <c r="C4194" s="1" t="s">
        <v>1761</v>
      </c>
      <c r="D4194" s="1" t="s">
        <v>1762</v>
      </c>
      <c r="E4194" s="1" t="s">
        <v>14</v>
      </c>
      <c r="F4194" s="1" t="s">
        <v>81</v>
      </c>
      <c r="G4194" s="1" t="s">
        <v>82</v>
      </c>
      <c r="H4194" s="1" t="s">
        <v>72</v>
      </c>
      <c r="I4194">
        <v>1123</v>
      </c>
      <c r="J4194" s="3">
        <v>10.47</v>
      </c>
      <c r="K4194" s="3">
        <v>11757.81</v>
      </c>
    </row>
    <row r="4195" spans="1:11" x14ac:dyDescent="0.2">
      <c r="A4195" s="1" t="s">
        <v>5313</v>
      </c>
      <c r="B4195" s="2">
        <v>45321</v>
      </c>
      <c r="C4195" s="1" t="s">
        <v>4149</v>
      </c>
      <c r="D4195" s="1" t="s">
        <v>4150</v>
      </c>
      <c r="E4195" s="1" t="s">
        <v>14</v>
      </c>
      <c r="F4195" s="1" t="s">
        <v>41</v>
      </c>
      <c r="G4195" s="1" t="s">
        <v>42</v>
      </c>
      <c r="H4195" s="1" t="s">
        <v>24</v>
      </c>
      <c r="I4195">
        <v>88658</v>
      </c>
      <c r="J4195" s="3">
        <v>16.34</v>
      </c>
      <c r="K4195" s="3">
        <v>1448671.72</v>
      </c>
    </row>
    <row r="4196" spans="1:11" x14ac:dyDescent="0.2">
      <c r="A4196" s="1" t="s">
        <v>5314</v>
      </c>
      <c r="B4196" s="2">
        <v>45646</v>
      </c>
      <c r="C4196" s="1" t="s">
        <v>1402</v>
      </c>
      <c r="D4196" s="1" t="s">
        <v>1403</v>
      </c>
      <c r="E4196" s="1" t="s">
        <v>34</v>
      </c>
      <c r="F4196" s="1" t="s">
        <v>474</v>
      </c>
      <c r="G4196" s="1" t="s">
        <v>475</v>
      </c>
      <c r="H4196" s="1" t="s">
        <v>48</v>
      </c>
      <c r="I4196">
        <v>81155</v>
      </c>
      <c r="J4196" s="3">
        <v>49.7</v>
      </c>
      <c r="K4196" s="3">
        <v>4033403.5</v>
      </c>
    </row>
    <row r="4197" spans="1:11" x14ac:dyDescent="0.2">
      <c r="A4197" s="1" t="s">
        <v>5315</v>
      </c>
      <c r="B4197" s="2">
        <v>45690</v>
      </c>
      <c r="C4197" s="1" t="s">
        <v>1903</v>
      </c>
      <c r="D4197" s="1" t="s">
        <v>1904</v>
      </c>
      <c r="E4197" s="1" t="s">
        <v>14</v>
      </c>
      <c r="F4197" s="1" t="s">
        <v>330</v>
      </c>
      <c r="G4197" s="1" t="s">
        <v>331</v>
      </c>
      <c r="H4197" s="1" t="s">
        <v>72</v>
      </c>
      <c r="I4197">
        <v>57685</v>
      </c>
      <c r="J4197" s="3">
        <v>3.41</v>
      </c>
      <c r="K4197" s="3">
        <v>196705.85</v>
      </c>
    </row>
    <row r="4198" spans="1:11" x14ac:dyDescent="0.2">
      <c r="A4198" s="1" t="s">
        <v>5316</v>
      </c>
      <c r="B4198" s="2">
        <v>45345</v>
      </c>
      <c r="C4198" s="1" t="s">
        <v>857</v>
      </c>
      <c r="D4198" s="1" t="s">
        <v>858</v>
      </c>
      <c r="E4198" s="1" t="s">
        <v>34</v>
      </c>
      <c r="F4198" s="1" t="s">
        <v>98</v>
      </c>
      <c r="G4198" s="1" t="s">
        <v>99</v>
      </c>
      <c r="H4198" s="1" t="s">
        <v>72</v>
      </c>
      <c r="I4198">
        <v>75169</v>
      </c>
      <c r="J4198" s="3">
        <v>39.880000000000003</v>
      </c>
      <c r="K4198" s="3">
        <v>2997739.72</v>
      </c>
    </row>
    <row r="4199" spans="1:11" x14ac:dyDescent="0.2">
      <c r="A4199" s="1" t="s">
        <v>5317</v>
      </c>
      <c r="B4199" s="2">
        <v>45347</v>
      </c>
      <c r="C4199" s="1" t="s">
        <v>1344</v>
      </c>
      <c r="D4199" s="1" t="s">
        <v>1345</v>
      </c>
      <c r="E4199" s="1" t="s">
        <v>34</v>
      </c>
      <c r="F4199" s="1" t="s">
        <v>412</v>
      </c>
      <c r="G4199" s="1" t="s">
        <v>413</v>
      </c>
      <c r="H4199" s="1" t="s">
        <v>72</v>
      </c>
      <c r="I4199">
        <v>51433</v>
      </c>
      <c r="J4199" s="3">
        <v>49.78</v>
      </c>
      <c r="K4199" s="3">
        <v>2560334.7400000002</v>
      </c>
    </row>
    <row r="4200" spans="1:11" x14ac:dyDescent="0.2">
      <c r="A4200" s="1" t="s">
        <v>5318</v>
      </c>
      <c r="B4200" s="2">
        <v>45547</v>
      </c>
      <c r="C4200" s="1" t="s">
        <v>1117</v>
      </c>
      <c r="D4200" s="1" t="s">
        <v>1118</v>
      </c>
      <c r="E4200" s="1" t="s">
        <v>37</v>
      </c>
      <c r="F4200" s="1" t="s">
        <v>458</v>
      </c>
      <c r="G4200" s="1" t="s">
        <v>459</v>
      </c>
      <c r="H4200" s="1" t="s">
        <v>72</v>
      </c>
      <c r="I4200">
        <v>61117</v>
      </c>
      <c r="J4200" s="3">
        <v>4.42</v>
      </c>
      <c r="K4200" s="3">
        <v>270137.14</v>
      </c>
    </row>
    <row r="4201" spans="1:11" x14ac:dyDescent="0.2">
      <c r="A4201" s="1" t="s">
        <v>5319</v>
      </c>
      <c r="B4201" s="2">
        <v>45763</v>
      </c>
      <c r="C4201" s="1" t="s">
        <v>1591</v>
      </c>
      <c r="D4201" s="1" t="s">
        <v>1592</v>
      </c>
      <c r="E4201" s="1" t="s">
        <v>34</v>
      </c>
      <c r="F4201" s="1" t="s">
        <v>458</v>
      </c>
      <c r="G4201" s="1" t="s">
        <v>459</v>
      </c>
      <c r="H4201" s="1" t="s">
        <v>72</v>
      </c>
      <c r="I4201">
        <v>57218</v>
      </c>
      <c r="J4201" s="3">
        <v>18.88</v>
      </c>
      <c r="K4201" s="3">
        <v>1080275.8400000001</v>
      </c>
    </row>
    <row r="4202" spans="1:11" x14ac:dyDescent="0.2">
      <c r="A4202" s="1" t="s">
        <v>5320</v>
      </c>
      <c r="B4202" s="2">
        <v>45858</v>
      </c>
      <c r="C4202" s="1" t="s">
        <v>84</v>
      </c>
      <c r="D4202" s="1" t="s">
        <v>85</v>
      </c>
      <c r="E4202" s="1" t="s">
        <v>28</v>
      </c>
      <c r="F4202" s="1" t="s">
        <v>15</v>
      </c>
      <c r="G4202" s="1" t="s">
        <v>16</v>
      </c>
      <c r="H4202" s="1" t="s">
        <v>17</v>
      </c>
      <c r="I4202">
        <v>97322</v>
      </c>
      <c r="J4202" s="3">
        <v>10.89</v>
      </c>
      <c r="K4202" s="3">
        <v>1059836.58</v>
      </c>
    </row>
    <row r="4203" spans="1:11" x14ac:dyDescent="0.2">
      <c r="A4203" s="1" t="s">
        <v>5321</v>
      </c>
      <c r="B4203" s="2">
        <v>45999</v>
      </c>
      <c r="C4203" s="1" t="s">
        <v>1523</v>
      </c>
      <c r="D4203" s="1" t="s">
        <v>1524</v>
      </c>
      <c r="E4203" s="1" t="s">
        <v>28</v>
      </c>
      <c r="F4203" s="1" t="s">
        <v>510</v>
      </c>
      <c r="G4203" s="1" t="s">
        <v>511</v>
      </c>
      <c r="H4203" s="1" t="s">
        <v>17</v>
      </c>
      <c r="I4203">
        <v>56869</v>
      </c>
      <c r="J4203" s="3">
        <v>17.510000000000002</v>
      </c>
      <c r="K4203" s="3">
        <v>995776.19</v>
      </c>
    </row>
    <row r="4204" spans="1:11" x14ac:dyDescent="0.2">
      <c r="A4204" s="1" t="s">
        <v>5322</v>
      </c>
      <c r="B4204" s="2">
        <v>45369</v>
      </c>
      <c r="C4204" s="1" t="s">
        <v>1516</v>
      </c>
      <c r="D4204" s="1" t="s">
        <v>1517</v>
      </c>
      <c r="E4204" s="1" t="s">
        <v>21</v>
      </c>
      <c r="F4204" s="1" t="s">
        <v>108</v>
      </c>
      <c r="G4204" s="1" t="s">
        <v>109</v>
      </c>
      <c r="H4204" s="1" t="s">
        <v>37</v>
      </c>
      <c r="I4204">
        <v>97810</v>
      </c>
      <c r="J4204" s="3">
        <v>33.79</v>
      </c>
      <c r="K4204" s="3">
        <v>3304999.9</v>
      </c>
    </row>
    <row r="4205" spans="1:11" x14ac:dyDescent="0.2">
      <c r="A4205" s="1" t="s">
        <v>5323</v>
      </c>
      <c r="B4205" s="2">
        <v>45336</v>
      </c>
      <c r="C4205" s="1" t="s">
        <v>1125</v>
      </c>
      <c r="D4205" s="1" t="s">
        <v>1126</v>
      </c>
      <c r="E4205" s="1" t="s">
        <v>21</v>
      </c>
      <c r="F4205" s="1" t="s">
        <v>217</v>
      </c>
      <c r="G4205" s="1" t="s">
        <v>218</v>
      </c>
      <c r="H4205" s="1" t="s">
        <v>72</v>
      </c>
      <c r="I4205">
        <v>44063</v>
      </c>
      <c r="J4205" s="3">
        <v>19.739999999999998</v>
      </c>
      <c r="K4205" s="3">
        <v>869803.62</v>
      </c>
    </row>
    <row r="4206" spans="1:11" x14ac:dyDescent="0.2">
      <c r="A4206" s="1" t="s">
        <v>5324</v>
      </c>
      <c r="B4206" s="2">
        <v>45305</v>
      </c>
      <c r="C4206" s="1" t="s">
        <v>2233</v>
      </c>
      <c r="D4206" s="1" t="s">
        <v>2234</v>
      </c>
      <c r="E4206" s="1" t="s">
        <v>37</v>
      </c>
      <c r="F4206" s="1" t="s">
        <v>113</v>
      </c>
      <c r="G4206" s="1" t="s">
        <v>114</v>
      </c>
      <c r="H4206" s="1" t="s">
        <v>37</v>
      </c>
      <c r="I4206">
        <v>38525</v>
      </c>
      <c r="J4206" s="3">
        <v>19.57</v>
      </c>
      <c r="K4206" s="3">
        <v>753934.25</v>
      </c>
    </row>
    <row r="4207" spans="1:11" x14ac:dyDescent="0.2">
      <c r="A4207" s="1" t="s">
        <v>5325</v>
      </c>
      <c r="B4207" s="2">
        <v>45772</v>
      </c>
      <c r="C4207" s="1" t="s">
        <v>388</v>
      </c>
      <c r="D4207" s="1" t="s">
        <v>389</v>
      </c>
      <c r="E4207" s="1" t="s">
        <v>14</v>
      </c>
      <c r="F4207" s="1" t="s">
        <v>458</v>
      </c>
      <c r="G4207" s="1" t="s">
        <v>459</v>
      </c>
      <c r="H4207" s="1" t="s">
        <v>72</v>
      </c>
      <c r="I4207">
        <v>9354</v>
      </c>
      <c r="J4207" s="3">
        <v>42.96</v>
      </c>
      <c r="K4207" s="3">
        <v>401847.84</v>
      </c>
    </row>
    <row r="4208" spans="1:11" x14ac:dyDescent="0.2">
      <c r="A4208" s="1" t="s">
        <v>5326</v>
      </c>
      <c r="B4208" s="2">
        <v>46002</v>
      </c>
      <c r="C4208" s="1" t="s">
        <v>211</v>
      </c>
      <c r="D4208" s="1" t="s">
        <v>212</v>
      </c>
      <c r="E4208" s="1" t="s">
        <v>37</v>
      </c>
      <c r="F4208" s="1" t="s">
        <v>412</v>
      </c>
      <c r="G4208" s="1" t="s">
        <v>413</v>
      </c>
      <c r="H4208" s="1" t="s">
        <v>72</v>
      </c>
      <c r="I4208">
        <v>80929</v>
      </c>
      <c r="J4208" s="3">
        <v>2.04</v>
      </c>
      <c r="K4208" s="3">
        <v>165095.16</v>
      </c>
    </row>
    <row r="4209" spans="1:11" x14ac:dyDescent="0.2">
      <c r="A4209" s="1" t="s">
        <v>5327</v>
      </c>
      <c r="B4209" s="2">
        <v>45963</v>
      </c>
      <c r="C4209" s="1" t="s">
        <v>808</v>
      </c>
      <c r="D4209" s="1" t="s">
        <v>809</v>
      </c>
      <c r="E4209" s="1" t="s">
        <v>28</v>
      </c>
      <c r="F4209" s="1" t="s">
        <v>152</v>
      </c>
      <c r="G4209" s="1" t="s">
        <v>153</v>
      </c>
      <c r="H4209" s="1" t="s">
        <v>17</v>
      </c>
      <c r="I4209">
        <v>86737</v>
      </c>
      <c r="J4209" s="3">
        <v>38.119999999999997</v>
      </c>
      <c r="K4209" s="3">
        <v>3306414.44</v>
      </c>
    </row>
    <row r="4210" spans="1:11" x14ac:dyDescent="0.2">
      <c r="A4210" s="1" t="s">
        <v>5328</v>
      </c>
      <c r="B4210" s="2">
        <v>45644</v>
      </c>
      <c r="C4210" s="1" t="s">
        <v>287</v>
      </c>
      <c r="D4210" s="1" t="s">
        <v>288</v>
      </c>
      <c r="E4210" s="1" t="s">
        <v>21</v>
      </c>
      <c r="F4210" s="1" t="s">
        <v>113</v>
      </c>
      <c r="G4210" s="1" t="s">
        <v>114</v>
      </c>
      <c r="H4210" s="1" t="s">
        <v>37</v>
      </c>
      <c r="I4210">
        <v>60767</v>
      </c>
      <c r="J4210" s="3">
        <v>6.91</v>
      </c>
      <c r="K4210" s="3">
        <v>419899.97</v>
      </c>
    </row>
    <row r="4211" spans="1:11" x14ac:dyDescent="0.2">
      <c r="A4211" s="1" t="s">
        <v>5329</v>
      </c>
      <c r="B4211" s="2">
        <v>45483</v>
      </c>
      <c r="C4211" s="1" t="s">
        <v>951</v>
      </c>
      <c r="D4211" s="1" t="s">
        <v>952</v>
      </c>
      <c r="E4211" s="1" t="s">
        <v>14</v>
      </c>
      <c r="F4211" s="1" t="s">
        <v>406</v>
      </c>
      <c r="G4211" s="1" t="s">
        <v>407</v>
      </c>
      <c r="H4211" s="1" t="s">
        <v>17</v>
      </c>
      <c r="I4211">
        <v>42743</v>
      </c>
      <c r="J4211" s="3">
        <v>10.48</v>
      </c>
      <c r="K4211" s="3">
        <v>447946.64</v>
      </c>
    </row>
    <row r="4212" spans="1:11" x14ac:dyDescent="0.2">
      <c r="A4212" s="1" t="s">
        <v>5330</v>
      </c>
      <c r="B4212" s="2">
        <v>45652</v>
      </c>
      <c r="C4212" s="1" t="s">
        <v>2711</v>
      </c>
      <c r="D4212" s="1" t="s">
        <v>2712</v>
      </c>
      <c r="E4212" s="1" t="s">
        <v>14</v>
      </c>
      <c r="F4212" s="1" t="s">
        <v>108</v>
      </c>
      <c r="G4212" s="1" t="s">
        <v>109</v>
      </c>
      <c r="H4212" s="1" t="s">
        <v>37</v>
      </c>
      <c r="I4212">
        <v>24111</v>
      </c>
      <c r="J4212" s="3">
        <v>46.86</v>
      </c>
      <c r="K4212" s="3">
        <v>1129841.46</v>
      </c>
    </row>
    <row r="4213" spans="1:11" x14ac:dyDescent="0.2">
      <c r="A4213" s="1" t="s">
        <v>5331</v>
      </c>
      <c r="B4213" s="2">
        <v>45581</v>
      </c>
      <c r="C4213" s="1" t="s">
        <v>851</v>
      </c>
      <c r="D4213" s="1" t="s">
        <v>852</v>
      </c>
      <c r="E4213" s="1" t="s">
        <v>21</v>
      </c>
      <c r="F4213" s="1" t="s">
        <v>268</v>
      </c>
      <c r="G4213" s="1" t="s">
        <v>269</v>
      </c>
      <c r="H4213" s="1" t="s">
        <v>72</v>
      </c>
      <c r="I4213">
        <v>34048</v>
      </c>
      <c r="J4213" s="3">
        <v>20.22</v>
      </c>
      <c r="K4213" s="3">
        <v>688450.56000000006</v>
      </c>
    </row>
    <row r="4214" spans="1:11" x14ac:dyDescent="0.2">
      <c r="A4214" s="1" t="s">
        <v>5332</v>
      </c>
      <c r="B4214" s="2">
        <v>45688</v>
      </c>
      <c r="C4214" s="1" t="s">
        <v>2196</v>
      </c>
      <c r="D4214" s="1" t="s">
        <v>2197</v>
      </c>
      <c r="E4214" s="1" t="s">
        <v>34</v>
      </c>
      <c r="F4214" s="1" t="s">
        <v>540</v>
      </c>
      <c r="G4214" s="1" t="s">
        <v>541</v>
      </c>
      <c r="H4214" s="1" t="s">
        <v>37</v>
      </c>
      <c r="I4214">
        <v>77012</v>
      </c>
      <c r="J4214" s="3">
        <v>41.38</v>
      </c>
      <c r="K4214" s="3">
        <v>3186756.56</v>
      </c>
    </row>
    <row r="4215" spans="1:11" x14ac:dyDescent="0.2">
      <c r="A4215" s="1" t="s">
        <v>5333</v>
      </c>
      <c r="B4215" s="2">
        <v>45454</v>
      </c>
      <c r="C4215" s="1" t="s">
        <v>1468</v>
      </c>
      <c r="D4215" s="1" t="s">
        <v>1469</v>
      </c>
      <c r="E4215" s="1" t="s">
        <v>21</v>
      </c>
      <c r="F4215" s="1" t="s">
        <v>268</v>
      </c>
      <c r="G4215" s="1" t="s">
        <v>269</v>
      </c>
      <c r="H4215" s="1" t="s">
        <v>72</v>
      </c>
      <c r="I4215">
        <v>96600</v>
      </c>
      <c r="J4215" s="3">
        <v>22.4</v>
      </c>
      <c r="K4215" s="3">
        <v>2163840</v>
      </c>
    </row>
    <row r="4216" spans="1:11" x14ac:dyDescent="0.2">
      <c r="A4216" s="1" t="s">
        <v>5334</v>
      </c>
      <c r="B4216" s="2">
        <v>45426</v>
      </c>
      <c r="C4216" s="1" t="s">
        <v>1854</v>
      </c>
      <c r="D4216" s="1" t="s">
        <v>1855</v>
      </c>
      <c r="E4216" s="1" t="s">
        <v>37</v>
      </c>
      <c r="F4216" s="1" t="s">
        <v>195</v>
      </c>
      <c r="G4216" s="1" t="s">
        <v>196</v>
      </c>
      <c r="H4216" s="1" t="s">
        <v>48</v>
      </c>
      <c r="I4216">
        <v>85478</v>
      </c>
      <c r="J4216" s="3">
        <v>45.78</v>
      </c>
      <c r="K4216" s="3">
        <v>3913182.84</v>
      </c>
    </row>
    <row r="4217" spans="1:11" x14ac:dyDescent="0.2">
      <c r="A4217" s="1" t="s">
        <v>5335</v>
      </c>
      <c r="B4217" s="2">
        <v>45791</v>
      </c>
      <c r="C4217" s="1" t="s">
        <v>1064</v>
      </c>
      <c r="D4217" s="1" t="s">
        <v>1065</v>
      </c>
      <c r="E4217" s="1" t="s">
        <v>14</v>
      </c>
      <c r="F4217" s="1" t="s">
        <v>324</v>
      </c>
      <c r="G4217" s="1" t="s">
        <v>325</v>
      </c>
      <c r="H4217" s="1" t="s">
        <v>24</v>
      </c>
      <c r="I4217">
        <v>78537</v>
      </c>
      <c r="J4217" s="3">
        <v>14.79</v>
      </c>
      <c r="K4217" s="3">
        <v>1161562.23</v>
      </c>
    </row>
    <row r="4218" spans="1:11" x14ac:dyDescent="0.2">
      <c r="A4218" s="1" t="s">
        <v>5336</v>
      </c>
      <c r="B4218" s="2">
        <v>45857</v>
      </c>
      <c r="C4218" s="1" t="s">
        <v>1442</v>
      </c>
      <c r="D4218" s="1" t="s">
        <v>1443</v>
      </c>
      <c r="E4218" s="1" t="s">
        <v>14</v>
      </c>
      <c r="F4218" s="1" t="s">
        <v>157</v>
      </c>
      <c r="G4218" s="1" t="s">
        <v>158</v>
      </c>
      <c r="H4218" s="1" t="s">
        <v>48</v>
      </c>
      <c r="I4218">
        <v>35659</v>
      </c>
      <c r="J4218" s="3">
        <v>24.18</v>
      </c>
      <c r="K4218" s="3">
        <v>862234.62</v>
      </c>
    </row>
    <row r="4219" spans="1:11" x14ac:dyDescent="0.2">
      <c r="A4219" s="1" t="s">
        <v>5337</v>
      </c>
      <c r="B4219" s="2">
        <v>45748</v>
      </c>
      <c r="C4219" s="1" t="s">
        <v>348</v>
      </c>
      <c r="D4219" s="1" t="s">
        <v>349</v>
      </c>
      <c r="E4219" s="1" t="s">
        <v>28</v>
      </c>
      <c r="F4219" s="1" t="s">
        <v>195</v>
      </c>
      <c r="G4219" s="1" t="s">
        <v>196</v>
      </c>
      <c r="H4219" s="1" t="s">
        <v>48</v>
      </c>
      <c r="I4219">
        <v>70293</v>
      </c>
      <c r="J4219" s="3">
        <v>28.58</v>
      </c>
      <c r="K4219" s="3">
        <v>2008973.94</v>
      </c>
    </row>
    <row r="4220" spans="1:11" x14ac:dyDescent="0.2">
      <c r="A4220" s="1" t="s">
        <v>5338</v>
      </c>
      <c r="B4220" s="2">
        <v>45612</v>
      </c>
      <c r="C4220" s="1" t="s">
        <v>1666</v>
      </c>
      <c r="D4220" s="1" t="s">
        <v>1667</v>
      </c>
      <c r="E4220" s="1" t="s">
        <v>28</v>
      </c>
      <c r="F4220" s="1" t="s">
        <v>189</v>
      </c>
      <c r="G4220" s="1" t="s">
        <v>190</v>
      </c>
      <c r="H4220" s="1" t="s">
        <v>17</v>
      </c>
      <c r="I4220">
        <v>17319</v>
      </c>
      <c r="J4220" s="3">
        <v>33.380000000000003</v>
      </c>
      <c r="K4220" s="3">
        <v>578108.22</v>
      </c>
    </row>
    <row r="4221" spans="1:11" x14ac:dyDescent="0.2">
      <c r="A4221" s="1" t="s">
        <v>5339</v>
      </c>
      <c r="B4221" s="2">
        <v>45448</v>
      </c>
      <c r="C4221" s="1" t="s">
        <v>2233</v>
      </c>
      <c r="D4221" s="1" t="s">
        <v>2234</v>
      </c>
      <c r="E4221" s="1" t="s">
        <v>37</v>
      </c>
      <c r="F4221" s="1" t="s">
        <v>81</v>
      </c>
      <c r="G4221" s="1" t="s">
        <v>82</v>
      </c>
      <c r="H4221" s="1" t="s">
        <v>72</v>
      </c>
      <c r="I4221">
        <v>45434</v>
      </c>
      <c r="J4221" s="3">
        <v>21.13</v>
      </c>
      <c r="K4221" s="3">
        <v>960020.42</v>
      </c>
    </row>
    <row r="4222" spans="1:11" x14ac:dyDescent="0.2">
      <c r="A4222" s="1" t="s">
        <v>5340</v>
      </c>
      <c r="B4222" s="2">
        <v>45951</v>
      </c>
      <c r="C4222" s="1" t="s">
        <v>713</v>
      </c>
      <c r="D4222" s="1" t="s">
        <v>714</v>
      </c>
      <c r="E4222" s="1" t="s">
        <v>34</v>
      </c>
      <c r="F4222" s="1" t="s">
        <v>203</v>
      </c>
      <c r="G4222" s="1" t="s">
        <v>204</v>
      </c>
      <c r="H4222" s="1" t="s">
        <v>72</v>
      </c>
      <c r="I4222">
        <v>53738</v>
      </c>
      <c r="J4222" s="3">
        <v>24.44</v>
      </c>
      <c r="K4222" s="3">
        <v>1313356.72</v>
      </c>
    </row>
    <row r="4223" spans="1:11" x14ac:dyDescent="0.2">
      <c r="A4223" s="1" t="s">
        <v>5341</v>
      </c>
      <c r="B4223" s="2">
        <v>45733</v>
      </c>
      <c r="C4223" s="1" t="s">
        <v>529</v>
      </c>
      <c r="D4223" s="1" t="s">
        <v>530</v>
      </c>
      <c r="E4223" s="1" t="s">
        <v>34</v>
      </c>
      <c r="F4223" s="1" t="s">
        <v>46</v>
      </c>
      <c r="G4223" s="1" t="s">
        <v>47</v>
      </c>
      <c r="H4223" s="1" t="s">
        <v>48</v>
      </c>
      <c r="I4223">
        <v>39240</v>
      </c>
      <c r="J4223" s="3">
        <v>44.61</v>
      </c>
      <c r="K4223" s="3">
        <v>1750496.4</v>
      </c>
    </row>
    <row r="4224" spans="1:11" x14ac:dyDescent="0.2">
      <c r="A4224" s="1" t="s">
        <v>5342</v>
      </c>
      <c r="B4224" s="2">
        <v>45594</v>
      </c>
      <c r="C4224" s="1" t="s">
        <v>1701</v>
      </c>
      <c r="D4224" s="1" t="s">
        <v>1702</v>
      </c>
      <c r="E4224" s="1" t="s">
        <v>34</v>
      </c>
      <c r="F4224" s="1" t="s">
        <v>15</v>
      </c>
      <c r="G4224" s="1" t="s">
        <v>16</v>
      </c>
      <c r="H4224" s="1" t="s">
        <v>17</v>
      </c>
      <c r="I4224">
        <v>78218</v>
      </c>
      <c r="J4224" s="3">
        <v>43.23</v>
      </c>
      <c r="K4224" s="3">
        <v>3381364.14</v>
      </c>
    </row>
    <row r="4225" spans="1:11" x14ac:dyDescent="0.2">
      <c r="A4225" s="1" t="s">
        <v>5343</v>
      </c>
      <c r="B4225" s="2">
        <v>45325</v>
      </c>
      <c r="C4225" s="1" t="s">
        <v>1446</v>
      </c>
      <c r="D4225" s="1" t="s">
        <v>1447</v>
      </c>
      <c r="E4225" s="1" t="s">
        <v>37</v>
      </c>
      <c r="F4225" s="1" t="s">
        <v>339</v>
      </c>
      <c r="G4225" s="1" t="s">
        <v>340</v>
      </c>
      <c r="H4225" s="1" t="s">
        <v>24</v>
      </c>
      <c r="I4225">
        <v>5100</v>
      </c>
      <c r="J4225" s="3">
        <v>40.799999999999997</v>
      </c>
      <c r="K4225" s="3">
        <v>208080</v>
      </c>
    </row>
    <row r="4226" spans="1:11" x14ac:dyDescent="0.2">
      <c r="A4226" s="1" t="s">
        <v>5344</v>
      </c>
      <c r="B4226" s="2">
        <v>45583</v>
      </c>
      <c r="C4226" s="1" t="s">
        <v>192</v>
      </c>
      <c r="D4226" s="1" t="s">
        <v>193</v>
      </c>
      <c r="E4226" s="1" t="s">
        <v>37</v>
      </c>
      <c r="F4226" s="1" t="s">
        <v>81</v>
      </c>
      <c r="G4226" s="1" t="s">
        <v>82</v>
      </c>
      <c r="H4226" s="1" t="s">
        <v>72</v>
      </c>
      <c r="I4226">
        <v>56229</v>
      </c>
      <c r="J4226" s="3">
        <v>29.9</v>
      </c>
      <c r="K4226" s="3">
        <v>1681247.1</v>
      </c>
    </row>
    <row r="4227" spans="1:11" x14ac:dyDescent="0.2">
      <c r="A4227" s="1" t="s">
        <v>5345</v>
      </c>
      <c r="B4227" s="2">
        <v>45297</v>
      </c>
      <c r="C4227" s="1" t="s">
        <v>87</v>
      </c>
      <c r="D4227" s="1" t="s">
        <v>88</v>
      </c>
      <c r="E4227" s="1" t="s">
        <v>14</v>
      </c>
      <c r="F4227" s="1" t="s">
        <v>15</v>
      </c>
      <c r="G4227" s="1" t="s">
        <v>16</v>
      </c>
      <c r="H4227" s="1" t="s">
        <v>17</v>
      </c>
      <c r="I4227">
        <v>28195</v>
      </c>
      <c r="J4227" s="3">
        <v>17.489999999999998</v>
      </c>
      <c r="K4227" s="3">
        <v>493130.55</v>
      </c>
    </row>
    <row r="4228" spans="1:11" x14ac:dyDescent="0.2">
      <c r="A4228" s="1" t="s">
        <v>5346</v>
      </c>
      <c r="B4228" s="2">
        <v>45673</v>
      </c>
      <c r="C4228" s="1" t="s">
        <v>353</v>
      </c>
      <c r="D4228" s="1" t="s">
        <v>354</v>
      </c>
      <c r="E4228" s="1" t="s">
        <v>14</v>
      </c>
      <c r="F4228" s="1" t="s">
        <v>57</v>
      </c>
      <c r="G4228" s="1" t="s">
        <v>58</v>
      </c>
      <c r="H4228" s="1" t="s">
        <v>48</v>
      </c>
      <c r="I4228">
        <v>34880</v>
      </c>
      <c r="J4228" s="3">
        <v>27.83</v>
      </c>
      <c r="K4228" s="3">
        <v>970710.4</v>
      </c>
    </row>
    <row r="4229" spans="1:11" x14ac:dyDescent="0.2">
      <c r="A4229" s="1" t="s">
        <v>5347</v>
      </c>
      <c r="B4229" s="2">
        <v>45657</v>
      </c>
      <c r="C4229" s="1" t="s">
        <v>445</v>
      </c>
      <c r="D4229" s="1" t="s">
        <v>446</v>
      </c>
      <c r="E4229" s="1" t="s">
        <v>34</v>
      </c>
      <c r="F4229" s="1" t="s">
        <v>81</v>
      </c>
      <c r="G4229" s="1" t="s">
        <v>82</v>
      </c>
      <c r="H4229" s="1" t="s">
        <v>72</v>
      </c>
      <c r="I4229">
        <v>28967</v>
      </c>
      <c r="J4229" s="3">
        <v>33.93</v>
      </c>
      <c r="K4229" s="3">
        <v>982850.31</v>
      </c>
    </row>
    <row r="4230" spans="1:11" x14ac:dyDescent="0.2">
      <c r="A4230" s="1" t="s">
        <v>5348</v>
      </c>
      <c r="B4230" s="2">
        <v>45926</v>
      </c>
      <c r="C4230" s="1" t="s">
        <v>2169</v>
      </c>
      <c r="D4230" s="1" t="s">
        <v>2170</v>
      </c>
      <c r="E4230" s="1" t="s">
        <v>28</v>
      </c>
      <c r="F4230" s="1" t="s">
        <v>761</v>
      </c>
      <c r="G4230" s="1" t="s">
        <v>762</v>
      </c>
      <c r="H4230" s="1" t="s">
        <v>48</v>
      </c>
      <c r="I4230">
        <v>47633</v>
      </c>
      <c r="J4230" s="3">
        <v>35.17</v>
      </c>
      <c r="K4230" s="3">
        <v>1675252.61</v>
      </c>
    </row>
    <row r="4231" spans="1:11" x14ac:dyDescent="0.2">
      <c r="A4231" s="1" t="s">
        <v>5349</v>
      </c>
      <c r="B4231" s="2">
        <v>45949</v>
      </c>
      <c r="C4231" s="1" t="s">
        <v>2771</v>
      </c>
      <c r="D4231" s="1" t="s">
        <v>2772</v>
      </c>
      <c r="E4231" s="1" t="s">
        <v>37</v>
      </c>
      <c r="F4231" s="1" t="s">
        <v>273</v>
      </c>
      <c r="G4231" s="1" t="s">
        <v>274</v>
      </c>
      <c r="H4231" s="1" t="s">
        <v>24</v>
      </c>
      <c r="I4231">
        <v>72219</v>
      </c>
      <c r="J4231" s="3">
        <v>13.2</v>
      </c>
      <c r="K4231" s="3">
        <v>953290.8</v>
      </c>
    </row>
    <row r="4232" spans="1:11" x14ac:dyDescent="0.2">
      <c r="A4232" s="1" t="s">
        <v>5350</v>
      </c>
      <c r="B4232" s="2">
        <v>45512</v>
      </c>
      <c r="C4232" s="1" t="s">
        <v>147</v>
      </c>
      <c r="D4232" s="1" t="s">
        <v>148</v>
      </c>
      <c r="E4232" s="1" t="s">
        <v>37</v>
      </c>
      <c r="F4232" s="1" t="s">
        <v>284</v>
      </c>
      <c r="G4232" s="1" t="s">
        <v>285</v>
      </c>
      <c r="H4232" s="1" t="s">
        <v>37</v>
      </c>
      <c r="I4232">
        <v>60553</v>
      </c>
      <c r="J4232" s="3">
        <v>12.93</v>
      </c>
      <c r="K4232" s="3">
        <v>782950.29</v>
      </c>
    </row>
    <row r="4233" spans="1:11" x14ac:dyDescent="0.2">
      <c r="A4233" s="1" t="s">
        <v>5351</v>
      </c>
      <c r="B4233" s="2">
        <v>45830</v>
      </c>
      <c r="C4233" s="1" t="s">
        <v>243</v>
      </c>
      <c r="D4233" s="1" t="s">
        <v>244</v>
      </c>
      <c r="E4233" s="1" t="s">
        <v>21</v>
      </c>
      <c r="F4233" s="1" t="s">
        <v>81</v>
      </c>
      <c r="G4233" s="1" t="s">
        <v>82</v>
      </c>
      <c r="H4233" s="1" t="s">
        <v>72</v>
      </c>
      <c r="I4233">
        <v>75255</v>
      </c>
      <c r="J4233" s="3">
        <v>35.729999999999997</v>
      </c>
      <c r="K4233" s="3">
        <v>2688861.15</v>
      </c>
    </row>
    <row r="4234" spans="1:11" x14ac:dyDescent="0.2">
      <c r="A4234" s="1" t="s">
        <v>5352</v>
      </c>
      <c r="B4234" s="2">
        <v>45349</v>
      </c>
      <c r="C4234" s="1" t="s">
        <v>1164</v>
      </c>
      <c r="D4234" s="1" t="s">
        <v>1165</v>
      </c>
      <c r="E4234" s="1" t="s">
        <v>37</v>
      </c>
      <c r="F4234" s="1" t="s">
        <v>330</v>
      </c>
      <c r="G4234" s="1" t="s">
        <v>331</v>
      </c>
      <c r="H4234" s="1" t="s">
        <v>72</v>
      </c>
      <c r="I4234">
        <v>30516</v>
      </c>
      <c r="J4234" s="3">
        <v>9.5399999999999991</v>
      </c>
      <c r="K4234" s="3">
        <v>291122.64</v>
      </c>
    </row>
    <row r="4235" spans="1:11" x14ac:dyDescent="0.2">
      <c r="A4235" s="1" t="s">
        <v>5353</v>
      </c>
      <c r="B4235" s="2">
        <v>45553</v>
      </c>
      <c r="C4235" s="1" t="s">
        <v>1344</v>
      </c>
      <c r="D4235" s="1" t="s">
        <v>1345</v>
      </c>
      <c r="E4235" s="1" t="s">
        <v>34</v>
      </c>
      <c r="F4235" s="1" t="s">
        <v>268</v>
      </c>
      <c r="G4235" s="1" t="s">
        <v>269</v>
      </c>
      <c r="H4235" s="1" t="s">
        <v>72</v>
      </c>
      <c r="I4235">
        <v>58264</v>
      </c>
      <c r="J4235" s="3">
        <v>3.28</v>
      </c>
      <c r="K4235" s="3">
        <v>191105.92000000001</v>
      </c>
    </row>
    <row r="4236" spans="1:11" x14ac:dyDescent="0.2">
      <c r="A4236" s="1" t="s">
        <v>5354</v>
      </c>
      <c r="B4236" s="2">
        <v>45568</v>
      </c>
      <c r="C4236" s="1" t="s">
        <v>2711</v>
      </c>
      <c r="D4236" s="1" t="s">
        <v>2712</v>
      </c>
      <c r="E4236" s="1" t="s">
        <v>14</v>
      </c>
      <c r="F4236" s="1" t="s">
        <v>263</v>
      </c>
      <c r="G4236" s="1" t="s">
        <v>264</v>
      </c>
      <c r="H4236" s="1" t="s">
        <v>17</v>
      </c>
      <c r="I4236">
        <v>65536</v>
      </c>
      <c r="J4236" s="3">
        <v>48.87</v>
      </c>
      <c r="K4236" s="3">
        <v>3202744.3199999998</v>
      </c>
    </row>
    <row r="4237" spans="1:11" x14ac:dyDescent="0.2">
      <c r="A4237" s="1" t="s">
        <v>5355</v>
      </c>
      <c r="B4237" s="2">
        <v>45411</v>
      </c>
      <c r="C4237" s="1" t="s">
        <v>705</v>
      </c>
      <c r="D4237" s="1" t="s">
        <v>706</v>
      </c>
      <c r="E4237" s="1" t="s">
        <v>28</v>
      </c>
      <c r="F4237" s="1" t="s">
        <v>406</v>
      </c>
      <c r="G4237" s="1" t="s">
        <v>407</v>
      </c>
      <c r="H4237" s="1" t="s">
        <v>17</v>
      </c>
      <c r="I4237">
        <v>32156</v>
      </c>
      <c r="J4237" s="3">
        <v>16.98</v>
      </c>
      <c r="K4237" s="3">
        <v>546008.88</v>
      </c>
    </row>
    <row r="4238" spans="1:11" x14ac:dyDescent="0.2">
      <c r="A4238" s="1" t="s">
        <v>5356</v>
      </c>
      <c r="B4238" s="2">
        <v>45950</v>
      </c>
      <c r="C4238" s="1" t="s">
        <v>2613</v>
      </c>
      <c r="D4238" s="1" t="s">
        <v>2614</v>
      </c>
      <c r="E4238" s="1" t="s">
        <v>28</v>
      </c>
      <c r="F4238" s="1" t="s">
        <v>113</v>
      </c>
      <c r="G4238" s="1" t="s">
        <v>114</v>
      </c>
      <c r="H4238" s="1" t="s">
        <v>37</v>
      </c>
      <c r="I4238">
        <v>56496</v>
      </c>
      <c r="J4238" s="3">
        <v>29.81</v>
      </c>
      <c r="K4238" s="3">
        <v>1684145.76</v>
      </c>
    </row>
    <row r="4239" spans="1:11" x14ac:dyDescent="0.2">
      <c r="A4239" s="1" t="s">
        <v>5357</v>
      </c>
      <c r="B4239" s="2">
        <v>45391</v>
      </c>
      <c r="C4239" s="1" t="s">
        <v>2807</v>
      </c>
      <c r="D4239" s="1" t="s">
        <v>2808</v>
      </c>
      <c r="E4239" s="1" t="s">
        <v>37</v>
      </c>
      <c r="F4239" s="1" t="s">
        <v>761</v>
      </c>
      <c r="G4239" s="1" t="s">
        <v>762</v>
      </c>
      <c r="H4239" s="1" t="s">
        <v>48</v>
      </c>
      <c r="I4239">
        <v>91153</v>
      </c>
      <c r="J4239" s="3">
        <v>15.86</v>
      </c>
      <c r="K4239" s="3">
        <v>1445686.58</v>
      </c>
    </row>
    <row r="4240" spans="1:11" x14ac:dyDescent="0.2">
      <c r="A4240" s="1" t="s">
        <v>5358</v>
      </c>
      <c r="B4240" s="2">
        <v>45306</v>
      </c>
      <c r="C4240" s="1" t="s">
        <v>427</v>
      </c>
      <c r="D4240" s="1" t="s">
        <v>428</v>
      </c>
      <c r="E4240" s="1" t="s">
        <v>21</v>
      </c>
      <c r="F4240" s="1" t="s">
        <v>29</v>
      </c>
      <c r="G4240" s="1" t="s">
        <v>30</v>
      </c>
      <c r="H4240" s="1" t="s">
        <v>24</v>
      </c>
      <c r="I4240">
        <v>25837</v>
      </c>
      <c r="J4240" s="3">
        <v>27.38</v>
      </c>
      <c r="K4240" s="3">
        <v>707417.06</v>
      </c>
    </row>
    <row r="4241" spans="1:11" x14ac:dyDescent="0.2">
      <c r="A4241" s="1" t="s">
        <v>5359</v>
      </c>
      <c r="B4241" s="2">
        <v>45361</v>
      </c>
      <c r="C4241" s="1" t="s">
        <v>1194</v>
      </c>
      <c r="D4241" s="1" t="s">
        <v>1195</v>
      </c>
      <c r="E4241" s="1" t="s">
        <v>28</v>
      </c>
      <c r="F4241" s="1" t="s">
        <v>76</v>
      </c>
      <c r="G4241" s="1" t="s">
        <v>77</v>
      </c>
      <c r="H4241" s="1" t="s">
        <v>48</v>
      </c>
      <c r="I4241">
        <v>96127</v>
      </c>
      <c r="J4241" s="3">
        <v>24.85</v>
      </c>
      <c r="K4241" s="3">
        <v>2388755.9500000002</v>
      </c>
    </row>
    <row r="4242" spans="1:11" x14ac:dyDescent="0.2">
      <c r="A4242" s="1" t="s">
        <v>5360</v>
      </c>
      <c r="B4242" s="2">
        <v>45661</v>
      </c>
      <c r="C4242" s="1" t="s">
        <v>1949</v>
      </c>
      <c r="D4242" s="1" t="s">
        <v>1950</v>
      </c>
      <c r="E4242" s="1" t="s">
        <v>14</v>
      </c>
      <c r="F4242" s="1" t="s">
        <v>76</v>
      </c>
      <c r="G4242" s="1" t="s">
        <v>77</v>
      </c>
      <c r="H4242" s="1" t="s">
        <v>48</v>
      </c>
      <c r="I4242">
        <v>87220</v>
      </c>
      <c r="J4242" s="3">
        <v>37.520000000000003</v>
      </c>
      <c r="K4242" s="3">
        <v>3272494.4</v>
      </c>
    </row>
    <row r="4243" spans="1:11" x14ac:dyDescent="0.2">
      <c r="A4243" s="1" t="s">
        <v>5361</v>
      </c>
      <c r="B4243" s="2">
        <v>45794</v>
      </c>
      <c r="C4243" s="1" t="s">
        <v>348</v>
      </c>
      <c r="D4243" s="1" t="s">
        <v>349</v>
      </c>
      <c r="E4243" s="1" t="s">
        <v>28</v>
      </c>
      <c r="F4243" s="1" t="s">
        <v>273</v>
      </c>
      <c r="G4243" s="1" t="s">
        <v>274</v>
      </c>
      <c r="H4243" s="1" t="s">
        <v>24</v>
      </c>
      <c r="I4243">
        <v>94600</v>
      </c>
      <c r="J4243" s="3">
        <v>22.53</v>
      </c>
      <c r="K4243" s="3">
        <v>2131338</v>
      </c>
    </row>
    <row r="4244" spans="1:11" x14ac:dyDescent="0.2">
      <c r="A4244" s="1" t="s">
        <v>5362</v>
      </c>
      <c r="B4244" s="2">
        <v>45803</v>
      </c>
      <c r="C4244" s="1" t="s">
        <v>2807</v>
      </c>
      <c r="D4244" s="1" t="s">
        <v>2808</v>
      </c>
      <c r="E4244" s="1" t="s">
        <v>37</v>
      </c>
      <c r="F4244" s="1" t="s">
        <v>70</v>
      </c>
      <c r="G4244" s="1" t="s">
        <v>71</v>
      </c>
      <c r="H4244" s="1" t="s">
        <v>72</v>
      </c>
      <c r="I4244">
        <v>35563</v>
      </c>
      <c r="J4244" s="3">
        <v>44.21</v>
      </c>
      <c r="K4244" s="3">
        <v>1572240.23</v>
      </c>
    </row>
    <row r="4245" spans="1:11" x14ac:dyDescent="0.2">
      <c r="A4245" s="1" t="s">
        <v>5363</v>
      </c>
      <c r="B4245" s="2">
        <v>45585</v>
      </c>
      <c r="C4245" s="1" t="s">
        <v>617</v>
      </c>
      <c r="D4245" s="1" t="s">
        <v>618</v>
      </c>
      <c r="E4245" s="1" t="s">
        <v>37</v>
      </c>
      <c r="F4245" s="1" t="s">
        <v>510</v>
      </c>
      <c r="G4245" s="1" t="s">
        <v>511</v>
      </c>
      <c r="H4245" s="1" t="s">
        <v>17</v>
      </c>
      <c r="I4245">
        <v>13540</v>
      </c>
      <c r="J4245" s="3">
        <v>35.03</v>
      </c>
      <c r="K4245" s="3">
        <v>474306.2</v>
      </c>
    </row>
    <row r="4246" spans="1:11" x14ac:dyDescent="0.2">
      <c r="A4246" s="1" t="s">
        <v>5364</v>
      </c>
      <c r="B4246" s="2">
        <v>46019</v>
      </c>
      <c r="C4246" s="1" t="s">
        <v>2467</v>
      </c>
      <c r="D4246" s="1" t="s">
        <v>2468</v>
      </c>
      <c r="E4246" s="1" t="s">
        <v>37</v>
      </c>
      <c r="F4246" s="1" t="s">
        <v>41</v>
      </c>
      <c r="G4246" s="1" t="s">
        <v>42</v>
      </c>
      <c r="H4246" s="1" t="s">
        <v>24</v>
      </c>
      <c r="I4246">
        <v>95731</v>
      </c>
      <c r="J4246" s="3">
        <v>46.63</v>
      </c>
      <c r="K4246" s="3">
        <v>4463936.53</v>
      </c>
    </row>
    <row r="4247" spans="1:11" x14ac:dyDescent="0.2">
      <c r="A4247" s="1" t="s">
        <v>5365</v>
      </c>
      <c r="B4247" s="2">
        <v>45362</v>
      </c>
      <c r="C4247" s="1" t="s">
        <v>514</v>
      </c>
      <c r="D4247" s="1" t="s">
        <v>515</v>
      </c>
      <c r="E4247" s="1" t="s">
        <v>28</v>
      </c>
      <c r="F4247" s="1" t="s">
        <v>203</v>
      </c>
      <c r="G4247" s="1" t="s">
        <v>204</v>
      </c>
      <c r="H4247" s="1" t="s">
        <v>72</v>
      </c>
      <c r="I4247">
        <v>80695</v>
      </c>
      <c r="J4247" s="3">
        <v>49.47</v>
      </c>
      <c r="K4247" s="3">
        <v>3991981.65</v>
      </c>
    </row>
    <row r="4248" spans="1:11" x14ac:dyDescent="0.2">
      <c r="A4248" s="1" t="s">
        <v>5366</v>
      </c>
      <c r="B4248" s="2">
        <v>45432</v>
      </c>
      <c r="C4248" s="1" t="s">
        <v>617</v>
      </c>
      <c r="D4248" s="1" t="s">
        <v>618</v>
      </c>
      <c r="E4248" s="1" t="s">
        <v>37</v>
      </c>
      <c r="F4248" s="1" t="s">
        <v>458</v>
      </c>
      <c r="G4248" s="1" t="s">
        <v>459</v>
      </c>
      <c r="H4248" s="1" t="s">
        <v>72</v>
      </c>
      <c r="I4248">
        <v>34164</v>
      </c>
      <c r="J4248" s="3">
        <v>28.33</v>
      </c>
      <c r="K4248" s="3">
        <v>967866.12</v>
      </c>
    </row>
    <row r="4249" spans="1:11" x14ac:dyDescent="0.2">
      <c r="A4249" s="1" t="s">
        <v>5367</v>
      </c>
      <c r="B4249" s="2">
        <v>45419</v>
      </c>
      <c r="C4249" s="1" t="s">
        <v>672</v>
      </c>
      <c r="D4249" s="1" t="s">
        <v>673</v>
      </c>
      <c r="E4249" s="1" t="s">
        <v>21</v>
      </c>
      <c r="F4249" s="1" t="s">
        <v>189</v>
      </c>
      <c r="G4249" s="1" t="s">
        <v>190</v>
      </c>
      <c r="H4249" s="1" t="s">
        <v>17</v>
      </c>
      <c r="I4249">
        <v>16929</v>
      </c>
      <c r="J4249" s="3">
        <v>16.510000000000002</v>
      </c>
      <c r="K4249" s="3">
        <v>279497.78999999998</v>
      </c>
    </row>
    <row r="4250" spans="1:11" x14ac:dyDescent="0.2">
      <c r="A4250" s="1" t="s">
        <v>5368</v>
      </c>
      <c r="B4250" s="2">
        <v>45795</v>
      </c>
      <c r="C4250" s="1" t="s">
        <v>495</v>
      </c>
      <c r="D4250" s="1" t="s">
        <v>496</v>
      </c>
      <c r="E4250" s="1" t="s">
        <v>37</v>
      </c>
      <c r="F4250" s="1" t="s">
        <v>52</v>
      </c>
      <c r="G4250" s="1" t="s">
        <v>53</v>
      </c>
      <c r="H4250" s="1" t="s">
        <v>17</v>
      </c>
      <c r="I4250">
        <v>7680</v>
      </c>
      <c r="J4250" s="3">
        <v>41.76</v>
      </c>
      <c r="K4250" s="3">
        <v>320716.79999999999</v>
      </c>
    </row>
    <row r="4251" spans="1:11" x14ac:dyDescent="0.2">
      <c r="A4251" s="1" t="s">
        <v>5369</v>
      </c>
      <c r="B4251" s="2">
        <v>45603</v>
      </c>
      <c r="C4251" s="1" t="s">
        <v>1292</v>
      </c>
      <c r="D4251" s="1" t="s">
        <v>1293</v>
      </c>
      <c r="E4251" s="1" t="s">
        <v>21</v>
      </c>
      <c r="F4251" s="1" t="s">
        <v>157</v>
      </c>
      <c r="G4251" s="1" t="s">
        <v>158</v>
      </c>
      <c r="H4251" s="1" t="s">
        <v>48</v>
      </c>
      <c r="I4251">
        <v>47519</v>
      </c>
      <c r="J4251" s="3">
        <v>2.85</v>
      </c>
      <c r="K4251" s="3">
        <v>135429.15</v>
      </c>
    </row>
    <row r="4252" spans="1:11" x14ac:dyDescent="0.2">
      <c r="A4252" s="1" t="s">
        <v>5370</v>
      </c>
      <c r="B4252" s="2">
        <v>45471</v>
      </c>
      <c r="C4252" s="1" t="s">
        <v>1007</v>
      </c>
      <c r="D4252" s="1" t="s">
        <v>1008</v>
      </c>
      <c r="E4252" s="1" t="s">
        <v>37</v>
      </c>
      <c r="F4252" s="1" t="s">
        <v>284</v>
      </c>
      <c r="G4252" s="1" t="s">
        <v>285</v>
      </c>
      <c r="H4252" s="1" t="s">
        <v>37</v>
      </c>
      <c r="I4252">
        <v>31019</v>
      </c>
      <c r="J4252" s="3">
        <v>49.62</v>
      </c>
      <c r="K4252" s="3">
        <v>1539162.78</v>
      </c>
    </row>
    <row r="4253" spans="1:11" x14ac:dyDescent="0.2">
      <c r="A4253" s="1" t="s">
        <v>5371</v>
      </c>
      <c r="B4253" s="2">
        <v>45595</v>
      </c>
      <c r="C4253" s="1" t="s">
        <v>2534</v>
      </c>
      <c r="D4253" s="1" t="s">
        <v>2535</v>
      </c>
      <c r="E4253" s="1" t="s">
        <v>14</v>
      </c>
      <c r="F4253" s="1" t="s">
        <v>436</v>
      </c>
      <c r="G4253" s="1" t="s">
        <v>437</v>
      </c>
      <c r="H4253" s="1" t="s">
        <v>24</v>
      </c>
      <c r="I4253">
        <v>32487</v>
      </c>
      <c r="J4253" s="3">
        <v>27.43</v>
      </c>
      <c r="K4253" s="3">
        <v>891118.41</v>
      </c>
    </row>
    <row r="4254" spans="1:11" x14ac:dyDescent="0.2">
      <c r="A4254" s="1" t="s">
        <v>5372</v>
      </c>
      <c r="B4254" s="2">
        <v>45493</v>
      </c>
      <c r="C4254" s="1" t="s">
        <v>1324</v>
      </c>
      <c r="D4254" s="1" t="s">
        <v>1325</v>
      </c>
      <c r="E4254" s="1" t="s">
        <v>34</v>
      </c>
      <c r="F4254" s="1" t="s">
        <v>35</v>
      </c>
      <c r="G4254" s="1" t="s">
        <v>36</v>
      </c>
      <c r="H4254" s="1" t="s">
        <v>37</v>
      </c>
      <c r="I4254">
        <v>68555</v>
      </c>
      <c r="J4254" s="3">
        <v>29.14</v>
      </c>
      <c r="K4254" s="3">
        <v>1997692.7</v>
      </c>
    </row>
    <row r="4255" spans="1:11" x14ac:dyDescent="0.2">
      <c r="A4255" s="1" t="s">
        <v>5373</v>
      </c>
      <c r="B4255" s="2">
        <v>45360</v>
      </c>
      <c r="C4255" s="1" t="s">
        <v>580</v>
      </c>
      <c r="D4255" s="1" t="s">
        <v>581</v>
      </c>
      <c r="E4255" s="1" t="s">
        <v>21</v>
      </c>
      <c r="F4255" s="1" t="s">
        <v>284</v>
      </c>
      <c r="G4255" s="1" t="s">
        <v>285</v>
      </c>
      <c r="H4255" s="1" t="s">
        <v>37</v>
      </c>
      <c r="I4255">
        <v>89150</v>
      </c>
      <c r="J4255" s="3">
        <v>25.89</v>
      </c>
      <c r="K4255" s="3">
        <v>2308093.5</v>
      </c>
    </row>
    <row r="4256" spans="1:11" x14ac:dyDescent="0.2">
      <c r="A4256" s="1" t="s">
        <v>5374</v>
      </c>
      <c r="B4256" s="2">
        <v>45536</v>
      </c>
      <c r="C4256" s="1" t="s">
        <v>418</v>
      </c>
      <c r="D4256" s="1" t="s">
        <v>419</v>
      </c>
      <c r="E4256" s="1" t="s">
        <v>14</v>
      </c>
      <c r="F4256" s="1" t="s">
        <v>203</v>
      </c>
      <c r="G4256" s="1" t="s">
        <v>204</v>
      </c>
      <c r="H4256" s="1" t="s">
        <v>72</v>
      </c>
      <c r="I4256">
        <v>70165</v>
      </c>
      <c r="J4256" s="3">
        <v>11.31</v>
      </c>
      <c r="K4256" s="3">
        <v>793566.15</v>
      </c>
    </row>
    <row r="4257" spans="1:11" x14ac:dyDescent="0.2">
      <c r="A4257" s="1" t="s">
        <v>5375</v>
      </c>
      <c r="B4257" s="2">
        <v>45349</v>
      </c>
      <c r="C4257" s="1" t="s">
        <v>1784</v>
      </c>
      <c r="D4257" s="1" t="s">
        <v>1785</v>
      </c>
      <c r="E4257" s="1" t="s">
        <v>21</v>
      </c>
      <c r="F4257" s="1" t="s">
        <v>46</v>
      </c>
      <c r="G4257" s="1" t="s">
        <v>47</v>
      </c>
      <c r="H4257" s="1" t="s">
        <v>48</v>
      </c>
      <c r="I4257">
        <v>20090</v>
      </c>
      <c r="J4257" s="3">
        <v>42.27</v>
      </c>
      <c r="K4257" s="3">
        <v>849204.3</v>
      </c>
    </row>
    <row r="4258" spans="1:11" x14ac:dyDescent="0.2">
      <c r="A4258" s="1" t="s">
        <v>5376</v>
      </c>
      <c r="B4258" s="2">
        <v>45454</v>
      </c>
      <c r="C4258" s="1" t="s">
        <v>1860</v>
      </c>
      <c r="D4258" s="1" t="s">
        <v>1861</v>
      </c>
      <c r="E4258" s="1" t="s">
        <v>21</v>
      </c>
      <c r="F4258" s="1" t="s">
        <v>552</v>
      </c>
      <c r="G4258" s="1" t="s">
        <v>553</v>
      </c>
      <c r="H4258" s="1" t="s">
        <v>37</v>
      </c>
      <c r="I4258">
        <v>67592</v>
      </c>
      <c r="J4258" s="3">
        <v>33.700000000000003</v>
      </c>
      <c r="K4258" s="3">
        <v>2277850.4</v>
      </c>
    </row>
    <row r="4259" spans="1:11" x14ac:dyDescent="0.2">
      <c r="A4259" s="1" t="s">
        <v>5377</v>
      </c>
      <c r="B4259" s="2">
        <v>45932</v>
      </c>
      <c r="C4259" s="1" t="s">
        <v>2628</v>
      </c>
      <c r="D4259" s="1" t="s">
        <v>2629</v>
      </c>
      <c r="E4259" s="1" t="s">
        <v>14</v>
      </c>
      <c r="F4259" s="1" t="s">
        <v>350</v>
      </c>
      <c r="G4259" s="1" t="s">
        <v>351</v>
      </c>
      <c r="H4259" s="1" t="s">
        <v>37</v>
      </c>
      <c r="I4259">
        <v>73934</v>
      </c>
      <c r="J4259" s="3">
        <v>5.74</v>
      </c>
      <c r="K4259" s="3">
        <v>424381.16</v>
      </c>
    </row>
    <row r="4260" spans="1:11" x14ac:dyDescent="0.2">
      <c r="A4260" s="1" t="s">
        <v>5378</v>
      </c>
      <c r="B4260" s="2">
        <v>45815</v>
      </c>
      <c r="C4260" s="1" t="s">
        <v>910</v>
      </c>
      <c r="D4260" s="1" t="s">
        <v>911</v>
      </c>
      <c r="E4260" s="1" t="s">
        <v>28</v>
      </c>
      <c r="F4260" s="1" t="s">
        <v>263</v>
      </c>
      <c r="G4260" s="1" t="s">
        <v>264</v>
      </c>
      <c r="H4260" s="1" t="s">
        <v>17</v>
      </c>
      <c r="I4260">
        <v>35316</v>
      </c>
      <c r="J4260" s="3">
        <v>29.79</v>
      </c>
      <c r="K4260" s="3">
        <v>1052063.6399999999</v>
      </c>
    </row>
    <row r="4261" spans="1:11" x14ac:dyDescent="0.2">
      <c r="A4261" s="1" t="s">
        <v>5379</v>
      </c>
      <c r="B4261" s="2">
        <v>45376</v>
      </c>
      <c r="C4261" s="1" t="s">
        <v>826</v>
      </c>
      <c r="D4261" s="1" t="s">
        <v>827</v>
      </c>
      <c r="E4261" s="1" t="s">
        <v>37</v>
      </c>
      <c r="F4261" s="1" t="s">
        <v>103</v>
      </c>
      <c r="G4261" s="1" t="s">
        <v>104</v>
      </c>
      <c r="H4261" s="1" t="s">
        <v>37</v>
      </c>
      <c r="I4261">
        <v>26512</v>
      </c>
      <c r="J4261" s="3">
        <v>43.49</v>
      </c>
      <c r="K4261" s="3">
        <v>1153006.8799999999</v>
      </c>
    </row>
    <row r="4262" spans="1:11" x14ac:dyDescent="0.2">
      <c r="A4262" s="1" t="s">
        <v>5380</v>
      </c>
      <c r="B4262" s="2">
        <v>45697</v>
      </c>
      <c r="C4262" s="1" t="s">
        <v>1388</v>
      </c>
      <c r="D4262" s="1" t="s">
        <v>1389</v>
      </c>
      <c r="E4262" s="1" t="s">
        <v>28</v>
      </c>
      <c r="F4262" s="1" t="s">
        <v>761</v>
      </c>
      <c r="G4262" s="1" t="s">
        <v>762</v>
      </c>
      <c r="H4262" s="1" t="s">
        <v>48</v>
      </c>
      <c r="I4262">
        <v>30279</v>
      </c>
      <c r="J4262" s="3">
        <v>7.76</v>
      </c>
      <c r="K4262" s="3">
        <v>234965.04</v>
      </c>
    </row>
    <row r="4263" spans="1:11" x14ac:dyDescent="0.2">
      <c r="A4263" s="1" t="s">
        <v>5381</v>
      </c>
      <c r="B4263" s="2">
        <v>45708</v>
      </c>
      <c r="C4263" s="1" t="s">
        <v>920</v>
      </c>
      <c r="D4263" s="1" t="s">
        <v>921</v>
      </c>
      <c r="E4263" s="1" t="s">
        <v>14</v>
      </c>
      <c r="F4263" s="1" t="s">
        <v>251</v>
      </c>
      <c r="G4263" s="1" t="s">
        <v>252</v>
      </c>
      <c r="H4263" s="1" t="s">
        <v>72</v>
      </c>
      <c r="I4263">
        <v>8437</v>
      </c>
      <c r="J4263" s="3">
        <v>13.44</v>
      </c>
      <c r="K4263" s="3">
        <v>113393.28</v>
      </c>
    </row>
    <row r="4264" spans="1:11" x14ac:dyDescent="0.2">
      <c r="A4264" s="1" t="s">
        <v>5382</v>
      </c>
      <c r="B4264" s="2">
        <v>45911</v>
      </c>
      <c r="C4264" s="1" t="s">
        <v>1643</v>
      </c>
      <c r="D4264" s="1" t="s">
        <v>1644</v>
      </c>
      <c r="E4264" s="1" t="s">
        <v>28</v>
      </c>
      <c r="F4264" s="1" t="s">
        <v>510</v>
      </c>
      <c r="G4264" s="1" t="s">
        <v>511</v>
      </c>
      <c r="H4264" s="1" t="s">
        <v>17</v>
      </c>
      <c r="I4264">
        <v>7817</v>
      </c>
      <c r="J4264" s="3">
        <v>20.94</v>
      </c>
      <c r="K4264" s="3">
        <v>163687.98000000001</v>
      </c>
    </row>
    <row r="4265" spans="1:11" x14ac:dyDescent="0.2">
      <c r="A4265" s="1" t="s">
        <v>5383</v>
      </c>
      <c r="B4265" s="2">
        <v>45402</v>
      </c>
      <c r="C4265" s="1" t="s">
        <v>948</v>
      </c>
      <c r="D4265" s="1" t="s">
        <v>949</v>
      </c>
      <c r="E4265" s="1" t="s">
        <v>21</v>
      </c>
      <c r="F4265" s="1" t="s">
        <v>57</v>
      </c>
      <c r="G4265" s="1" t="s">
        <v>58</v>
      </c>
      <c r="H4265" s="1" t="s">
        <v>48</v>
      </c>
      <c r="I4265">
        <v>46239</v>
      </c>
      <c r="J4265" s="3">
        <v>48.6</v>
      </c>
      <c r="K4265" s="3">
        <v>2247215.4</v>
      </c>
    </row>
    <row r="4266" spans="1:11" x14ac:dyDescent="0.2">
      <c r="A4266" s="1" t="s">
        <v>5384</v>
      </c>
      <c r="B4266" s="2">
        <v>45365</v>
      </c>
      <c r="C4266" s="1" t="s">
        <v>2386</v>
      </c>
      <c r="D4266" s="1" t="s">
        <v>2387</v>
      </c>
      <c r="E4266" s="1" t="s">
        <v>28</v>
      </c>
      <c r="F4266" s="1" t="s">
        <v>324</v>
      </c>
      <c r="G4266" s="1" t="s">
        <v>325</v>
      </c>
      <c r="H4266" s="1" t="s">
        <v>24</v>
      </c>
      <c r="I4266">
        <v>88981</v>
      </c>
      <c r="J4266" s="3">
        <v>44.43</v>
      </c>
      <c r="K4266" s="3">
        <v>3953425.83</v>
      </c>
    </row>
    <row r="4267" spans="1:11" x14ac:dyDescent="0.2">
      <c r="A4267" s="1" t="s">
        <v>5385</v>
      </c>
      <c r="B4267" s="2">
        <v>45952</v>
      </c>
      <c r="C4267" s="1" t="s">
        <v>313</v>
      </c>
      <c r="D4267" s="1" t="s">
        <v>314</v>
      </c>
      <c r="E4267" s="1" t="s">
        <v>37</v>
      </c>
      <c r="F4267" s="1" t="s">
        <v>165</v>
      </c>
      <c r="G4267" s="1" t="s">
        <v>166</v>
      </c>
      <c r="H4267" s="1" t="s">
        <v>24</v>
      </c>
      <c r="I4267">
        <v>87264</v>
      </c>
      <c r="J4267" s="3">
        <v>23.09</v>
      </c>
      <c r="K4267" s="3">
        <v>2014925.76</v>
      </c>
    </row>
    <row r="4268" spans="1:11" x14ac:dyDescent="0.2">
      <c r="A4268" s="1" t="s">
        <v>5386</v>
      </c>
      <c r="B4268" s="2">
        <v>45636</v>
      </c>
      <c r="C4268" s="1" t="s">
        <v>374</v>
      </c>
      <c r="D4268" s="1" t="s">
        <v>375</v>
      </c>
      <c r="E4268" s="1" t="s">
        <v>14</v>
      </c>
      <c r="F4268" s="1" t="s">
        <v>208</v>
      </c>
      <c r="G4268" s="1" t="s">
        <v>209</v>
      </c>
      <c r="H4268" s="1" t="s">
        <v>17</v>
      </c>
      <c r="I4268">
        <v>25012</v>
      </c>
      <c r="J4268" s="3">
        <v>28.78</v>
      </c>
      <c r="K4268" s="3">
        <v>719845.36</v>
      </c>
    </row>
    <row r="4269" spans="1:11" x14ac:dyDescent="0.2">
      <c r="A4269" s="1" t="s">
        <v>5387</v>
      </c>
      <c r="B4269" s="2">
        <v>45416</v>
      </c>
      <c r="C4269" s="1" t="s">
        <v>791</v>
      </c>
      <c r="D4269" s="1" t="s">
        <v>792</v>
      </c>
      <c r="E4269" s="1" t="s">
        <v>34</v>
      </c>
      <c r="F4269" s="1" t="s">
        <v>330</v>
      </c>
      <c r="G4269" s="1" t="s">
        <v>331</v>
      </c>
      <c r="H4269" s="1" t="s">
        <v>72</v>
      </c>
      <c r="I4269">
        <v>43519</v>
      </c>
      <c r="J4269" s="3">
        <v>23.06</v>
      </c>
      <c r="K4269" s="3">
        <v>1003548.14</v>
      </c>
    </row>
    <row r="4270" spans="1:11" x14ac:dyDescent="0.2">
      <c r="A4270" s="1" t="s">
        <v>5388</v>
      </c>
      <c r="B4270" s="2">
        <v>45413</v>
      </c>
      <c r="C4270" s="1" t="s">
        <v>705</v>
      </c>
      <c r="D4270" s="1" t="s">
        <v>706</v>
      </c>
      <c r="E4270" s="1" t="s">
        <v>28</v>
      </c>
      <c r="F4270" s="1" t="s">
        <v>76</v>
      </c>
      <c r="G4270" s="1" t="s">
        <v>77</v>
      </c>
      <c r="H4270" s="1" t="s">
        <v>48</v>
      </c>
      <c r="I4270">
        <v>85558</v>
      </c>
      <c r="J4270" s="3">
        <v>14.42</v>
      </c>
      <c r="K4270" s="3">
        <v>1233746.3600000001</v>
      </c>
    </row>
    <row r="4271" spans="1:11" x14ac:dyDescent="0.2">
      <c r="A4271" s="1" t="s">
        <v>5389</v>
      </c>
      <c r="B4271" s="2">
        <v>45396</v>
      </c>
      <c r="C4271" s="1" t="s">
        <v>1332</v>
      </c>
      <c r="D4271" s="1" t="s">
        <v>1333</v>
      </c>
      <c r="E4271" s="1" t="s">
        <v>34</v>
      </c>
      <c r="F4271" s="1" t="s">
        <v>463</v>
      </c>
      <c r="G4271" s="1" t="s">
        <v>464</v>
      </c>
      <c r="H4271" s="1" t="s">
        <v>37</v>
      </c>
      <c r="I4271">
        <v>54938</v>
      </c>
      <c r="J4271" s="3">
        <v>28.24</v>
      </c>
      <c r="K4271" s="3">
        <v>1551449.12</v>
      </c>
    </row>
    <row r="4272" spans="1:11" x14ac:dyDescent="0.2">
      <c r="A4272" s="1" t="s">
        <v>5390</v>
      </c>
      <c r="B4272" s="2">
        <v>45696</v>
      </c>
      <c r="C4272" s="1" t="s">
        <v>628</v>
      </c>
      <c r="D4272" s="1" t="s">
        <v>629</v>
      </c>
      <c r="E4272" s="1" t="s">
        <v>14</v>
      </c>
      <c r="F4272" s="1" t="s">
        <v>81</v>
      </c>
      <c r="G4272" s="1" t="s">
        <v>82</v>
      </c>
      <c r="H4272" s="1" t="s">
        <v>72</v>
      </c>
      <c r="I4272">
        <v>13365</v>
      </c>
      <c r="J4272" s="3">
        <v>39</v>
      </c>
      <c r="K4272" s="3">
        <v>521235</v>
      </c>
    </row>
    <row r="4273" spans="1:11" x14ac:dyDescent="0.2">
      <c r="A4273" s="1" t="s">
        <v>5391</v>
      </c>
      <c r="B4273" s="2">
        <v>45825</v>
      </c>
      <c r="C4273" s="1" t="s">
        <v>2293</v>
      </c>
      <c r="D4273" s="1" t="s">
        <v>2294</v>
      </c>
      <c r="E4273" s="1" t="s">
        <v>34</v>
      </c>
      <c r="F4273" s="1" t="s">
        <v>157</v>
      </c>
      <c r="G4273" s="1" t="s">
        <v>158</v>
      </c>
      <c r="H4273" s="1" t="s">
        <v>48</v>
      </c>
      <c r="I4273">
        <v>25403</v>
      </c>
      <c r="J4273" s="3">
        <v>44.82</v>
      </c>
      <c r="K4273" s="3">
        <v>1138562.46</v>
      </c>
    </row>
    <row r="4274" spans="1:11" x14ac:dyDescent="0.2">
      <c r="A4274" s="1" t="s">
        <v>5392</v>
      </c>
      <c r="B4274" s="2">
        <v>45474</v>
      </c>
      <c r="C4274" s="1" t="s">
        <v>633</v>
      </c>
      <c r="D4274" s="1" t="s">
        <v>634</v>
      </c>
      <c r="E4274" s="1" t="s">
        <v>34</v>
      </c>
      <c r="F4274" s="1" t="s">
        <v>103</v>
      </c>
      <c r="G4274" s="1" t="s">
        <v>104</v>
      </c>
      <c r="H4274" s="1" t="s">
        <v>37</v>
      </c>
      <c r="I4274">
        <v>34612</v>
      </c>
      <c r="J4274" s="3">
        <v>15.43</v>
      </c>
      <c r="K4274" s="3">
        <v>534063.16</v>
      </c>
    </row>
    <row r="4275" spans="1:11" x14ac:dyDescent="0.2">
      <c r="A4275" s="1" t="s">
        <v>5393</v>
      </c>
      <c r="B4275" s="2">
        <v>45994</v>
      </c>
      <c r="C4275" s="1" t="s">
        <v>737</v>
      </c>
      <c r="D4275" s="1" t="s">
        <v>738</v>
      </c>
      <c r="E4275" s="1" t="s">
        <v>37</v>
      </c>
      <c r="F4275" s="1" t="s">
        <v>394</v>
      </c>
      <c r="G4275" s="1" t="s">
        <v>395</v>
      </c>
      <c r="H4275" s="1" t="s">
        <v>48</v>
      </c>
      <c r="I4275">
        <v>99909</v>
      </c>
      <c r="J4275" s="3">
        <v>38.270000000000003</v>
      </c>
      <c r="K4275" s="3">
        <v>3823517.43</v>
      </c>
    </row>
    <row r="4276" spans="1:11" x14ac:dyDescent="0.2">
      <c r="A4276" s="1" t="s">
        <v>5394</v>
      </c>
      <c r="B4276" s="2">
        <v>45620</v>
      </c>
      <c r="C4276" s="1" t="s">
        <v>538</v>
      </c>
      <c r="D4276" s="1" t="s">
        <v>539</v>
      </c>
      <c r="E4276" s="1" t="s">
        <v>21</v>
      </c>
      <c r="F4276" s="1" t="s">
        <v>268</v>
      </c>
      <c r="G4276" s="1" t="s">
        <v>269</v>
      </c>
      <c r="H4276" s="1" t="s">
        <v>72</v>
      </c>
      <c r="I4276">
        <v>74795</v>
      </c>
      <c r="J4276" s="3">
        <v>15.74</v>
      </c>
      <c r="K4276" s="3">
        <v>1177273.3</v>
      </c>
    </row>
    <row r="4277" spans="1:11" x14ac:dyDescent="0.2">
      <c r="A4277" s="1" t="s">
        <v>5395</v>
      </c>
      <c r="B4277" s="2">
        <v>45541</v>
      </c>
      <c r="C4277" s="1" t="s">
        <v>520</v>
      </c>
      <c r="D4277" s="1" t="s">
        <v>521</v>
      </c>
      <c r="E4277" s="1" t="s">
        <v>37</v>
      </c>
      <c r="F4277" s="1" t="s">
        <v>237</v>
      </c>
      <c r="G4277" s="1" t="s">
        <v>238</v>
      </c>
      <c r="H4277" s="1" t="s">
        <v>17</v>
      </c>
      <c r="I4277">
        <v>38074</v>
      </c>
      <c r="J4277" s="3">
        <v>6.24</v>
      </c>
      <c r="K4277" s="3">
        <v>237581.76</v>
      </c>
    </row>
    <row r="4278" spans="1:11" x14ac:dyDescent="0.2">
      <c r="A4278" s="1" t="s">
        <v>5396</v>
      </c>
      <c r="B4278" s="2">
        <v>45468</v>
      </c>
      <c r="C4278" s="1" t="s">
        <v>2293</v>
      </c>
      <c r="D4278" s="1" t="s">
        <v>2294</v>
      </c>
      <c r="E4278" s="1" t="s">
        <v>34</v>
      </c>
      <c r="F4278" s="1" t="s">
        <v>76</v>
      </c>
      <c r="G4278" s="1" t="s">
        <v>77</v>
      </c>
      <c r="H4278" s="1" t="s">
        <v>48</v>
      </c>
      <c r="I4278">
        <v>22785</v>
      </c>
      <c r="J4278" s="3">
        <v>46.47</v>
      </c>
      <c r="K4278" s="3">
        <v>1058818.95</v>
      </c>
    </row>
    <row r="4279" spans="1:11" x14ac:dyDescent="0.2">
      <c r="A4279" s="1" t="s">
        <v>5397</v>
      </c>
      <c r="B4279" s="2">
        <v>45394</v>
      </c>
      <c r="C4279" s="1" t="s">
        <v>2807</v>
      </c>
      <c r="D4279" s="1" t="s">
        <v>2808</v>
      </c>
      <c r="E4279" s="1" t="s">
        <v>37</v>
      </c>
      <c r="F4279" s="1" t="s">
        <v>113</v>
      </c>
      <c r="G4279" s="1" t="s">
        <v>114</v>
      </c>
      <c r="H4279" s="1" t="s">
        <v>37</v>
      </c>
      <c r="I4279">
        <v>71638</v>
      </c>
      <c r="J4279" s="3">
        <v>10.84</v>
      </c>
      <c r="K4279" s="3">
        <v>776555.92</v>
      </c>
    </row>
    <row r="4280" spans="1:11" x14ac:dyDescent="0.2">
      <c r="A4280" s="1" t="s">
        <v>5398</v>
      </c>
      <c r="B4280" s="2">
        <v>45524</v>
      </c>
      <c r="C4280" s="1" t="s">
        <v>520</v>
      </c>
      <c r="D4280" s="1" t="s">
        <v>521</v>
      </c>
      <c r="E4280" s="1" t="s">
        <v>37</v>
      </c>
      <c r="F4280" s="1" t="s">
        <v>29</v>
      </c>
      <c r="G4280" s="1" t="s">
        <v>30</v>
      </c>
      <c r="H4280" s="1" t="s">
        <v>24</v>
      </c>
      <c r="I4280">
        <v>91215</v>
      </c>
      <c r="J4280" s="3">
        <v>40.520000000000003</v>
      </c>
      <c r="K4280" s="3">
        <v>3696031.8</v>
      </c>
    </row>
    <row r="4281" spans="1:11" x14ac:dyDescent="0.2">
      <c r="A4281" s="1" t="s">
        <v>5399</v>
      </c>
      <c r="B4281" s="2">
        <v>45904</v>
      </c>
      <c r="C4281" s="1" t="s">
        <v>1064</v>
      </c>
      <c r="D4281" s="1" t="s">
        <v>1065</v>
      </c>
      <c r="E4281" s="1" t="s">
        <v>14</v>
      </c>
      <c r="F4281" s="1" t="s">
        <v>350</v>
      </c>
      <c r="G4281" s="1" t="s">
        <v>351</v>
      </c>
      <c r="H4281" s="1" t="s">
        <v>37</v>
      </c>
      <c r="I4281">
        <v>24643</v>
      </c>
      <c r="J4281" s="3">
        <v>40.76</v>
      </c>
      <c r="K4281" s="3">
        <v>1004448.68</v>
      </c>
    </row>
    <row r="4282" spans="1:11" x14ac:dyDescent="0.2">
      <c r="A4282" s="1" t="s">
        <v>5400</v>
      </c>
      <c r="B4282" s="2">
        <v>45333</v>
      </c>
      <c r="C4282" s="1" t="s">
        <v>1211</v>
      </c>
      <c r="D4282" s="1" t="s">
        <v>1212</v>
      </c>
      <c r="E4282" s="1" t="s">
        <v>37</v>
      </c>
      <c r="F4282" s="1" t="s">
        <v>251</v>
      </c>
      <c r="G4282" s="1" t="s">
        <v>252</v>
      </c>
      <c r="H4282" s="1" t="s">
        <v>72</v>
      </c>
      <c r="I4282">
        <v>96691</v>
      </c>
      <c r="J4282" s="3">
        <v>33.92</v>
      </c>
      <c r="K4282" s="3">
        <v>3279758.72</v>
      </c>
    </row>
    <row r="4283" spans="1:11" x14ac:dyDescent="0.2">
      <c r="A4283" s="1" t="s">
        <v>5401</v>
      </c>
      <c r="B4283" s="2">
        <v>45602</v>
      </c>
      <c r="C4283" s="1" t="s">
        <v>294</v>
      </c>
      <c r="D4283" s="1" t="s">
        <v>295</v>
      </c>
      <c r="E4283" s="1" t="s">
        <v>37</v>
      </c>
      <c r="F4283" s="1" t="s">
        <v>176</v>
      </c>
      <c r="G4283" s="1" t="s">
        <v>177</v>
      </c>
      <c r="H4283" s="1" t="s">
        <v>37</v>
      </c>
      <c r="I4283">
        <v>37828</v>
      </c>
      <c r="J4283" s="3">
        <v>7.26</v>
      </c>
      <c r="K4283" s="3">
        <v>274631.28000000003</v>
      </c>
    </row>
    <row r="4284" spans="1:11" x14ac:dyDescent="0.2">
      <c r="A4284" s="1" t="s">
        <v>5402</v>
      </c>
      <c r="B4284" s="2">
        <v>45708</v>
      </c>
      <c r="C4284" s="1" t="s">
        <v>2169</v>
      </c>
      <c r="D4284" s="1" t="s">
        <v>2170</v>
      </c>
      <c r="E4284" s="1" t="s">
        <v>28</v>
      </c>
      <c r="F4284" s="1" t="s">
        <v>139</v>
      </c>
      <c r="G4284" s="1" t="s">
        <v>140</v>
      </c>
      <c r="H4284" s="1" t="s">
        <v>24</v>
      </c>
      <c r="I4284">
        <v>97036</v>
      </c>
      <c r="J4284" s="3">
        <v>24.1</v>
      </c>
      <c r="K4284" s="3">
        <v>2338567.6</v>
      </c>
    </row>
    <row r="4285" spans="1:11" x14ac:dyDescent="0.2">
      <c r="A4285" s="1" t="s">
        <v>5403</v>
      </c>
      <c r="B4285" s="2">
        <v>45777</v>
      </c>
      <c r="C4285" s="1" t="s">
        <v>942</v>
      </c>
      <c r="D4285" s="1" t="s">
        <v>943</v>
      </c>
      <c r="E4285" s="1" t="s">
        <v>28</v>
      </c>
      <c r="F4285" s="1" t="s">
        <v>195</v>
      </c>
      <c r="G4285" s="1" t="s">
        <v>196</v>
      </c>
      <c r="H4285" s="1" t="s">
        <v>48</v>
      </c>
      <c r="I4285">
        <v>70322</v>
      </c>
      <c r="J4285" s="3">
        <v>2.64</v>
      </c>
      <c r="K4285" s="3">
        <v>185650.08</v>
      </c>
    </row>
    <row r="4286" spans="1:11" x14ac:dyDescent="0.2">
      <c r="A4286" s="1" t="s">
        <v>5404</v>
      </c>
      <c r="B4286" s="2">
        <v>45506</v>
      </c>
      <c r="C4286" s="1" t="s">
        <v>770</v>
      </c>
      <c r="D4286" s="1" t="s">
        <v>771</v>
      </c>
      <c r="E4286" s="1" t="s">
        <v>34</v>
      </c>
      <c r="F4286" s="1" t="s">
        <v>46</v>
      </c>
      <c r="G4286" s="1" t="s">
        <v>47</v>
      </c>
      <c r="H4286" s="1" t="s">
        <v>48</v>
      </c>
      <c r="I4286">
        <v>13870</v>
      </c>
      <c r="J4286" s="3">
        <v>46.91</v>
      </c>
      <c r="K4286" s="3">
        <v>650641.69999999995</v>
      </c>
    </row>
    <row r="4287" spans="1:11" x14ac:dyDescent="0.2">
      <c r="A4287" s="1" t="s">
        <v>5405</v>
      </c>
      <c r="B4287" s="2">
        <v>45602</v>
      </c>
      <c r="C4287" s="1" t="s">
        <v>829</v>
      </c>
      <c r="D4287" s="1" t="s">
        <v>830</v>
      </c>
      <c r="E4287" s="1" t="s">
        <v>14</v>
      </c>
      <c r="F4287" s="1" t="s">
        <v>268</v>
      </c>
      <c r="G4287" s="1" t="s">
        <v>269</v>
      </c>
      <c r="H4287" s="1" t="s">
        <v>72</v>
      </c>
      <c r="I4287">
        <v>81431</v>
      </c>
      <c r="J4287" s="3">
        <v>11.79</v>
      </c>
      <c r="K4287" s="3">
        <v>960071.49</v>
      </c>
    </row>
    <row r="4288" spans="1:11" x14ac:dyDescent="0.2">
      <c r="A4288" s="1" t="s">
        <v>5406</v>
      </c>
      <c r="B4288" s="2">
        <v>45844</v>
      </c>
      <c r="C4288" s="1" t="s">
        <v>478</v>
      </c>
      <c r="D4288" s="1" t="s">
        <v>479</v>
      </c>
      <c r="E4288" s="1" t="s">
        <v>34</v>
      </c>
      <c r="F4288" s="1" t="s">
        <v>103</v>
      </c>
      <c r="G4288" s="1" t="s">
        <v>104</v>
      </c>
      <c r="H4288" s="1" t="s">
        <v>37</v>
      </c>
      <c r="I4288">
        <v>15130</v>
      </c>
      <c r="J4288" s="3">
        <v>43.14</v>
      </c>
      <c r="K4288" s="3">
        <v>652708.19999999995</v>
      </c>
    </row>
    <row r="4289" spans="1:11" x14ac:dyDescent="0.2">
      <c r="A4289" s="1" t="s">
        <v>5407</v>
      </c>
      <c r="B4289" s="2">
        <v>45622</v>
      </c>
      <c r="C4289" s="1" t="s">
        <v>901</v>
      </c>
      <c r="D4289" s="1" t="s">
        <v>902</v>
      </c>
      <c r="E4289" s="1" t="s">
        <v>21</v>
      </c>
      <c r="F4289" s="1" t="s">
        <v>57</v>
      </c>
      <c r="G4289" s="1" t="s">
        <v>58</v>
      </c>
      <c r="H4289" s="1" t="s">
        <v>48</v>
      </c>
      <c r="I4289">
        <v>51038</v>
      </c>
      <c r="J4289" s="3">
        <v>26.56</v>
      </c>
      <c r="K4289" s="3">
        <v>1355569.28</v>
      </c>
    </row>
    <row r="4290" spans="1:11" x14ac:dyDescent="0.2">
      <c r="A4290" s="1" t="s">
        <v>5408</v>
      </c>
      <c r="B4290" s="2">
        <v>45312</v>
      </c>
      <c r="C4290" s="1" t="s">
        <v>1630</v>
      </c>
      <c r="D4290" s="1" t="s">
        <v>1631</v>
      </c>
      <c r="E4290" s="1" t="s">
        <v>37</v>
      </c>
      <c r="F4290" s="1" t="s">
        <v>157</v>
      </c>
      <c r="G4290" s="1" t="s">
        <v>158</v>
      </c>
      <c r="H4290" s="1" t="s">
        <v>48</v>
      </c>
      <c r="I4290">
        <v>63026</v>
      </c>
      <c r="J4290" s="3">
        <v>10.23</v>
      </c>
      <c r="K4290" s="3">
        <v>644755.98</v>
      </c>
    </row>
    <row r="4291" spans="1:11" x14ac:dyDescent="0.2">
      <c r="A4291" s="1" t="s">
        <v>5409</v>
      </c>
      <c r="B4291" s="2">
        <v>45669</v>
      </c>
      <c r="C4291" s="1" t="s">
        <v>546</v>
      </c>
      <c r="D4291" s="1" t="s">
        <v>547</v>
      </c>
      <c r="E4291" s="1" t="s">
        <v>34</v>
      </c>
      <c r="F4291" s="1" t="s">
        <v>41</v>
      </c>
      <c r="G4291" s="1" t="s">
        <v>42</v>
      </c>
      <c r="H4291" s="1" t="s">
        <v>24</v>
      </c>
      <c r="I4291">
        <v>66733</v>
      </c>
      <c r="J4291" s="3">
        <v>18.23</v>
      </c>
      <c r="K4291" s="3">
        <v>1216542.5900000001</v>
      </c>
    </row>
    <row r="4292" spans="1:11" x14ac:dyDescent="0.2">
      <c r="A4292" s="1" t="s">
        <v>5410</v>
      </c>
      <c r="B4292" s="2">
        <v>45424</v>
      </c>
      <c r="C4292" s="1" t="s">
        <v>1337</v>
      </c>
      <c r="D4292" s="1" t="s">
        <v>1338</v>
      </c>
      <c r="E4292" s="1" t="s">
        <v>34</v>
      </c>
      <c r="F4292" s="1" t="s">
        <v>268</v>
      </c>
      <c r="G4292" s="1" t="s">
        <v>269</v>
      </c>
      <c r="H4292" s="1" t="s">
        <v>72</v>
      </c>
      <c r="I4292">
        <v>12345</v>
      </c>
      <c r="J4292" s="3">
        <v>7.48</v>
      </c>
      <c r="K4292" s="3">
        <v>92340.6</v>
      </c>
    </row>
    <row r="4293" spans="1:11" x14ac:dyDescent="0.2">
      <c r="A4293" s="1" t="s">
        <v>5411</v>
      </c>
      <c r="B4293" s="2">
        <v>45390</v>
      </c>
      <c r="C4293" s="1" t="s">
        <v>633</v>
      </c>
      <c r="D4293" s="1" t="s">
        <v>634</v>
      </c>
      <c r="E4293" s="1" t="s">
        <v>34</v>
      </c>
      <c r="F4293" s="1" t="s">
        <v>76</v>
      </c>
      <c r="G4293" s="1" t="s">
        <v>77</v>
      </c>
      <c r="H4293" s="1" t="s">
        <v>48</v>
      </c>
      <c r="I4293">
        <v>57417</v>
      </c>
      <c r="J4293" s="3">
        <v>22.25</v>
      </c>
      <c r="K4293" s="3">
        <v>1277528.25</v>
      </c>
    </row>
    <row r="4294" spans="1:11" x14ac:dyDescent="0.2">
      <c r="A4294" s="1" t="s">
        <v>5412</v>
      </c>
      <c r="B4294" s="2">
        <v>45614</v>
      </c>
      <c r="C4294" s="1" t="s">
        <v>215</v>
      </c>
      <c r="D4294" s="1" t="s">
        <v>216</v>
      </c>
      <c r="E4294" s="1" t="s">
        <v>21</v>
      </c>
      <c r="F4294" s="1" t="s">
        <v>510</v>
      </c>
      <c r="G4294" s="1" t="s">
        <v>511</v>
      </c>
      <c r="H4294" s="1" t="s">
        <v>17</v>
      </c>
      <c r="I4294">
        <v>98299</v>
      </c>
      <c r="J4294" s="3">
        <v>2.37</v>
      </c>
      <c r="K4294" s="3">
        <v>232968.63</v>
      </c>
    </row>
    <row r="4295" spans="1:11" x14ac:dyDescent="0.2">
      <c r="A4295" s="1" t="s">
        <v>5413</v>
      </c>
      <c r="B4295" s="2">
        <v>45983</v>
      </c>
      <c r="C4295" s="1" t="s">
        <v>1020</v>
      </c>
      <c r="D4295" s="1" t="s">
        <v>1021</v>
      </c>
      <c r="E4295" s="1" t="s">
        <v>14</v>
      </c>
      <c r="F4295" s="1" t="s">
        <v>406</v>
      </c>
      <c r="G4295" s="1" t="s">
        <v>407</v>
      </c>
      <c r="H4295" s="1" t="s">
        <v>17</v>
      </c>
      <c r="I4295">
        <v>70704</v>
      </c>
      <c r="J4295" s="3">
        <v>37.450000000000003</v>
      </c>
      <c r="K4295" s="3">
        <v>2647864.7999999998</v>
      </c>
    </row>
    <row r="4296" spans="1:11" x14ac:dyDescent="0.2">
      <c r="A4296" s="1" t="s">
        <v>5414</v>
      </c>
      <c r="B4296" s="2">
        <v>45890</v>
      </c>
      <c r="C4296" s="1" t="s">
        <v>3301</v>
      </c>
      <c r="D4296" s="1" t="s">
        <v>3302</v>
      </c>
      <c r="E4296" s="1" t="s">
        <v>28</v>
      </c>
      <c r="F4296" s="1" t="s">
        <v>268</v>
      </c>
      <c r="G4296" s="1" t="s">
        <v>269</v>
      </c>
      <c r="H4296" s="1" t="s">
        <v>72</v>
      </c>
      <c r="I4296">
        <v>46022</v>
      </c>
      <c r="J4296" s="3">
        <v>38.01</v>
      </c>
      <c r="K4296" s="3">
        <v>1749296.22</v>
      </c>
    </row>
    <row r="4297" spans="1:11" x14ac:dyDescent="0.2">
      <c r="A4297" s="1" t="s">
        <v>5415</v>
      </c>
      <c r="B4297" s="2">
        <v>45541</v>
      </c>
      <c r="C4297" s="1" t="s">
        <v>147</v>
      </c>
      <c r="D4297" s="1" t="s">
        <v>148</v>
      </c>
      <c r="E4297" s="1" t="s">
        <v>37</v>
      </c>
      <c r="F4297" s="1" t="s">
        <v>458</v>
      </c>
      <c r="G4297" s="1" t="s">
        <v>459</v>
      </c>
      <c r="H4297" s="1" t="s">
        <v>72</v>
      </c>
      <c r="I4297">
        <v>96705</v>
      </c>
      <c r="J4297" s="3">
        <v>35.94</v>
      </c>
      <c r="K4297" s="3">
        <v>3475577.7</v>
      </c>
    </row>
    <row r="4298" spans="1:11" x14ac:dyDescent="0.2">
      <c r="A4298" s="1" t="s">
        <v>5416</v>
      </c>
      <c r="B4298" s="2">
        <v>45701</v>
      </c>
      <c r="C4298" s="1" t="s">
        <v>119</v>
      </c>
      <c r="D4298" s="1" t="s">
        <v>120</v>
      </c>
      <c r="E4298" s="1" t="s">
        <v>28</v>
      </c>
      <c r="F4298" s="1" t="s">
        <v>510</v>
      </c>
      <c r="G4298" s="1" t="s">
        <v>511</v>
      </c>
      <c r="H4298" s="1" t="s">
        <v>17</v>
      </c>
      <c r="I4298">
        <v>16884</v>
      </c>
      <c r="J4298" s="3">
        <v>38.19</v>
      </c>
      <c r="K4298" s="3">
        <v>644799.96</v>
      </c>
    </row>
    <row r="4299" spans="1:11" x14ac:dyDescent="0.2">
      <c r="A4299" s="1" t="s">
        <v>5417</v>
      </c>
      <c r="B4299" s="2">
        <v>45567</v>
      </c>
      <c r="C4299" s="1" t="s">
        <v>2031</v>
      </c>
      <c r="D4299" s="1" t="s">
        <v>2032</v>
      </c>
      <c r="E4299" s="1" t="s">
        <v>14</v>
      </c>
      <c r="F4299" s="1" t="s">
        <v>284</v>
      </c>
      <c r="G4299" s="1" t="s">
        <v>285</v>
      </c>
      <c r="H4299" s="1" t="s">
        <v>37</v>
      </c>
      <c r="I4299">
        <v>33047</v>
      </c>
      <c r="J4299" s="3">
        <v>12.36</v>
      </c>
      <c r="K4299" s="3">
        <v>408460.92</v>
      </c>
    </row>
    <row r="4300" spans="1:11" x14ac:dyDescent="0.2">
      <c r="A4300" s="1" t="s">
        <v>5418</v>
      </c>
      <c r="B4300" s="2">
        <v>45611</v>
      </c>
      <c r="C4300" s="1" t="s">
        <v>1571</v>
      </c>
      <c r="D4300" s="1" t="s">
        <v>1572</v>
      </c>
      <c r="E4300" s="1" t="s">
        <v>14</v>
      </c>
      <c r="F4300" s="1" t="s">
        <v>76</v>
      </c>
      <c r="G4300" s="1" t="s">
        <v>77</v>
      </c>
      <c r="H4300" s="1" t="s">
        <v>48</v>
      </c>
      <c r="I4300">
        <v>7346</v>
      </c>
      <c r="J4300" s="3">
        <v>3.73</v>
      </c>
      <c r="K4300" s="3">
        <v>27400.58</v>
      </c>
    </row>
    <row r="4301" spans="1:11" x14ac:dyDescent="0.2">
      <c r="A4301" s="1" t="s">
        <v>5419</v>
      </c>
      <c r="B4301" s="2">
        <v>45530</v>
      </c>
      <c r="C4301" s="1" t="s">
        <v>2059</v>
      </c>
      <c r="D4301" s="1" t="s">
        <v>2060</v>
      </c>
      <c r="E4301" s="1" t="s">
        <v>21</v>
      </c>
      <c r="F4301" s="1" t="s">
        <v>76</v>
      </c>
      <c r="G4301" s="1" t="s">
        <v>77</v>
      </c>
      <c r="H4301" s="1" t="s">
        <v>48</v>
      </c>
      <c r="I4301">
        <v>59638</v>
      </c>
      <c r="J4301" s="3">
        <v>38.07</v>
      </c>
      <c r="K4301" s="3">
        <v>2270418.66</v>
      </c>
    </row>
    <row r="4302" spans="1:11" x14ac:dyDescent="0.2">
      <c r="A4302" s="1" t="s">
        <v>5420</v>
      </c>
      <c r="B4302" s="2">
        <v>45439</v>
      </c>
      <c r="C4302" s="1" t="s">
        <v>783</v>
      </c>
      <c r="D4302" s="1" t="s">
        <v>784</v>
      </c>
      <c r="E4302" s="1" t="s">
        <v>14</v>
      </c>
      <c r="F4302" s="1" t="s">
        <v>76</v>
      </c>
      <c r="G4302" s="1" t="s">
        <v>77</v>
      </c>
      <c r="H4302" s="1" t="s">
        <v>48</v>
      </c>
      <c r="I4302">
        <v>29701</v>
      </c>
      <c r="J4302" s="3">
        <v>33.630000000000003</v>
      </c>
      <c r="K4302" s="3">
        <v>998844.63</v>
      </c>
    </row>
    <row r="4303" spans="1:11" x14ac:dyDescent="0.2">
      <c r="A4303" s="1" t="s">
        <v>5421</v>
      </c>
      <c r="B4303" s="2">
        <v>45317</v>
      </c>
      <c r="C4303" s="1" t="s">
        <v>1064</v>
      </c>
      <c r="D4303" s="1" t="s">
        <v>1065</v>
      </c>
      <c r="E4303" s="1" t="s">
        <v>14</v>
      </c>
      <c r="F4303" s="1" t="s">
        <v>70</v>
      </c>
      <c r="G4303" s="1" t="s">
        <v>71</v>
      </c>
      <c r="H4303" s="1" t="s">
        <v>72</v>
      </c>
      <c r="I4303">
        <v>76931</v>
      </c>
      <c r="J4303" s="3">
        <v>21.57</v>
      </c>
      <c r="K4303" s="3">
        <v>1659401.67</v>
      </c>
    </row>
    <row r="4304" spans="1:11" x14ac:dyDescent="0.2">
      <c r="A4304" s="1" t="s">
        <v>5422</v>
      </c>
      <c r="B4304" s="2">
        <v>45765</v>
      </c>
      <c r="C4304" s="1" t="s">
        <v>415</v>
      </c>
      <c r="D4304" s="1" t="s">
        <v>416</v>
      </c>
      <c r="E4304" s="1" t="s">
        <v>14</v>
      </c>
      <c r="F4304" s="1" t="s">
        <v>436</v>
      </c>
      <c r="G4304" s="1" t="s">
        <v>437</v>
      </c>
      <c r="H4304" s="1" t="s">
        <v>24</v>
      </c>
      <c r="I4304">
        <v>21361</v>
      </c>
      <c r="J4304" s="3">
        <v>44.85</v>
      </c>
      <c r="K4304" s="3">
        <v>958040.85</v>
      </c>
    </row>
    <row r="4305" spans="1:11" x14ac:dyDescent="0.2">
      <c r="A4305" s="1" t="s">
        <v>5423</v>
      </c>
      <c r="B4305" s="2">
        <v>45838</v>
      </c>
      <c r="C4305" s="1" t="s">
        <v>835</v>
      </c>
      <c r="D4305" s="1" t="s">
        <v>836</v>
      </c>
      <c r="E4305" s="1" t="s">
        <v>21</v>
      </c>
      <c r="F4305" s="1" t="s">
        <v>81</v>
      </c>
      <c r="G4305" s="1" t="s">
        <v>82</v>
      </c>
      <c r="H4305" s="1" t="s">
        <v>72</v>
      </c>
      <c r="I4305">
        <v>64125</v>
      </c>
      <c r="J4305" s="3">
        <v>12.53</v>
      </c>
      <c r="K4305" s="3">
        <v>803486.25</v>
      </c>
    </row>
    <row r="4306" spans="1:11" x14ac:dyDescent="0.2">
      <c r="A4306" s="1" t="s">
        <v>5424</v>
      </c>
      <c r="B4306" s="2">
        <v>45379</v>
      </c>
      <c r="C4306" s="1" t="s">
        <v>1310</v>
      </c>
      <c r="D4306" s="1" t="s">
        <v>1311</v>
      </c>
      <c r="E4306" s="1" t="s">
        <v>37</v>
      </c>
      <c r="F4306" s="1" t="s">
        <v>330</v>
      </c>
      <c r="G4306" s="1" t="s">
        <v>331</v>
      </c>
      <c r="H4306" s="1" t="s">
        <v>72</v>
      </c>
      <c r="I4306">
        <v>35138</v>
      </c>
      <c r="J4306" s="3">
        <v>49.85</v>
      </c>
      <c r="K4306" s="3">
        <v>1751629.3</v>
      </c>
    </row>
    <row r="4307" spans="1:11" x14ac:dyDescent="0.2">
      <c r="A4307" s="1" t="s">
        <v>5425</v>
      </c>
      <c r="B4307" s="2">
        <v>45783</v>
      </c>
      <c r="C4307" s="1" t="s">
        <v>1442</v>
      </c>
      <c r="D4307" s="1" t="s">
        <v>1443</v>
      </c>
      <c r="E4307" s="1" t="s">
        <v>14</v>
      </c>
      <c r="F4307" s="1" t="s">
        <v>189</v>
      </c>
      <c r="G4307" s="1" t="s">
        <v>190</v>
      </c>
      <c r="H4307" s="1" t="s">
        <v>17</v>
      </c>
      <c r="I4307">
        <v>88050</v>
      </c>
      <c r="J4307" s="3">
        <v>10.59</v>
      </c>
      <c r="K4307" s="3">
        <v>932449.5</v>
      </c>
    </row>
    <row r="4308" spans="1:11" x14ac:dyDescent="0.2">
      <c r="A4308" s="1" t="s">
        <v>5426</v>
      </c>
      <c r="B4308" s="2">
        <v>45608</v>
      </c>
      <c r="C4308" s="1" t="s">
        <v>984</v>
      </c>
      <c r="D4308" s="1" t="s">
        <v>985</v>
      </c>
      <c r="E4308" s="1" t="s">
        <v>14</v>
      </c>
      <c r="F4308" s="1" t="s">
        <v>350</v>
      </c>
      <c r="G4308" s="1" t="s">
        <v>351</v>
      </c>
      <c r="H4308" s="1" t="s">
        <v>37</v>
      </c>
      <c r="I4308">
        <v>49852</v>
      </c>
      <c r="J4308" s="3">
        <v>44.41</v>
      </c>
      <c r="K4308" s="3">
        <v>2213927.3199999998</v>
      </c>
    </row>
    <row r="4309" spans="1:11" x14ac:dyDescent="0.2">
      <c r="A4309" s="1" t="s">
        <v>5427</v>
      </c>
      <c r="B4309" s="2">
        <v>45737</v>
      </c>
      <c r="C4309" s="1" t="s">
        <v>2050</v>
      </c>
      <c r="D4309" s="1" t="s">
        <v>2051</v>
      </c>
      <c r="E4309" s="1" t="s">
        <v>14</v>
      </c>
      <c r="F4309" s="1" t="s">
        <v>65</v>
      </c>
      <c r="G4309" s="1" t="s">
        <v>66</v>
      </c>
      <c r="H4309" s="1" t="s">
        <v>48</v>
      </c>
      <c r="I4309">
        <v>99971</v>
      </c>
      <c r="J4309" s="3">
        <v>23.46</v>
      </c>
      <c r="K4309" s="3">
        <v>2345319.66</v>
      </c>
    </row>
    <row r="4310" spans="1:11" x14ac:dyDescent="0.2">
      <c r="A4310" s="1" t="s">
        <v>5428</v>
      </c>
      <c r="B4310" s="2">
        <v>45664</v>
      </c>
      <c r="C4310" s="1" t="s">
        <v>1178</v>
      </c>
      <c r="D4310" s="1" t="s">
        <v>1179</v>
      </c>
      <c r="E4310" s="1" t="s">
        <v>34</v>
      </c>
      <c r="F4310" s="1" t="s">
        <v>217</v>
      </c>
      <c r="G4310" s="1" t="s">
        <v>218</v>
      </c>
      <c r="H4310" s="1" t="s">
        <v>72</v>
      </c>
      <c r="I4310">
        <v>1143</v>
      </c>
      <c r="J4310" s="3">
        <v>27.52</v>
      </c>
      <c r="K4310" s="3">
        <v>31455.360000000001</v>
      </c>
    </row>
    <row r="4311" spans="1:11" x14ac:dyDescent="0.2">
      <c r="A4311" s="1" t="s">
        <v>5429</v>
      </c>
      <c r="B4311" s="2">
        <v>45883</v>
      </c>
      <c r="C4311" s="1" t="s">
        <v>838</v>
      </c>
      <c r="D4311" s="1" t="s">
        <v>839</v>
      </c>
      <c r="E4311" s="1" t="s">
        <v>28</v>
      </c>
      <c r="F4311" s="1" t="s">
        <v>41</v>
      </c>
      <c r="G4311" s="1" t="s">
        <v>42</v>
      </c>
      <c r="H4311" s="1" t="s">
        <v>24</v>
      </c>
      <c r="I4311">
        <v>1306</v>
      </c>
      <c r="J4311" s="3">
        <v>38.549999999999997</v>
      </c>
      <c r="K4311" s="3">
        <v>50346.3</v>
      </c>
    </row>
    <row r="4312" spans="1:11" x14ac:dyDescent="0.2">
      <c r="A4312" s="1" t="s">
        <v>5430</v>
      </c>
      <c r="B4312" s="2">
        <v>45329</v>
      </c>
      <c r="C4312" s="1" t="s">
        <v>431</v>
      </c>
      <c r="D4312" s="1" t="s">
        <v>432</v>
      </c>
      <c r="E4312" s="1" t="s">
        <v>14</v>
      </c>
      <c r="F4312" s="1" t="s">
        <v>108</v>
      </c>
      <c r="G4312" s="1" t="s">
        <v>109</v>
      </c>
      <c r="H4312" s="1" t="s">
        <v>37</v>
      </c>
      <c r="I4312">
        <v>32340</v>
      </c>
      <c r="J4312" s="3">
        <v>13.08</v>
      </c>
      <c r="K4312" s="3">
        <v>423007.2</v>
      </c>
    </row>
    <row r="4313" spans="1:11" x14ac:dyDescent="0.2">
      <c r="A4313" s="1" t="s">
        <v>5431</v>
      </c>
      <c r="B4313" s="2">
        <v>45488</v>
      </c>
      <c r="C4313" s="1" t="s">
        <v>770</v>
      </c>
      <c r="D4313" s="1" t="s">
        <v>771</v>
      </c>
      <c r="E4313" s="1" t="s">
        <v>34</v>
      </c>
      <c r="F4313" s="1" t="s">
        <v>284</v>
      </c>
      <c r="G4313" s="1" t="s">
        <v>285</v>
      </c>
      <c r="H4313" s="1" t="s">
        <v>37</v>
      </c>
      <c r="I4313">
        <v>63939</v>
      </c>
      <c r="J4313" s="3">
        <v>49.44</v>
      </c>
      <c r="K4313" s="3">
        <v>3161144.16</v>
      </c>
    </row>
    <row r="4314" spans="1:11" x14ac:dyDescent="0.2">
      <c r="A4314" s="1" t="s">
        <v>5432</v>
      </c>
      <c r="B4314" s="2">
        <v>45678</v>
      </c>
      <c r="C4314" s="1" t="s">
        <v>1854</v>
      </c>
      <c r="D4314" s="1" t="s">
        <v>1855</v>
      </c>
      <c r="E4314" s="1" t="s">
        <v>37</v>
      </c>
      <c r="F4314" s="1" t="s">
        <v>324</v>
      </c>
      <c r="G4314" s="1" t="s">
        <v>325</v>
      </c>
      <c r="H4314" s="1" t="s">
        <v>24</v>
      </c>
      <c r="I4314">
        <v>94896</v>
      </c>
      <c r="J4314" s="3">
        <v>28.8</v>
      </c>
      <c r="K4314" s="3">
        <v>2733004.7999999998</v>
      </c>
    </row>
    <row r="4315" spans="1:11" x14ac:dyDescent="0.2">
      <c r="A4315" s="1" t="s">
        <v>5433</v>
      </c>
      <c r="B4315" s="2">
        <v>45488</v>
      </c>
      <c r="C4315" s="1" t="s">
        <v>4720</v>
      </c>
      <c r="D4315" s="1" t="s">
        <v>4721</v>
      </c>
      <c r="E4315" s="1" t="s">
        <v>37</v>
      </c>
      <c r="F4315" s="1" t="s">
        <v>761</v>
      </c>
      <c r="G4315" s="1" t="s">
        <v>762</v>
      </c>
      <c r="H4315" s="1" t="s">
        <v>48</v>
      </c>
      <c r="I4315">
        <v>99366</v>
      </c>
      <c r="J4315" s="3">
        <v>36.28</v>
      </c>
      <c r="K4315" s="3">
        <v>3604998.48</v>
      </c>
    </row>
    <row r="4316" spans="1:11" x14ac:dyDescent="0.2">
      <c r="A4316" s="1" t="s">
        <v>5434</v>
      </c>
      <c r="B4316" s="2">
        <v>45738</v>
      </c>
      <c r="C4316" s="1" t="s">
        <v>743</v>
      </c>
      <c r="D4316" s="1" t="s">
        <v>744</v>
      </c>
      <c r="E4316" s="1" t="s">
        <v>14</v>
      </c>
      <c r="F4316" s="1" t="s">
        <v>98</v>
      </c>
      <c r="G4316" s="1" t="s">
        <v>99</v>
      </c>
      <c r="H4316" s="1" t="s">
        <v>72</v>
      </c>
      <c r="I4316">
        <v>13868</v>
      </c>
      <c r="J4316" s="3">
        <v>14.8</v>
      </c>
      <c r="K4316" s="3">
        <v>205246.4</v>
      </c>
    </row>
    <row r="4317" spans="1:11" x14ac:dyDescent="0.2">
      <c r="A4317" s="1" t="s">
        <v>5435</v>
      </c>
      <c r="B4317" s="2">
        <v>45757</v>
      </c>
      <c r="C4317" s="1" t="s">
        <v>1598</v>
      </c>
      <c r="D4317" s="1" t="s">
        <v>1599</v>
      </c>
      <c r="E4317" s="1" t="s">
        <v>34</v>
      </c>
      <c r="F4317" s="1" t="s">
        <v>208</v>
      </c>
      <c r="G4317" s="1" t="s">
        <v>209</v>
      </c>
      <c r="H4317" s="1" t="s">
        <v>17</v>
      </c>
      <c r="I4317">
        <v>8166</v>
      </c>
      <c r="J4317" s="3">
        <v>8.8000000000000007</v>
      </c>
      <c r="K4317" s="3">
        <v>71860.800000000003</v>
      </c>
    </row>
    <row r="4318" spans="1:11" x14ac:dyDescent="0.2">
      <c r="A4318" s="1" t="s">
        <v>5436</v>
      </c>
      <c r="B4318" s="2">
        <v>45667</v>
      </c>
      <c r="C4318" s="1" t="s">
        <v>1295</v>
      </c>
      <c r="D4318" s="1" t="s">
        <v>1296</v>
      </c>
      <c r="E4318" s="1" t="s">
        <v>21</v>
      </c>
      <c r="F4318" s="1" t="s">
        <v>15</v>
      </c>
      <c r="G4318" s="1" t="s">
        <v>16</v>
      </c>
      <c r="H4318" s="1" t="s">
        <v>17</v>
      </c>
      <c r="I4318">
        <v>19773</v>
      </c>
      <c r="J4318" s="3">
        <v>34.56</v>
      </c>
      <c r="K4318" s="3">
        <v>683354.88</v>
      </c>
    </row>
    <row r="4319" spans="1:11" x14ac:dyDescent="0.2">
      <c r="A4319" s="1" t="s">
        <v>5437</v>
      </c>
      <c r="B4319" s="2">
        <v>45969</v>
      </c>
      <c r="C4319" s="1" t="s">
        <v>583</v>
      </c>
      <c r="D4319" s="1" t="s">
        <v>584</v>
      </c>
      <c r="E4319" s="1" t="s">
        <v>37</v>
      </c>
      <c r="F4319" s="1" t="s">
        <v>251</v>
      </c>
      <c r="G4319" s="1" t="s">
        <v>252</v>
      </c>
      <c r="H4319" s="1" t="s">
        <v>72</v>
      </c>
      <c r="I4319">
        <v>27957</v>
      </c>
      <c r="J4319" s="3">
        <v>20.13</v>
      </c>
      <c r="K4319" s="3">
        <v>562774.41</v>
      </c>
    </row>
    <row r="4320" spans="1:11" x14ac:dyDescent="0.2">
      <c r="A4320" s="1" t="s">
        <v>5438</v>
      </c>
      <c r="B4320" s="2">
        <v>45560</v>
      </c>
      <c r="C4320" s="1" t="s">
        <v>880</v>
      </c>
      <c r="D4320" s="1" t="s">
        <v>881</v>
      </c>
      <c r="E4320" s="1" t="s">
        <v>21</v>
      </c>
      <c r="F4320" s="1" t="s">
        <v>41</v>
      </c>
      <c r="G4320" s="1" t="s">
        <v>42</v>
      </c>
      <c r="H4320" s="1" t="s">
        <v>24</v>
      </c>
      <c r="I4320">
        <v>90744</v>
      </c>
      <c r="J4320" s="3">
        <v>20.49</v>
      </c>
      <c r="K4320" s="3">
        <v>1859344.56</v>
      </c>
    </row>
    <row r="4321" spans="1:11" x14ac:dyDescent="0.2">
      <c r="A4321" s="1" t="s">
        <v>5439</v>
      </c>
      <c r="B4321" s="2">
        <v>45405</v>
      </c>
      <c r="C4321" s="1" t="s">
        <v>187</v>
      </c>
      <c r="D4321" s="1" t="s">
        <v>188</v>
      </c>
      <c r="E4321" s="1" t="s">
        <v>34</v>
      </c>
      <c r="F4321" s="1" t="s">
        <v>57</v>
      </c>
      <c r="G4321" s="1" t="s">
        <v>58</v>
      </c>
      <c r="H4321" s="1" t="s">
        <v>48</v>
      </c>
      <c r="I4321">
        <v>50975</v>
      </c>
      <c r="J4321" s="3">
        <v>42.92</v>
      </c>
      <c r="K4321" s="3">
        <v>2187847</v>
      </c>
    </row>
    <row r="4322" spans="1:11" x14ac:dyDescent="0.2">
      <c r="A4322" s="1" t="s">
        <v>5440</v>
      </c>
      <c r="B4322" s="2">
        <v>45835</v>
      </c>
      <c r="C4322" s="1" t="s">
        <v>4720</v>
      </c>
      <c r="D4322" s="1" t="s">
        <v>4721</v>
      </c>
      <c r="E4322" s="1" t="s">
        <v>37</v>
      </c>
      <c r="F4322" s="1" t="s">
        <v>436</v>
      </c>
      <c r="G4322" s="1" t="s">
        <v>437</v>
      </c>
      <c r="H4322" s="1" t="s">
        <v>24</v>
      </c>
      <c r="I4322">
        <v>2617</v>
      </c>
      <c r="J4322" s="3">
        <v>41.14</v>
      </c>
      <c r="K4322" s="3">
        <v>107663.38</v>
      </c>
    </row>
    <row r="4323" spans="1:11" x14ac:dyDescent="0.2">
      <c r="A4323" s="1" t="s">
        <v>5441</v>
      </c>
      <c r="B4323" s="2">
        <v>45375</v>
      </c>
      <c r="C4323" s="1" t="s">
        <v>596</v>
      </c>
      <c r="D4323" s="1" t="s">
        <v>597</v>
      </c>
      <c r="E4323" s="1" t="s">
        <v>37</v>
      </c>
      <c r="F4323" s="1" t="s">
        <v>474</v>
      </c>
      <c r="G4323" s="1" t="s">
        <v>475</v>
      </c>
      <c r="H4323" s="1" t="s">
        <v>48</v>
      </c>
      <c r="I4323">
        <v>49061</v>
      </c>
      <c r="J4323" s="3">
        <v>37.270000000000003</v>
      </c>
      <c r="K4323" s="3">
        <v>1828503.47</v>
      </c>
    </row>
    <row r="4324" spans="1:11" x14ac:dyDescent="0.2">
      <c r="A4324" s="1" t="s">
        <v>5442</v>
      </c>
      <c r="B4324" s="2">
        <v>45647</v>
      </c>
      <c r="C4324" s="1" t="s">
        <v>643</v>
      </c>
      <c r="D4324" s="1" t="s">
        <v>644</v>
      </c>
      <c r="E4324" s="1" t="s">
        <v>37</v>
      </c>
      <c r="F4324" s="1" t="s">
        <v>228</v>
      </c>
      <c r="G4324" s="1" t="s">
        <v>229</v>
      </c>
      <c r="H4324" s="1" t="s">
        <v>48</v>
      </c>
      <c r="I4324">
        <v>79588</v>
      </c>
      <c r="J4324" s="3">
        <v>15.82</v>
      </c>
      <c r="K4324" s="3">
        <v>1259082.1599999999</v>
      </c>
    </row>
    <row r="4325" spans="1:11" x14ac:dyDescent="0.2">
      <c r="A4325" s="1" t="s">
        <v>5443</v>
      </c>
      <c r="B4325" s="2">
        <v>45678</v>
      </c>
      <c r="C4325" s="1" t="s">
        <v>550</v>
      </c>
      <c r="D4325" s="1" t="s">
        <v>551</v>
      </c>
      <c r="E4325" s="1" t="s">
        <v>34</v>
      </c>
      <c r="F4325" s="1" t="s">
        <v>436</v>
      </c>
      <c r="G4325" s="1" t="s">
        <v>437</v>
      </c>
      <c r="H4325" s="1" t="s">
        <v>24</v>
      </c>
      <c r="I4325">
        <v>68412</v>
      </c>
      <c r="J4325" s="3">
        <v>29.82</v>
      </c>
      <c r="K4325" s="3">
        <v>2040045.84</v>
      </c>
    </row>
    <row r="4326" spans="1:11" x14ac:dyDescent="0.2">
      <c r="A4326" s="1" t="s">
        <v>5444</v>
      </c>
      <c r="B4326" s="2">
        <v>45608</v>
      </c>
      <c r="C4326" s="1" t="s">
        <v>1113</v>
      </c>
      <c r="D4326" s="1" t="s">
        <v>1114</v>
      </c>
      <c r="E4326" s="1" t="s">
        <v>14</v>
      </c>
      <c r="F4326" s="1" t="s">
        <v>165</v>
      </c>
      <c r="G4326" s="1" t="s">
        <v>166</v>
      </c>
      <c r="H4326" s="1" t="s">
        <v>24</v>
      </c>
      <c r="I4326">
        <v>89921</v>
      </c>
      <c r="J4326" s="3">
        <v>15.01</v>
      </c>
      <c r="K4326" s="3">
        <v>1349714.21</v>
      </c>
    </row>
    <row r="4327" spans="1:11" x14ac:dyDescent="0.2">
      <c r="A4327" s="1" t="s">
        <v>5445</v>
      </c>
      <c r="B4327" s="2">
        <v>45519</v>
      </c>
      <c r="C4327" s="1" t="s">
        <v>39</v>
      </c>
      <c r="D4327" s="1" t="s">
        <v>40</v>
      </c>
      <c r="E4327" s="1" t="s">
        <v>21</v>
      </c>
      <c r="F4327" s="1" t="s">
        <v>108</v>
      </c>
      <c r="G4327" s="1" t="s">
        <v>109</v>
      </c>
      <c r="H4327" s="1" t="s">
        <v>37</v>
      </c>
      <c r="I4327">
        <v>24120</v>
      </c>
      <c r="J4327" s="3">
        <v>36.36</v>
      </c>
      <c r="K4327" s="3">
        <v>877003.2</v>
      </c>
    </row>
    <row r="4328" spans="1:11" x14ac:dyDescent="0.2">
      <c r="A4328" s="1" t="s">
        <v>5446</v>
      </c>
      <c r="B4328" s="2">
        <v>45932</v>
      </c>
      <c r="C4328" s="1" t="s">
        <v>716</v>
      </c>
      <c r="D4328" s="1" t="s">
        <v>717</v>
      </c>
      <c r="E4328" s="1" t="s">
        <v>34</v>
      </c>
      <c r="F4328" s="1" t="s">
        <v>139</v>
      </c>
      <c r="G4328" s="1" t="s">
        <v>140</v>
      </c>
      <c r="H4328" s="1" t="s">
        <v>24</v>
      </c>
      <c r="I4328">
        <v>72651</v>
      </c>
      <c r="J4328" s="3">
        <v>46.19</v>
      </c>
      <c r="K4328" s="3">
        <v>3355749.69</v>
      </c>
    </row>
    <row r="4329" spans="1:11" x14ac:dyDescent="0.2">
      <c r="A4329" s="1" t="s">
        <v>5447</v>
      </c>
      <c r="B4329" s="2">
        <v>45411</v>
      </c>
      <c r="C4329" s="1" t="s">
        <v>2211</v>
      </c>
      <c r="D4329" s="1" t="s">
        <v>2212</v>
      </c>
      <c r="E4329" s="1" t="s">
        <v>21</v>
      </c>
      <c r="F4329" s="1" t="s">
        <v>203</v>
      </c>
      <c r="G4329" s="1" t="s">
        <v>204</v>
      </c>
      <c r="H4329" s="1" t="s">
        <v>72</v>
      </c>
      <c r="I4329">
        <v>81963</v>
      </c>
      <c r="J4329" s="3">
        <v>36.159999999999997</v>
      </c>
      <c r="K4329" s="3">
        <v>2963782.08</v>
      </c>
    </row>
    <row r="4330" spans="1:11" x14ac:dyDescent="0.2">
      <c r="A4330" s="1" t="s">
        <v>5448</v>
      </c>
      <c r="B4330" s="2">
        <v>45332</v>
      </c>
      <c r="C4330" s="1" t="s">
        <v>505</v>
      </c>
      <c r="D4330" s="1" t="s">
        <v>506</v>
      </c>
      <c r="E4330" s="1" t="s">
        <v>21</v>
      </c>
      <c r="F4330" s="1" t="s">
        <v>263</v>
      </c>
      <c r="G4330" s="1" t="s">
        <v>264</v>
      </c>
      <c r="H4330" s="1" t="s">
        <v>17</v>
      </c>
      <c r="I4330">
        <v>78169</v>
      </c>
      <c r="J4330" s="3">
        <v>24.9</v>
      </c>
      <c r="K4330" s="3">
        <v>1946408.1</v>
      </c>
    </row>
    <row r="4331" spans="1:11" x14ac:dyDescent="0.2">
      <c r="A4331" s="1" t="s">
        <v>5449</v>
      </c>
      <c r="B4331" s="2">
        <v>45475</v>
      </c>
      <c r="C4331" s="1" t="s">
        <v>3733</v>
      </c>
      <c r="D4331" s="1" t="s">
        <v>3734</v>
      </c>
      <c r="E4331" s="1" t="s">
        <v>14</v>
      </c>
      <c r="F4331" s="1" t="s">
        <v>268</v>
      </c>
      <c r="G4331" s="1" t="s">
        <v>269</v>
      </c>
      <c r="H4331" s="1" t="s">
        <v>72</v>
      </c>
      <c r="I4331">
        <v>46113</v>
      </c>
      <c r="J4331" s="3">
        <v>12.4</v>
      </c>
      <c r="K4331" s="3">
        <v>571801.19999999995</v>
      </c>
    </row>
    <row r="4332" spans="1:11" x14ac:dyDescent="0.2">
      <c r="A4332" s="1" t="s">
        <v>5450</v>
      </c>
      <c r="B4332" s="2">
        <v>45793</v>
      </c>
      <c r="C4332" s="1" t="s">
        <v>1867</v>
      </c>
      <c r="D4332" s="1" t="s">
        <v>1868</v>
      </c>
      <c r="E4332" s="1" t="s">
        <v>28</v>
      </c>
      <c r="F4332" s="1" t="s">
        <v>98</v>
      </c>
      <c r="G4332" s="1" t="s">
        <v>99</v>
      </c>
      <c r="H4332" s="1" t="s">
        <v>72</v>
      </c>
      <c r="I4332">
        <v>51149</v>
      </c>
      <c r="J4332" s="3">
        <v>15.12</v>
      </c>
      <c r="K4332" s="3">
        <v>773372.88</v>
      </c>
    </row>
    <row r="4333" spans="1:11" x14ac:dyDescent="0.2">
      <c r="A4333" s="1" t="s">
        <v>5451</v>
      </c>
      <c r="B4333" s="2">
        <v>45631</v>
      </c>
      <c r="C4333" s="1" t="s">
        <v>2654</v>
      </c>
      <c r="D4333" s="1" t="s">
        <v>2655</v>
      </c>
      <c r="E4333" s="1" t="s">
        <v>28</v>
      </c>
      <c r="F4333" s="1" t="s">
        <v>70</v>
      </c>
      <c r="G4333" s="1" t="s">
        <v>71</v>
      </c>
      <c r="H4333" s="1" t="s">
        <v>72</v>
      </c>
      <c r="I4333">
        <v>71352</v>
      </c>
      <c r="J4333" s="3">
        <v>42.74</v>
      </c>
      <c r="K4333" s="3">
        <v>3049584.48</v>
      </c>
    </row>
    <row r="4334" spans="1:11" x14ac:dyDescent="0.2">
      <c r="A4334" s="1" t="s">
        <v>5452</v>
      </c>
      <c r="B4334" s="2">
        <v>45489</v>
      </c>
      <c r="C4334" s="1" t="s">
        <v>1718</v>
      </c>
      <c r="D4334" s="1" t="s">
        <v>1719</v>
      </c>
      <c r="E4334" s="1" t="s">
        <v>21</v>
      </c>
      <c r="F4334" s="1" t="s">
        <v>552</v>
      </c>
      <c r="G4334" s="1" t="s">
        <v>553</v>
      </c>
      <c r="H4334" s="1" t="s">
        <v>37</v>
      </c>
      <c r="I4334">
        <v>8480</v>
      </c>
      <c r="J4334" s="3">
        <v>22.77</v>
      </c>
      <c r="K4334" s="3">
        <v>193089.6</v>
      </c>
    </row>
    <row r="4335" spans="1:11" x14ac:dyDescent="0.2">
      <c r="A4335" s="1" t="s">
        <v>5453</v>
      </c>
      <c r="B4335" s="2">
        <v>45974</v>
      </c>
      <c r="C4335" s="1" t="s">
        <v>1233</v>
      </c>
      <c r="D4335" s="1" t="s">
        <v>1234</v>
      </c>
      <c r="E4335" s="1" t="s">
        <v>14</v>
      </c>
      <c r="F4335" s="1" t="s">
        <v>436</v>
      </c>
      <c r="G4335" s="1" t="s">
        <v>437</v>
      </c>
      <c r="H4335" s="1" t="s">
        <v>24</v>
      </c>
      <c r="I4335">
        <v>43966</v>
      </c>
      <c r="J4335" s="3">
        <v>27.64</v>
      </c>
      <c r="K4335" s="3">
        <v>1215220.24</v>
      </c>
    </row>
    <row r="4336" spans="1:11" x14ac:dyDescent="0.2">
      <c r="A4336" s="1" t="s">
        <v>5454</v>
      </c>
      <c r="B4336" s="2">
        <v>45449</v>
      </c>
      <c r="C4336" s="1" t="s">
        <v>1789</v>
      </c>
      <c r="D4336" s="1" t="s">
        <v>1790</v>
      </c>
      <c r="E4336" s="1" t="s">
        <v>21</v>
      </c>
      <c r="F4336" s="1" t="s">
        <v>52</v>
      </c>
      <c r="G4336" s="1" t="s">
        <v>53</v>
      </c>
      <c r="H4336" s="1" t="s">
        <v>17</v>
      </c>
      <c r="I4336">
        <v>37553</v>
      </c>
      <c r="J4336" s="3">
        <v>26.18</v>
      </c>
      <c r="K4336" s="3">
        <v>983137.54</v>
      </c>
    </row>
    <row r="4337" spans="1:11" x14ac:dyDescent="0.2">
      <c r="A4337" s="1" t="s">
        <v>5455</v>
      </c>
      <c r="B4337" s="2">
        <v>45384</v>
      </c>
      <c r="C4337" s="1" t="s">
        <v>636</v>
      </c>
      <c r="D4337" s="1" t="s">
        <v>637</v>
      </c>
      <c r="E4337" s="1" t="s">
        <v>21</v>
      </c>
      <c r="F4337" s="1" t="s">
        <v>217</v>
      </c>
      <c r="G4337" s="1" t="s">
        <v>218</v>
      </c>
      <c r="H4337" s="1" t="s">
        <v>72</v>
      </c>
      <c r="I4337">
        <v>49523</v>
      </c>
      <c r="J4337" s="3">
        <v>31.71</v>
      </c>
      <c r="K4337" s="3">
        <v>1570374.33</v>
      </c>
    </row>
    <row r="4338" spans="1:11" x14ac:dyDescent="0.2">
      <c r="A4338" s="1" t="s">
        <v>5456</v>
      </c>
      <c r="B4338" s="2">
        <v>45842</v>
      </c>
      <c r="C4338" s="1" t="s">
        <v>719</v>
      </c>
      <c r="D4338" s="1" t="s">
        <v>720</v>
      </c>
      <c r="E4338" s="1" t="s">
        <v>37</v>
      </c>
      <c r="F4338" s="1" t="s">
        <v>330</v>
      </c>
      <c r="G4338" s="1" t="s">
        <v>331</v>
      </c>
      <c r="H4338" s="1" t="s">
        <v>72</v>
      </c>
      <c r="I4338">
        <v>54388</v>
      </c>
      <c r="J4338" s="3">
        <v>32.04</v>
      </c>
      <c r="K4338" s="3">
        <v>1742591.52</v>
      </c>
    </row>
    <row r="4339" spans="1:11" x14ac:dyDescent="0.2">
      <c r="A4339" s="1" t="s">
        <v>5457</v>
      </c>
      <c r="B4339" s="2">
        <v>45979</v>
      </c>
      <c r="C4339" s="1" t="s">
        <v>1535</v>
      </c>
      <c r="D4339" s="1" t="s">
        <v>1536</v>
      </c>
      <c r="E4339" s="1" t="s">
        <v>21</v>
      </c>
      <c r="F4339" s="1" t="s">
        <v>330</v>
      </c>
      <c r="G4339" s="1" t="s">
        <v>331</v>
      </c>
      <c r="H4339" s="1" t="s">
        <v>72</v>
      </c>
      <c r="I4339">
        <v>67710</v>
      </c>
      <c r="J4339" s="3">
        <v>14.01</v>
      </c>
      <c r="K4339" s="3">
        <v>948617.1</v>
      </c>
    </row>
    <row r="4340" spans="1:11" x14ac:dyDescent="0.2">
      <c r="A4340" s="1" t="s">
        <v>5458</v>
      </c>
      <c r="B4340" s="2">
        <v>45537</v>
      </c>
      <c r="C4340" s="1" t="s">
        <v>2766</v>
      </c>
      <c r="D4340" s="1" t="s">
        <v>2767</v>
      </c>
      <c r="E4340" s="1" t="s">
        <v>37</v>
      </c>
      <c r="F4340" s="1" t="s">
        <v>458</v>
      </c>
      <c r="G4340" s="1" t="s">
        <v>459</v>
      </c>
      <c r="H4340" s="1" t="s">
        <v>72</v>
      </c>
      <c r="I4340">
        <v>42466</v>
      </c>
      <c r="J4340" s="3">
        <v>8.42</v>
      </c>
      <c r="K4340" s="3">
        <v>357563.72</v>
      </c>
    </row>
    <row r="4341" spans="1:11" x14ac:dyDescent="0.2">
      <c r="A4341" s="1" t="s">
        <v>5459</v>
      </c>
      <c r="B4341" s="2">
        <v>45692</v>
      </c>
      <c r="C4341" s="1" t="s">
        <v>722</v>
      </c>
      <c r="D4341" s="1" t="s">
        <v>723</v>
      </c>
      <c r="E4341" s="1" t="s">
        <v>21</v>
      </c>
      <c r="F4341" s="1" t="s">
        <v>98</v>
      </c>
      <c r="G4341" s="1" t="s">
        <v>99</v>
      </c>
      <c r="H4341" s="1" t="s">
        <v>72</v>
      </c>
      <c r="I4341">
        <v>93120</v>
      </c>
      <c r="J4341" s="3">
        <v>29.12</v>
      </c>
      <c r="K4341" s="3">
        <v>2711654.3999999999</v>
      </c>
    </row>
    <row r="4342" spans="1:11" x14ac:dyDescent="0.2">
      <c r="A4342" s="1" t="s">
        <v>5460</v>
      </c>
      <c r="B4342" s="2">
        <v>45326</v>
      </c>
      <c r="C4342" s="1" t="s">
        <v>698</v>
      </c>
      <c r="D4342" s="1" t="s">
        <v>699</v>
      </c>
      <c r="E4342" s="1" t="s">
        <v>28</v>
      </c>
      <c r="F4342" s="1" t="s">
        <v>184</v>
      </c>
      <c r="G4342" s="1" t="s">
        <v>185</v>
      </c>
      <c r="H4342" s="1" t="s">
        <v>17</v>
      </c>
      <c r="I4342">
        <v>94025</v>
      </c>
      <c r="J4342" s="3">
        <v>23.91</v>
      </c>
      <c r="K4342" s="3">
        <v>2248137.75</v>
      </c>
    </row>
    <row r="4343" spans="1:11" x14ac:dyDescent="0.2">
      <c r="A4343" s="1" t="s">
        <v>5461</v>
      </c>
      <c r="B4343" s="2">
        <v>45881</v>
      </c>
      <c r="C4343" s="1" t="s">
        <v>1079</v>
      </c>
      <c r="D4343" s="1" t="s">
        <v>1080</v>
      </c>
      <c r="E4343" s="1" t="s">
        <v>14</v>
      </c>
      <c r="F4343" s="1" t="s">
        <v>46</v>
      </c>
      <c r="G4343" s="1" t="s">
        <v>47</v>
      </c>
      <c r="H4343" s="1" t="s">
        <v>48</v>
      </c>
      <c r="I4343">
        <v>61623</v>
      </c>
      <c r="J4343" s="3">
        <v>25.29</v>
      </c>
      <c r="K4343" s="3">
        <v>1558445.67</v>
      </c>
    </row>
    <row r="4344" spans="1:11" x14ac:dyDescent="0.2">
      <c r="A4344" s="1" t="s">
        <v>5462</v>
      </c>
      <c r="B4344" s="2">
        <v>45586</v>
      </c>
      <c r="C4344" s="1" t="s">
        <v>478</v>
      </c>
      <c r="D4344" s="1" t="s">
        <v>479</v>
      </c>
      <c r="E4344" s="1" t="s">
        <v>34</v>
      </c>
      <c r="F4344" s="1" t="s">
        <v>350</v>
      </c>
      <c r="G4344" s="1" t="s">
        <v>351</v>
      </c>
      <c r="H4344" s="1" t="s">
        <v>37</v>
      </c>
      <c r="I4344">
        <v>81960</v>
      </c>
      <c r="J4344" s="3">
        <v>14.8</v>
      </c>
      <c r="K4344" s="3">
        <v>1213008</v>
      </c>
    </row>
    <row r="4345" spans="1:11" x14ac:dyDescent="0.2">
      <c r="A4345" s="1" t="s">
        <v>5463</v>
      </c>
      <c r="B4345" s="2">
        <v>45469</v>
      </c>
      <c r="C4345" s="1" t="s">
        <v>1061</v>
      </c>
      <c r="D4345" s="1" t="s">
        <v>1062</v>
      </c>
      <c r="E4345" s="1" t="s">
        <v>14</v>
      </c>
      <c r="F4345" s="1" t="s">
        <v>165</v>
      </c>
      <c r="G4345" s="1" t="s">
        <v>166</v>
      </c>
      <c r="H4345" s="1" t="s">
        <v>24</v>
      </c>
      <c r="I4345">
        <v>52458</v>
      </c>
      <c r="J4345" s="3">
        <v>37.200000000000003</v>
      </c>
      <c r="K4345" s="3">
        <v>1951437.6</v>
      </c>
    </row>
    <row r="4346" spans="1:11" x14ac:dyDescent="0.2">
      <c r="A4346" s="1" t="s">
        <v>5464</v>
      </c>
      <c r="B4346" s="2">
        <v>45478</v>
      </c>
      <c r="C4346" s="1" t="s">
        <v>1340</v>
      </c>
      <c r="D4346" s="1" t="s">
        <v>1341</v>
      </c>
      <c r="E4346" s="1" t="s">
        <v>28</v>
      </c>
      <c r="F4346" s="1" t="s">
        <v>324</v>
      </c>
      <c r="G4346" s="1" t="s">
        <v>325</v>
      </c>
      <c r="H4346" s="1" t="s">
        <v>24</v>
      </c>
      <c r="I4346">
        <v>40922</v>
      </c>
      <c r="J4346" s="3">
        <v>15.45</v>
      </c>
      <c r="K4346" s="3">
        <v>632244.9</v>
      </c>
    </row>
    <row r="4347" spans="1:11" x14ac:dyDescent="0.2">
      <c r="A4347" s="1" t="s">
        <v>5465</v>
      </c>
      <c r="B4347" s="2">
        <v>45828</v>
      </c>
      <c r="C4347" s="1" t="s">
        <v>767</v>
      </c>
      <c r="D4347" s="1" t="s">
        <v>768</v>
      </c>
      <c r="E4347" s="1" t="s">
        <v>28</v>
      </c>
      <c r="F4347" s="1" t="s">
        <v>324</v>
      </c>
      <c r="G4347" s="1" t="s">
        <v>325</v>
      </c>
      <c r="H4347" s="1" t="s">
        <v>24</v>
      </c>
      <c r="I4347">
        <v>54943</v>
      </c>
      <c r="J4347" s="3">
        <v>45.17</v>
      </c>
      <c r="K4347" s="3">
        <v>2481775.31</v>
      </c>
    </row>
    <row r="4348" spans="1:11" x14ac:dyDescent="0.2">
      <c r="A4348" s="1" t="s">
        <v>5466</v>
      </c>
      <c r="B4348" s="2">
        <v>45860</v>
      </c>
      <c r="C4348" s="1" t="s">
        <v>50</v>
      </c>
      <c r="D4348" s="1" t="s">
        <v>51</v>
      </c>
      <c r="E4348" s="1" t="s">
        <v>21</v>
      </c>
      <c r="F4348" s="1" t="s">
        <v>65</v>
      </c>
      <c r="G4348" s="1" t="s">
        <v>66</v>
      </c>
      <c r="H4348" s="1" t="s">
        <v>48</v>
      </c>
      <c r="I4348">
        <v>87325</v>
      </c>
      <c r="J4348" s="3">
        <v>19.2</v>
      </c>
      <c r="K4348" s="3">
        <v>1676640</v>
      </c>
    </row>
    <row r="4349" spans="1:11" x14ac:dyDescent="0.2">
      <c r="A4349" s="1" t="s">
        <v>5467</v>
      </c>
      <c r="B4349" s="2">
        <v>45910</v>
      </c>
      <c r="C4349" s="1" t="s">
        <v>481</v>
      </c>
      <c r="D4349" s="1" t="s">
        <v>482</v>
      </c>
      <c r="E4349" s="1" t="s">
        <v>34</v>
      </c>
      <c r="F4349" s="1" t="s">
        <v>217</v>
      </c>
      <c r="G4349" s="1" t="s">
        <v>218</v>
      </c>
      <c r="H4349" s="1" t="s">
        <v>72</v>
      </c>
      <c r="I4349">
        <v>44258</v>
      </c>
      <c r="J4349" s="3">
        <v>10.15</v>
      </c>
      <c r="K4349" s="3">
        <v>449218.7</v>
      </c>
    </row>
    <row r="4350" spans="1:11" x14ac:dyDescent="0.2">
      <c r="A4350" s="1" t="s">
        <v>5468</v>
      </c>
      <c r="B4350" s="2">
        <v>45336</v>
      </c>
      <c r="C4350" s="1" t="s">
        <v>648</v>
      </c>
      <c r="D4350" s="1" t="s">
        <v>649</v>
      </c>
      <c r="E4350" s="1" t="s">
        <v>28</v>
      </c>
      <c r="F4350" s="1" t="s">
        <v>103</v>
      </c>
      <c r="G4350" s="1" t="s">
        <v>104</v>
      </c>
      <c r="H4350" s="1" t="s">
        <v>37</v>
      </c>
      <c r="I4350">
        <v>95177</v>
      </c>
      <c r="J4350" s="3">
        <v>38.51</v>
      </c>
      <c r="K4350" s="3">
        <v>3665266.27</v>
      </c>
    </row>
    <row r="4351" spans="1:11" x14ac:dyDescent="0.2">
      <c r="A4351" s="1" t="s">
        <v>5469</v>
      </c>
      <c r="B4351" s="2">
        <v>45575</v>
      </c>
      <c r="C4351" s="1" t="s">
        <v>1233</v>
      </c>
      <c r="D4351" s="1" t="s">
        <v>1234</v>
      </c>
      <c r="E4351" s="1" t="s">
        <v>14</v>
      </c>
      <c r="F4351" s="1" t="s">
        <v>65</v>
      </c>
      <c r="G4351" s="1" t="s">
        <v>66</v>
      </c>
      <c r="H4351" s="1" t="s">
        <v>48</v>
      </c>
      <c r="I4351">
        <v>68553</v>
      </c>
      <c r="J4351" s="3">
        <v>36.49</v>
      </c>
      <c r="K4351" s="3">
        <v>2501498.9700000002</v>
      </c>
    </row>
    <row r="4352" spans="1:11" x14ac:dyDescent="0.2">
      <c r="A4352" s="1" t="s">
        <v>5470</v>
      </c>
      <c r="B4352" s="2">
        <v>45981</v>
      </c>
      <c r="C4352" s="1" t="s">
        <v>617</v>
      </c>
      <c r="D4352" s="1" t="s">
        <v>618</v>
      </c>
      <c r="E4352" s="1" t="s">
        <v>37</v>
      </c>
      <c r="F4352" s="1" t="s">
        <v>15</v>
      </c>
      <c r="G4352" s="1" t="s">
        <v>16</v>
      </c>
      <c r="H4352" s="1" t="s">
        <v>17</v>
      </c>
      <c r="I4352">
        <v>11588</v>
      </c>
      <c r="J4352" s="3">
        <v>24.95</v>
      </c>
      <c r="K4352" s="3">
        <v>289120.59999999998</v>
      </c>
    </row>
    <row r="4353" spans="1:11" x14ac:dyDescent="0.2">
      <c r="A4353" s="1" t="s">
        <v>5471</v>
      </c>
      <c r="B4353" s="2">
        <v>45879</v>
      </c>
      <c r="C4353" s="1" t="s">
        <v>963</v>
      </c>
      <c r="D4353" s="1" t="s">
        <v>964</v>
      </c>
      <c r="E4353" s="1" t="s">
        <v>37</v>
      </c>
      <c r="F4353" s="1" t="s">
        <v>273</v>
      </c>
      <c r="G4353" s="1" t="s">
        <v>274</v>
      </c>
      <c r="H4353" s="1" t="s">
        <v>24</v>
      </c>
      <c r="I4353">
        <v>14271</v>
      </c>
      <c r="J4353" s="3">
        <v>34.68</v>
      </c>
      <c r="K4353" s="3">
        <v>494918.28</v>
      </c>
    </row>
    <row r="4354" spans="1:11" x14ac:dyDescent="0.2">
      <c r="A4354" s="1" t="s">
        <v>5472</v>
      </c>
      <c r="B4354" s="2">
        <v>45759</v>
      </c>
      <c r="C4354" s="1" t="s">
        <v>1397</v>
      </c>
      <c r="D4354" s="1" t="s">
        <v>1398</v>
      </c>
      <c r="E4354" s="1" t="s">
        <v>14</v>
      </c>
      <c r="F4354" s="1" t="s">
        <v>217</v>
      </c>
      <c r="G4354" s="1" t="s">
        <v>218</v>
      </c>
      <c r="H4354" s="1" t="s">
        <v>72</v>
      </c>
      <c r="I4354">
        <v>28313</v>
      </c>
      <c r="J4354" s="3">
        <v>8.39</v>
      </c>
      <c r="K4354" s="3">
        <v>237546.07</v>
      </c>
    </row>
    <row r="4355" spans="1:11" x14ac:dyDescent="0.2">
      <c r="A4355" s="1" t="s">
        <v>5473</v>
      </c>
      <c r="B4355" s="2">
        <v>45563</v>
      </c>
      <c r="C4355" s="1" t="s">
        <v>1571</v>
      </c>
      <c r="D4355" s="1" t="s">
        <v>1572</v>
      </c>
      <c r="E4355" s="1" t="s">
        <v>14</v>
      </c>
      <c r="F4355" s="1" t="s">
        <v>284</v>
      </c>
      <c r="G4355" s="1" t="s">
        <v>285</v>
      </c>
      <c r="H4355" s="1" t="s">
        <v>37</v>
      </c>
      <c r="I4355">
        <v>26690</v>
      </c>
      <c r="J4355" s="3">
        <v>16.690000000000001</v>
      </c>
      <c r="K4355" s="3">
        <v>445456.1</v>
      </c>
    </row>
    <row r="4356" spans="1:11" x14ac:dyDescent="0.2">
      <c r="A4356" s="1" t="s">
        <v>5474</v>
      </c>
      <c r="B4356" s="2">
        <v>45444</v>
      </c>
      <c r="C4356" s="1" t="s">
        <v>297</v>
      </c>
      <c r="D4356" s="1" t="s">
        <v>298</v>
      </c>
      <c r="E4356" s="1" t="s">
        <v>21</v>
      </c>
      <c r="F4356" s="1" t="s">
        <v>350</v>
      </c>
      <c r="G4356" s="1" t="s">
        <v>351</v>
      </c>
      <c r="H4356" s="1" t="s">
        <v>37</v>
      </c>
      <c r="I4356">
        <v>52055</v>
      </c>
      <c r="J4356" s="3">
        <v>7.68</v>
      </c>
      <c r="K4356" s="3">
        <v>399782.40000000002</v>
      </c>
    </row>
    <row r="4357" spans="1:11" x14ac:dyDescent="0.2">
      <c r="A4357" s="1" t="s">
        <v>5475</v>
      </c>
      <c r="B4357" s="2">
        <v>45810</v>
      </c>
      <c r="C4357" s="1" t="s">
        <v>923</v>
      </c>
      <c r="D4357" s="1" t="s">
        <v>924</v>
      </c>
      <c r="E4357" s="1" t="s">
        <v>37</v>
      </c>
      <c r="F4357" s="1" t="s">
        <v>29</v>
      </c>
      <c r="G4357" s="1" t="s">
        <v>30</v>
      </c>
      <c r="H4357" s="1" t="s">
        <v>24</v>
      </c>
      <c r="I4357">
        <v>48984</v>
      </c>
      <c r="J4357" s="3">
        <v>24.39</v>
      </c>
      <c r="K4357" s="3">
        <v>1194719.76</v>
      </c>
    </row>
    <row r="4358" spans="1:11" x14ac:dyDescent="0.2">
      <c r="A4358" s="1" t="s">
        <v>5476</v>
      </c>
      <c r="B4358" s="2">
        <v>45446</v>
      </c>
      <c r="C4358" s="1" t="s">
        <v>2597</v>
      </c>
      <c r="D4358" s="1" t="s">
        <v>2598</v>
      </c>
      <c r="E4358" s="1" t="s">
        <v>21</v>
      </c>
      <c r="F4358" s="1" t="s">
        <v>251</v>
      </c>
      <c r="G4358" s="1" t="s">
        <v>252</v>
      </c>
      <c r="H4358" s="1" t="s">
        <v>72</v>
      </c>
      <c r="I4358">
        <v>59497</v>
      </c>
      <c r="J4358" s="3">
        <v>10.88</v>
      </c>
      <c r="K4358" s="3">
        <v>647327.36</v>
      </c>
    </row>
    <row r="4359" spans="1:11" x14ac:dyDescent="0.2">
      <c r="A4359" s="1" t="s">
        <v>5477</v>
      </c>
      <c r="B4359" s="2">
        <v>45995</v>
      </c>
      <c r="C4359" s="1" t="s">
        <v>857</v>
      </c>
      <c r="D4359" s="1" t="s">
        <v>858</v>
      </c>
      <c r="E4359" s="1" t="s">
        <v>34</v>
      </c>
      <c r="F4359" s="1" t="s">
        <v>510</v>
      </c>
      <c r="G4359" s="1" t="s">
        <v>511</v>
      </c>
      <c r="H4359" s="1" t="s">
        <v>17</v>
      </c>
      <c r="I4359">
        <v>63979</v>
      </c>
      <c r="J4359" s="3">
        <v>41</v>
      </c>
      <c r="K4359" s="3">
        <v>2623139</v>
      </c>
    </row>
    <row r="4360" spans="1:11" x14ac:dyDescent="0.2">
      <c r="A4360" s="1" t="s">
        <v>5478</v>
      </c>
      <c r="B4360" s="2">
        <v>45665</v>
      </c>
      <c r="C4360" s="1" t="s">
        <v>1324</v>
      </c>
      <c r="D4360" s="1" t="s">
        <v>1325</v>
      </c>
      <c r="E4360" s="1" t="s">
        <v>34</v>
      </c>
      <c r="F4360" s="1" t="s">
        <v>189</v>
      </c>
      <c r="G4360" s="1" t="s">
        <v>190</v>
      </c>
      <c r="H4360" s="1" t="s">
        <v>17</v>
      </c>
      <c r="I4360">
        <v>78194</v>
      </c>
      <c r="J4360" s="3">
        <v>11.04</v>
      </c>
      <c r="K4360" s="3">
        <v>863261.76</v>
      </c>
    </row>
    <row r="4361" spans="1:11" x14ac:dyDescent="0.2">
      <c r="A4361" s="1" t="s">
        <v>5479</v>
      </c>
      <c r="B4361" s="2">
        <v>45677</v>
      </c>
      <c r="C4361" s="1" t="s">
        <v>1881</v>
      </c>
      <c r="D4361" s="1" t="s">
        <v>1882</v>
      </c>
      <c r="E4361" s="1" t="s">
        <v>34</v>
      </c>
      <c r="F4361" s="1" t="s">
        <v>510</v>
      </c>
      <c r="G4361" s="1" t="s">
        <v>511</v>
      </c>
      <c r="H4361" s="1" t="s">
        <v>17</v>
      </c>
      <c r="I4361">
        <v>60605</v>
      </c>
      <c r="J4361" s="3">
        <v>21.23</v>
      </c>
      <c r="K4361" s="3">
        <v>1286644.1499999999</v>
      </c>
    </row>
    <row r="4362" spans="1:11" x14ac:dyDescent="0.2">
      <c r="A4362" s="1" t="s">
        <v>5480</v>
      </c>
      <c r="B4362" s="2">
        <v>45426</v>
      </c>
      <c r="C4362" s="1" t="s">
        <v>276</v>
      </c>
      <c r="D4362" s="1" t="s">
        <v>277</v>
      </c>
      <c r="E4362" s="1" t="s">
        <v>34</v>
      </c>
      <c r="F4362" s="1" t="s">
        <v>263</v>
      </c>
      <c r="G4362" s="1" t="s">
        <v>264</v>
      </c>
      <c r="H4362" s="1" t="s">
        <v>17</v>
      </c>
      <c r="I4362">
        <v>96322</v>
      </c>
      <c r="J4362" s="3">
        <v>14.1</v>
      </c>
      <c r="K4362" s="3">
        <v>1358140.2</v>
      </c>
    </row>
    <row r="4363" spans="1:11" x14ac:dyDescent="0.2">
      <c r="A4363" s="1" t="s">
        <v>5481</v>
      </c>
      <c r="B4363" s="2">
        <v>45438</v>
      </c>
      <c r="C4363" s="1" t="s">
        <v>1630</v>
      </c>
      <c r="D4363" s="1" t="s">
        <v>1631</v>
      </c>
      <c r="E4363" s="1" t="s">
        <v>37</v>
      </c>
      <c r="F4363" s="1" t="s">
        <v>350</v>
      </c>
      <c r="G4363" s="1" t="s">
        <v>351</v>
      </c>
      <c r="H4363" s="1" t="s">
        <v>37</v>
      </c>
      <c r="I4363">
        <v>60915</v>
      </c>
      <c r="J4363" s="3">
        <v>2.64</v>
      </c>
      <c r="K4363" s="3">
        <v>160815.6</v>
      </c>
    </row>
    <row r="4364" spans="1:11" x14ac:dyDescent="0.2">
      <c r="A4364" s="1" t="s">
        <v>5482</v>
      </c>
      <c r="B4364" s="2">
        <v>45692</v>
      </c>
      <c r="C4364" s="1" t="s">
        <v>2807</v>
      </c>
      <c r="D4364" s="1" t="s">
        <v>2808</v>
      </c>
      <c r="E4364" s="1" t="s">
        <v>37</v>
      </c>
      <c r="F4364" s="1" t="s">
        <v>540</v>
      </c>
      <c r="G4364" s="1" t="s">
        <v>541</v>
      </c>
      <c r="H4364" s="1" t="s">
        <v>37</v>
      </c>
      <c r="I4364">
        <v>78171</v>
      </c>
      <c r="J4364" s="3">
        <v>10.039999999999999</v>
      </c>
      <c r="K4364" s="3">
        <v>784836.84</v>
      </c>
    </row>
    <row r="4365" spans="1:11" x14ac:dyDescent="0.2">
      <c r="A4365" s="1" t="s">
        <v>5483</v>
      </c>
      <c r="B4365" s="2">
        <v>46012</v>
      </c>
      <c r="C4365" s="1" t="s">
        <v>1149</v>
      </c>
      <c r="D4365" s="1" t="s">
        <v>1150</v>
      </c>
      <c r="E4365" s="1" t="s">
        <v>14</v>
      </c>
      <c r="F4365" s="1" t="s">
        <v>65</v>
      </c>
      <c r="G4365" s="1" t="s">
        <v>66</v>
      </c>
      <c r="H4365" s="1" t="s">
        <v>48</v>
      </c>
      <c r="I4365">
        <v>23497</v>
      </c>
      <c r="J4365" s="3">
        <v>48.47</v>
      </c>
      <c r="K4365" s="3">
        <v>1138899.5900000001</v>
      </c>
    </row>
    <row r="4366" spans="1:11" x14ac:dyDescent="0.2">
      <c r="A4366" s="1" t="s">
        <v>5484</v>
      </c>
      <c r="B4366" s="2">
        <v>45925</v>
      </c>
      <c r="C4366" s="1" t="s">
        <v>874</v>
      </c>
      <c r="D4366" s="1" t="s">
        <v>875</v>
      </c>
      <c r="E4366" s="1" t="s">
        <v>21</v>
      </c>
      <c r="F4366" s="1" t="s">
        <v>406</v>
      </c>
      <c r="G4366" s="1" t="s">
        <v>407</v>
      </c>
      <c r="H4366" s="1" t="s">
        <v>17</v>
      </c>
      <c r="I4366">
        <v>36209</v>
      </c>
      <c r="J4366" s="3">
        <v>19.47</v>
      </c>
      <c r="K4366" s="3">
        <v>704989.23</v>
      </c>
    </row>
    <row r="4367" spans="1:11" x14ac:dyDescent="0.2">
      <c r="A4367" s="1" t="s">
        <v>5485</v>
      </c>
      <c r="B4367" s="2">
        <v>45500</v>
      </c>
      <c r="C4367" s="1" t="s">
        <v>1220</v>
      </c>
      <c r="D4367" s="1" t="s">
        <v>1221</v>
      </c>
      <c r="E4367" s="1" t="s">
        <v>34</v>
      </c>
      <c r="F4367" s="1" t="s">
        <v>761</v>
      </c>
      <c r="G4367" s="1" t="s">
        <v>762</v>
      </c>
      <c r="H4367" s="1" t="s">
        <v>48</v>
      </c>
      <c r="I4367">
        <v>63873</v>
      </c>
      <c r="J4367" s="3">
        <v>37.79</v>
      </c>
      <c r="K4367" s="3">
        <v>2413760.67</v>
      </c>
    </row>
    <row r="4368" spans="1:11" x14ac:dyDescent="0.2">
      <c r="A4368" s="1" t="s">
        <v>5486</v>
      </c>
      <c r="B4368" s="2">
        <v>45873</v>
      </c>
      <c r="C4368" s="1" t="s">
        <v>1044</v>
      </c>
      <c r="D4368" s="1" t="s">
        <v>1045</v>
      </c>
      <c r="E4368" s="1" t="s">
        <v>14</v>
      </c>
      <c r="F4368" s="1" t="s">
        <v>76</v>
      </c>
      <c r="G4368" s="1" t="s">
        <v>77</v>
      </c>
      <c r="H4368" s="1" t="s">
        <v>48</v>
      </c>
      <c r="I4368">
        <v>87900</v>
      </c>
      <c r="J4368" s="3">
        <v>29.22</v>
      </c>
      <c r="K4368" s="3">
        <v>2568438</v>
      </c>
    </row>
    <row r="4369" spans="1:11" x14ac:dyDescent="0.2">
      <c r="A4369" s="1" t="s">
        <v>5487</v>
      </c>
      <c r="B4369" s="2">
        <v>45464</v>
      </c>
      <c r="C4369" s="1" t="s">
        <v>319</v>
      </c>
      <c r="D4369" s="1" t="s">
        <v>320</v>
      </c>
      <c r="E4369" s="1" t="s">
        <v>21</v>
      </c>
      <c r="F4369" s="1" t="s">
        <v>350</v>
      </c>
      <c r="G4369" s="1" t="s">
        <v>351</v>
      </c>
      <c r="H4369" s="1" t="s">
        <v>37</v>
      </c>
      <c r="I4369">
        <v>29569</v>
      </c>
      <c r="J4369" s="3">
        <v>11.07</v>
      </c>
      <c r="K4369" s="3">
        <v>327328.83</v>
      </c>
    </row>
    <row r="4370" spans="1:11" x14ac:dyDescent="0.2">
      <c r="A4370" s="1" t="s">
        <v>5488</v>
      </c>
      <c r="B4370" s="2">
        <v>45293</v>
      </c>
      <c r="C4370" s="1" t="s">
        <v>926</v>
      </c>
      <c r="D4370" s="1" t="s">
        <v>927</v>
      </c>
      <c r="E4370" s="1" t="s">
        <v>28</v>
      </c>
      <c r="F4370" s="1" t="s">
        <v>217</v>
      </c>
      <c r="G4370" s="1" t="s">
        <v>218</v>
      </c>
      <c r="H4370" s="1" t="s">
        <v>72</v>
      </c>
      <c r="I4370">
        <v>67995</v>
      </c>
      <c r="J4370" s="3">
        <v>33.729999999999997</v>
      </c>
      <c r="K4370" s="3">
        <v>2293471.35</v>
      </c>
    </row>
    <row r="4371" spans="1:11" x14ac:dyDescent="0.2">
      <c r="A4371" s="1" t="s">
        <v>5489</v>
      </c>
      <c r="B4371" s="2">
        <v>45572</v>
      </c>
      <c r="C4371" s="1" t="s">
        <v>664</v>
      </c>
      <c r="D4371" s="1" t="s">
        <v>665</v>
      </c>
      <c r="E4371" s="1" t="s">
        <v>21</v>
      </c>
      <c r="F4371" s="1" t="s">
        <v>65</v>
      </c>
      <c r="G4371" s="1" t="s">
        <v>66</v>
      </c>
      <c r="H4371" s="1" t="s">
        <v>48</v>
      </c>
      <c r="I4371">
        <v>3442</v>
      </c>
      <c r="J4371" s="3">
        <v>26.36</v>
      </c>
      <c r="K4371" s="3">
        <v>90731.12</v>
      </c>
    </row>
    <row r="4372" spans="1:11" x14ac:dyDescent="0.2">
      <c r="A4372" s="1" t="s">
        <v>5490</v>
      </c>
      <c r="B4372" s="2">
        <v>45344</v>
      </c>
      <c r="C4372" s="1" t="s">
        <v>1344</v>
      </c>
      <c r="D4372" s="1" t="s">
        <v>1345</v>
      </c>
      <c r="E4372" s="1" t="s">
        <v>34</v>
      </c>
      <c r="F4372" s="1" t="s">
        <v>208</v>
      </c>
      <c r="G4372" s="1" t="s">
        <v>209</v>
      </c>
      <c r="H4372" s="1" t="s">
        <v>17</v>
      </c>
      <c r="I4372">
        <v>32473</v>
      </c>
      <c r="J4372" s="3">
        <v>48.31</v>
      </c>
      <c r="K4372" s="3">
        <v>1568770.63</v>
      </c>
    </row>
    <row r="4373" spans="1:11" x14ac:dyDescent="0.2">
      <c r="A4373" s="1" t="s">
        <v>5491</v>
      </c>
      <c r="B4373" s="2">
        <v>46021</v>
      </c>
      <c r="C4373" s="1" t="s">
        <v>1388</v>
      </c>
      <c r="D4373" s="1" t="s">
        <v>1389</v>
      </c>
      <c r="E4373" s="1" t="s">
        <v>28</v>
      </c>
      <c r="F4373" s="1" t="s">
        <v>251</v>
      </c>
      <c r="G4373" s="1" t="s">
        <v>252</v>
      </c>
      <c r="H4373" s="1" t="s">
        <v>72</v>
      </c>
      <c r="I4373">
        <v>35280</v>
      </c>
      <c r="J4373" s="3">
        <v>8.1</v>
      </c>
      <c r="K4373" s="3">
        <v>285768</v>
      </c>
    </row>
    <row r="4374" spans="1:11" x14ac:dyDescent="0.2">
      <c r="A4374" s="1" t="s">
        <v>5492</v>
      </c>
      <c r="B4374" s="2">
        <v>45391</v>
      </c>
      <c r="C4374" s="1" t="s">
        <v>1268</v>
      </c>
      <c r="D4374" s="1" t="s">
        <v>1269</v>
      </c>
      <c r="E4374" s="1" t="s">
        <v>34</v>
      </c>
      <c r="F4374" s="1" t="s">
        <v>176</v>
      </c>
      <c r="G4374" s="1" t="s">
        <v>177</v>
      </c>
      <c r="H4374" s="1" t="s">
        <v>37</v>
      </c>
      <c r="I4374">
        <v>78989</v>
      </c>
      <c r="J4374" s="3">
        <v>18.05</v>
      </c>
      <c r="K4374" s="3">
        <v>1425751.45</v>
      </c>
    </row>
    <row r="4375" spans="1:11" x14ac:dyDescent="0.2">
      <c r="A4375" s="1" t="s">
        <v>5493</v>
      </c>
      <c r="B4375" s="2">
        <v>45591</v>
      </c>
      <c r="C4375" s="1" t="s">
        <v>2293</v>
      </c>
      <c r="D4375" s="1" t="s">
        <v>2294</v>
      </c>
      <c r="E4375" s="1" t="s">
        <v>34</v>
      </c>
      <c r="F4375" s="1" t="s">
        <v>203</v>
      </c>
      <c r="G4375" s="1" t="s">
        <v>204</v>
      </c>
      <c r="H4375" s="1" t="s">
        <v>72</v>
      </c>
      <c r="I4375">
        <v>54912</v>
      </c>
      <c r="J4375" s="3">
        <v>10.81</v>
      </c>
      <c r="K4375" s="3">
        <v>593598.71999999997</v>
      </c>
    </row>
    <row r="4376" spans="1:11" x14ac:dyDescent="0.2">
      <c r="A4376" s="1" t="s">
        <v>5494</v>
      </c>
      <c r="B4376" s="2">
        <v>45647</v>
      </c>
      <c r="C4376" s="1" t="s">
        <v>2481</v>
      </c>
      <c r="D4376" s="1" t="s">
        <v>2482</v>
      </c>
      <c r="E4376" s="1" t="s">
        <v>21</v>
      </c>
      <c r="F4376" s="1" t="s">
        <v>176</v>
      </c>
      <c r="G4376" s="1" t="s">
        <v>177</v>
      </c>
      <c r="H4376" s="1" t="s">
        <v>37</v>
      </c>
      <c r="I4376">
        <v>81142</v>
      </c>
      <c r="J4376" s="3">
        <v>44.65</v>
      </c>
      <c r="K4376" s="3">
        <v>3622990.3</v>
      </c>
    </row>
    <row r="4377" spans="1:11" x14ac:dyDescent="0.2">
      <c r="A4377" s="1" t="s">
        <v>5495</v>
      </c>
      <c r="B4377" s="2">
        <v>45621</v>
      </c>
      <c r="C4377" s="1" t="s">
        <v>1340</v>
      </c>
      <c r="D4377" s="1" t="s">
        <v>1341</v>
      </c>
      <c r="E4377" s="1" t="s">
        <v>28</v>
      </c>
      <c r="F4377" s="1" t="s">
        <v>339</v>
      </c>
      <c r="G4377" s="1" t="s">
        <v>340</v>
      </c>
      <c r="H4377" s="1" t="s">
        <v>24</v>
      </c>
      <c r="I4377">
        <v>1826</v>
      </c>
      <c r="J4377" s="3">
        <v>23.62</v>
      </c>
      <c r="K4377" s="3">
        <v>43130.12</v>
      </c>
    </row>
    <row r="4378" spans="1:11" x14ac:dyDescent="0.2">
      <c r="A4378" s="1" t="s">
        <v>5496</v>
      </c>
      <c r="B4378" s="2">
        <v>45324</v>
      </c>
      <c r="C4378" s="1" t="s">
        <v>1082</v>
      </c>
      <c r="D4378" s="1" t="s">
        <v>1083</v>
      </c>
      <c r="E4378" s="1" t="s">
        <v>28</v>
      </c>
      <c r="F4378" s="1" t="s">
        <v>203</v>
      </c>
      <c r="G4378" s="1" t="s">
        <v>204</v>
      </c>
      <c r="H4378" s="1" t="s">
        <v>72</v>
      </c>
      <c r="I4378">
        <v>86122</v>
      </c>
      <c r="J4378" s="3">
        <v>39.17</v>
      </c>
      <c r="K4378" s="3">
        <v>3373398.74</v>
      </c>
    </row>
    <row r="4379" spans="1:11" x14ac:dyDescent="0.2">
      <c r="A4379" s="1" t="s">
        <v>5497</v>
      </c>
      <c r="B4379" s="2">
        <v>45968</v>
      </c>
      <c r="C4379" s="1" t="s">
        <v>2326</v>
      </c>
      <c r="D4379" s="1" t="s">
        <v>2327</v>
      </c>
      <c r="E4379" s="1" t="s">
        <v>37</v>
      </c>
      <c r="F4379" s="1" t="s">
        <v>176</v>
      </c>
      <c r="G4379" s="1" t="s">
        <v>177</v>
      </c>
      <c r="H4379" s="1" t="s">
        <v>37</v>
      </c>
      <c r="I4379">
        <v>5841</v>
      </c>
      <c r="J4379" s="3">
        <v>42.81</v>
      </c>
      <c r="K4379" s="3">
        <v>250053.21</v>
      </c>
    </row>
    <row r="4380" spans="1:11" x14ac:dyDescent="0.2">
      <c r="A4380" s="1" t="s">
        <v>5498</v>
      </c>
      <c r="B4380" s="2">
        <v>45492</v>
      </c>
      <c r="C4380" s="1" t="s">
        <v>2766</v>
      </c>
      <c r="D4380" s="1" t="s">
        <v>2767</v>
      </c>
      <c r="E4380" s="1" t="s">
        <v>37</v>
      </c>
      <c r="F4380" s="1" t="s">
        <v>41</v>
      </c>
      <c r="G4380" s="1" t="s">
        <v>42</v>
      </c>
      <c r="H4380" s="1" t="s">
        <v>24</v>
      </c>
      <c r="I4380">
        <v>73150</v>
      </c>
      <c r="J4380" s="3">
        <v>26.95</v>
      </c>
      <c r="K4380" s="3">
        <v>1971392.5</v>
      </c>
    </row>
    <row r="4381" spans="1:11" x14ac:dyDescent="0.2">
      <c r="A4381" s="1" t="s">
        <v>5499</v>
      </c>
      <c r="B4381" s="2">
        <v>45394</v>
      </c>
      <c r="C4381" s="1" t="s">
        <v>1105</v>
      </c>
      <c r="D4381" s="1" t="s">
        <v>1106</v>
      </c>
      <c r="E4381" s="1" t="s">
        <v>34</v>
      </c>
      <c r="F4381" s="1" t="s">
        <v>189</v>
      </c>
      <c r="G4381" s="1" t="s">
        <v>190</v>
      </c>
      <c r="H4381" s="1" t="s">
        <v>17</v>
      </c>
      <c r="I4381">
        <v>85750</v>
      </c>
      <c r="J4381" s="3">
        <v>10.91</v>
      </c>
      <c r="K4381" s="3">
        <v>935532.5</v>
      </c>
    </row>
    <row r="4382" spans="1:11" x14ac:dyDescent="0.2">
      <c r="A4382" s="1" t="s">
        <v>5500</v>
      </c>
      <c r="B4382" s="2">
        <v>45472</v>
      </c>
      <c r="C4382" s="1" t="s">
        <v>333</v>
      </c>
      <c r="D4382" s="1" t="s">
        <v>334</v>
      </c>
      <c r="E4382" s="1" t="s">
        <v>21</v>
      </c>
      <c r="F4382" s="1" t="s">
        <v>268</v>
      </c>
      <c r="G4382" s="1" t="s">
        <v>269</v>
      </c>
      <c r="H4382" s="1" t="s">
        <v>72</v>
      </c>
      <c r="I4382">
        <v>61938</v>
      </c>
      <c r="J4382" s="3">
        <v>10.210000000000001</v>
      </c>
      <c r="K4382" s="3">
        <v>632386.98</v>
      </c>
    </row>
    <row r="4383" spans="1:11" x14ac:dyDescent="0.2">
      <c r="A4383" s="1" t="s">
        <v>5501</v>
      </c>
      <c r="B4383" s="2">
        <v>45676</v>
      </c>
      <c r="C4383" s="1" t="s">
        <v>1867</v>
      </c>
      <c r="D4383" s="1" t="s">
        <v>1868</v>
      </c>
      <c r="E4383" s="1" t="s">
        <v>28</v>
      </c>
      <c r="F4383" s="1" t="s">
        <v>330</v>
      </c>
      <c r="G4383" s="1" t="s">
        <v>331</v>
      </c>
      <c r="H4383" s="1" t="s">
        <v>72</v>
      </c>
      <c r="I4383">
        <v>21452</v>
      </c>
      <c r="J4383" s="3">
        <v>40.049999999999997</v>
      </c>
      <c r="K4383" s="3">
        <v>859152.6</v>
      </c>
    </row>
    <row r="4384" spans="1:11" x14ac:dyDescent="0.2">
      <c r="A4384" s="1" t="s">
        <v>5502</v>
      </c>
      <c r="B4384" s="2">
        <v>45560</v>
      </c>
      <c r="C4384" s="1" t="s">
        <v>1197</v>
      </c>
      <c r="D4384" s="1" t="s">
        <v>1198</v>
      </c>
      <c r="E4384" s="1" t="s">
        <v>34</v>
      </c>
      <c r="F4384" s="1" t="s">
        <v>463</v>
      </c>
      <c r="G4384" s="1" t="s">
        <v>464</v>
      </c>
      <c r="H4384" s="1" t="s">
        <v>37</v>
      </c>
      <c r="I4384">
        <v>83475</v>
      </c>
      <c r="J4384" s="3">
        <v>32.729999999999997</v>
      </c>
      <c r="K4384" s="3">
        <v>2732136.75</v>
      </c>
    </row>
    <row r="4385" spans="1:11" x14ac:dyDescent="0.2">
      <c r="A4385" s="1" t="s">
        <v>5503</v>
      </c>
      <c r="B4385" s="2">
        <v>45388</v>
      </c>
      <c r="C4385" s="1" t="s">
        <v>2273</v>
      </c>
      <c r="D4385" s="1" t="s">
        <v>2274</v>
      </c>
      <c r="E4385" s="1" t="s">
        <v>28</v>
      </c>
      <c r="F4385" s="1" t="s">
        <v>139</v>
      </c>
      <c r="G4385" s="1" t="s">
        <v>140</v>
      </c>
      <c r="H4385" s="1" t="s">
        <v>24</v>
      </c>
      <c r="I4385">
        <v>62589</v>
      </c>
      <c r="J4385" s="3">
        <v>11.94</v>
      </c>
      <c r="K4385" s="3">
        <v>747312.66</v>
      </c>
    </row>
    <row r="4386" spans="1:11" x14ac:dyDescent="0.2">
      <c r="A4386" s="1" t="s">
        <v>5504</v>
      </c>
      <c r="B4386" s="2">
        <v>45908</v>
      </c>
      <c r="C4386" s="1" t="s">
        <v>32</v>
      </c>
      <c r="D4386" s="1" t="s">
        <v>33</v>
      </c>
      <c r="E4386" s="1" t="s">
        <v>34</v>
      </c>
      <c r="F4386" s="1" t="s">
        <v>228</v>
      </c>
      <c r="G4386" s="1" t="s">
        <v>229</v>
      </c>
      <c r="H4386" s="1" t="s">
        <v>48</v>
      </c>
      <c r="I4386">
        <v>55806</v>
      </c>
      <c r="J4386" s="3">
        <v>16.54</v>
      </c>
      <c r="K4386" s="3">
        <v>923031.24</v>
      </c>
    </row>
    <row r="4387" spans="1:11" x14ac:dyDescent="0.2">
      <c r="A4387" s="1" t="s">
        <v>5505</v>
      </c>
      <c r="B4387" s="2">
        <v>45689</v>
      </c>
      <c r="C4387" s="1" t="s">
        <v>2478</v>
      </c>
      <c r="D4387" s="1" t="s">
        <v>2479</v>
      </c>
      <c r="E4387" s="1" t="s">
        <v>37</v>
      </c>
      <c r="F4387" s="1" t="s">
        <v>29</v>
      </c>
      <c r="G4387" s="1" t="s">
        <v>30</v>
      </c>
      <c r="H4387" s="1" t="s">
        <v>24</v>
      </c>
      <c r="I4387">
        <v>63463</v>
      </c>
      <c r="J4387" s="3">
        <v>21.3</v>
      </c>
      <c r="K4387" s="3">
        <v>1351761.9</v>
      </c>
    </row>
    <row r="4388" spans="1:11" x14ac:dyDescent="0.2">
      <c r="A4388" s="1" t="s">
        <v>5506</v>
      </c>
      <c r="B4388" s="2">
        <v>45590</v>
      </c>
      <c r="C4388" s="1" t="s">
        <v>1393</v>
      </c>
      <c r="D4388" s="1" t="s">
        <v>1394</v>
      </c>
      <c r="E4388" s="1" t="s">
        <v>28</v>
      </c>
      <c r="F4388" s="1" t="s">
        <v>184</v>
      </c>
      <c r="G4388" s="1" t="s">
        <v>185</v>
      </c>
      <c r="H4388" s="1" t="s">
        <v>17</v>
      </c>
      <c r="I4388">
        <v>55118</v>
      </c>
      <c r="J4388" s="3">
        <v>36.909999999999997</v>
      </c>
      <c r="K4388" s="3">
        <v>2034405.38</v>
      </c>
    </row>
    <row r="4389" spans="1:11" x14ac:dyDescent="0.2">
      <c r="A4389" s="1" t="s">
        <v>5507</v>
      </c>
      <c r="B4389" s="2">
        <v>45556</v>
      </c>
      <c r="C4389" s="1" t="s">
        <v>93</v>
      </c>
      <c r="D4389" s="1" t="s">
        <v>94</v>
      </c>
      <c r="E4389" s="1" t="s">
        <v>34</v>
      </c>
      <c r="F4389" s="1" t="s">
        <v>228</v>
      </c>
      <c r="G4389" s="1" t="s">
        <v>229</v>
      </c>
      <c r="H4389" s="1" t="s">
        <v>48</v>
      </c>
      <c r="I4389">
        <v>53758</v>
      </c>
      <c r="J4389" s="3">
        <v>24.99</v>
      </c>
      <c r="K4389" s="3">
        <v>1343412.42</v>
      </c>
    </row>
    <row r="4390" spans="1:11" x14ac:dyDescent="0.2">
      <c r="A4390" s="1" t="s">
        <v>5508</v>
      </c>
      <c r="B4390" s="2">
        <v>45574</v>
      </c>
      <c r="C4390" s="1" t="s">
        <v>1449</v>
      </c>
      <c r="D4390" s="1" t="s">
        <v>1450</v>
      </c>
      <c r="E4390" s="1" t="s">
        <v>28</v>
      </c>
      <c r="F4390" s="1" t="s">
        <v>98</v>
      </c>
      <c r="G4390" s="1" t="s">
        <v>99</v>
      </c>
      <c r="H4390" s="1" t="s">
        <v>72</v>
      </c>
      <c r="I4390">
        <v>20947</v>
      </c>
      <c r="J4390" s="3">
        <v>31.43</v>
      </c>
      <c r="K4390" s="3">
        <v>658364.21</v>
      </c>
    </row>
    <row r="4391" spans="1:11" x14ac:dyDescent="0.2">
      <c r="A4391" s="1" t="s">
        <v>5509</v>
      </c>
      <c r="B4391" s="2">
        <v>45551</v>
      </c>
      <c r="C4391" s="1" t="s">
        <v>427</v>
      </c>
      <c r="D4391" s="1" t="s">
        <v>428</v>
      </c>
      <c r="E4391" s="1" t="s">
        <v>21</v>
      </c>
      <c r="F4391" s="1" t="s">
        <v>263</v>
      </c>
      <c r="G4391" s="1" t="s">
        <v>264</v>
      </c>
      <c r="H4391" s="1" t="s">
        <v>17</v>
      </c>
      <c r="I4391">
        <v>78034</v>
      </c>
      <c r="J4391" s="3">
        <v>21.72</v>
      </c>
      <c r="K4391" s="3">
        <v>1694898.48</v>
      </c>
    </row>
    <row r="4392" spans="1:11" x14ac:dyDescent="0.2">
      <c r="A4392" s="1" t="s">
        <v>5510</v>
      </c>
      <c r="B4392" s="2">
        <v>45944</v>
      </c>
      <c r="C4392" s="1" t="s">
        <v>1076</v>
      </c>
      <c r="D4392" s="1" t="s">
        <v>1077</v>
      </c>
      <c r="E4392" s="1" t="s">
        <v>34</v>
      </c>
      <c r="F4392" s="1" t="s">
        <v>103</v>
      </c>
      <c r="G4392" s="1" t="s">
        <v>104</v>
      </c>
      <c r="H4392" s="1" t="s">
        <v>37</v>
      </c>
      <c r="I4392">
        <v>49325</v>
      </c>
      <c r="J4392" s="3">
        <v>41.29</v>
      </c>
      <c r="K4392" s="3">
        <v>2036629.25</v>
      </c>
    </row>
    <row r="4393" spans="1:11" x14ac:dyDescent="0.2">
      <c r="A4393" s="1" t="s">
        <v>5511</v>
      </c>
      <c r="B4393" s="2">
        <v>45711</v>
      </c>
      <c r="C4393" s="1" t="s">
        <v>322</v>
      </c>
      <c r="D4393" s="1" t="s">
        <v>323</v>
      </c>
      <c r="E4393" s="1" t="s">
        <v>14</v>
      </c>
      <c r="F4393" s="1" t="s">
        <v>263</v>
      </c>
      <c r="G4393" s="1" t="s">
        <v>264</v>
      </c>
      <c r="H4393" s="1" t="s">
        <v>17</v>
      </c>
      <c r="I4393">
        <v>40973</v>
      </c>
      <c r="J4393" s="3">
        <v>6.38</v>
      </c>
      <c r="K4393" s="3">
        <v>261407.74</v>
      </c>
    </row>
    <row r="4394" spans="1:11" x14ac:dyDescent="0.2">
      <c r="A4394" s="1" t="s">
        <v>5512</v>
      </c>
      <c r="B4394" s="2">
        <v>45449</v>
      </c>
      <c r="C4394" s="1" t="s">
        <v>966</v>
      </c>
      <c r="D4394" s="1" t="s">
        <v>967</v>
      </c>
      <c r="E4394" s="1" t="s">
        <v>34</v>
      </c>
      <c r="F4394" s="1" t="s">
        <v>57</v>
      </c>
      <c r="G4394" s="1" t="s">
        <v>58</v>
      </c>
      <c r="H4394" s="1" t="s">
        <v>48</v>
      </c>
      <c r="I4394">
        <v>50876</v>
      </c>
      <c r="J4394" s="3">
        <v>14.59</v>
      </c>
      <c r="K4394" s="3">
        <v>742280.84</v>
      </c>
    </row>
    <row r="4395" spans="1:11" x14ac:dyDescent="0.2">
      <c r="A4395" s="1" t="s">
        <v>5513</v>
      </c>
      <c r="B4395" s="2">
        <v>45602</v>
      </c>
      <c r="C4395" s="1" t="s">
        <v>492</v>
      </c>
      <c r="D4395" s="1" t="s">
        <v>493</v>
      </c>
      <c r="E4395" s="1" t="s">
        <v>37</v>
      </c>
      <c r="F4395" s="1" t="s">
        <v>81</v>
      </c>
      <c r="G4395" s="1" t="s">
        <v>82</v>
      </c>
      <c r="H4395" s="1" t="s">
        <v>72</v>
      </c>
      <c r="I4395">
        <v>6618</v>
      </c>
      <c r="J4395" s="3">
        <v>8.16</v>
      </c>
      <c r="K4395" s="3">
        <v>54002.879999999997</v>
      </c>
    </row>
    <row r="4396" spans="1:11" x14ac:dyDescent="0.2">
      <c r="A4396" s="1" t="s">
        <v>5514</v>
      </c>
      <c r="B4396" s="2">
        <v>45393</v>
      </c>
      <c r="C4396" s="1" t="s">
        <v>1793</v>
      </c>
      <c r="D4396" s="1" t="s">
        <v>1794</v>
      </c>
      <c r="E4396" s="1" t="s">
        <v>37</v>
      </c>
      <c r="F4396" s="1" t="s">
        <v>52</v>
      </c>
      <c r="G4396" s="1" t="s">
        <v>53</v>
      </c>
      <c r="H4396" s="1" t="s">
        <v>17</v>
      </c>
      <c r="I4396">
        <v>21754</v>
      </c>
      <c r="J4396" s="3">
        <v>36.56</v>
      </c>
      <c r="K4396" s="3">
        <v>795326.24</v>
      </c>
    </row>
    <row r="4397" spans="1:11" x14ac:dyDescent="0.2">
      <c r="A4397" s="1" t="s">
        <v>5515</v>
      </c>
      <c r="B4397" s="2">
        <v>45935</v>
      </c>
      <c r="C4397" s="1" t="s">
        <v>409</v>
      </c>
      <c r="D4397" s="1" t="s">
        <v>410</v>
      </c>
      <c r="E4397" s="1" t="s">
        <v>14</v>
      </c>
      <c r="F4397" s="1" t="s">
        <v>81</v>
      </c>
      <c r="G4397" s="1" t="s">
        <v>82</v>
      </c>
      <c r="H4397" s="1" t="s">
        <v>72</v>
      </c>
      <c r="I4397">
        <v>75630</v>
      </c>
      <c r="J4397" s="3">
        <v>29.32</v>
      </c>
      <c r="K4397" s="3">
        <v>2217471.6</v>
      </c>
    </row>
    <row r="4398" spans="1:11" x14ac:dyDescent="0.2">
      <c r="A4398" s="1" t="s">
        <v>5516</v>
      </c>
      <c r="B4398" s="2">
        <v>45458</v>
      </c>
      <c r="C4398" s="1" t="s">
        <v>1885</v>
      </c>
      <c r="D4398" s="1" t="s">
        <v>1886</v>
      </c>
      <c r="E4398" s="1" t="s">
        <v>28</v>
      </c>
      <c r="F4398" s="1" t="s">
        <v>139</v>
      </c>
      <c r="G4398" s="1" t="s">
        <v>140</v>
      </c>
      <c r="H4398" s="1" t="s">
        <v>24</v>
      </c>
      <c r="I4398">
        <v>26223</v>
      </c>
      <c r="J4398" s="3">
        <v>4.68</v>
      </c>
      <c r="K4398" s="3">
        <v>122723.64</v>
      </c>
    </row>
    <row r="4399" spans="1:11" x14ac:dyDescent="0.2">
      <c r="A4399" s="1" t="s">
        <v>5517</v>
      </c>
      <c r="B4399" s="2">
        <v>45559</v>
      </c>
      <c r="C4399" s="1" t="s">
        <v>767</v>
      </c>
      <c r="D4399" s="1" t="s">
        <v>768</v>
      </c>
      <c r="E4399" s="1" t="s">
        <v>28</v>
      </c>
      <c r="F4399" s="1" t="s">
        <v>330</v>
      </c>
      <c r="G4399" s="1" t="s">
        <v>331</v>
      </c>
      <c r="H4399" s="1" t="s">
        <v>72</v>
      </c>
      <c r="I4399">
        <v>57521</v>
      </c>
      <c r="J4399" s="3">
        <v>11.09</v>
      </c>
      <c r="K4399" s="3">
        <v>637907.89</v>
      </c>
    </row>
    <row r="4400" spans="1:11" x14ac:dyDescent="0.2">
      <c r="A4400" s="1" t="s">
        <v>5518</v>
      </c>
      <c r="B4400" s="2">
        <v>46020</v>
      </c>
      <c r="C4400" s="1" t="s">
        <v>1004</v>
      </c>
      <c r="D4400" s="1" t="s">
        <v>1005</v>
      </c>
      <c r="E4400" s="1" t="s">
        <v>21</v>
      </c>
      <c r="F4400" s="1" t="s">
        <v>184</v>
      </c>
      <c r="G4400" s="1" t="s">
        <v>185</v>
      </c>
      <c r="H4400" s="1" t="s">
        <v>17</v>
      </c>
      <c r="I4400">
        <v>51760</v>
      </c>
      <c r="J4400" s="3">
        <v>30.73</v>
      </c>
      <c r="K4400" s="3">
        <v>1590584.8</v>
      </c>
    </row>
    <row r="4401" spans="1:11" x14ac:dyDescent="0.2">
      <c r="A4401" s="1" t="s">
        <v>5519</v>
      </c>
      <c r="B4401" s="2">
        <v>45355</v>
      </c>
      <c r="C4401" s="1" t="s">
        <v>1793</v>
      </c>
      <c r="D4401" s="1" t="s">
        <v>1794</v>
      </c>
      <c r="E4401" s="1" t="s">
        <v>37</v>
      </c>
      <c r="F4401" s="1" t="s">
        <v>330</v>
      </c>
      <c r="G4401" s="1" t="s">
        <v>331</v>
      </c>
      <c r="H4401" s="1" t="s">
        <v>72</v>
      </c>
      <c r="I4401">
        <v>79292</v>
      </c>
      <c r="J4401" s="3">
        <v>47.63</v>
      </c>
      <c r="K4401" s="3">
        <v>3776677.96</v>
      </c>
    </row>
    <row r="4402" spans="1:11" x14ac:dyDescent="0.2">
      <c r="A4402" s="1" t="s">
        <v>5520</v>
      </c>
      <c r="B4402" s="2">
        <v>46017</v>
      </c>
      <c r="C4402" s="1" t="s">
        <v>2128</v>
      </c>
      <c r="D4402" s="1" t="s">
        <v>2129</v>
      </c>
      <c r="E4402" s="1" t="s">
        <v>37</v>
      </c>
      <c r="F4402" s="1" t="s">
        <v>195</v>
      </c>
      <c r="G4402" s="1" t="s">
        <v>196</v>
      </c>
      <c r="H4402" s="1" t="s">
        <v>48</v>
      </c>
      <c r="I4402">
        <v>61697</v>
      </c>
      <c r="J4402" s="3">
        <v>24.35</v>
      </c>
      <c r="K4402" s="3">
        <v>1502321.95</v>
      </c>
    </row>
    <row r="4403" spans="1:11" x14ac:dyDescent="0.2">
      <c r="A4403" s="1" t="s">
        <v>5521</v>
      </c>
      <c r="B4403" s="2">
        <v>45506</v>
      </c>
      <c r="C4403" s="1" t="s">
        <v>2991</v>
      </c>
      <c r="D4403" s="1" t="s">
        <v>2992</v>
      </c>
      <c r="E4403" s="1" t="s">
        <v>37</v>
      </c>
      <c r="F4403" s="1" t="s">
        <v>761</v>
      </c>
      <c r="G4403" s="1" t="s">
        <v>762</v>
      </c>
      <c r="H4403" s="1" t="s">
        <v>48</v>
      </c>
      <c r="I4403">
        <v>18312</v>
      </c>
      <c r="J4403" s="3">
        <v>46.63</v>
      </c>
      <c r="K4403" s="3">
        <v>853888.56</v>
      </c>
    </row>
    <row r="4404" spans="1:11" x14ac:dyDescent="0.2">
      <c r="A4404" s="1" t="s">
        <v>5522</v>
      </c>
      <c r="B4404" s="2">
        <v>45517</v>
      </c>
      <c r="C4404" s="1" t="s">
        <v>1272</v>
      </c>
      <c r="D4404" s="1" t="s">
        <v>1273</v>
      </c>
      <c r="E4404" s="1" t="s">
        <v>34</v>
      </c>
      <c r="F4404" s="1" t="s">
        <v>144</v>
      </c>
      <c r="G4404" s="1" t="s">
        <v>145</v>
      </c>
      <c r="H4404" s="1" t="s">
        <v>24</v>
      </c>
      <c r="I4404">
        <v>90817</v>
      </c>
      <c r="J4404" s="3">
        <v>33.67</v>
      </c>
      <c r="K4404" s="3">
        <v>3057808.39</v>
      </c>
    </row>
    <row r="4405" spans="1:11" x14ac:dyDescent="0.2">
      <c r="A4405" s="1" t="s">
        <v>5523</v>
      </c>
      <c r="B4405" s="2">
        <v>45934</v>
      </c>
      <c r="C4405" s="1" t="s">
        <v>526</v>
      </c>
      <c r="D4405" s="1" t="s">
        <v>527</v>
      </c>
      <c r="E4405" s="1" t="s">
        <v>34</v>
      </c>
      <c r="F4405" s="1" t="s">
        <v>406</v>
      </c>
      <c r="G4405" s="1" t="s">
        <v>407</v>
      </c>
      <c r="H4405" s="1" t="s">
        <v>17</v>
      </c>
      <c r="I4405">
        <v>37801</v>
      </c>
      <c r="J4405" s="3">
        <v>33.65</v>
      </c>
      <c r="K4405" s="3">
        <v>1272003.6499999999</v>
      </c>
    </row>
    <row r="4406" spans="1:11" x14ac:dyDescent="0.2">
      <c r="A4406" s="1" t="s">
        <v>5524</v>
      </c>
      <c r="B4406" s="2">
        <v>45516</v>
      </c>
      <c r="C4406" s="1" t="s">
        <v>1994</v>
      </c>
      <c r="D4406" s="1" t="s">
        <v>1995</v>
      </c>
      <c r="E4406" s="1" t="s">
        <v>28</v>
      </c>
      <c r="F4406" s="1" t="s">
        <v>458</v>
      </c>
      <c r="G4406" s="1" t="s">
        <v>459</v>
      </c>
      <c r="H4406" s="1" t="s">
        <v>72</v>
      </c>
      <c r="I4406">
        <v>10971</v>
      </c>
      <c r="J4406" s="3">
        <v>42.59</v>
      </c>
      <c r="K4406" s="3">
        <v>467254.89</v>
      </c>
    </row>
    <row r="4407" spans="1:11" x14ac:dyDescent="0.2">
      <c r="A4407" s="1" t="s">
        <v>5525</v>
      </c>
      <c r="B4407" s="2">
        <v>45642</v>
      </c>
      <c r="C4407" s="1" t="s">
        <v>431</v>
      </c>
      <c r="D4407" s="1" t="s">
        <v>432</v>
      </c>
      <c r="E4407" s="1" t="s">
        <v>14</v>
      </c>
      <c r="F4407" s="1" t="s">
        <v>394</v>
      </c>
      <c r="G4407" s="1" t="s">
        <v>395</v>
      </c>
      <c r="H4407" s="1" t="s">
        <v>48</v>
      </c>
      <c r="I4407">
        <v>6612</v>
      </c>
      <c r="J4407" s="3">
        <v>22.04</v>
      </c>
      <c r="K4407" s="3">
        <v>145728.48000000001</v>
      </c>
    </row>
    <row r="4408" spans="1:11" x14ac:dyDescent="0.2">
      <c r="A4408" s="1" t="s">
        <v>5526</v>
      </c>
      <c r="B4408" s="2">
        <v>45733</v>
      </c>
      <c r="C4408" s="1" t="s">
        <v>1547</v>
      </c>
      <c r="D4408" s="1" t="s">
        <v>1548</v>
      </c>
      <c r="E4408" s="1" t="s">
        <v>21</v>
      </c>
      <c r="F4408" s="1" t="s">
        <v>540</v>
      </c>
      <c r="G4408" s="1" t="s">
        <v>541</v>
      </c>
      <c r="H4408" s="1" t="s">
        <v>37</v>
      </c>
      <c r="I4408">
        <v>22010</v>
      </c>
      <c r="J4408" s="3">
        <v>48.12</v>
      </c>
      <c r="K4408" s="3">
        <v>1059121.2</v>
      </c>
    </row>
    <row r="4409" spans="1:11" x14ac:dyDescent="0.2">
      <c r="A4409" s="1" t="s">
        <v>5527</v>
      </c>
      <c r="B4409" s="2">
        <v>45871</v>
      </c>
      <c r="C4409" s="1" t="s">
        <v>1460</v>
      </c>
      <c r="D4409" s="1" t="s">
        <v>1461</v>
      </c>
      <c r="E4409" s="1" t="s">
        <v>37</v>
      </c>
      <c r="F4409" s="1" t="s">
        <v>458</v>
      </c>
      <c r="G4409" s="1" t="s">
        <v>459</v>
      </c>
      <c r="H4409" s="1" t="s">
        <v>72</v>
      </c>
      <c r="I4409">
        <v>59289</v>
      </c>
      <c r="J4409" s="3">
        <v>27.78</v>
      </c>
      <c r="K4409" s="3">
        <v>1647048.42</v>
      </c>
    </row>
    <row r="4410" spans="1:11" x14ac:dyDescent="0.2">
      <c r="A4410" s="1" t="s">
        <v>5528</v>
      </c>
      <c r="B4410" s="2">
        <v>45409</v>
      </c>
      <c r="C4410" s="1" t="s">
        <v>215</v>
      </c>
      <c r="D4410" s="1" t="s">
        <v>216</v>
      </c>
      <c r="E4410" s="1" t="s">
        <v>21</v>
      </c>
      <c r="F4410" s="1" t="s">
        <v>165</v>
      </c>
      <c r="G4410" s="1" t="s">
        <v>166</v>
      </c>
      <c r="H4410" s="1" t="s">
        <v>24</v>
      </c>
      <c r="I4410">
        <v>53340</v>
      </c>
      <c r="J4410" s="3">
        <v>16.149999999999999</v>
      </c>
      <c r="K4410" s="3">
        <v>861441</v>
      </c>
    </row>
    <row r="4411" spans="1:11" x14ac:dyDescent="0.2">
      <c r="A4411" s="1" t="s">
        <v>5529</v>
      </c>
      <c r="B4411" s="2">
        <v>45706</v>
      </c>
      <c r="C4411" s="1" t="s">
        <v>1011</v>
      </c>
      <c r="D4411" s="1" t="s">
        <v>1012</v>
      </c>
      <c r="E4411" s="1" t="s">
        <v>21</v>
      </c>
      <c r="F4411" s="1" t="s">
        <v>46</v>
      </c>
      <c r="G4411" s="1" t="s">
        <v>47</v>
      </c>
      <c r="H4411" s="1" t="s">
        <v>48</v>
      </c>
      <c r="I4411">
        <v>44604</v>
      </c>
      <c r="J4411" s="3">
        <v>23.92</v>
      </c>
      <c r="K4411" s="3">
        <v>1066927.68</v>
      </c>
    </row>
    <row r="4412" spans="1:11" x14ac:dyDescent="0.2">
      <c r="A4412" s="1" t="s">
        <v>5530</v>
      </c>
      <c r="B4412" s="2">
        <v>45651</v>
      </c>
      <c r="C4412" s="1" t="s">
        <v>472</v>
      </c>
      <c r="D4412" s="1" t="s">
        <v>473</v>
      </c>
      <c r="E4412" s="1" t="s">
        <v>14</v>
      </c>
      <c r="F4412" s="1" t="s">
        <v>208</v>
      </c>
      <c r="G4412" s="1" t="s">
        <v>209</v>
      </c>
      <c r="H4412" s="1" t="s">
        <v>17</v>
      </c>
      <c r="I4412">
        <v>19454</v>
      </c>
      <c r="J4412" s="3">
        <v>46.84</v>
      </c>
      <c r="K4412" s="3">
        <v>911225.36</v>
      </c>
    </row>
    <row r="4413" spans="1:11" x14ac:dyDescent="0.2">
      <c r="A4413" s="1" t="s">
        <v>5531</v>
      </c>
      <c r="B4413" s="2">
        <v>45572</v>
      </c>
      <c r="C4413" s="1" t="s">
        <v>134</v>
      </c>
      <c r="D4413" s="1" t="s">
        <v>135</v>
      </c>
      <c r="E4413" s="1" t="s">
        <v>14</v>
      </c>
      <c r="F4413" s="1" t="s">
        <v>165</v>
      </c>
      <c r="G4413" s="1" t="s">
        <v>166</v>
      </c>
      <c r="H4413" s="1" t="s">
        <v>24</v>
      </c>
      <c r="I4413">
        <v>71540</v>
      </c>
      <c r="J4413" s="3">
        <v>26.33</v>
      </c>
      <c r="K4413" s="3">
        <v>1883648.2</v>
      </c>
    </row>
    <row r="4414" spans="1:11" x14ac:dyDescent="0.2">
      <c r="A4414" s="1" t="s">
        <v>5532</v>
      </c>
      <c r="B4414" s="2">
        <v>45302</v>
      </c>
      <c r="C4414" s="1" t="s">
        <v>481</v>
      </c>
      <c r="D4414" s="1" t="s">
        <v>482</v>
      </c>
      <c r="E4414" s="1" t="s">
        <v>34</v>
      </c>
      <c r="F4414" s="1" t="s">
        <v>273</v>
      </c>
      <c r="G4414" s="1" t="s">
        <v>274</v>
      </c>
      <c r="H4414" s="1" t="s">
        <v>24</v>
      </c>
      <c r="I4414">
        <v>78040</v>
      </c>
      <c r="J4414" s="3">
        <v>14.88</v>
      </c>
      <c r="K4414" s="3">
        <v>1161235.2</v>
      </c>
    </row>
    <row r="4415" spans="1:11" x14ac:dyDescent="0.2">
      <c r="A4415" s="1" t="s">
        <v>5533</v>
      </c>
      <c r="B4415" s="2">
        <v>45305</v>
      </c>
      <c r="C4415" s="1" t="s">
        <v>1197</v>
      </c>
      <c r="D4415" s="1" t="s">
        <v>1198</v>
      </c>
      <c r="E4415" s="1" t="s">
        <v>34</v>
      </c>
      <c r="F4415" s="1" t="s">
        <v>458</v>
      </c>
      <c r="G4415" s="1" t="s">
        <v>459</v>
      </c>
      <c r="H4415" s="1" t="s">
        <v>72</v>
      </c>
      <c r="I4415">
        <v>46278</v>
      </c>
      <c r="J4415" s="3">
        <v>13.06</v>
      </c>
      <c r="K4415" s="3">
        <v>604390.68000000005</v>
      </c>
    </row>
    <row r="4416" spans="1:11" x14ac:dyDescent="0.2">
      <c r="A4416" s="1" t="s">
        <v>5534</v>
      </c>
      <c r="B4416" s="2">
        <v>45446</v>
      </c>
      <c r="C4416" s="1" t="s">
        <v>415</v>
      </c>
      <c r="D4416" s="1" t="s">
        <v>416</v>
      </c>
      <c r="E4416" s="1" t="s">
        <v>14</v>
      </c>
      <c r="F4416" s="1" t="s">
        <v>29</v>
      </c>
      <c r="G4416" s="1" t="s">
        <v>30</v>
      </c>
      <c r="H4416" s="1" t="s">
        <v>24</v>
      </c>
      <c r="I4416">
        <v>34849</v>
      </c>
      <c r="J4416" s="3">
        <v>9.19</v>
      </c>
      <c r="K4416" s="3">
        <v>320262.31</v>
      </c>
    </row>
    <row r="4417" spans="1:11" x14ac:dyDescent="0.2">
      <c r="A4417" s="1" t="s">
        <v>5535</v>
      </c>
      <c r="B4417" s="2">
        <v>45846</v>
      </c>
      <c r="C4417" s="1" t="s">
        <v>4720</v>
      </c>
      <c r="D4417" s="1" t="s">
        <v>4721</v>
      </c>
      <c r="E4417" s="1" t="s">
        <v>37</v>
      </c>
      <c r="F4417" s="1" t="s">
        <v>263</v>
      </c>
      <c r="G4417" s="1" t="s">
        <v>264</v>
      </c>
      <c r="H4417" s="1" t="s">
        <v>17</v>
      </c>
      <c r="I4417">
        <v>32850</v>
      </c>
      <c r="J4417" s="3">
        <v>32.130000000000003</v>
      </c>
      <c r="K4417" s="3">
        <v>1055470.5</v>
      </c>
    </row>
    <row r="4418" spans="1:11" x14ac:dyDescent="0.2">
      <c r="A4418" s="1" t="s">
        <v>5536</v>
      </c>
      <c r="B4418" s="2">
        <v>45432</v>
      </c>
      <c r="C4418" s="1" t="s">
        <v>155</v>
      </c>
      <c r="D4418" s="1" t="s">
        <v>156</v>
      </c>
      <c r="E4418" s="1" t="s">
        <v>14</v>
      </c>
      <c r="F4418" s="1" t="s">
        <v>41</v>
      </c>
      <c r="G4418" s="1" t="s">
        <v>42</v>
      </c>
      <c r="H4418" s="1" t="s">
        <v>24</v>
      </c>
      <c r="I4418">
        <v>90833</v>
      </c>
      <c r="J4418" s="3">
        <v>37.76</v>
      </c>
      <c r="K4418" s="3">
        <v>3429854.08</v>
      </c>
    </row>
    <row r="4419" spans="1:11" x14ac:dyDescent="0.2">
      <c r="A4419" s="1" t="s">
        <v>5537</v>
      </c>
      <c r="B4419" s="2">
        <v>45656</v>
      </c>
      <c r="C4419" s="1" t="s">
        <v>1332</v>
      </c>
      <c r="D4419" s="1" t="s">
        <v>1333</v>
      </c>
      <c r="E4419" s="1" t="s">
        <v>34</v>
      </c>
      <c r="F4419" s="1" t="s">
        <v>510</v>
      </c>
      <c r="G4419" s="1" t="s">
        <v>511</v>
      </c>
      <c r="H4419" s="1" t="s">
        <v>17</v>
      </c>
      <c r="I4419">
        <v>37923</v>
      </c>
      <c r="J4419" s="3">
        <v>49.87</v>
      </c>
      <c r="K4419" s="3">
        <v>1891220.01</v>
      </c>
    </row>
    <row r="4420" spans="1:11" x14ac:dyDescent="0.2">
      <c r="A4420" s="1" t="s">
        <v>5538</v>
      </c>
      <c r="B4420" s="2">
        <v>45418</v>
      </c>
      <c r="C4420" s="1" t="s">
        <v>2011</v>
      </c>
      <c r="D4420" s="1" t="s">
        <v>2012</v>
      </c>
      <c r="E4420" s="1" t="s">
        <v>37</v>
      </c>
      <c r="F4420" s="1" t="s">
        <v>510</v>
      </c>
      <c r="G4420" s="1" t="s">
        <v>511</v>
      </c>
      <c r="H4420" s="1" t="s">
        <v>17</v>
      </c>
      <c r="I4420">
        <v>4905</v>
      </c>
      <c r="J4420" s="3">
        <v>5.46</v>
      </c>
      <c r="K4420" s="3">
        <v>26781.3</v>
      </c>
    </row>
    <row r="4421" spans="1:11" x14ac:dyDescent="0.2">
      <c r="A4421" s="1" t="s">
        <v>5539</v>
      </c>
      <c r="B4421" s="2">
        <v>45655</v>
      </c>
      <c r="C4421" s="1" t="s">
        <v>1679</v>
      </c>
      <c r="D4421" s="1" t="s">
        <v>1680</v>
      </c>
      <c r="E4421" s="1" t="s">
        <v>37</v>
      </c>
      <c r="F4421" s="1" t="s">
        <v>65</v>
      </c>
      <c r="G4421" s="1" t="s">
        <v>66</v>
      </c>
      <c r="H4421" s="1" t="s">
        <v>48</v>
      </c>
      <c r="I4421">
        <v>44932</v>
      </c>
      <c r="J4421" s="3">
        <v>33.700000000000003</v>
      </c>
      <c r="K4421" s="3">
        <v>1514208.4</v>
      </c>
    </row>
    <row r="4422" spans="1:11" x14ac:dyDescent="0.2">
      <c r="A4422" s="1" t="s">
        <v>5540</v>
      </c>
      <c r="B4422" s="2">
        <v>45684</v>
      </c>
      <c r="C4422" s="1" t="s">
        <v>945</v>
      </c>
      <c r="D4422" s="1" t="s">
        <v>946</v>
      </c>
      <c r="E4422" s="1" t="s">
        <v>14</v>
      </c>
      <c r="F4422" s="1" t="s">
        <v>65</v>
      </c>
      <c r="G4422" s="1" t="s">
        <v>66</v>
      </c>
      <c r="H4422" s="1" t="s">
        <v>48</v>
      </c>
      <c r="I4422">
        <v>35239</v>
      </c>
      <c r="J4422" s="3">
        <v>42.74</v>
      </c>
      <c r="K4422" s="3">
        <v>1506114.86</v>
      </c>
    </row>
    <row r="4423" spans="1:11" x14ac:dyDescent="0.2">
      <c r="A4423" s="1" t="s">
        <v>5541</v>
      </c>
      <c r="B4423" s="2">
        <v>45827</v>
      </c>
      <c r="C4423" s="1" t="s">
        <v>1446</v>
      </c>
      <c r="D4423" s="1" t="s">
        <v>1447</v>
      </c>
      <c r="E4423" s="1" t="s">
        <v>37</v>
      </c>
      <c r="F4423" s="1" t="s">
        <v>29</v>
      </c>
      <c r="G4423" s="1" t="s">
        <v>30</v>
      </c>
      <c r="H4423" s="1" t="s">
        <v>24</v>
      </c>
      <c r="I4423">
        <v>19592</v>
      </c>
      <c r="J4423" s="3">
        <v>29.11</v>
      </c>
      <c r="K4423" s="3">
        <v>570323.12</v>
      </c>
    </row>
    <row r="4424" spans="1:11" x14ac:dyDescent="0.2">
      <c r="A4424" s="1" t="s">
        <v>5542</v>
      </c>
      <c r="B4424" s="2">
        <v>45959</v>
      </c>
      <c r="C4424" s="1" t="s">
        <v>920</v>
      </c>
      <c r="D4424" s="1" t="s">
        <v>921</v>
      </c>
      <c r="E4424" s="1" t="s">
        <v>14</v>
      </c>
      <c r="F4424" s="1" t="s">
        <v>29</v>
      </c>
      <c r="G4424" s="1" t="s">
        <v>30</v>
      </c>
      <c r="H4424" s="1" t="s">
        <v>24</v>
      </c>
      <c r="I4424">
        <v>12712</v>
      </c>
      <c r="J4424" s="3">
        <v>11.44</v>
      </c>
      <c r="K4424" s="3">
        <v>145425.28</v>
      </c>
    </row>
    <row r="4425" spans="1:11" x14ac:dyDescent="0.2">
      <c r="A4425" s="1" t="s">
        <v>5543</v>
      </c>
      <c r="B4425" s="2">
        <v>45812</v>
      </c>
      <c r="C4425" s="1" t="s">
        <v>2270</v>
      </c>
      <c r="D4425" s="1" t="s">
        <v>2271</v>
      </c>
      <c r="E4425" s="1" t="s">
        <v>21</v>
      </c>
      <c r="F4425" s="1" t="s">
        <v>165</v>
      </c>
      <c r="G4425" s="1" t="s">
        <v>166</v>
      </c>
      <c r="H4425" s="1" t="s">
        <v>24</v>
      </c>
      <c r="I4425">
        <v>47922</v>
      </c>
      <c r="J4425" s="3">
        <v>5.72</v>
      </c>
      <c r="K4425" s="3">
        <v>274113.84000000003</v>
      </c>
    </row>
    <row r="4426" spans="1:11" x14ac:dyDescent="0.2">
      <c r="A4426" s="1" t="s">
        <v>5544</v>
      </c>
      <c r="B4426" s="2">
        <v>45637</v>
      </c>
      <c r="C4426" s="1" t="s">
        <v>1640</v>
      </c>
      <c r="D4426" s="1" t="s">
        <v>1641</v>
      </c>
      <c r="E4426" s="1" t="s">
        <v>28</v>
      </c>
      <c r="F4426" s="1" t="s">
        <v>52</v>
      </c>
      <c r="G4426" s="1" t="s">
        <v>53</v>
      </c>
      <c r="H4426" s="1" t="s">
        <v>17</v>
      </c>
      <c r="I4426">
        <v>34015</v>
      </c>
      <c r="J4426" s="3">
        <v>27.63</v>
      </c>
      <c r="K4426" s="3">
        <v>939834.45</v>
      </c>
    </row>
    <row r="4427" spans="1:11" x14ac:dyDescent="0.2">
      <c r="A4427" s="1" t="s">
        <v>5545</v>
      </c>
      <c r="B4427" s="2">
        <v>45661</v>
      </c>
      <c r="C4427" s="1" t="s">
        <v>529</v>
      </c>
      <c r="D4427" s="1" t="s">
        <v>530</v>
      </c>
      <c r="E4427" s="1" t="s">
        <v>34</v>
      </c>
      <c r="F4427" s="1" t="s">
        <v>458</v>
      </c>
      <c r="G4427" s="1" t="s">
        <v>459</v>
      </c>
      <c r="H4427" s="1" t="s">
        <v>72</v>
      </c>
      <c r="I4427">
        <v>12777</v>
      </c>
      <c r="J4427" s="3">
        <v>13.52</v>
      </c>
      <c r="K4427" s="3">
        <v>172745.04</v>
      </c>
    </row>
    <row r="4428" spans="1:11" x14ac:dyDescent="0.2">
      <c r="A4428" s="1" t="s">
        <v>5546</v>
      </c>
      <c r="B4428" s="2">
        <v>45873</v>
      </c>
      <c r="C4428" s="1" t="s">
        <v>223</v>
      </c>
      <c r="D4428" s="1" t="s">
        <v>224</v>
      </c>
      <c r="E4428" s="1" t="s">
        <v>28</v>
      </c>
      <c r="F4428" s="1" t="s">
        <v>412</v>
      </c>
      <c r="G4428" s="1" t="s">
        <v>413</v>
      </c>
      <c r="H4428" s="1" t="s">
        <v>72</v>
      </c>
      <c r="I4428">
        <v>33939</v>
      </c>
      <c r="J4428" s="3">
        <v>13.89</v>
      </c>
      <c r="K4428" s="3">
        <v>471412.71</v>
      </c>
    </row>
    <row r="4429" spans="1:11" x14ac:dyDescent="0.2">
      <c r="A4429" s="1" t="s">
        <v>5547</v>
      </c>
      <c r="B4429" s="2">
        <v>45721</v>
      </c>
      <c r="C4429" s="1" t="s">
        <v>2109</v>
      </c>
      <c r="D4429" s="1" t="s">
        <v>2110</v>
      </c>
      <c r="E4429" s="1" t="s">
        <v>28</v>
      </c>
      <c r="F4429" s="1" t="s">
        <v>81</v>
      </c>
      <c r="G4429" s="1" t="s">
        <v>82</v>
      </c>
      <c r="H4429" s="1" t="s">
        <v>72</v>
      </c>
      <c r="I4429">
        <v>78506</v>
      </c>
      <c r="J4429" s="3">
        <v>8.9700000000000006</v>
      </c>
      <c r="K4429" s="3">
        <v>704198.82</v>
      </c>
    </row>
    <row r="4430" spans="1:11" x14ac:dyDescent="0.2">
      <c r="A4430" s="1" t="s">
        <v>5548</v>
      </c>
      <c r="B4430" s="2">
        <v>45310</v>
      </c>
      <c r="C4430" s="1" t="s">
        <v>886</v>
      </c>
      <c r="D4430" s="1" t="s">
        <v>887</v>
      </c>
      <c r="E4430" s="1" t="s">
        <v>21</v>
      </c>
      <c r="F4430" s="1" t="s">
        <v>251</v>
      </c>
      <c r="G4430" s="1" t="s">
        <v>252</v>
      </c>
      <c r="H4430" s="1" t="s">
        <v>72</v>
      </c>
      <c r="I4430">
        <v>29677</v>
      </c>
      <c r="J4430" s="3">
        <v>47.1</v>
      </c>
      <c r="K4430" s="3">
        <v>1397786.7</v>
      </c>
    </row>
    <row r="4431" spans="1:11" x14ac:dyDescent="0.2">
      <c r="A4431" s="1" t="s">
        <v>5549</v>
      </c>
      <c r="B4431" s="2">
        <v>45631</v>
      </c>
      <c r="C4431" s="1" t="s">
        <v>220</v>
      </c>
      <c r="D4431" s="1" t="s">
        <v>221</v>
      </c>
      <c r="E4431" s="1" t="s">
        <v>21</v>
      </c>
      <c r="F4431" s="1" t="s">
        <v>98</v>
      </c>
      <c r="G4431" s="1" t="s">
        <v>99</v>
      </c>
      <c r="H4431" s="1" t="s">
        <v>72</v>
      </c>
      <c r="I4431">
        <v>29042</v>
      </c>
      <c r="J4431" s="3">
        <v>14.5</v>
      </c>
      <c r="K4431" s="3">
        <v>421109</v>
      </c>
    </row>
    <row r="4432" spans="1:11" x14ac:dyDescent="0.2">
      <c r="A4432" s="1" t="s">
        <v>5550</v>
      </c>
      <c r="B4432" s="2">
        <v>45756</v>
      </c>
      <c r="C4432" s="1" t="s">
        <v>851</v>
      </c>
      <c r="D4432" s="1" t="s">
        <v>852</v>
      </c>
      <c r="E4432" s="1" t="s">
        <v>21</v>
      </c>
      <c r="F4432" s="1" t="s">
        <v>228</v>
      </c>
      <c r="G4432" s="1" t="s">
        <v>229</v>
      </c>
      <c r="H4432" s="1" t="s">
        <v>48</v>
      </c>
      <c r="I4432">
        <v>59951</v>
      </c>
      <c r="J4432" s="3">
        <v>10.56</v>
      </c>
      <c r="K4432" s="3">
        <v>633082.56000000006</v>
      </c>
    </row>
    <row r="4433" spans="1:11" x14ac:dyDescent="0.2">
      <c r="A4433" s="1" t="s">
        <v>5551</v>
      </c>
      <c r="B4433" s="2">
        <v>45557</v>
      </c>
      <c r="C4433" s="1" t="s">
        <v>1854</v>
      </c>
      <c r="D4433" s="1" t="s">
        <v>1855</v>
      </c>
      <c r="E4433" s="1" t="s">
        <v>37</v>
      </c>
      <c r="F4433" s="1" t="s">
        <v>98</v>
      </c>
      <c r="G4433" s="1" t="s">
        <v>99</v>
      </c>
      <c r="H4433" s="1" t="s">
        <v>72</v>
      </c>
      <c r="I4433">
        <v>71996</v>
      </c>
      <c r="J4433" s="3">
        <v>12.52</v>
      </c>
      <c r="K4433" s="3">
        <v>901389.92</v>
      </c>
    </row>
    <row r="4434" spans="1:11" x14ac:dyDescent="0.2">
      <c r="A4434" s="1" t="s">
        <v>5552</v>
      </c>
      <c r="B4434" s="2">
        <v>45652</v>
      </c>
      <c r="C4434" s="1" t="s">
        <v>1666</v>
      </c>
      <c r="D4434" s="1" t="s">
        <v>1667</v>
      </c>
      <c r="E4434" s="1" t="s">
        <v>28</v>
      </c>
      <c r="F4434" s="1" t="s">
        <v>263</v>
      </c>
      <c r="G4434" s="1" t="s">
        <v>264</v>
      </c>
      <c r="H4434" s="1" t="s">
        <v>17</v>
      </c>
      <c r="I4434">
        <v>82221</v>
      </c>
      <c r="J4434" s="3">
        <v>44.74</v>
      </c>
      <c r="K4434" s="3">
        <v>3678567.54</v>
      </c>
    </row>
    <row r="4435" spans="1:11" x14ac:dyDescent="0.2">
      <c r="A4435" s="1" t="s">
        <v>5553</v>
      </c>
      <c r="B4435" s="2">
        <v>45413</v>
      </c>
      <c r="C4435" s="1" t="s">
        <v>1197</v>
      </c>
      <c r="D4435" s="1" t="s">
        <v>1198</v>
      </c>
      <c r="E4435" s="1" t="s">
        <v>34</v>
      </c>
      <c r="F4435" s="1" t="s">
        <v>65</v>
      </c>
      <c r="G4435" s="1" t="s">
        <v>66</v>
      </c>
      <c r="H4435" s="1" t="s">
        <v>48</v>
      </c>
      <c r="I4435">
        <v>78019</v>
      </c>
      <c r="J4435" s="3">
        <v>46.4</v>
      </c>
      <c r="K4435" s="3">
        <v>3620081.6</v>
      </c>
    </row>
    <row r="4436" spans="1:11" x14ac:dyDescent="0.2">
      <c r="A4436" s="1" t="s">
        <v>5554</v>
      </c>
      <c r="B4436" s="2">
        <v>45549</v>
      </c>
      <c r="C4436" s="1" t="s">
        <v>2273</v>
      </c>
      <c r="D4436" s="1" t="s">
        <v>2274</v>
      </c>
      <c r="E4436" s="1" t="s">
        <v>28</v>
      </c>
      <c r="F4436" s="1" t="s">
        <v>339</v>
      </c>
      <c r="G4436" s="1" t="s">
        <v>340</v>
      </c>
      <c r="H4436" s="1" t="s">
        <v>24</v>
      </c>
      <c r="I4436">
        <v>31000</v>
      </c>
      <c r="J4436" s="3">
        <v>3.54</v>
      </c>
      <c r="K4436" s="3">
        <v>109740</v>
      </c>
    </row>
    <row r="4437" spans="1:11" x14ac:dyDescent="0.2">
      <c r="A4437" s="1" t="s">
        <v>5555</v>
      </c>
      <c r="B4437" s="2">
        <v>45988</v>
      </c>
      <c r="C4437" s="1" t="s">
        <v>498</v>
      </c>
      <c r="D4437" s="1" t="s">
        <v>499</v>
      </c>
      <c r="E4437" s="1" t="s">
        <v>14</v>
      </c>
      <c r="F4437" s="1" t="s">
        <v>284</v>
      </c>
      <c r="G4437" s="1" t="s">
        <v>285</v>
      </c>
      <c r="H4437" s="1" t="s">
        <v>37</v>
      </c>
      <c r="I4437">
        <v>17475</v>
      </c>
      <c r="J4437" s="3">
        <v>45.43</v>
      </c>
      <c r="K4437" s="3">
        <v>793889.25</v>
      </c>
    </row>
    <row r="4438" spans="1:11" x14ac:dyDescent="0.2">
      <c r="A4438" s="1" t="s">
        <v>5556</v>
      </c>
      <c r="B4438" s="2">
        <v>45520</v>
      </c>
      <c r="C4438" s="1" t="s">
        <v>1652</v>
      </c>
      <c r="D4438" s="1" t="s">
        <v>1653</v>
      </c>
      <c r="E4438" s="1" t="s">
        <v>28</v>
      </c>
      <c r="F4438" s="1" t="s">
        <v>203</v>
      </c>
      <c r="G4438" s="1" t="s">
        <v>204</v>
      </c>
      <c r="H4438" s="1" t="s">
        <v>72</v>
      </c>
      <c r="I4438">
        <v>7343</v>
      </c>
      <c r="J4438" s="3">
        <v>3.3</v>
      </c>
      <c r="K4438" s="3">
        <v>24231.9</v>
      </c>
    </row>
    <row r="4439" spans="1:11" x14ac:dyDescent="0.2">
      <c r="A4439" s="1" t="s">
        <v>5557</v>
      </c>
      <c r="B4439" s="2">
        <v>45417</v>
      </c>
      <c r="C4439" s="1" t="s">
        <v>1117</v>
      </c>
      <c r="D4439" s="1" t="s">
        <v>1118</v>
      </c>
      <c r="E4439" s="1" t="s">
        <v>37</v>
      </c>
      <c r="F4439" s="1" t="s">
        <v>350</v>
      </c>
      <c r="G4439" s="1" t="s">
        <v>351</v>
      </c>
      <c r="H4439" s="1" t="s">
        <v>37</v>
      </c>
      <c r="I4439">
        <v>19876</v>
      </c>
      <c r="J4439" s="3">
        <v>36.46</v>
      </c>
      <c r="K4439" s="3">
        <v>724678.96</v>
      </c>
    </row>
    <row r="4440" spans="1:11" x14ac:dyDescent="0.2">
      <c r="A4440" s="1" t="s">
        <v>5558</v>
      </c>
      <c r="B4440" s="2">
        <v>45538</v>
      </c>
      <c r="C4440" s="1" t="s">
        <v>327</v>
      </c>
      <c r="D4440" s="1" t="s">
        <v>328</v>
      </c>
      <c r="E4440" s="1" t="s">
        <v>21</v>
      </c>
      <c r="F4440" s="1" t="s">
        <v>228</v>
      </c>
      <c r="G4440" s="1" t="s">
        <v>229</v>
      </c>
      <c r="H4440" s="1" t="s">
        <v>48</v>
      </c>
      <c r="I4440">
        <v>37043</v>
      </c>
      <c r="J4440" s="3">
        <v>10.039999999999999</v>
      </c>
      <c r="K4440" s="3">
        <v>371911.72</v>
      </c>
    </row>
    <row r="4441" spans="1:11" x14ac:dyDescent="0.2">
      <c r="A4441" s="1" t="s">
        <v>5559</v>
      </c>
      <c r="B4441" s="2">
        <v>45477</v>
      </c>
      <c r="C4441" s="1" t="s">
        <v>128</v>
      </c>
      <c r="D4441" s="1" t="s">
        <v>129</v>
      </c>
      <c r="E4441" s="1" t="s">
        <v>28</v>
      </c>
      <c r="F4441" s="1" t="s">
        <v>330</v>
      </c>
      <c r="G4441" s="1" t="s">
        <v>331</v>
      </c>
      <c r="H4441" s="1" t="s">
        <v>72</v>
      </c>
      <c r="I4441">
        <v>21901</v>
      </c>
      <c r="J4441" s="3">
        <v>33.520000000000003</v>
      </c>
      <c r="K4441" s="3">
        <v>734121.52</v>
      </c>
    </row>
    <row r="4442" spans="1:11" x14ac:dyDescent="0.2">
      <c r="A4442" s="1" t="s">
        <v>5560</v>
      </c>
      <c r="B4442" s="2">
        <v>45476</v>
      </c>
      <c r="C4442" s="1" t="s">
        <v>2273</v>
      </c>
      <c r="D4442" s="1" t="s">
        <v>2274</v>
      </c>
      <c r="E4442" s="1" t="s">
        <v>28</v>
      </c>
      <c r="F4442" s="1" t="s">
        <v>552</v>
      </c>
      <c r="G4442" s="1" t="s">
        <v>553</v>
      </c>
      <c r="H4442" s="1" t="s">
        <v>37</v>
      </c>
      <c r="I4442">
        <v>37871</v>
      </c>
      <c r="J4442" s="3">
        <v>5.84</v>
      </c>
      <c r="K4442" s="3">
        <v>221166.64</v>
      </c>
    </row>
    <row r="4443" spans="1:11" x14ac:dyDescent="0.2">
      <c r="A4443" s="1" t="s">
        <v>5561</v>
      </c>
      <c r="B4443" s="2">
        <v>45974</v>
      </c>
      <c r="C4443" s="1" t="s">
        <v>1647</v>
      </c>
      <c r="D4443" s="1" t="s">
        <v>1648</v>
      </c>
      <c r="E4443" s="1" t="s">
        <v>14</v>
      </c>
      <c r="F4443" s="1" t="s">
        <v>29</v>
      </c>
      <c r="G4443" s="1" t="s">
        <v>30</v>
      </c>
      <c r="H4443" s="1" t="s">
        <v>24</v>
      </c>
      <c r="I4443">
        <v>77091</v>
      </c>
      <c r="J4443" s="3">
        <v>30.59</v>
      </c>
      <c r="K4443" s="3">
        <v>2358213.69</v>
      </c>
    </row>
    <row r="4444" spans="1:11" x14ac:dyDescent="0.2">
      <c r="A4444" s="1" t="s">
        <v>5562</v>
      </c>
      <c r="B4444" s="2">
        <v>45912</v>
      </c>
      <c r="C4444" s="1" t="s">
        <v>87</v>
      </c>
      <c r="D4444" s="1" t="s">
        <v>88</v>
      </c>
      <c r="E4444" s="1" t="s">
        <v>14</v>
      </c>
      <c r="F4444" s="1" t="s">
        <v>108</v>
      </c>
      <c r="G4444" s="1" t="s">
        <v>109</v>
      </c>
      <c r="H4444" s="1" t="s">
        <v>37</v>
      </c>
      <c r="I4444">
        <v>73167</v>
      </c>
      <c r="J4444" s="3">
        <v>41.3</v>
      </c>
      <c r="K4444" s="3">
        <v>3021797.1</v>
      </c>
    </row>
    <row r="4445" spans="1:11" x14ac:dyDescent="0.2">
      <c r="A4445" s="1" t="s">
        <v>5563</v>
      </c>
      <c r="B4445" s="2">
        <v>45890</v>
      </c>
      <c r="C4445" s="1" t="s">
        <v>1797</v>
      </c>
      <c r="D4445" s="1" t="s">
        <v>1798</v>
      </c>
      <c r="E4445" s="1" t="s">
        <v>37</v>
      </c>
      <c r="F4445" s="1" t="s">
        <v>540</v>
      </c>
      <c r="G4445" s="1" t="s">
        <v>541</v>
      </c>
      <c r="H4445" s="1" t="s">
        <v>37</v>
      </c>
      <c r="I4445">
        <v>19761</v>
      </c>
      <c r="J4445" s="3">
        <v>24.91</v>
      </c>
      <c r="K4445" s="3">
        <v>492246.51</v>
      </c>
    </row>
    <row r="4446" spans="1:11" x14ac:dyDescent="0.2">
      <c r="A4446" s="1" t="s">
        <v>5564</v>
      </c>
      <c r="B4446" s="2">
        <v>45697</v>
      </c>
      <c r="C4446" s="1" t="s">
        <v>942</v>
      </c>
      <c r="D4446" s="1" t="s">
        <v>943</v>
      </c>
      <c r="E4446" s="1" t="s">
        <v>28</v>
      </c>
      <c r="F4446" s="1" t="s">
        <v>510</v>
      </c>
      <c r="G4446" s="1" t="s">
        <v>511</v>
      </c>
      <c r="H4446" s="1" t="s">
        <v>17</v>
      </c>
      <c r="I4446">
        <v>77433</v>
      </c>
      <c r="J4446" s="3">
        <v>48.01</v>
      </c>
      <c r="K4446" s="3">
        <v>3717558.33</v>
      </c>
    </row>
    <row r="4447" spans="1:11" x14ac:dyDescent="0.2">
      <c r="A4447" s="1" t="s">
        <v>5565</v>
      </c>
      <c r="B4447" s="2">
        <v>45942</v>
      </c>
      <c r="C4447" s="1" t="s">
        <v>1489</v>
      </c>
      <c r="D4447" s="1" t="s">
        <v>1490</v>
      </c>
      <c r="E4447" s="1" t="s">
        <v>37</v>
      </c>
      <c r="F4447" s="1" t="s">
        <v>113</v>
      </c>
      <c r="G4447" s="1" t="s">
        <v>114</v>
      </c>
      <c r="H4447" s="1" t="s">
        <v>37</v>
      </c>
      <c r="I4447">
        <v>34614</v>
      </c>
      <c r="J4447" s="3">
        <v>19.86</v>
      </c>
      <c r="K4447" s="3">
        <v>687434.04</v>
      </c>
    </row>
    <row r="4448" spans="1:11" x14ac:dyDescent="0.2">
      <c r="A4448" s="1" t="s">
        <v>5566</v>
      </c>
      <c r="B4448" s="2">
        <v>45816</v>
      </c>
      <c r="C4448" s="1" t="s">
        <v>137</v>
      </c>
      <c r="D4448" s="1" t="s">
        <v>138</v>
      </c>
      <c r="E4448" s="1" t="s">
        <v>37</v>
      </c>
      <c r="F4448" s="1" t="s">
        <v>552</v>
      </c>
      <c r="G4448" s="1" t="s">
        <v>553</v>
      </c>
      <c r="H4448" s="1" t="s">
        <v>37</v>
      </c>
      <c r="I4448">
        <v>43956</v>
      </c>
      <c r="J4448" s="3">
        <v>16.86</v>
      </c>
      <c r="K4448" s="3">
        <v>741098.16</v>
      </c>
    </row>
    <row r="4449" spans="1:11" x14ac:dyDescent="0.2">
      <c r="A4449" s="1" t="s">
        <v>5567</v>
      </c>
      <c r="B4449" s="2">
        <v>45552</v>
      </c>
      <c r="C4449" s="1" t="s">
        <v>19</v>
      </c>
      <c r="D4449" s="1" t="s">
        <v>20</v>
      </c>
      <c r="E4449" s="1" t="s">
        <v>21</v>
      </c>
      <c r="F4449" s="1" t="s">
        <v>139</v>
      </c>
      <c r="G4449" s="1" t="s">
        <v>140</v>
      </c>
      <c r="H4449" s="1" t="s">
        <v>24</v>
      </c>
      <c r="I4449">
        <v>67642</v>
      </c>
      <c r="J4449" s="3">
        <v>37.43</v>
      </c>
      <c r="K4449" s="3">
        <v>2531840.06</v>
      </c>
    </row>
    <row r="4450" spans="1:11" x14ac:dyDescent="0.2">
      <c r="A4450" s="1" t="s">
        <v>5568</v>
      </c>
      <c r="B4450" s="2">
        <v>45594</v>
      </c>
      <c r="C4450" s="1" t="s">
        <v>1563</v>
      </c>
      <c r="D4450" s="1" t="s">
        <v>1564</v>
      </c>
      <c r="E4450" s="1" t="s">
        <v>14</v>
      </c>
      <c r="F4450" s="1" t="s">
        <v>189</v>
      </c>
      <c r="G4450" s="1" t="s">
        <v>190</v>
      </c>
      <c r="H4450" s="1" t="s">
        <v>17</v>
      </c>
      <c r="I4450">
        <v>40134</v>
      </c>
      <c r="J4450" s="3">
        <v>41.98</v>
      </c>
      <c r="K4450" s="3">
        <v>1684825.32</v>
      </c>
    </row>
    <row r="4451" spans="1:11" x14ac:dyDescent="0.2">
      <c r="A4451" s="1" t="s">
        <v>5569</v>
      </c>
      <c r="B4451" s="2">
        <v>45910</v>
      </c>
      <c r="C4451" s="1" t="s">
        <v>628</v>
      </c>
      <c r="D4451" s="1" t="s">
        <v>629</v>
      </c>
      <c r="E4451" s="1" t="s">
        <v>14</v>
      </c>
      <c r="F4451" s="1" t="s">
        <v>208</v>
      </c>
      <c r="G4451" s="1" t="s">
        <v>209</v>
      </c>
      <c r="H4451" s="1" t="s">
        <v>17</v>
      </c>
      <c r="I4451">
        <v>55703</v>
      </c>
      <c r="J4451" s="3">
        <v>13.68</v>
      </c>
      <c r="K4451" s="3">
        <v>762017.04</v>
      </c>
    </row>
    <row r="4452" spans="1:11" x14ac:dyDescent="0.2">
      <c r="A4452" s="1" t="s">
        <v>5570</v>
      </c>
      <c r="B4452" s="2">
        <v>45574</v>
      </c>
      <c r="C4452" s="1" t="s">
        <v>1397</v>
      </c>
      <c r="D4452" s="1" t="s">
        <v>1398</v>
      </c>
      <c r="E4452" s="1" t="s">
        <v>14</v>
      </c>
      <c r="F4452" s="1" t="s">
        <v>57</v>
      </c>
      <c r="G4452" s="1" t="s">
        <v>58</v>
      </c>
      <c r="H4452" s="1" t="s">
        <v>48</v>
      </c>
      <c r="I4452">
        <v>66485</v>
      </c>
      <c r="J4452" s="3">
        <v>23.09</v>
      </c>
      <c r="K4452" s="3">
        <v>1535138.65</v>
      </c>
    </row>
    <row r="4453" spans="1:11" x14ac:dyDescent="0.2">
      <c r="A4453" s="1" t="s">
        <v>5571</v>
      </c>
      <c r="B4453" s="2">
        <v>45361</v>
      </c>
      <c r="C4453" s="1" t="s">
        <v>365</v>
      </c>
      <c r="D4453" s="1" t="s">
        <v>366</v>
      </c>
      <c r="E4453" s="1" t="s">
        <v>14</v>
      </c>
      <c r="F4453" s="1" t="s">
        <v>324</v>
      </c>
      <c r="G4453" s="1" t="s">
        <v>325</v>
      </c>
      <c r="H4453" s="1" t="s">
        <v>24</v>
      </c>
      <c r="I4453">
        <v>6240</v>
      </c>
      <c r="J4453" s="3">
        <v>40.880000000000003</v>
      </c>
      <c r="K4453" s="3">
        <v>255091.20000000001</v>
      </c>
    </row>
    <row r="4454" spans="1:11" x14ac:dyDescent="0.2">
      <c r="A4454" s="1" t="s">
        <v>5572</v>
      </c>
      <c r="B4454" s="2">
        <v>46001</v>
      </c>
      <c r="C4454" s="1" t="s">
        <v>759</v>
      </c>
      <c r="D4454" s="1" t="s">
        <v>760</v>
      </c>
      <c r="E4454" s="1" t="s">
        <v>37</v>
      </c>
      <c r="F4454" s="1" t="s">
        <v>46</v>
      </c>
      <c r="G4454" s="1" t="s">
        <v>47</v>
      </c>
      <c r="H4454" s="1" t="s">
        <v>48</v>
      </c>
      <c r="I4454">
        <v>8127</v>
      </c>
      <c r="J4454" s="3">
        <v>22.72</v>
      </c>
      <c r="K4454" s="3">
        <v>184645.44</v>
      </c>
    </row>
    <row r="4455" spans="1:11" x14ac:dyDescent="0.2">
      <c r="A4455" s="1" t="s">
        <v>5573</v>
      </c>
      <c r="B4455" s="2">
        <v>45465</v>
      </c>
      <c r="C4455" s="1" t="s">
        <v>926</v>
      </c>
      <c r="D4455" s="1" t="s">
        <v>927</v>
      </c>
      <c r="E4455" s="1" t="s">
        <v>28</v>
      </c>
      <c r="F4455" s="1" t="s">
        <v>552</v>
      </c>
      <c r="G4455" s="1" t="s">
        <v>553</v>
      </c>
      <c r="H4455" s="1" t="s">
        <v>37</v>
      </c>
      <c r="I4455">
        <v>92470</v>
      </c>
      <c r="J4455" s="3">
        <v>28.82</v>
      </c>
      <c r="K4455" s="3">
        <v>2664985.4</v>
      </c>
    </row>
    <row r="4456" spans="1:11" x14ac:dyDescent="0.2">
      <c r="A4456" s="1" t="s">
        <v>5574</v>
      </c>
      <c r="B4456" s="2">
        <v>45576</v>
      </c>
      <c r="C4456" s="1" t="s">
        <v>415</v>
      </c>
      <c r="D4456" s="1" t="s">
        <v>416</v>
      </c>
      <c r="E4456" s="1" t="s">
        <v>14</v>
      </c>
      <c r="F4456" s="1" t="s">
        <v>139</v>
      </c>
      <c r="G4456" s="1" t="s">
        <v>140</v>
      </c>
      <c r="H4456" s="1" t="s">
        <v>24</v>
      </c>
      <c r="I4456">
        <v>49035</v>
      </c>
      <c r="J4456" s="3">
        <v>22.82</v>
      </c>
      <c r="K4456" s="3">
        <v>1118978.7</v>
      </c>
    </row>
    <row r="4457" spans="1:11" x14ac:dyDescent="0.2">
      <c r="A4457" s="1" t="s">
        <v>5575</v>
      </c>
      <c r="B4457" s="2">
        <v>45499</v>
      </c>
      <c r="C4457" s="1" t="s">
        <v>2807</v>
      </c>
      <c r="D4457" s="1" t="s">
        <v>2808</v>
      </c>
      <c r="E4457" s="1" t="s">
        <v>37</v>
      </c>
      <c r="F4457" s="1" t="s">
        <v>15</v>
      </c>
      <c r="G4457" s="1" t="s">
        <v>16</v>
      </c>
      <c r="H4457" s="1" t="s">
        <v>17</v>
      </c>
      <c r="I4457">
        <v>20156</v>
      </c>
      <c r="J4457" s="3">
        <v>15.79</v>
      </c>
      <c r="K4457" s="3">
        <v>318263.24</v>
      </c>
    </row>
    <row r="4458" spans="1:11" x14ac:dyDescent="0.2">
      <c r="A4458" s="1" t="s">
        <v>5576</v>
      </c>
      <c r="B4458" s="2">
        <v>46019</v>
      </c>
      <c r="C4458" s="1" t="s">
        <v>502</v>
      </c>
      <c r="D4458" s="1" t="s">
        <v>503</v>
      </c>
      <c r="E4458" s="1" t="s">
        <v>14</v>
      </c>
      <c r="F4458" s="1" t="s">
        <v>103</v>
      </c>
      <c r="G4458" s="1" t="s">
        <v>104</v>
      </c>
      <c r="H4458" s="1" t="s">
        <v>37</v>
      </c>
      <c r="I4458">
        <v>20265</v>
      </c>
      <c r="J4458" s="3">
        <v>17.88</v>
      </c>
      <c r="K4458" s="3">
        <v>362338.2</v>
      </c>
    </row>
    <row r="4459" spans="1:11" x14ac:dyDescent="0.2">
      <c r="A4459" s="1" t="s">
        <v>5577</v>
      </c>
      <c r="B4459" s="2">
        <v>45549</v>
      </c>
      <c r="C4459" s="1" t="s">
        <v>1137</v>
      </c>
      <c r="D4459" s="1" t="s">
        <v>1138</v>
      </c>
      <c r="E4459" s="1" t="s">
        <v>21</v>
      </c>
      <c r="F4459" s="1" t="s">
        <v>157</v>
      </c>
      <c r="G4459" s="1" t="s">
        <v>158</v>
      </c>
      <c r="H4459" s="1" t="s">
        <v>48</v>
      </c>
      <c r="I4459">
        <v>48875</v>
      </c>
      <c r="J4459" s="3">
        <v>30.19</v>
      </c>
      <c r="K4459" s="3">
        <v>1475536.25</v>
      </c>
    </row>
    <row r="4460" spans="1:11" x14ac:dyDescent="0.2">
      <c r="A4460" s="1" t="s">
        <v>5578</v>
      </c>
      <c r="B4460" s="2">
        <v>45316</v>
      </c>
      <c r="C4460" s="1" t="s">
        <v>1789</v>
      </c>
      <c r="D4460" s="1" t="s">
        <v>1790</v>
      </c>
      <c r="E4460" s="1" t="s">
        <v>21</v>
      </c>
      <c r="F4460" s="1" t="s">
        <v>463</v>
      </c>
      <c r="G4460" s="1" t="s">
        <v>464</v>
      </c>
      <c r="H4460" s="1" t="s">
        <v>37</v>
      </c>
      <c r="I4460">
        <v>99760</v>
      </c>
      <c r="J4460" s="3">
        <v>46.58</v>
      </c>
      <c r="K4460" s="3">
        <v>4646820.8</v>
      </c>
    </row>
    <row r="4461" spans="1:11" x14ac:dyDescent="0.2">
      <c r="A4461" s="1" t="s">
        <v>5579</v>
      </c>
      <c r="B4461" s="2">
        <v>46020</v>
      </c>
      <c r="C4461" s="1" t="s">
        <v>794</v>
      </c>
      <c r="D4461" s="1" t="s">
        <v>795</v>
      </c>
      <c r="E4461" s="1" t="s">
        <v>28</v>
      </c>
      <c r="F4461" s="1" t="s">
        <v>273</v>
      </c>
      <c r="G4461" s="1" t="s">
        <v>274</v>
      </c>
      <c r="H4461" s="1" t="s">
        <v>24</v>
      </c>
      <c r="I4461">
        <v>54781</v>
      </c>
      <c r="J4461" s="3">
        <v>36.89</v>
      </c>
      <c r="K4461" s="3">
        <v>2020871.09</v>
      </c>
    </row>
    <row r="4462" spans="1:11" x14ac:dyDescent="0.2">
      <c r="A4462" s="1" t="s">
        <v>5580</v>
      </c>
      <c r="B4462" s="2">
        <v>45624</v>
      </c>
      <c r="C4462" s="1" t="s">
        <v>808</v>
      </c>
      <c r="D4462" s="1" t="s">
        <v>809</v>
      </c>
      <c r="E4462" s="1" t="s">
        <v>28</v>
      </c>
      <c r="F4462" s="1" t="s">
        <v>176</v>
      </c>
      <c r="G4462" s="1" t="s">
        <v>177</v>
      </c>
      <c r="H4462" s="1" t="s">
        <v>37</v>
      </c>
      <c r="I4462">
        <v>66924</v>
      </c>
      <c r="J4462" s="3">
        <v>48.77</v>
      </c>
      <c r="K4462" s="3">
        <v>3263883.48</v>
      </c>
    </row>
    <row r="4463" spans="1:11" x14ac:dyDescent="0.2">
      <c r="A4463" s="1" t="s">
        <v>5581</v>
      </c>
      <c r="B4463" s="2">
        <v>45413</v>
      </c>
      <c r="C4463" s="1" t="s">
        <v>1793</v>
      </c>
      <c r="D4463" s="1" t="s">
        <v>1794</v>
      </c>
      <c r="E4463" s="1" t="s">
        <v>37</v>
      </c>
      <c r="F4463" s="1" t="s">
        <v>324</v>
      </c>
      <c r="G4463" s="1" t="s">
        <v>325</v>
      </c>
      <c r="H4463" s="1" t="s">
        <v>24</v>
      </c>
      <c r="I4463">
        <v>34666</v>
      </c>
      <c r="J4463" s="3">
        <v>31.58</v>
      </c>
      <c r="K4463" s="3">
        <v>1094752.28</v>
      </c>
    </row>
    <row r="4464" spans="1:11" x14ac:dyDescent="0.2">
      <c r="A4464" s="1" t="s">
        <v>5582</v>
      </c>
      <c r="B4464" s="2">
        <v>45844</v>
      </c>
      <c r="C4464" s="1" t="s">
        <v>835</v>
      </c>
      <c r="D4464" s="1" t="s">
        <v>836</v>
      </c>
      <c r="E4464" s="1" t="s">
        <v>21</v>
      </c>
      <c r="F4464" s="1" t="s">
        <v>263</v>
      </c>
      <c r="G4464" s="1" t="s">
        <v>264</v>
      </c>
      <c r="H4464" s="1" t="s">
        <v>17</v>
      </c>
      <c r="I4464">
        <v>29976</v>
      </c>
      <c r="J4464" s="3">
        <v>8.66</v>
      </c>
      <c r="K4464" s="3">
        <v>259592.16</v>
      </c>
    </row>
    <row r="4465" spans="1:11" x14ac:dyDescent="0.2">
      <c r="A4465" s="1" t="s">
        <v>5583</v>
      </c>
      <c r="B4465" s="2">
        <v>45988</v>
      </c>
      <c r="C4465" s="1" t="s">
        <v>192</v>
      </c>
      <c r="D4465" s="1" t="s">
        <v>193</v>
      </c>
      <c r="E4465" s="1" t="s">
        <v>37</v>
      </c>
      <c r="F4465" s="1" t="s">
        <v>268</v>
      </c>
      <c r="G4465" s="1" t="s">
        <v>269</v>
      </c>
      <c r="H4465" s="1" t="s">
        <v>72</v>
      </c>
      <c r="I4465">
        <v>85045</v>
      </c>
      <c r="J4465" s="3">
        <v>46.15</v>
      </c>
      <c r="K4465" s="3">
        <v>3924826.75</v>
      </c>
    </row>
    <row r="4466" spans="1:11" x14ac:dyDescent="0.2">
      <c r="A4466" s="1" t="s">
        <v>5584</v>
      </c>
      <c r="B4466" s="2">
        <v>45534</v>
      </c>
      <c r="C4466" s="1" t="s">
        <v>702</v>
      </c>
      <c r="D4466" s="1" t="s">
        <v>703</v>
      </c>
      <c r="E4466" s="1" t="s">
        <v>34</v>
      </c>
      <c r="F4466" s="1" t="s">
        <v>52</v>
      </c>
      <c r="G4466" s="1" t="s">
        <v>53</v>
      </c>
      <c r="H4466" s="1" t="s">
        <v>17</v>
      </c>
      <c r="I4466">
        <v>40764</v>
      </c>
      <c r="J4466" s="3">
        <v>32.28</v>
      </c>
      <c r="K4466" s="3">
        <v>1315861.92</v>
      </c>
    </row>
    <row r="4467" spans="1:11" x14ac:dyDescent="0.2">
      <c r="A4467" s="1" t="s">
        <v>5585</v>
      </c>
      <c r="B4467" s="2">
        <v>45499</v>
      </c>
      <c r="C4467" s="1" t="s">
        <v>1446</v>
      </c>
      <c r="D4467" s="1" t="s">
        <v>1447</v>
      </c>
      <c r="E4467" s="1" t="s">
        <v>37</v>
      </c>
      <c r="F4467" s="1" t="s">
        <v>70</v>
      </c>
      <c r="G4467" s="1" t="s">
        <v>71</v>
      </c>
      <c r="H4467" s="1" t="s">
        <v>72</v>
      </c>
      <c r="I4467">
        <v>42922</v>
      </c>
      <c r="J4467" s="3">
        <v>46.91</v>
      </c>
      <c r="K4467" s="3">
        <v>2013471.02</v>
      </c>
    </row>
    <row r="4468" spans="1:11" x14ac:dyDescent="0.2">
      <c r="A4468" s="1" t="s">
        <v>5586</v>
      </c>
      <c r="B4468" s="2">
        <v>45547</v>
      </c>
      <c r="C4468" s="1" t="s">
        <v>84</v>
      </c>
      <c r="D4468" s="1" t="s">
        <v>85</v>
      </c>
      <c r="E4468" s="1" t="s">
        <v>28</v>
      </c>
      <c r="F4468" s="1" t="s">
        <v>57</v>
      </c>
      <c r="G4468" s="1" t="s">
        <v>58</v>
      </c>
      <c r="H4468" s="1" t="s">
        <v>48</v>
      </c>
      <c r="I4468">
        <v>93509</v>
      </c>
      <c r="J4468" s="3">
        <v>44.04</v>
      </c>
      <c r="K4468" s="3">
        <v>4118136.36</v>
      </c>
    </row>
    <row r="4469" spans="1:11" x14ac:dyDescent="0.2">
      <c r="A4469" s="1" t="s">
        <v>5587</v>
      </c>
      <c r="B4469" s="2">
        <v>45796</v>
      </c>
      <c r="C4469" s="1" t="s">
        <v>2121</v>
      </c>
      <c r="D4469" s="1" t="s">
        <v>2122</v>
      </c>
      <c r="E4469" s="1" t="s">
        <v>34</v>
      </c>
      <c r="F4469" s="1" t="s">
        <v>510</v>
      </c>
      <c r="G4469" s="1" t="s">
        <v>511</v>
      </c>
      <c r="H4469" s="1" t="s">
        <v>17</v>
      </c>
      <c r="I4469">
        <v>1521</v>
      </c>
      <c r="J4469" s="3">
        <v>35.729999999999997</v>
      </c>
      <c r="K4469" s="3">
        <v>54345.33</v>
      </c>
    </row>
    <row r="4470" spans="1:11" x14ac:dyDescent="0.2">
      <c r="A4470" s="1" t="s">
        <v>5588</v>
      </c>
      <c r="B4470" s="2">
        <v>45715</v>
      </c>
      <c r="C4470" s="1" t="s">
        <v>1340</v>
      </c>
      <c r="D4470" s="1" t="s">
        <v>1341</v>
      </c>
      <c r="E4470" s="1" t="s">
        <v>28</v>
      </c>
      <c r="F4470" s="1" t="s">
        <v>76</v>
      </c>
      <c r="G4470" s="1" t="s">
        <v>77</v>
      </c>
      <c r="H4470" s="1" t="s">
        <v>48</v>
      </c>
      <c r="I4470">
        <v>50766</v>
      </c>
      <c r="J4470" s="3">
        <v>20.22</v>
      </c>
      <c r="K4470" s="3">
        <v>1026488.52</v>
      </c>
    </row>
    <row r="4471" spans="1:11" x14ac:dyDescent="0.2">
      <c r="A4471" s="1" t="s">
        <v>5589</v>
      </c>
      <c r="B4471" s="2">
        <v>45441</v>
      </c>
      <c r="C4471" s="1" t="s">
        <v>1708</v>
      </c>
      <c r="D4471" s="1" t="s">
        <v>1709</v>
      </c>
      <c r="E4471" s="1" t="s">
        <v>14</v>
      </c>
      <c r="F4471" s="1" t="s">
        <v>41</v>
      </c>
      <c r="G4471" s="1" t="s">
        <v>42</v>
      </c>
      <c r="H4471" s="1" t="s">
        <v>24</v>
      </c>
      <c r="I4471">
        <v>54092</v>
      </c>
      <c r="J4471" s="3">
        <v>42.25</v>
      </c>
      <c r="K4471" s="3">
        <v>2285387</v>
      </c>
    </row>
    <row r="4472" spans="1:11" x14ac:dyDescent="0.2">
      <c r="A4472" s="1" t="s">
        <v>5590</v>
      </c>
      <c r="B4472" s="2">
        <v>45486</v>
      </c>
      <c r="C4472" s="1" t="s">
        <v>698</v>
      </c>
      <c r="D4472" s="1" t="s">
        <v>699</v>
      </c>
      <c r="E4472" s="1" t="s">
        <v>28</v>
      </c>
      <c r="F4472" s="1" t="s">
        <v>22</v>
      </c>
      <c r="G4472" s="1" t="s">
        <v>23</v>
      </c>
      <c r="H4472" s="1" t="s">
        <v>24</v>
      </c>
      <c r="I4472">
        <v>44437</v>
      </c>
      <c r="J4472" s="3">
        <v>12.17</v>
      </c>
      <c r="K4472" s="3">
        <v>540798.29</v>
      </c>
    </row>
    <row r="4473" spans="1:11" x14ac:dyDescent="0.2">
      <c r="A4473" s="1" t="s">
        <v>5591</v>
      </c>
      <c r="B4473" s="2">
        <v>45627</v>
      </c>
      <c r="C4473" s="1" t="s">
        <v>2181</v>
      </c>
      <c r="D4473" s="1" t="s">
        <v>2182</v>
      </c>
      <c r="E4473" s="1" t="s">
        <v>14</v>
      </c>
      <c r="F4473" s="1" t="s">
        <v>350</v>
      </c>
      <c r="G4473" s="1" t="s">
        <v>351</v>
      </c>
      <c r="H4473" s="1" t="s">
        <v>37</v>
      </c>
      <c r="I4473">
        <v>93320</v>
      </c>
      <c r="J4473" s="3">
        <v>38.67</v>
      </c>
      <c r="K4473" s="3">
        <v>3608684.4</v>
      </c>
    </row>
    <row r="4474" spans="1:11" x14ac:dyDescent="0.2">
      <c r="A4474" s="1" t="s">
        <v>5592</v>
      </c>
      <c r="B4474" s="2">
        <v>45932</v>
      </c>
      <c r="C4474" s="1" t="s">
        <v>532</v>
      </c>
      <c r="D4474" s="1" t="s">
        <v>533</v>
      </c>
      <c r="E4474" s="1" t="s">
        <v>28</v>
      </c>
      <c r="F4474" s="1" t="s">
        <v>237</v>
      </c>
      <c r="G4474" s="1" t="s">
        <v>238</v>
      </c>
      <c r="H4474" s="1" t="s">
        <v>17</v>
      </c>
      <c r="I4474">
        <v>94152</v>
      </c>
      <c r="J4474" s="3">
        <v>33.299999999999997</v>
      </c>
      <c r="K4474" s="3">
        <v>3135261.6</v>
      </c>
    </row>
    <row r="4475" spans="1:11" x14ac:dyDescent="0.2">
      <c r="A4475" s="1" t="s">
        <v>5593</v>
      </c>
      <c r="B4475" s="2">
        <v>45539</v>
      </c>
      <c r="C4475" s="1" t="s">
        <v>1999</v>
      </c>
      <c r="D4475" s="1" t="s">
        <v>2000</v>
      </c>
      <c r="E4475" s="1" t="s">
        <v>21</v>
      </c>
      <c r="F4475" s="1" t="s">
        <v>57</v>
      </c>
      <c r="G4475" s="1" t="s">
        <v>58</v>
      </c>
      <c r="H4475" s="1" t="s">
        <v>48</v>
      </c>
      <c r="I4475">
        <v>41579</v>
      </c>
      <c r="J4475" s="3">
        <v>25.87</v>
      </c>
      <c r="K4475" s="3">
        <v>1075648.73</v>
      </c>
    </row>
    <row r="4476" spans="1:11" x14ac:dyDescent="0.2">
      <c r="A4476" s="1" t="s">
        <v>5594</v>
      </c>
      <c r="B4476" s="2">
        <v>45303</v>
      </c>
      <c r="C4476" s="1" t="s">
        <v>2270</v>
      </c>
      <c r="D4476" s="1" t="s">
        <v>2271</v>
      </c>
      <c r="E4476" s="1" t="s">
        <v>21</v>
      </c>
      <c r="F4476" s="1" t="s">
        <v>208</v>
      </c>
      <c r="G4476" s="1" t="s">
        <v>209</v>
      </c>
      <c r="H4476" s="1" t="s">
        <v>17</v>
      </c>
      <c r="I4476">
        <v>91052</v>
      </c>
      <c r="J4476" s="3">
        <v>21.73</v>
      </c>
      <c r="K4476" s="3">
        <v>1978559.96</v>
      </c>
    </row>
    <row r="4477" spans="1:11" x14ac:dyDescent="0.2">
      <c r="A4477" s="1" t="s">
        <v>5595</v>
      </c>
      <c r="B4477" s="2">
        <v>45348</v>
      </c>
      <c r="C4477" s="1" t="s">
        <v>106</v>
      </c>
      <c r="D4477" s="1" t="s">
        <v>107</v>
      </c>
      <c r="E4477" s="1" t="s">
        <v>14</v>
      </c>
      <c r="F4477" s="1" t="s">
        <v>176</v>
      </c>
      <c r="G4477" s="1" t="s">
        <v>177</v>
      </c>
      <c r="H4477" s="1" t="s">
        <v>37</v>
      </c>
      <c r="I4477">
        <v>51396</v>
      </c>
      <c r="J4477" s="3">
        <v>8.18</v>
      </c>
      <c r="K4477" s="3">
        <v>420419.28</v>
      </c>
    </row>
    <row r="4478" spans="1:11" x14ac:dyDescent="0.2">
      <c r="A4478" s="1" t="s">
        <v>5596</v>
      </c>
      <c r="B4478" s="2">
        <v>45502</v>
      </c>
      <c r="C4478" s="1" t="s">
        <v>1247</v>
      </c>
      <c r="D4478" s="1" t="s">
        <v>1248</v>
      </c>
      <c r="E4478" s="1" t="s">
        <v>28</v>
      </c>
      <c r="F4478" s="1" t="s">
        <v>81</v>
      </c>
      <c r="G4478" s="1" t="s">
        <v>82</v>
      </c>
      <c r="H4478" s="1" t="s">
        <v>72</v>
      </c>
      <c r="I4478">
        <v>71058</v>
      </c>
      <c r="J4478" s="3">
        <v>18.989999999999998</v>
      </c>
      <c r="K4478" s="3">
        <v>1349391.42</v>
      </c>
    </row>
    <row r="4479" spans="1:11" x14ac:dyDescent="0.2">
      <c r="A4479" s="1" t="s">
        <v>5597</v>
      </c>
      <c r="B4479" s="2">
        <v>46000</v>
      </c>
      <c r="C4479" s="1" t="s">
        <v>1860</v>
      </c>
      <c r="D4479" s="1" t="s">
        <v>1861</v>
      </c>
      <c r="E4479" s="1" t="s">
        <v>21</v>
      </c>
      <c r="F4479" s="1" t="s">
        <v>144</v>
      </c>
      <c r="G4479" s="1" t="s">
        <v>145</v>
      </c>
      <c r="H4479" s="1" t="s">
        <v>24</v>
      </c>
      <c r="I4479">
        <v>52221</v>
      </c>
      <c r="J4479" s="3">
        <v>2.7</v>
      </c>
      <c r="K4479" s="3">
        <v>140996.70000000001</v>
      </c>
    </row>
    <row r="4480" spans="1:11" x14ac:dyDescent="0.2">
      <c r="A4480" s="1" t="s">
        <v>5598</v>
      </c>
      <c r="B4480" s="2">
        <v>45573</v>
      </c>
      <c r="C4480" s="1" t="s">
        <v>1550</v>
      </c>
      <c r="D4480" s="1" t="s">
        <v>1551</v>
      </c>
      <c r="E4480" s="1" t="s">
        <v>37</v>
      </c>
      <c r="F4480" s="1" t="s">
        <v>208</v>
      </c>
      <c r="G4480" s="1" t="s">
        <v>209</v>
      </c>
      <c r="H4480" s="1" t="s">
        <v>17</v>
      </c>
      <c r="I4480">
        <v>14538</v>
      </c>
      <c r="J4480" s="3">
        <v>26</v>
      </c>
      <c r="K4480" s="3">
        <v>377988</v>
      </c>
    </row>
    <row r="4481" spans="1:11" x14ac:dyDescent="0.2">
      <c r="A4481" s="1" t="s">
        <v>5599</v>
      </c>
      <c r="B4481" s="2">
        <v>45394</v>
      </c>
      <c r="C4481" s="1" t="s">
        <v>303</v>
      </c>
      <c r="D4481" s="1" t="s">
        <v>304</v>
      </c>
      <c r="E4481" s="1" t="s">
        <v>28</v>
      </c>
      <c r="F4481" s="1" t="s">
        <v>273</v>
      </c>
      <c r="G4481" s="1" t="s">
        <v>274</v>
      </c>
      <c r="H4481" s="1" t="s">
        <v>24</v>
      </c>
      <c r="I4481">
        <v>12345</v>
      </c>
      <c r="J4481" s="3">
        <v>30.43</v>
      </c>
      <c r="K4481" s="3">
        <v>375658.35</v>
      </c>
    </row>
    <row r="4482" spans="1:11" x14ac:dyDescent="0.2">
      <c r="A4482" s="1" t="s">
        <v>5600</v>
      </c>
      <c r="B4482" s="2">
        <v>45347</v>
      </c>
      <c r="C4482" s="1" t="s">
        <v>397</v>
      </c>
      <c r="D4482" s="1" t="s">
        <v>398</v>
      </c>
      <c r="E4482" s="1" t="s">
        <v>34</v>
      </c>
      <c r="F4482" s="1" t="s">
        <v>57</v>
      </c>
      <c r="G4482" s="1" t="s">
        <v>58</v>
      </c>
      <c r="H4482" s="1" t="s">
        <v>48</v>
      </c>
      <c r="I4482">
        <v>47840</v>
      </c>
      <c r="J4482" s="3">
        <v>10.47</v>
      </c>
      <c r="K4482" s="3">
        <v>500884.8</v>
      </c>
    </row>
    <row r="4483" spans="1:11" x14ac:dyDescent="0.2">
      <c r="A4483" s="1" t="s">
        <v>5601</v>
      </c>
      <c r="B4483" s="2">
        <v>45773</v>
      </c>
      <c r="C4483" s="1" t="s">
        <v>1949</v>
      </c>
      <c r="D4483" s="1" t="s">
        <v>1950</v>
      </c>
      <c r="E4483" s="1" t="s">
        <v>14</v>
      </c>
      <c r="F4483" s="1" t="s">
        <v>324</v>
      </c>
      <c r="G4483" s="1" t="s">
        <v>325</v>
      </c>
      <c r="H4483" s="1" t="s">
        <v>24</v>
      </c>
      <c r="I4483">
        <v>94792</v>
      </c>
      <c r="J4483" s="3">
        <v>48.3</v>
      </c>
      <c r="K4483" s="3">
        <v>4578453.5999999996</v>
      </c>
    </row>
    <row r="4484" spans="1:11" x14ac:dyDescent="0.2">
      <c r="A4484" s="1" t="s">
        <v>5602</v>
      </c>
      <c r="B4484" s="2">
        <v>45525</v>
      </c>
      <c r="C4484" s="1" t="s">
        <v>2766</v>
      </c>
      <c r="D4484" s="1" t="s">
        <v>2767</v>
      </c>
      <c r="E4484" s="1" t="s">
        <v>37</v>
      </c>
      <c r="F4484" s="1" t="s">
        <v>76</v>
      </c>
      <c r="G4484" s="1" t="s">
        <v>77</v>
      </c>
      <c r="H4484" s="1" t="s">
        <v>48</v>
      </c>
      <c r="I4484">
        <v>45197</v>
      </c>
      <c r="J4484" s="3">
        <v>11.03</v>
      </c>
      <c r="K4484" s="3">
        <v>498522.91</v>
      </c>
    </row>
    <row r="4485" spans="1:11" x14ac:dyDescent="0.2">
      <c r="A4485" s="1" t="s">
        <v>5603</v>
      </c>
      <c r="B4485" s="2">
        <v>45495</v>
      </c>
      <c r="C4485" s="1" t="s">
        <v>863</v>
      </c>
      <c r="D4485" s="1" t="s">
        <v>864</v>
      </c>
      <c r="E4485" s="1" t="s">
        <v>37</v>
      </c>
      <c r="F4485" s="1" t="s">
        <v>189</v>
      </c>
      <c r="G4485" s="1" t="s">
        <v>190</v>
      </c>
      <c r="H4485" s="1" t="s">
        <v>17</v>
      </c>
      <c r="I4485">
        <v>92350</v>
      </c>
      <c r="J4485" s="3">
        <v>4.8899999999999997</v>
      </c>
      <c r="K4485" s="3">
        <v>451591.5</v>
      </c>
    </row>
    <row r="4486" spans="1:11" x14ac:dyDescent="0.2">
      <c r="A4486" s="1" t="s">
        <v>5604</v>
      </c>
      <c r="B4486" s="2">
        <v>45633</v>
      </c>
      <c r="C4486" s="1" t="s">
        <v>826</v>
      </c>
      <c r="D4486" s="1" t="s">
        <v>827</v>
      </c>
      <c r="E4486" s="1" t="s">
        <v>37</v>
      </c>
      <c r="F4486" s="1" t="s">
        <v>463</v>
      </c>
      <c r="G4486" s="1" t="s">
        <v>464</v>
      </c>
      <c r="H4486" s="1" t="s">
        <v>37</v>
      </c>
      <c r="I4486">
        <v>62271</v>
      </c>
      <c r="J4486" s="3">
        <v>18.329999999999998</v>
      </c>
      <c r="K4486" s="3">
        <v>1141427.43</v>
      </c>
    </row>
    <row r="4487" spans="1:11" x14ac:dyDescent="0.2">
      <c r="A4487" s="1" t="s">
        <v>5605</v>
      </c>
      <c r="B4487" s="2">
        <v>46017</v>
      </c>
      <c r="C4487" s="1" t="s">
        <v>1244</v>
      </c>
      <c r="D4487" s="1" t="s">
        <v>1245</v>
      </c>
      <c r="E4487" s="1" t="s">
        <v>28</v>
      </c>
      <c r="F4487" s="1" t="s">
        <v>108</v>
      </c>
      <c r="G4487" s="1" t="s">
        <v>109</v>
      </c>
      <c r="H4487" s="1" t="s">
        <v>37</v>
      </c>
      <c r="I4487">
        <v>5131</v>
      </c>
      <c r="J4487" s="3">
        <v>14.87</v>
      </c>
      <c r="K4487" s="3">
        <v>76297.97</v>
      </c>
    </row>
    <row r="4488" spans="1:11" x14ac:dyDescent="0.2">
      <c r="A4488" s="1" t="s">
        <v>5606</v>
      </c>
      <c r="B4488" s="2">
        <v>45382</v>
      </c>
      <c r="C4488" s="1" t="s">
        <v>1125</v>
      </c>
      <c r="D4488" s="1" t="s">
        <v>1126</v>
      </c>
      <c r="E4488" s="1" t="s">
        <v>21</v>
      </c>
      <c r="F4488" s="1" t="s">
        <v>217</v>
      </c>
      <c r="G4488" s="1" t="s">
        <v>218</v>
      </c>
      <c r="H4488" s="1" t="s">
        <v>72</v>
      </c>
      <c r="I4488">
        <v>94452</v>
      </c>
      <c r="J4488" s="3">
        <v>36.82</v>
      </c>
      <c r="K4488" s="3">
        <v>3477722.64</v>
      </c>
    </row>
    <row r="4489" spans="1:11" x14ac:dyDescent="0.2">
      <c r="A4489" s="1" t="s">
        <v>5607</v>
      </c>
      <c r="B4489" s="2">
        <v>45574</v>
      </c>
      <c r="C4489" s="1" t="s">
        <v>1085</v>
      </c>
      <c r="D4489" s="1" t="s">
        <v>1086</v>
      </c>
      <c r="E4489" s="1" t="s">
        <v>14</v>
      </c>
      <c r="F4489" s="1" t="s">
        <v>65</v>
      </c>
      <c r="G4489" s="1" t="s">
        <v>66</v>
      </c>
      <c r="H4489" s="1" t="s">
        <v>48</v>
      </c>
      <c r="I4489">
        <v>88105</v>
      </c>
      <c r="J4489" s="3">
        <v>15.39</v>
      </c>
      <c r="K4489" s="3">
        <v>1355935.95</v>
      </c>
    </row>
    <row r="4490" spans="1:11" x14ac:dyDescent="0.2">
      <c r="A4490" s="1" t="s">
        <v>5608</v>
      </c>
      <c r="B4490" s="2">
        <v>46005</v>
      </c>
      <c r="C4490" s="1" t="s">
        <v>400</v>
      </c>
      <c r="D4490" s="1" t="s">
        <v>401</v>
      </c>
      <c r="E4490" s="1" t="s">
        <v>21</v>
      </c>
      <c r="F4490" s="1" t="s">
        <v>15</v>
      </c>
      <c r="G4490" s="1" t="s">
        <v>16</v>
      </c>
      <c r="H4490" s="1" t="s">
        <v>17</v>
      </c>
      <c r="I4490">
        <v>31274</v>
      </c>
      <c r="J4490" s="3">
        <v>17.09</v>
      </c>
      <c r="K4490" s="3">
        <v>534472.66</v>
      </c>
    </row>
    <row r="4491" spans="1:11" x14ac:dyDescent="0.2">
      <c r="A4491" s="1" t="s">
        <v>5609</v>
      </c>
      <c r="B4491" s="2">
        <v>45861</v>
      </c>
      <c r="C4491" s="1" t="s">
        <v>605</v>
      </c>
      <c r="D4491" s="1" t="s">
        <v>606</v>
      </c>
      <c r="E4491" s="1" t="s">
        <v>14</v>
      </c>
      <c r="F4491" s="1" t="s">
        <v>474</v>
      </c>
      <c r="G4491" s="1" t="s">
        <v>475</v>
      </c>
      <c r="H4491" s="1" t="s">
        <v>48</v>
      </c>
      <c r="I4491">
        <v>82098</v>
      </c>
      <c r="J4491" s="3">
        <v>42.59</v>
      </c>
      <c r="K4491" s="3">
        <v>3496553.82</v>
      </c>
    </row>
    <row r="4492" spans="1:11" x14ac:dyDescent="0.2">
      <c r="A4492" s="1" t="s">
        <v>5610</v>
      </c>
      <c r="B4492" s="2">
        <v>45866</v>
      </c>
      <c r="C4492" s="1" t="s">
        <v>1157</v>
      </c>
      <c r="D4492" s="1" t="s">
        <v>1158</v>
      </c>
      <c r="E4492" s="1" t="s">
        <v>28</v>
      </c>
      <c r="F4492" s="1" t="s">
        <v>184</v>
      </c>
      <c r="G4492" s="1" t="s">
        <v>185</v>
      </c>
      <c r="H4492" s="1" t="s">
        <v>17</v>
      </c>
      <c r="I4492">
        <v>20436</v>
      </c>
      <c r="J4492" s="3">
        <v>33.22</v>
      </c>
      <c r="K4492" s="3">
        <v>678883.92</v>
      </c>
    </row>
    <row r="4493" spans="1:11" x14ac:dyDescent="0.2">
      <c r="A4493" s="1" t="s">
        <v>5611</v>
      </c>
      <c r="B4493" s="2">
        <v>45588</v>
      </c>
      <c r="C4493" s="1" t="s">
        <v>1412</v>
      </c>
      <c r="D4493" s="1" t="s">
        <v>1413</v>
      </c>
      <c r="E4493" s="1" t="s">
        <v>37</v>
      </c>
      <c r="F4493" s="1" t="s">
        <v>324</v>
      </c>
      <c r="G4493" s="1" t="s">
        <v>325</v>
      </c>
      <c r="H4493" s="1" t="s">
        <v>24</v>
      </c>
      <c r="I4493">
        <v>99950</v>
      </c>
      <c r="J4493" s="3">
        <v>13.08</v>
      </c>
      <c r="K4493" s="3">
        <v>1307346</v>
      </c>
    </row>
    <row r="4494" spans="1:11" x14ac:dyDescent="0.2">
      <c r="A4494" s="1" t="s">
        <v>5612</v>
      </c>
      <c r="B4494" s="2">
        <v>45694</v>
      </c>
      <c r="C4494" s="1" t="s">
        <v>1781</v>
      </c>
      <c r="D4494" s="1" t="s">
        <v>1782</v>
      </c>
      <c r="E4494" s="1" t="s">
        <v>37</v>
      </c>
      <c r="F4494" s="1" t="s">
        <v>108</v>
      </c>
      <c r="G4494" s="1" t="s">
        <v>109</v>
      </c>
      <c r="H4494" s="1" t="s">
        <v>37</v>
      </c>
      <c r="I4494">
        <v>27798</v>
      </c>
      <c r="J4494" s="3">
        <v>10.35</v>
      </c>
      <c r="K4494" s="3">
        <v>287709.3</v>
      </c>
    </row>
    <row r="4495" spans="1:11" x14ac:dyDescent="0.2">
      <c r="A4495" s="1" t="s">
        <v>5613</v>
      </c>
      <c r="B4495" s="2">
        <v>45580</v>
      </c>
      <c r="C4495" s="1" t="s">
        <v>535</v>
      </c>
      <c r="D4495" s="1" t="s">
        <v>536</v>
      </c>
      <c r="E4495" s="1" t="s">
        <v>28</v>
      </c>
      <c r="F4495" s="1" t="s">
        <v>394</v>
      </c>
      <c r="G4495" s="1" t="s">
        <v>395</v>
      </c>
      <c r="H4495" s="1" t="s">
        <v>48</v>
      </c>
      <c r="I4495">
        <v>69756</v>
      </c>
      <c r="J4495" s="3">
        <v>8.4499999999999993</v>
      </c>
      <c r="K4495" s="3">
        <v>589438.19999999995</v>
      </c>
    </row>
    <row r="4496" spans="1:11" x14ac:dyDescent="0.2">
      <c r="A4496" s="1" t="s">
        <v>5614</v>
      </c>
      <c r="B4496" s="2">
        <v>45792</v>
      </c>
      <c r="C4496" s="1" t="s">
        <v>820</v>
      </c>
      <c r="D4496" s="1" t="s">
        <v>821</v>
      </c>
      <c r="E4496" s="1" t="s">
        <v>28</v>
      </c>
      <c r="F4496" s="1" t="s">
        <v>165</v>
      </c>
      <c r="G4496" s="1" t="s">
        <v>166</v>
      </c>
      <c r="H4496" s="1" t="s">
        <v>24</v>
      </c>
      <c r="I4496">
        <v>37149</v>
      </c>
      <c r="J4496" s="3">
        <v>24.15</v>
      </c>
      <c r="K4496" s="3">
        <v>897148.35</v>
      </c>
    </row>
    <row r="4497" spans="1:11" x14ac:dyDescent="0.2">
      <c r="A4497" s="1" t="s">
        <v>5615</v>
      </c>
      <c r="B4497" s="2">
        <v>45585</v>
      </c>
      <c r="C4497" s="1" t="s">
        <v>767</v>
      </c>
      <c r="D4497" s="1" t="s">
        <v>768</v>
      </c>
      <c r="E4497" s="1" t="s">
        <v>28</v>
      </c>
      <c r="F4497" s="1" t="s">
        <v>76</v>
      </c>
      <c r="G4497" s="1" t="s">
        <v>77</v>
      </c>
      <c r="H4497" s="1" t="s">
        <v>48</v>
      </c>
      <c r="I4497">
        <v>41142</v>
      </c>
      <c r="J4497" s="3">
        <v>27.4</v>
      </c>
      <c r="K4497" s="3">
        <v>1127290.8</v>
      </c>
    </row>
    <row r="4498" spans="1:11" x14ac:dyDescent="0.2">
      <c r="A4498" s="1" t="s">
        <v>5616</v>
      </c>
      <c r="B4498" s="2">
        <v>45806</v>
      </c>
      <c r="C4498" s="1" t="s">
        <v>448</v>
      </c>
      <c r="D4498" s="1" t="s">
        <v>449</v>
      </c>
      <c r="E4498" s="1" t="s">
        <v>28</v>
      </c>
      <c r="F4498" s="1" t="s">
        <v>330</v>
      </c>
      <c r="G4498" s="1" t="s">
        <v>331</v>
      </c>
      <c r="H4498" s="1" t="s">
        <v>72</v>
      </c>
      <c r="I4498">
        <v>38121</v>
      </c>
      <c r="J4498" s="3">
        <v>4.96</v>
      </c>
      <c r="K4498" s="3">
        <v>189080.16</v>
      </c>
    </row>
    <row r="4499" spans="1:11" x14ac:dyDescent="0.2">
      <c r="A4499" s="1" t="s">
        <v>5617</v>
      </c>
      <c r="B4499" s="2">
        <v>45458</v>
      </c>
      <c r="C4499" s="1" t="s">
        <v>1197</v>
      </c>
      <c r="D4499" s="1" t="s">
        <v>1198</v>
      </c>
      <c r="E4499" s="1" t="s">
        <v>34</v>
      </c>
      <c r="F4499" s="1" t="s">
        <v>35</v>
      </c>
      <c r="G4499" s="1" t="s">
        <v>36</v>
      </c>
      <c r="H4499" s="1" t="s">
        <v>37</v>
      </c>
      <c r="I4499">
        <v>18309</v>
      </c>
      <c r="J4499" s="3">
        <v>37.869999999999997</v>
      </c>
      <c r="K4499" s="3">
        <v>693361.83</v>
      </c>
    </row>
    <row r="4500" spans="1:11" x14ac:dyDescent="0.2">
      <c r="A4500" s="1" t="s">
        <v>5618</v>
      </c>
      <c r="B4500" s="2">
        <v>45635</v>
      </c>
      <c r="C4500" s="1" t="s">
        <v>1740</v>
      </c>
      <c r="D4500" s="1" t="s">
        <v>1741</v>
      </c>
      <c r="E4500" s="1" t="s">
        <v>21</v>
      </c>
      <c r="F4500" s="1" t="s">
        <v>144</v>
      </c>
      <c r="G4500" s="1" t="s">
        <v>145</v>
      </c>
      <c r="H4500" s="1" t="s">
        <v>24</v>
      </c>
      <c r="I4500">
        <v>18780</v>
      </c>
      <c r="J4500" s="3">
        <v>37.130000000000003</v>
      </c>
      <c r="K4500" s="3">
        <v>697301.4</v>
      </c>
    </row>
    <row r="4501" spans="1:11" x14ac:dyDescent="0.2">
      <c r="A4501" s="1" t="s">
        <v>5619</v>
      </c>
      <c r="B4501" s="2">
        <v>45512</v>
      </c>
      <c r="C4501" s="1" t="s">
        <v>1891</v>
      </c>
      <c r="D4501" s="1" t="s">
        <v>1892</v>
      </c>
      <c r="E4501" s="1" t="s">
        <v>14</v>
      </c>
      <c r="F4501" s="1" t="s">
        <v>139</v>
      </c>
      <c r="G4501" s="1" t="s">
        <v>140</v>
      </c>
      <c r="H4501" s="1" t="s">
        <v>24</v>
      </c>
      <c r="I4501">
        <v>67693</v>
      </c>
      <c r="J4501" s="3">
        <v>4.07</v>
      </c>
      <c r="K4501" s="3">
        <v>275510.51</v>
      </c>
    </row>
    <row r="4502" spans="1:11" x14ac:dyDescent="0.2">
      <c r="A4502" s="1" t="s">
        <v>5620</v>
      </c>
      <c r="B4502" s="2">
        <v>45307</v>
      </c>
      <c r="C4502" s="1" t="s">
        <v>817</v>
      </c>
      <c r="D4502" s="1" t="s">
        <v>818</v>
      </c>
      <c r="E4502" s="1" t="s">
        <v>14</v>
      </c>
      <c r="F4502" s="1" t="s">
        <v>263</v>
      </c>
      <c r="G4502" s="1" t="s">
        <v>264</v>
      </c>
      <c r="H4502" s="1" t="s">
        <v>17</v>
      </c>
      <c r="I4502">
        <v>27501</v>
      </c>
      <c r="J4502" s="3">
        <v>3.51</v>
      </c>
      <c r="K4502" s="3">
        <v>96528.51</v>
      </c>
    </row>
    <row r="4503" spans="1:11" x14ac:dyDescent="0.2">
      <c r="A4503" s="1" t="s">
        <v>5621</v>
      </c>
      <c r="B4503" s="2">
        <v>45513</v>
      </c>
      <c r="C4503" s="1" t="s">
        <v>192</v>
      </c>
      <c r="D4503" s="1" t="s">
        <v>193</v>
      </c>
      <c r="E4503" s="1" t="s">
        <v>37</v>
      </c>
      <c r="F4503" s="1" t="s">
        <v>41</v>
      </c>
      <c r="G4503" s="1" t="s">
        <v>42</v>
      </c>
      <c r="H4503" s="1" t="s">
        <v>24</v>
      </c>
      <c r="I4503">
        <v>65992</v>
      </c>
      <c r="J4503" s="3">
        <v>23.89</v>
      </c>
      <c r="K4503" s="3">
        <v>1576548.88</v>
      </c>
    </row>
    <row r="4504" spans="1:11" x14ac:dyDescent="0.2">
      <c r="A4504" s="1" t="s">
        <v>5622</v>
      </c>
      <c r="B4504" s="2">
        <v>45532</v>
      </c>
      <c r="C4504" s="1" t="s">
        <v>929</v>
      </c>
      <c r="D4504" s="1" t="s">
        <v>930</v>
      </c>
      <c r="E4504" s="1" t="s">
        <v>28</v>
      </c>
      <c r="F4504" s="1" t="s">
        <v>339</v>
      </c>
      <c r="G4504" s="1" t="s">
        <v>340</v>
      </c>
      <c r="H4504" s="1" t="s">
        <v>24</v>
      </c>
      <c r="I4504">
        <v>28350</v>
      </c>
      <c r="J4504" s="3">
        <v>4.18</v>
      </c>
      <c r="K4504" s="3">
        <v>118503</v>
      </c>
    </row>
    <row r="4505" spans="1:11" x14ac:dyDescent="0.2">
      <c r="A4505" s="1" t="s">
        <v>5623</v>
      </c>
      <c r="B4505" s="2">
        <v>45609</v>
      </c>
      <c r="C4505" s="1" t="s">
        <v>492</v>
      </c>
      <c r="D4505" s="1" t="s">
        <v>493</v>
      </c>
      <c r="E4505" s="1" t="s">
        <v>37</v>
      </c>
      <c r="F4505" s="1" t="s">
        <v>251</v>
      </c>
      <c r="G4505" s="1" t="s">
        <v>252</v>
      </c>
      <c r="H4505" s="1" t="s">
        <v>72</v>
      </c>
      <c r="I4505">
        <v>98994</v>
      </c>
      <c r="J4505" s="3">
        <v>9.2100000000000009</v>
      </c>
      <c r="K4505" s="3">
        <v>911734.74</v>
      </c>
    </row>
    <row r="4506" spans="1:11" x14ac:dyDescent="0.2">
      <c r="A4506" s="1" t="s">
        <v>5624</v>
      </c>
      <c r="B4506" s="2">
        <v>45394</v>
      </c>
      <c r="C4506" s="1" t="s">
        <v>546</v>
      </c>
      <c r="D4506" s="1" t="s">
        <v>547</v>
      </c>
      <c r="E4506" s="1" t="s">
        <v>34</v>
      </c>
      <c r="F4506" s="1" t="s">
        <v>195</v>
      </c>
      <c r="G4506" s="1" t="s">
        <v>196</v>
      </c>
      <c r="H4506" s="1" t="s">
        <v>48</v>
      </c>
      <c r="I4506">
        <v>91289</v>
      </c>
      <c r="J4506" s="3">
        <v>6.86</v>
      </c>
      <c r="K4506" s="3">
        <v>626242.54</v>
      </c>
    </row>
    <row r="4507" spans="1:11" x14ac:dyDescent="0.2">
      <c r="A4507" s="1" t="s">
        <v>5625</v>
      </c>
      <c r="B4507" s="2">
        <v>45682</v>
      </c>
      <c r="C4507" s="1" t="s">
        <v>613</v>
      </c>
      <c r="D4507" s="1" t="s">
        <v>614</v>
      </c>
      <c r="E4507" s="1" t="s">
        <v>34</v>
      </c>
      <c r="F4507" s="1" t="s">
        <v>540</v>
      </c>
      <c r="G4507" s="1" t="s">
        <v>541</v>
      </c>
      <c r="H4507" s="1" t="s">
        <v>37</v>
      </c>
      <c r="I4507">
        <v>11203</v>
      </c>
      <c r="J4507" s="3">
        <v>46.56</v>
      </c>
      <c r="K4507" s="3">
        <v>521611.68</v>
      </c>
    </row>
    <row r="4508" spans="1:11" x14ac:dyDescent="0.2">
      <c r="A4508" s="1" t="s">
        <v>5626</v>
      </c>
      <c r="B4508" s="2">
        <v>45752</v>
      </c>
      <c r="C4508" s="1" t="s">
        <v>1523</v>
      </c>
      <c r="D4508" s="1" t="s">
        <v>1524</v>
      </c>
      <c r="E4508" s="1" t="s">
        <v>28</v>
      </c>
      <c r="F4508" s="1" t="s">
        <v>273</v>
      </c>
      <c r="G4508" s="1" t="s">
        <v>274</v>
      </c>
      <c r="H4508" s="1" t="s">
        <v>24</v>
      </c>
      <c r="I4508">
        <v>14559</v>
      </c>
      <c r="J4508" s="3">
        <v>6.04</v>
      </c>
      <c r="K4508" s="3">
        <v>87936.36</v>
      </c>
    </row>
    <row r="4509" spans="1:11" x14ac:dyDescent="0.2">
      <c r="A4509" s="1" t="s">
        <v>5627</v>
      </c>
      <c r="B4509" s="2">
        <v>45662</v>
      </c>
      <c r="C4509" s="1" t="s">
        <v>382</v>
      </c>
      <c r="D4509" s="1" t="s">
        <v>383</v>
      </c>
      <c r="E4509" s="1" t="s">
        <v>34</v>
      </c>
      <c r="F4509" s="1" t="s">
        <v>436</v>
      </c>
      <c r="G4509" s="1" t="s">
        <v>437</v>
      </c>
      <c r="H4509" s="1" t="s">
        <v>24</v>
      </c>
      <c r="I4509">
        <v>59041</v>
      </c>
      <c r="J4509" s="3">
        <v>21.14</v>
      </c>
      <c r="K4509" s="3">
        <v>1248126.74</v>
      </c>
    </row>
    <row r="4510" spans="1:11" x14ac:dyDescent="0.2">
      <c r="A4510" s="1" t="s">
        <v>5628</v>
      </c>
      <c r="B4510" s="2">
        <v>45439</v>
      </c>
      <c r="C4510" s="1" t="s">
        <v>1032</v>
      </c>
      <c r="D4510" s="1" t="s">
        <v>1033</v>
      </c>
      <c r="E4510" s="1" t="s">
        <v>34</v>
      </c>
      <c r="F4510" s="1" t="s">
        <v>263</v>
      </c>
      <c r="G4510" s="1" t="s">
        <v>264</v>
      </c>
      <c r="H4510" s="1" t="s">
        <v>17</v>
      </c>
      <c r="I4510">
        <v>7794</v>
      </c>
      <c r="J4510" s="3">
        <v>7.39</v>
      </c>
      <c r="K4510" s="3">
        <v>57597.66</v>
      </c>
    </row>
    <row r="4511" spans="1:11" x14ac:dyDescent="0.2">
      <c r="A4511" s="1" t="s">
        <v>5629</v>
      </c>
      <c r="B4511" s="2">
        <v>45836</v>
      </c>
      <c r="C4511" s="1" t="s">
        <v>1740</v>
      </c>
      <c r="D4511" s="1" t="s">
        <v>1741</v>
      </c>
      <c r="E4511" s="1" t="s">
        <v>21</v>
      </c>
      <c r="F4511" s="1" t="s">
        <v>510</v>
      </c>
      <c r="G4511" s="1" t="s">
        <v>511</v>
      </c>
      <c r="H4511" s="1" t="s">
        <v>17</v>
      </c>
      <c r="I4511">
        <v>16820</v>
      </c>
      <c r="J4511" s="3">
        <v>36.19</v>
      </c>
      <c r="K4511" s="3">
        <v>608715.80000000005</v>
      </c>
    </row>
    <row r="4512" spans="1:11" x14ac:dyDescent="0.2">
      <c r="A4512" s="1" t="s">
        <v>5630</v>
      </c>
      <c r="B4512" s="2">
        <v>45870</v>
      </c>
      <c r="C4512" s="1" t="s">
        <v>74</v>
      </c>
      <c r="D4512" s="1" t="s">
        <v>75</v>
      </c>
      <c r="E4512" s="1" t="s">
        <v>37</v>
      </c>
      <c r="F4512" s="1" t="s">
        <v>81</v>
      </c>
      <c r="G4512" s="1" t="s">
        <v>82</v>
      </c>
      <c r="H4512" s="1" t="s">
        <v>72</v>
      </c>
      <c r="I4512">
        <v>78917</v>
      </c>
      <c r="J4512" s="3">
        <v>35.67</v>
      </c>
      <c r="K4512" s="3">
        <v>2814969.39</v>
      </c>
    </row>
    <row r="4513" spans="1:11" x14ac:dyDescent="0.2">
      <c r="A4513" s="1" t="s">
        <v>5631</v>
      </c>
      <c r="B4513" s="2">
        <v>45423</v>
      </c>
      <c r="C4513" s="1" t="s">
        <v>122</v>
      </c>
      <c r="D4513" s="1" t="s">
        <v>123</v>
      </c>
      <c r="E4513" s="1" t="s">
        <v>28</v>
      </c>
      <c r="F4513" s="1" t="s">
        <v>208</v>
      </c>
      <c r="G4513" s="1" t="s">
        <v>209</v>
      </c>
      <c r="H4513" s="1" t="s">
        <v>17</v>
      </c>
      <c r="I4513">
        <v>33986</v>
      </c>
      <c r="J4513" s="3">
        <v>43.43</v>
      </c>
      <c r="K4513" s="3">
        <v>1476011.98</v>
      </c>
    </row>
    <row r="4514" spans="1:11" x14ac:dyDescent="0.2">
      <c r="A4514" s="1" t="s">
        <v>5632</v>
      </c>
      <c r="B4514" s="2">
        <v>45633</v>
      </c>
      <c r="C4514" s="1" t="s">
        <v>820</v>
      </c>
      <c r="D4514" s="1" t="s">
        <v>821</v>
      </c>
      <c r="E4514" s="1" t="s">
        <v>28</v>
      </c>
      <c r="F4514" s="1" t="s">
        <v>394</v>
      </c>
      <c r="G4514" s="1" t="s">
        <v>395</v>
      </c>
      <c r="H4514" s="1" t="s">
        <v>48</v>
      </c>
      <c r="I4514">
        <v>65293</v>
      </c>
      <c r="J4514" s="3">
        <v>49.16</v>
      </c>
      <c r="K4514" s="3">
        <v>3209803.88</v>
      </c>
    </row>
    <row r="4515" spans="1:11" x14ac:dyDescent="0.2">
      <c r="A4515" s="1" t="s">
        <v>5633</v>
      </c>
      <c r="B4515" s="2">
        <v>45623</v>
      </c>
      <c r="C4515" s="1" t="s">
        <v>198</v>
      </c>
      <c r="D4515" s="1" t="s">
        <v>199</v>
      </c>
      <c r="E4515" s="1" t="s">
        <v>21</v>
      </c>
      <c r="F4515" s="1" t="s">
        <v>208</v>
      </c>
      <c r="G4515" s="1" t="s">
        <v>209</v>
      </c>
      <c r="H4515" s="1" t="s">
        <v>17</v>
      </c>
      <c r="I4515">
        <v>11988</v>
      </c>
      <c r="J4515" s="3">
        <v>8.61</v>
      </c>
      <c r="K4515" s="3">
        <v>103216.68</v>
      </c>
    </row>
    <row r="4516" spans="1:11" x14ac:dyDescent="0.2">
      <c r="A4516" s="1" t="s">
        <v>5634</v>
      </c>
      <c r="B4516" s="2">
        <v>46004</v>
      </c>
      <c r="C4516" s="1" t="s">
        <v>451</v>
      </c>
      <c r="D4516" s="1" t="s">
        <v>452</v>
      </c>
      <c r="E4516" s="1" t="s">
        <v>28</v>
      </c>
      <c r="F4516" s="1" t="s">
        <v>103</v>
      </c>
      <c r="G4516" s="1" t="s">
        <v>104</v>
      </c>
      <c r="H4516" s="1" t="s">
        <v>37</v>
      </c>
      <c r="I4516">
        <v>49179</v>
      </c>
      <c r="J4516" s="3">
        <v>42.87</v>
      </c>
      <c r="K4516" s="3">
        <v>2108303.73</v>
      </c>
    </row>
    <row r="4517" spans="1:11" x14ac:dyDescent="0.2">
      <c r="A4517" s="1" t="s">
        <v>5635</v>
      </c>
      <c r="B4517" s="2">
        <v>45447</v>
      </c>
      <c r="C4517" s="1" t="s">
        <v>1216</v>
      </c>
      <c r="D4517" s="1" t="s">
        <v>1217</v>
      </c>
      <c r="E4517" s="1" t="s">
        <v>37</v>
      </c>
      <c r="F4517" s="1" t="s">
        <v>436</v>
      </c>
      <c r="G4517" s="1" t="s">
        <v>437</v>
      </c>
      <c r="H4517" s="1" t="s">
        <v>24</v>
      </c>
      <c r="I4517">
        <v>52067</v>
      </c>
      <c r="J4517" s="3">
        <v>30.12</v>
      </c>
      <c r="K4517" s="3">
        <v>1568258.04</v>
      </c>
    </row>
    <row r="4518" spans="1:11" x14ac:dyDescent="0.2">
      <c r="A4518" s="1" t="s">
        <v>5636</v>
      </c>
      <c r="B4518" s="2">
        <v>45551</v>
      </c>
      <c r="C4518" s="1" t="s">
        <v>593</v>
      </c>
      <c r="D4518" s="1" t="s">
        <v>594</v>
      </c>
      <c r="E4518" s="1" t="s">
        <v>37</v>
      </c>
      <c r="F4518" s="1" t="s">
        <v>458</v>
      </c>
      <c r="G4518" s="1" t="s">
        <v>459</v>
      </c>
      <c r="H4518" s="1" t="s">
        <v>72</v>
      </c>
      <c r="I4518">
        <v>75213</v>
      </c>
      <c r="J4518" s="3">
        <v>44.86</v>
      </c>
      <c r="K4518" s="3">
        <v>3374055.18</v>
      </c>
    </row>
    <row r="4519" spans="1:11" x14ac:dyDescent="0.2">
      <c r="A4519" s="1" t="s">
        <v>5637</v>
      </c>
      <c r="B4519" s="2">
        <v>45571</v>
      </c>
      <c r="C4519" s="1" t="s">
        <v>1108</v>
      </c>
      <c r="D4519" s="1" t="s">
        <v>1109</v>
      </c>
      <c r="E4519" s="1" t="s">
        <v>21</v>
      </c>
      <c r="F4519" s="1" t="s">
        <v>273</v>
      </c>
      <c r="G4519" s="1" t="s">
        <v>274</v>
      </c>
      <c r="H4519" s="1" t="s">
        <v>24</v>
      </c>
      <c r="I4519">
        <v>5063</v>
      </c>
      <c r="J4519" s="3">
        <v>14.95</v>
      </c>
      <c r="K4519" s="3">
        <v>75691.850000000006</v>
      </c>
    </row>
    <row r="4520" spans="1:11" x14ac:dyDescent="0.2">
      <c r="A4520" s="1" t="s">
        <v>5638</v>
      </c>
      <c r="B4520" s="2">
        <v>45710</v>
      </c>
      <c r="C4520" s="1" t="s">
        <v>713</v>
      </c>
      <c r="D4520" s="1" t="s">
        <v>714</v>
      </c>
      <c r="E4520" s="1" t="s">
        <v>34</v>
      </c>
      <c r="F4520" s="1" t="s">
        <v>350</v>
      </c>
      <c r="G4520" s="1" t="s">
        <v>351</v>
      </c>
      <c r="H4520" s="1" t="s">
        <v>37</v>
      </c>
      <c r="I4520">
        <v>98154</v>
      </c>
      <c r="J4520" s="3">
        <v>9.5299999999999994</v>
      </c>
      <c r="K4520" s="3">
        <v>935407.62</v>
      </c>
    </row>
    <row r="4521" spans="1:11" x14ac:dyDescent="0.2">
      <c r="A4521" s="1" t="s">
        <v>5639</v>
      </c>
      <c r="B4521" s="2">
        <v>45667</v>
      </c>
      <c r="C4521" s="1" t="s">
        <v>492</v>
      </c>
      <c r="D4521" s="1" t="s">
        <v>493</v>
      </c>
      <c r="E4521" s="1" t="s">
        <v>37</v>
      </c>
      <c r="F4521" s="1" t="s">
        <v>203</v>
      </c>
      <c r="G4521" s="1" t="s">
        <v>204</v>
      </c>
      <c r="H4521" s="1" t="s">
        <v>72</v>
      </c>
      <c r="I4521">
        <v>54469</v>
      </c>
      <c r="J4521" s="3">
        <v>30.9</v>
      </c>
      <c r="K4521" s="3">
        <v>1683092.1</v>
      </c>
    </row>
    <row r="4522" spans="1:11" x14ac:dyDescent="0.2">
      <c r="A4522" s="1" t="s">
        <v>5640</v>
      </c>
      <c r="B4522" s="2">
        <v>45551</v>
      </c>
      <c r="C4522" s="1" t="s">
        <v>1237</v>
      </c>
      <c r="D4522" s="1" t="s">
        <v>1238</v>
      </c>
      <c r="E4522" s="1" t="s">
        <v>34</v>
      </c>
      <c r="F4522" s="1" t="s">
        <v>330</v>
      </c>
      <c r="G4522" s="1" t="s">
        <v>331</v>
      </c>
      <c r="H4522" s="1" t="s">
        <v>72</v>
      </c>
      <c r="I4522">
        <v>43784</v>
      </c>
      <c r="J4522" s="3">
        <v>40.71</v>
      </c>
      <c r="K4522" s="3">
        <v>1782446.64</v>
      </c>
    </row>
    <row r="4523" spans="1:11" x14ac:dyDescent="0.2">
      <c r="A4523" s="1" t="s">
        <v>5641</v>
      </c>
      <c r="B4523" s="2">
        <v>45902</v>
      </c>
      <c r="C4523" s="1" t="s">
        <v>722</v>
      </c>
      <c r="D4523" s="1" t="s">
        <v>723</v>
      </c>
      <c r="E4523" s="1" t="s">
        <v>21</v>
      </c>
      <c r="F4523" s="1" t="s">
        <v>184</v>
      </c>
      <c r="G4523" s="1" t="s">
        <v>185</v>
      </c>
      <c r="H4523" s="1" t="s">
        <v>17</v>
      </c>
      <c r="I4523">
        <v>3760</v>
      </c>
      <c r="J4523" s="3">
        <v>3</v>
      </c>
      <c r="K4523" s="3">
        <v>11280</v>
      </c>
    </row>
    <row r="4524" spans="1:11" x14ac:dyDescent="0.2">
      <c r="A4524" s="1" t="s">
        <v>5642</v>
      </c>
      <c r="B4524" s="2">
        <v>45611</v>
      </c>
      <c r="C4524" s="1" t="s">
        <v>756</v>
      </c>
      <c r="D4524" s="1" t="s">
        <v>757</v>
      </c>
      <c r="E4524" s="1" t="s">
        <v>34</v>
      </c>
      <c r="F4524" s="1" t="s">
        <v>339</v>
      </c>
      <c r="G4524" s="1" t="s">
        <v>340</v>
      </c>
      <c r="H4524" s="1" t="s">
        <v>24</v>
      </c>
      <c r="I4524">
        <v>73090</v>
      </c>
      <c r="J4524" s="3">
        <v>23.89</v>
      </c>
      <c r="K4524" s="3">
        <v>1746120.1</v>
      </c>
    </row>
    <row r="4525" spans="1:11" x14ac:dyDescent="0.2">
      <c r="A4525" s="1" t="s">
        <v>5643</v>
      </c>
      <c r="B4525" s="2">
        <v>45751</v>
      </c>
      <c r="C4525" s="1" t="s">
        <v>583</v>
      </c>
      <c r="D4525" s="1" t="s">
        <v>584</v>
      </c>
      <c r="E4525" s="1" t="s">
        <v>37</v>
      </c>
      <c r="F4525" s="1" t="s">
        <v>406</v>
      </c>
      <c r="G4525" s="1" t="s">
        <v>407</v>
      </c>
      <c r="H4525" s="1" t="s">
        <v>17</v>
      </c>
      <c r="I4525">
        <v>11029</v>
      </c>
      <c r="J4525" s="3">
        <v>48.19</v>
      </c>
      <c r="K4525" s="3">
        <v>531487.51</v>
      </c>
    </row>
    <row r="4526" spans="1:11" x14ac:dyDescent="0.2">
      <c r="A4526" s="1" t="s">
        <v>5644</v>
      </c>
      <c r="B4526" s="2">
        <v>45620</v>
      </c>
      <c r="C4526" s="1" t="s">
        <v>345</v>
      </c>
      <c r="D4526" s="1" t="s">
        <v>346</v>
      </c>
      <c r="E4526" s="1" t="s">
        <v>37</v>
      </c>
      <c r="F4526" s="1" t="s">
        <v>184</v>
      </c>
      <c r="G4526" s="1" t="s">
        <v>185</v>
      </c>
      <c r="H4526" s="1" t="s">
        <v>17</v>
      </c>
      <c r="I4526">
        <v>36356</v>
      </c>
      <c r="J4526" s="3">
        <v>13.92</v>
      </c>
      <c r="K4526" s="3">
        <v>506075.52</v>
      </c>
    </row>
    <row r="4527" spans="1:11" x14ac:dyDescent="0.2">
      <c r="A4527" s="1" t="s">
        <v>5645</v>
      </c>
      <c r="B4527" s="2">
        <v>45913</v>
      </c>
      <c r="C4527" s="1" t="s">
        <v>2109</v>
      </c>
      <c r="D4527" s="1" t="s">
        <v>2110</v>
      </c>
      <c r="E4527" s="1" t="s">
        <v>28</v>
      </c>
      <c r="F4527" s="1" t="s">
        <v>76</v>
      </c>
      <c r="G4527" s="1" t="s">
        <v>77</v>
      </c>
      <c r="H4527" s="1" t="s">
        <v>48</v>
      </c>
      <c r="I4527">
        <v>33111</v>
      </c>
      <c r="J4527" s="3">
        <v>35.380000000000003</v>
      </c>
      <c r="K4527" s="3">
        <v>1171467.18</v>
      </c>
    </row>
    <row r="4528" spans="1:11" x14ac:dyDescent="0.2">
      <c r="A4528" s="1" t="s">
        <v>5646</v>
      </c>
      <c r="B4528" s="2">
        <v>45776</v>
      </c>
      <c r="C4528" s="1" t="s">
        <v>155</v>
      </c>
      <c r="D4528" s="1" t="s">
        <v>156</v>
      </c>
      <c r="E4528" s="1" t="s">
        <v>14</v>
      </c>
      <c r="F4528" s="1" t="s">
        <v>263</v>
      </c>
      <c r="G4528" s="1" t="s">
        <v>264</v>
      </c>
      <c r="H4528" s="1" t="s">
        <v>17</v>
      </c>
      <c r="I4528">
        <v>30022</v>
      </c>
      <c r="J4528" s="3">
        <v>14.63</v>
      </c>
      <c r="K4528" s="3">
        <v>439221.86</v>
      </c>
    </row>
    <row r="4529" spans="1:11" x14ac:dyDescent="0.2">
      <c r="A4529" s="1" t="s">
        <v>5647</v>
      </c>
      <c r="B4529" s="2">
        <v>45886</v>
      </c>
      <c r="C4529" s="1" t="s">
        <v>134</v>
      </c>
      <c r="D4529" s="1" t="s">
        <v>135</v>
      </c>
      <c r="E4529" s="1" t="s">
        <v>14</v>
      </c>
      <c r="F4529" s="1" t="s">
        <v>463</v>
      </c>
      <c r="G4529" s="1" t="s">
        <v>464</v>
      </c>
      <c r="H4529" s="1" t="s">
        <v>37</v>
      </c>
      <c r="I4529">
        <v>23621</v>
      </c>
      <c r="J4529" s="3">
        <v>39.159999999999997</v>
      </c>
      <c r="K4529" s="3">
        <v>924998.36</v>
      </c>
    </row>
    <row r="4530" spans="1:11" x14ac:dyDescent="0.2">
      <c r="A4530" s="1" t="s">
        <v>5648</v>
      </c>
      <c r="B4530" s="2">
        <v>45629</v>
      </c>
      <c r="C4530" s="1" t="s">
        <v>1113</v>
      </c>
      <c r="D4530" s="1" t="s">
        <v>1114</v>
      </c>
      <c r="E4530" s="1" t="s">
        <v>14</v>
      </c>
      <c r="F4530" s="1" t="s">
        <v>284</v>
      </c>
      <c r="G4530" s="1" t="s">
        <v>285</v>
      </c>
      <c r="H4530" s="1" t="s">
        <v>37</v>
      </c>
      <c r="I4530">
        <v>97687</v>
      </c>
      <c r="J4530" s="3">
        <v>19.329999999999998</v>
      </c>
      <c r="K4530" s="3">
        <v>1888289.71</v>
      </c>
    </row>
    <row r="4531" spans="1:11" x14ac:dyDescent="0.2">
      <c r="A4531" s="1" t="s">
        <v>5649</v>
      </c>
      <c r="B4531" s="2">
        <v>45919</v>
      </c>
      <c r="C4531" s="1" t="s">
        <v>994</v>
      </c>
      <c r="D4531" s="1" t="s">
        <v>995</v>
      </c>
      <c r="E4531" s="1" t="s">
        <v>21</v>
      </c>
      <c r="F4531" s="1" t="s">
        <v>217</v>
      </c>
      <c r="G4531" s="1" t="s">
        <v>218</v>
      </c>
      <c r="H4531" s="1" t="s">
        <v>72</v>
      </c>
      <c r="I4531">
        <v>23996</v>
      </c>
      <c r="J4531" s="3">
        <v>40.479999999999997</v>
      </c>
      <c r="K4531" s="3">
        <v>971358.08</v>
      </c>
    </row>
    <row r="4532" spans="1:11" x14ac:dyDescent="0.2">
      <c r="A4532" s="1" t="s">
        <v>5650</v>
      </c>
      <c r="B4532" s="2">
        <v>45501</v>
      </c>
      <c r="C4532" s="1" t="s">
        <v>1128</v>
      </c>
      <c r="D4532" s="1" t="s">
        <v>1129</v>
      </c>
      <c r="E4532" s="1" t="s">
        <v>34</v>
      </c>
      <c r="F4532" s="1" t="s">
        <v>228</v>
      </c>
      <c r="G4532" s="1" t="s">
        <v>229</v>
      </c>
      <c r="H4532" s="1" t="s">
        <v>48</v>
      </c>
      <c r="I4532">
        <v>52514</v>
      </c>
      <c r="J4532" s="3">
        <v>4.3</v>
      </c>
      <c r="K4532" s="3">
        <v>225810.2</v>
      </c>
    </row>
    <row r="4533" spans="1:11" x14ac:dyDescent="0.2">
      <c r="A4533" s="1" t="s">
        <v>5651</v>
      </c>
      <c r="B4533" s="2">
        <v>45623</v>
      </c>
      <c r="C4533" s="1" t="s">
        <v>692</v>
      </c>
      <c r="D4533" s="1" t="s">
        <v>693</v>
      </c>
      <c r="E4533" s="1" t="s">
        <v>28</v>
      </c>
      <c r="F4533" s="1" t="s">
        <v>458</v>
      </c>
      <c r="G4533" s="1" t="s">
        <v>459</v>
      </c>
      <c r="H4533" s="1" t="s">
        <v>72</v>
      </c>
      <c r="I4533">
        <v>99639</v>
      </c>
      <c r="J4533" s="3">
        <v>4.4800000000000004</v>
      </c>
      <c r="K4533" s="3">
        <v>446382.72</v>
      </c>
    </row>
    <row r="4534" spans="1:11" x14ac:dyDescent="0.2">
      <c r="A4534" s="1" t="s">
        <v>5652</v>
      </c>
      <c r="B4534" s="2">
        <v>45401</v>
      </c>
      <c r="C4534" s="1" t="s">
        <v>857</v>
      </c>
      <c r="D4534" s="1" t="s">
        <v>858</v>
      </c>
      <c r="E4534" s="1" t="s">
        <v>34</v>
      </c>
      <c r="F4534" s="1" t="s">
        <v>394</v>
      </c>
      <c r="G4534" s="1" t="s">
        <v>395</v>
      </c>
      <c r="H4534" s="1" t="s">
        <v>48</v>
      </c>
      <c r="I4534">
        <v>34603</v>
      </c>
      <c r="J4534" s="3">
        <v>29.07</v>
      </c>
      <c r="K4534" s="3">
        <v>1005909.21</v>
      </c>
    </row>
    <row r="4535" spans="1:11" x14ac:dyDescent="0.2">
      <c r="A4535" s="1" t="s">
        <v>5653</v>
      </c>
      <c r="B4535" s="2">
        <v>45301</v>
      </c>
      <c r="C4535" s="1" t="s">
        <v>322</v>
      </c>
      <c r="D4535" s="1" t="s">
        <v>323</v>
      </c>
      <c r="E4535" s="1" t="s">
        <v>14</v>
      </c>
      <c r="F4535" s="1" t="s">
        <v>394</v>
      </c>
      <c r="G4535" s="1" t="s">
        <v>395</v>
      </c>
      <c r="H4535" s="1" t="s">
        <v>48</v>
      </c>
      <c r="I4535">
        <v>98833</v>
      </c>
      <c r="J4535" s="3">
        <v>17.47</v>
      </c>
      <c r="K4535" s="3">
        <v>1726612.51</v>
      </c>
    </row>
    <row r="4536" spans="1:11" x14ac:dyDescent="0.2">
      <c r="A4536" s="1" t="s">
        <v>5654</v>
      </c>
      <c r="B4536" s="2">
        <v>45695</v>
      </c>
      <c r="C4536" s="1" t="s">
        <v>975</v>
      </c>
      <c r="D4536" s="1" t="s">
        <v>976</v>
      </c>
      <c r="E4536" s="1" t="s">
        <v>28</v>
      </c>
      <c r="F4536" s="1" t="s">
        <v>217</v>
      </c>
      <c r="G4536" s="1" t="s">
        <v>218</v>
      </c>
      <c r="H4536" s="1" t="s">
        <v>72</v>
      </c>
      <c r="I4536">
        <v>88239</v>
      </c>
      <c r="J4536" s="3">
        <v>2.67</v>
      </c>
      <c r="K4536" s="3">
        <v>235598.13</v>
      </c>
    </row>
    <row r="4537" spans="1:11" x14ac:dyDescent="0.2">
      <c r="A4537" s="1" t="s">
        <v>5655</v>
      </c>
      <c r="B4537" s="2">
        <v>45714</v>
      </c>
      <c r="C4537" s="1" t="s">
        <v>628</v>
      </c>
      <c r="D4537" s="1" t="s">
        <v>629</v>
      </c>
      <c r="E4537" s="1" t="s">
        <v>14</v>
      </c>
      <c r="F4537" s="1" t="s">
        <v>394</v>
      </c>
      <c r="G4537" s="1" t="s">
        <v>395</v>
      </c>
      <c r="H4537" s="1" t="s">
        <v>48</v>
      </c>
      <c r="I4537">
        <v>54446</v>
      </c>
      <c r="J4537" s="3">
        <v>43.23</v>
      </c>
      <c r="K4537" s="3">
        <v>2353700.58</v>
      </c>
    </row>
    <row r="4538" spans="1:11" x14ac:dyDescent="0.2">
      <c r="A4538" s="1" t="s">
        <v>5656</v>
      </c>
      <c r="B4538" s="2">
        <v>45367</v>
      </c>
      <c r="C4538" s="1" t="s">
        <v>651</v>
      </c>
      <c r="D4538" s="1" t="s">
        <v>652</v>
      </c>
      <c r="E4538" s="1" t="s">
        <v>28</v>
      </c>
      <c r="F4538" s="1" t="s">
        <v>284</v>
      </c>
      <c r="G4538" s="1" t="s">
        <v>285</v>
      </c>
      <c r="H4538" s="1" t="s">
        <v>37</v>
      </c>
      <c r="I4538">
        <v>3351</v>
      </c>
      <c r="J4538" s="3">
        <v>3.68</v>
      </c>
      <c r="K4538" s="3">
        <v>12331.68</v>
      </c>
    </row>
    <row r="4539" spans="1:11" x14ac:dyDescent="0.2">
      <c r="A4539" s="1" t="s">
        <v>5657</v>
      </c>
      <c r="B4539" s="2">
        <v>45628</v>
      </c>
      <c r="C4539" s="1" t="s">
        <v>1354</v>
      </c>
      <c r="D4539" s="1" t="s">
        <v>1355</v>
      </c>
      <c r="E4539" s="1" t="s">
        <v>34</v>
      </c>
      <c r="F4539" s="1" t="s">
        <v>412</v>
      </c>
      <c r="G4539" s="1" t="s">
        <v>413</v>
      </c>
      <c r="H4539" s="1" t="s">
        <v>72</v>
      </c>
      <c r="I4539">
        <v>25291</v>
      </c>
      <c r="J4539" s="3">
        <v>19.63</v>
      </c>
      <c r="K4539" s="3">
        <v>496462.33</v>
      </c>
    </row>
    <row r="4540" spans="1:11" x14ac:dyDescent="0.2">
      <c r="A4540" s="1" t="s">
        <v>5658</v>
      </c>
      <c r="B4540" s="2">
        <v>45504</v>
      </c>
      <c r="C4540" s="1" t="s">
        <v>596</v>
      </c>
      <c r="D4540" s="1" t="s">
        <v>597</v>
      </c>
      <c r="E4540" s="1" t="s">
        <v>37</v>
      </c>
      <c r="F4540" s="1" t="s">
        <v>139</v>
      </c>
      <c r="G4540" s="1" t="s">
        <v>140</v>
      </c>
      <c r="H4540" s="1" t="s">
        <v>24</v>
      </c>
      <c r="I4540">
        <v>78650</v>
      </c>
      <c r="J4540" s="3">
        <v>3.75</v>
      </c>
      <c r="K4540" s="3">
        <v>294937.5</v>
      </c>
    </row>
    <row r="4541" spans="1:11" x14ac:dyDescent="0.2">
      <c r="A4541" s="1" t="s">
        <v>5659</v>
      </c>
      <c r="B4541" s="2">
        <v>45506</v>
      </c>
      <c r="C4541" s="1" t="s">
        <v>111</v>
      </c>
      <c r="D4541" s="1" t="s">
        <v>112</v>
      </c>
      <c r="E4541" s="1" t="s">
        <v>14</v>
      </c>
      <c r="F4541" s="1" t="s">
        <v>761</v>
      </c>
      <c r="G4541" s="1" t="s">
        <v>762</v>
      </c>
      <c r="H4541" s="1" t="s">
        <v>48</v>
      </c>
      <c r="I4541">
        <v>86456</v>
      </c>
      <c r="J4541" s="3">
        <v>48.58</v>
      </c>
      <c r="K4541" s="3">
        <v>4200032.4800000004</v>
      </c>
    </row>
    <row r="4542" spans="1:11" x14ac:dyDescent="0.2">
      <c r="A4542" s="1" t="s">
        <v>5660</v>
      </c>
      <c r="B4542" s="2">
        <v>45358</v>
      </c>
      <c r="C4542" s="1" t="s">
        <v>1216</v>
      </c>
      <c r="D4542" s="1" t="s">
        <v>1217</v>
      </c>
      <c r="E4542" s="1" t="s">
        <v>37</v>
      </c>
      <c r="F4542" s="1" t="s">
        <v>228</v>
      </c>
      <c r="G4542" s="1" t="s">
        <v>229</v>
      </c>
      <c r="H4542" s="1" t="s">
        <v>48</v>
      </c>
      <c r="I4542">
        <v>38415</v>
      </c>
      <c r="J4542" s="3">
        <v>2.63</v>
      </c>
      <c r="K4542" s="3">
        <v>101031.45</v>
      </c>
    </row>
    <row r="4543" spans="1:11" x14ac:dyDescent="0.2">
      <c r="A4543" s="1" t="s">
        <v>5661</v>
      </c>
      <c r="B4543" s="2">
        <v>45668</v>
      </c>
      <c r="C4543" s="1" t="s">
        <v>1201</v>
      </c>
      <c r="D4543" s="1" t="s">
        <v>1202</v>
      </c>
      <c r="E4543" s="1" t="s">
        <v>37</v>
      </c>
      <c r="F4543" s="1" t="s">
        <v>70</v>
      </c>
      <c r="G4543" s="1" t="s">
        <v>71</v>
      </c>
      <c r="H4543" s="1" t="s">
        <v>72</v>
      </c>
      <c r="I4543">
        <v>91525</v>
      </c>
      <c r="J4543" s="3">
        <v>23.5</v>
      </c>
      <c r="K4543" s="3">
        <v>2150837.5</v>
      </c>
    </row>
    <row r="4544" spans="1:11" x14ac:dyDescent="0.2">
      <c r="A4544" s="1" t="s">
        <v>5662</v>
      </c>
      <c r="B4544" s="2">
        <v>45737</v>
      </c>
      <c r="C4544" s="1" t="s">
        <v>1368</v>
      </c>
      <c r="D4544" s="1" t="s">
        <v>1369</v>
      </c>
      <c r="E4544" s="1" t="s">
        <v>28</v>
      </c>
      <c r="F4544" s="1" t="s">
        <v>339</v>
      </c>
      <c r="G4544" s="1" t="s">
        <v>340</v>
      </c>
      <c r="H4544" s="1" t="s">
        <v>24</v>
      </c>
      <c r="I4544">
        <v>3317</v>
      </c>
      <c r="J4544" s="3">
        <v>9.4700000000000006</v>
      </c>
      <c r="K4544" s="3">
        <v>31411.99</v>
      </c>
    </row>
    <row r="4545" spans="1:11" x14ac:dyDescent="0.2">
      <c r="A4545" s="1" t="s">
        <v>5663</v>
      </c>
      <c r="B4545" s="2">
        <v>45969</v>
      </c>
      <c r="C4545" s="1" t="s">
        <v>2472</v>
      </c>
      <c r="D4545" s="1" t="s">
        <v>2473</v>
      </c>
      <c r="E4545" s="1" t="s">
        <v>28</v>
      </c>
      <c r="F4545" s="1" t="s">
        <v>157</v>
      </c>
      <c r="G4545" s="1" t="s">
        <v>158</v>
      </c>
      <c r="H4545" s="1" t="s">
        <v>48</v>
      </c>
      <c r="I4545">
        <v>95997</v>
      </c>
      <c r="J4545" s="3">
        <v>17.77</v>
      </c>
      <c r="K4545" s="3">
        <v>1705866.69</v>
      </c>
    </row>
    <row r="4546" spans="1:11" x14ac:dyDescent="0.2">
      <c r="A4546" s="1" t="s">
        <v>5664</v>
      </c>
      <c r="B4546" s="2">
        <v>45821</v>
      </c>
      <c r="C4546" s="1" t="s">
        <v>770</v>
      </c>
      <c r="D4546" s="1" t="s">
        <v>771</v>
      </c>
      <c r="E4546" s="1" t="s">
        <v>34</v>
      </c>
      <c r="F4546" s="1" t="s">
        <v>284</v>
      </c>
      <c r="G4546" s="1" t="s">
        <v>285</v>
      </c>
      <c r="H4546" s="1" t="s">
        <v>37</v>
      </c>
      <c r="I4546">
        <v>58277</v>
      </c>
      <c r="J4546" s="3">
        <v>22.48</v>
      </c>
      <c r="K4546" s="3">
        <v>1310066.96</v>
      </c>
    </row>
    <row r="4547" spans="1:11" x14ac:dyDescent="0.2">
      <c r="A4547" s="1" t="s">
        <v>5665</v>
      </c>
      <c r="B4547" s="2">
        <v>45582</v>
      </c>
      <c r="C4547" s="1" t="s">
        <v>2011</v>
      </c>
      <c r="D4547" s="1" t="s">
        <v>2012</v>
      </c>
      <c r="E4547" s="1" t="s">
        <v>37</v>
      </c>
      <c r="F4547" s="1" t="s">
        <v>761</v>
      </c>
      <c r="G4547" s="1" t="s">
        <v>762</v>
      </c>
      <c r="H4547" s="1" t="s">
        <v>48</v>
      </c>
      <c r="I4547">
        <v>55005</v>
      </c>
      <c r="J4547" s="3">
        <v>37.909999999999997</v>
      </c>
      <c r="K4547" s="3">
        <v>2085239.55</v>
      </c>
    </row>
    <row r="4548" spans="1:11" x14ac:dyDescent="0.2">
      <c r="A4548" s="1" t="s">
        <v>5666</v>
      </c>
      <c r="B4548" s="2">
        <v>45467</v>
      </c>
      <c r="C4548" s="1" t="s">
        <v>385</v>
      </c>
      <c r="D4548" s="1" t="s">
        <v>386</v>
      </c>
      <c r="E4548" s="1" t="s">
        <v>34</v>
      </c>
      <c r="F4548" s="1" t="s">
        <v>65</v>
      </c>
      <c r="G4548" s="1" t="s">
        <v>66</v>
      </c>
      <c r="H4548" s="1" t="s">
        <v>48</v>
      </c>
      <c r="I4548">
        <v>24533</v>
      </c>
      <c r="J4548" s="3">
        <v>35.130000000000003</v>
      </c>
      <c r="K4548" s="3">
        <v>861844.29</v>
      </c>
    </row>
    <row r="4549" spans="1:11" x14ac:dyDescent="0.2">
      <c r="A4549" s="1" t="s">
        <v>5667</v>
      </c>
      <c r="B4549" s="2">
        <v>45924</v>
      </c>
      <c r="C4549" s="1" t="s">
        <v>257</v>
      </c>
      <c r="D4549" s="1" t="s">
        <v>258</v>
      </c>
      <c r="E4549" s="1" t="s">
        <v>28</v>
      </c>
      <c r="F4549" s="1" t="s">
        <v>70</v>
      </c>
      <c r="G4549" s="1" t="s">
        <v>71</v>
      </c>
      <c r="H4549" s="1" t="s">
        <v>72</v>
      </c>
      <c r="I4549">
        <v>10632</v>
      </c>
      <c r="J4549" s="3">
        <v>23.74</v>
      </c>
      <c r="K4549" s="3">
        <v>252403.68</v>
      </c>
    </row>
    <row r="4550" spans="1:11" x14ac:dyDescent="0.2">
      <c r="A4550" s="1" t="s">
        <v>5668</v>
      </c>
      <c r="B4550" s="2">
        <v>45540</v>
      </c>
      <c r="C4550" s="1" t="s">
        <v>1014</v>
      </c>
      <c r="D4550" s="1" t="s">
        <v>1015</v>
      </c>
      <c r="E4550" s="1" t="s">
        <v>34</v>
      </c>
      <c r="F4550" s="1" t="s">
        <v>103</v>
      </c>
      <c r="G4550" s="1" t="s">
        <v>104</v>
      </c>
      <c r="H4550" s="1" t="s">
        <v>37</v>
      </c>
      <c r="I4550">
        <v>12214</v>
      </c>
      <c r="J4550" s="3">
        <v>29.83</v>
      </c>
      <c r="K4550" s="3">
        <v>364343.62</v>
      </c>
    </row>
    <row r="4551" spans="1:11" x14ac:dyDescent="0.2">
      <c r="A4551" s="1" t="s">
        <v>5669</v>
      </c>
      <c r="B4551" s="2">
        <v>45435</v>
      </c>
      <c r="C4551" s="1" t="s">
        <v>1891</v>
      </c>
      <c r="D4551" s="1" t="s">
        <v>1892</v>
      </c>
      <c r="E4551" s="1" t="s">
        <v>14</v>
      </c>
      <c r="F4551" s="1" t="s">
        <v>339</v>
      </c>
      <c r="G4551" s="1" t="s">
        <v>340</v>
      </c>
      <c r="H4551" s="1" t="s">
        <v>24</v>
      </c>
      <c r="I4551">
        <v>99480</v>
      </c>
      <c r="J4551" s="3">
        <v>15.23</v>
      </c>
      <c r="K4551" s="3">
        <v>1515080.4</v>
      </c>
    </row>
    <row r="4552" spans="1:11" x14ac:dyDescent="0.2">
      <c r="A4552" s="1" t="s">
        <v>5670</v>
      </c>
      <c r="B4552" s="2">
        <v>45438</v>
      </c>
      <c r="C4552" s="1" t="s">
        <v>705</v>
      </c>
      <c r="D4552" s="1" t="s">
        <v>706</v>
      </c>
      <c r="E4552" s="1" t="s">
        <v>28</v>
      </c>
      <c r="F4552" s="1" t="s">
        <v>463</v>
      </c>
      <c r="G4552" s="1" t="s">
        <v>464</v>
      </c>
      <c r="H4552" s="1" t="s">
        <v>37</v>
      </c>
      <c r="I4552">
        <v>67496</v>
      </c>
      <c r="J4552" s="3">
        <v>6.96</v>
      </c>
      <c r="K4552" s="3">
        <v>469772.16</v>
      </c>
    </row>
    <row r="4553" spans="1:11" x14ac:dyDescent="0.2">
      <c r="A4553" s="1" t="s">
        <v>5671</v>
      </c>
      <c r="B4553" s="2">
        <v>45426</v>
      </c>
      <c r="C4553" s="1" t="s">
        <v>1178</v>
      </c>
      <c r="D4553" s="1" t="s">
        <v>1179</v>
      </c>
      <c r="E4553" s="1" t="s">
        <v>34</v>
      </c>
      <c r="F4553" s="1" t="s">
        <v>203</v>
      </c>
      <c r="G4553" s="1" t="s">
        <v>204</v>
      </c>
      <c r="H4553" s="1" t="s">
        <v>72</v>
      </c>
      <c r="I4553">
        <v>53985</v>
      </c>
      <c r="J4553" s="3">
        <v>47.07</v>
      </c>
      <c r="K4553" s="3">
        <v>2541073.9500000002</v>
      </c>
    </row>
    <row r="4554" spans="1:11" x14ac:dyDescent="0.2">
      <c r="A4554" s="1" t="s">
        <v>5672</v>
      </c>
      <c r="B4554" s="2">
        <v>45662</v>
      </c>
      <c r="C4554" s="1" t="s">
        <v>201</v>
      </c>
      <c r="D4554" s="1" t="s">
        <v>202</v>
      </c>
      <c r="E4554" s="1" t="s">
        <v>14</v>
      </c>
      <c r="F4554" s="1" t="s">
        <v>76</v>
      </c>
      <c r="G4554" s="1" t="s">
        <v>77</v>
      </c>
      <c r="H4554" s="1" t="s">
        <v>48</v>
      </c>
      <c r="I4554">
        <v>8075</v>
      </c>
      <c r="J4554" s="3">
        <v>41.91</v>
      </c>
      <c r="K4554" s="3">
        <v>338423.25</v>
      </c>
    </row>
    <row r="4555" spans="1:11" x14ac:dyDescent="0.2">
      <c r="A4555" s="1" t="s">
        <v>5673</v>
      </c>
      <c r="B4555" s="2">
        <v>45927</v>
      </c>
      <c r="C4555" s="1" t="s">
        <v>1007</v>
      </c>
      <c r="D4555" s="1" t="s">
        <v>1008</v>
      </c>
      <c r="E4555" s="1" t="s">
        <v>37</v>
      </c>
      <c r="F4555" s="1" t="s">
        <v>76</v>
      </c>
      <c r="G4555" s="1" t="s">
        <v>77</v>
      </c>
      <c r="H4555" s="1" t="s">
        <v>48</v>
      </c>
      <c r="I4555">
        <v>57583</v>
      </c>
      <c r="J4555" s="3">
        <v>9.35</v>
      </c>
      <c r="K4555" s="3">
        <v>538401.05000000005</v>
      </c>
    </row>
    <row r="4556" spans="1:11" x14ac:dyDescent="0.2">
      <c r="A4556" s="1" t="s">
        <v>5674</v>
      </c>
      <c r="B4556" s="2">
        <v>46022</v>
      </c>
      <c r="C4556" s="1" t="s">
        <v>215</v>
      </c>
      <c r="D4556" s="1" t="s">
        <v>216</v>
      </c>
      <c r="E4556" s="1" t="s">
        <v>21</v>
      </c>
      <c r="F4556" s="1" t="s">
        <v>52</v>
      </c>
      <c r="G4556" s="1" t="s">
        <v>53</v>
      </c>
      <c r="H4556" s="1" t="s">
        <v>17</v>
      </c>
      <c r="I4556">
        <v>75828</v>
      </c>
      <c r="J4556" s="3">
        <v>42.35</v>
      </c>
      <c r="K4556" s="3">
        <v>3211315.8</v>
      </c>
    </row>
    <row r="4557" spans="1:11" x14ac:dyDescent="0.2">
      <c r="A4557" s="1" t="s">
        <v>5675</v>
      </c>
      <c r="B4557" s="2">
        <v>46021</v>
      </c>
      <c r="C4557" s="1" t="s">
        <v>2207</v>
      </c>
      <c r="D4557" s="1" t="s">
        <v>2208</v>
      </c>
      <c r="E4557" s="1" t="s">
        <v>37</v>
      </c>
      <c r="F4557" s="1" t="s">
        <v>76</v>
      </c>
      <c r="G4557" s="1" t="s">
        <v>77</v>
      </c>
      <c r="H4557" s="1" t="s">
        <v>48</v>
      </c>
      <c r="I4557">
        <v>45094</v>
      </c>
      <c r="J4557" s="3">
        <v>25.31</v>
      </c>
      <c r="K4557" s="3">
        <v>1141329.1399999999</v>
      </c>
    </row>
    <row r="4558" spans="1:11" x14ac:dyDescent="0.2">
      <c r="A4558" s="1" t="s">
        <v>5676</v>
      </c>
      <c r="B4558" s="2">
        <v>45894</v>
      </c>
      <c r="C4558" s="1" t="s">
        <v>1039</v>
      </c>
      <c r="D4558" s="1" t="s">
        <v>1040</v>
      </c>
      <c r="E4558" s="1" t="s">
        <v>14</v>
      </c>
      <c r="F4558" s="1" t="s">
        <v>81</v>
      </c>
      <c r="G4558" s="1" t="s">
        <v>82</v>
      </c>
      <c r="H4558" s="1" t="s">
        <v>72</v>
      </c>
      <c r="I4558">
        <v>60675</v>
      </c>
      <c r="J4558" s="3">
        <v>26.73</v>
      </c>
      <c r="K4558" s="3">
        <v>1621842.75</v>
      </c>
    </row>
    <row r="4559" spans="1:11" x14ac:dyDescent="0.2">
      <c r="A4559" s="1" t="s">
        <v>5677</v>
      </c>
      <c r="B4559" s="2">
        <v>45657</v>
      </c>
      <c r="C4559" s="1" t="s">
        <v>2059</v>
      </c>
      <c r="D4559" s="1" t="s">
        <v>2060</v>
      </c>
      <c r="E4559" s="1" t="s">
        <v>21</v>
      </c>
      <c r="F4559" s="1" t="s">
        <v>406</v>
      </c>
      <c r="G4559" s="1" t="s">
        <v>407</v>
      </c>
      <c r="H4559" s="1" t="s">
        <v>17</v>
      </c>
      <c r="I4559">
        <v>47773</v>
      </c>
      <c r="J4559" s="3">
        <v>47.05</v>
      </c>
      <c r="K4559" s="3">
        <v>2247719.65</v>
      </c>
    </row>
    <row r="4560" spans="1:11" x14ac:dyDescent="0.2">
      <c r="A4560" s="1" t="s">
        <v>5678</v>
      </c>
      <c r="B4560" s="2">
        <v>45711</v>
      </c>
      <c r="C4560" s="1" t="s">
        <v>1885</v>
      </c>
      <c r="D4560" s="1" t="s">
        <v>1886</v>
      </c>
      <c r="E4560" s="1" t="s">
        <v>28</v>
      </c>
      <c r="F4560" s="1" t="s">
        <v>330</v>
      </c>
      <c r="G4560" s="1" t="s">
        <v>331</v>
      </c>
      <c r="H4560" s="1" t="s">
        <v>72</v>
      </c>
      <c r="I4560">
        <v>55828</v>
      </c>
      <c r="J4560" s="3">
        <v>11.84</v>
      </c>
      <c r="K4560" s="3">
        <v>661003.52000000002</v>
      </c>
    </row>
    <row r="4561" spans="1:11" x14ac:dyDescent="0.2">
      <c r="A4561" s="1" t="s">
        <v>5679</v>
      </c>
      <c r="B4561" s="2">
        <v>45512</v>
      </c>
      <c r="C4561" s="1" t="s">
        <v>3733</v>
      </c>
      <c r="D4561" s="1" t="s">
        <v>3734</v>
      </c>
      <c r="E4561" s="1" t="s">
        <v>14</v>
      </c>
      <c r="F4561" s="1" t="s">
        <v>46</v>
      </c>
      <c r="G4561" s="1" t="s">
        <v>47</v>
      </c>
      <c r="H4561" s="1" t="s">
        <v>48</v>
      </c>
      <c r="I4561">
        <v>10565</v>
      </c>
      <c r="J4561" s="3">
        <v>31.07</v>
      </c>
      <c r="K4561" s="3">
        <v>328254.55</v>
      </c>
    </row>
    <row r="4562" spans="1:11" x14ac:dyDescent="0.2">
      <c r="A4562" s="1" t="s">
        <v>5680</v>
      </c>
      <c r="B4562" s="2">
        <v>45588</v>
      </c>
      <c r="C4562" s="1" t="s">
        <v>1028</v>
      </c>
      <c r="D4562" s="1" t="s">
        <v>1029</v>
      </c>
      <c r="E4562" s="1" t="s">
        <v>14</v>
      </c>
      <c r="F4562" s="1" t="s">
        <v>176</v>
      </c>
      <c r="G4562" s="1" t="s">
        <v>177</v>
      </c>
      <c r="H4562" s="1" t="s">
        <v>37</v>
      </c>
      <c r="I4562">
        <v>85841</v>
      </c>
      <c r="J4562" s="3">
        <v>43.35</v>
      </c>
      <c r="K4562" s="3">
        <v>3721207.35</v>
      </c>
    </row>
    <row r="4563" spans="1:11" x14ac:dyDescent="0.2">
      <c r="A4563" s="1" t="s">
        <v>5681</v>
      </c>
      <c r="B4563" s="2">
        <v>46004</v>
      </c>
      <c r="C4563" s="1" t="s">
        <v>910</v>
      </c>
      <c r="D4563" s="1" t="s">
        <v>911</v>
      </c>
      <c r="E4563" s="1" t="s">
        <v>28</v>
      </c>
      <c r="F4563" s="1" t="s">
        <v>203</v>
      </c>
      <c r="G4563" s="1" t="s">
        <v>204</v>
      </c>
      <c r="H4563" s="1" t="s">
        <v>72</v>
      </c>
      <c r="I4563">
        <v>4505</v>
      </c>
      <c r="J4563" s="3">
        <v>47.79</v>
      </c>
      <c r="K4563" s="3">
        <v>215293.95</v>
      </c>
    </row>
    <row r="4564" spans="1:11" x14ac:dyDescent="0.2">
      <c r="A4564" s="1" t="s">
        <v>5682</v>
      </c>
      <c r="B4564" s="2">
        <v>45941</v>
      </c>
      <c r="C4564" s="1" t="s">
        <v>2398</v>
      </c>
      <c r="D4564" s="1" t="s">
        <v>2399</v>
      </c>
      <c r="E4564" s="1" t="s">
        <v>37</v>
      </c>
      <c r="F4564" s="1" t="s">
        <v>76</v>
      </c>
      <c r="G4564" s="1" t="s">
        <v>77</v>
      </c>
      <c r="H4564" s="1" t="s">
        <v>48</v>
      </c>
      <c r="I4564">
        <v>39157</v>
      </c>
      <c r="J4564" s="3">
        <v>27.78</v>
      </c>
      <c r="K4564" s="3">
        <v>1087781.46</v>
      </c>
    </row>
    <row r="4565" spans="1:11" x14ac:dyDescent="0.2">
      <c r="A4565" s="1" t="s">
        <v>5683</v>
      </c>
      <c r="B4565" s="2">
        <v>45875</v>
      </c>
      <c r="C4565" s="1" t="s">
        <v>266</v>
      </c>
      <c r="D4565" s="1" t="s">
        <v>267</v>
      </c>
      <c r="E4565" s="1" t="s">
        <v>14</v>
      </c>
      <c r="F4565" s="1" t="s">
        <v>41</v>
      </c>
      <c r="G4565" s="1" t="s">
        <v>42</v>
      </c>
      <c r="H4565" s="1" t="s">
        <v>24</v>
      </c>
      <c r="I4565">
        <v>73725</v>
      </c>
      <c r="J4565" s="3">
        <v>25.7</v>
      </c>
      <c r="K4565" s="3">
        <v>1894732.5</v>
      </c>
    </row>
    <row r="4566" spans="1:11" x14ac:dyDescent="0.2">
      <c r="A4566" s="1" t="s">
        <v>5684</v>
      </c>
      <c r="B4566" s="2">
        <v>45851</v>
      </c>
      <c r="C4566" s="1" t="s">
        <v>142</v>
      </c>
      <c r="D4566" s="1" t="s">
        <v>143</v>
      </c>
      <c r="E4566" s="1" t="s">
        <v>37</v>
      </c>
      <c r="F4566" s="1" t="s">
        <v>113</v>
      </c>
      <c r="G4566" s="1" t="s">
        <v>114</v>
      </c>
      <c r="H4566" s="1" t="s">
        <v>37</v>
      </c>
      <c r="I4566">
        <v>67730</v>
      </c>
      <c r="J4566" s="3">
        <v>33.619999999999997</v>
      </c>
      <c r="K4566" s="3">
        <v>2277082.6</v>
      </c>
    </row>
    <row r="4567" spans="1:11" x14ac:dyDescent="0.2">
      <c r="A4567" s="1" t="s">
        <v>5685</v>
      </c>
      <c r="B4567" s="2">
        <v>45980</v>
      </c>
      <c r="C4567" s="1" t="s">
        <v>1841</v>
      </c>
      <c r="D4567" s="1" t="s">
        <v>1842</v>
      </c>
      <c r="E4567" s="1" t="s">
        <v>14</v>
      </c>
      <c r="F4567" s="1" t="s">
        <v>98</v>
      </c>
      <c r="G4567" s="1" t="s">
        <v>99</v>
      </c>
      <c r="H4567" s="1" t="s">
        <v>72</v>
      </c>
      <c r="I4567">
        <v>87338</v>
      </c>
      <c r="J4567" s="3">
        <v>43.18</v>
      </c>
      <c r="K4567" s="3">
        <v>3771254.84</v>
      </c>
    </row>
    <row r="4568" spans="1:11" x14ac:dyDescent="0.2">
      <c r="A4568" s="1" t="s">
        <v>5686</v>
      </c>
      <c r="B4568" s="2">
        <v>45479</v>
      </c>
      <c r="C4568" s="1" t="s">
        <v>2196</v>
      </c>
      <c r="D4568" s="1" t="s">
        <v>2197</v>
      </c>
      <c r="E4568" s="1" t="s">
        <v>34</v>
      </c>
      <c r="F4568" s="1" t="s">
        <v>189</v>
      </c>
      <c r="G4568" s="1" t="s">
        <v>190</v>
      </c>
      <c r="H4568" s="1" t="s">
        <v>17</v>
      </c>
      <c r="I4568">
        <v>84179</v>
      </c>
      <c r="J4568" s="3">
        <v>40.880000000000003</v>
      </c>
      <c r="K4568" s="3">
        <v>3441237.52</v>
      </c>
    </row>
    <row r="4569" spans="1:11" x14ac:dyDescent="0.2">
      <c r="A4569" s="1" t="s">
        <v>5687</v>
      </c>
      <c r="B4569" s="2">
        <v>45387</v>
      </c>
      <c r="C4569" s="1" t="s">
        <v>1567</v>
      </c>
      <c r="D4569" s="1" t="s">
        <v>1568</v>
      </c>
      <c r="E4569" s="1" t="s">
        <v>34</v>
      </c>
      <c r="F4569" s="1" t="s">
        <v>263</v>
      </c>
      <c r="G4569" s="1" t="s">
        <v>264</v>
      </c>
      <c r="H4569" s="1" t="s">
        <v>17</v>
      </c>
      <c r="I4569">
        <v>84065</v>
      </c>
      <c r="J4569" s="3">
        <v>2.35</v>
      </c>
      <c r="K4569" s="3">
        <v>197552.75</v>
      </c>
    </row>
    <row r="4570" spans="1:11" x14ac:dyDescent="0.2">
      <c r="A4570" s="1" t="s">
        <v>5688</v>
      </c>
      <c r="B4570" s="2">
        <v>45996</v>
      </c>
      <c r="C4570" s="1" t="s">
        <v>1483</v>
      </c>
      <c r="D4570" s="1" t="s">
        <v>1484</v>
      </c>
      <c r="E4570" s="1" t="s">
        <v>21</v>
      </c>
      <c r="F4570" s="1" t="s">
        <v>203</v>
      </c>
      <c r="G4570" s="1" t="s">
        <v>204</v>
      </c>
      <c r="H4570" s="1" t="s">
        <v>72</v>
      </c>
      <c r="I4570">
        <v>33565</v>
      </c>
      <c r="J4570" s="3">
        <v>24.91</v>
      </c>
      <c r="K4570" s="3">
        <v>836104.15</v>
      </c>
    </row>
    <row r="4571" spans="1:11" x14ac:dyDescent="0.2">
      <c r="A4571" s="1" t="s">
        <v>5689</v>
      </c>
      <c r="B4571" s="2">
        <v>45526</v>
      </c>
      <c r="C4571" s="1" t="s">
        <v>1909</v>
      </c>
      <c r="D4571" s="1" t="s">
        <v>1910</v>
      </c>
      <c r="E4571" s="1" t="s">
        <v>37</v>
      </c>
      <c r="F4571" s="1" t="s">
        <v>263</v>
      </c>
      <c r="G4571" s="1" t="s">
        <v>264</v>
      </c>
      <c r="H4571" s="1" t="s">
        <v>17</v>
      </c>
      <c r="I4571">
        <v>73998</v>
      </c>
      <c r="J4571" s="3">
        <v>36.799999999999997</v>
      </c>
      <c r="K4571" s="3">
        <v>2723126.4</v>
      </c>
    </row>
    <row r="4572" spans="1:11" x14ac:dyDescent="0.2">
      <c r="A4572" s="1" t="s">
        <v>5690</v>
      </c>
      <c r="B4572" s="2">
        <v>45730</v>
      </c>
      <c r="C4572" s="1" t="s">
        <v>583</v>
      </c>
      <c r="D4572" s="1" t="s">
        <v>584</v>
      </c>
      <c r="E4572" s="1" t="s">
        <v>37</v>
      </c>
      <c r="F4572" s="1" t="s">
        <v>552</v>
      </c>
      <c r="G4572" s="1" t="s">
        <v>553</v>
      </c>
      <c r="H4572" s="1" t="s">
        <v>37</v>
      </c>
      <c r="I4572">
        <v>61348</v>
      </c>
      <c r="J4572" s="3">
        <v>6.01</v>
      </c>
      <c r="K4572" s="3">
        <v>368701.48</v>
      </c>
    </row>
    <row r="4573" spans="1:11" x14ac:dyDescent="0.2">
      <c r="A4573" s="1" t="s">
        <v>5691</v>
      </c>
      <c r="B4573" s="2">
        <v>45888</v>
      </c>
      <c r="C4573" s="1" t="s">
        <v>1237</v>
      </c>
      <c r="D4573" s="1" t="s">
        <v>1238</v>
      </c>
      <c r="E4573" s="1" t="s">
        <v>34</v>
      </c>
      <c r="F4573" s="1" t="s">
        <v>324</v>
      </c>
      <c r="G4573" s="1" t="s">
        <v>325</v>
      </c>
      <c r="H4573" s="1" t="s">
        <v>24</v>
      </c>
      <c r="I4573">
        <v>3092</v>
      </c>
      <c r="J4573" s="3">
        <v>9.61</v>
      </c>
      <c r="K4573" s="3">
        <v>29714.12</v>
      </c>
    </row>
    <row r="4574" spans="1:11" x14ac:dyDescent="0.2">
      <c r="A4574" s="1" t="s">
        <v>5692</v>
      </c>
      <c r="B4574" s="2">
        <v>45992</v>
      </c>
      <c r="C4574" s="1" t="s">
        <v>563</v>
      </c>
      <c r="D4574" s="1" t="s">
        <v>564</v>
      </c>
      <c r="E4574" s="1" t="s">
        <v>37</v>
      </c>
      <c r="F4574" s="1" t="s">
        <v>217</v>
      </c>
      <c r="G4574" s="1" t="s">
        <v>218</v>
      </c>
      <c r="H4574" s="1" t="s">
        <v>72</v>
      </c>
      <c r="I4574">
        <v>99692</v>
      </c>
      <c r="J4574" s="3">
        <v>18.53</v>
      </c>
      <c r="K4574" s="3">
        <v>1847292.76</v>
      </c>
    </row>
    <row r="4575" spans="1:11" x14ac:dyDescent="0.2">
      <c r="A4575" s="1" t="s">
        <v>5693</v>
      </c>
      <c r="B4575" s="2">
        <v>45974</v>
      </c>
      <c r="C4575" s="1" t="s">
        <v>424</v>
      </c>
      <c r="D4575" s="1" t="s">
        <v>425</v>
      </c>
      <c r="E4575" s="1" t="s">
        <v>28</v>
      </c>
      <c r="F4575" s="1" t="s">
        <v>152</v>
      </c>
      <c r="G4575" s="1" t="s">
        <v>153</v>
      </c>
      <c r="H4575" s="1" t="s">
        <v>17</v>
      </c>
      <c r="I4575">
        <v>43107</v>
      </c>
      <c r="J4575" s="3">
        <v>18.86</v>
      </c>
      <c r="K4575" s="3">
        <v>812998.02</v>
      </c>
    </row>
    <row r="4576" spans="1:11" x14ac:dyDescent="0.2">
      <c r="A4576" s="1" t="s">
        <v>5694</v>
      </c>
      <c r="B4576" s="2">
        <v>45799</v>
      </c>
      <c r="C4576" s="1" t="s">
        <v>201</v>
      </c>
      <c r="D4576" s="1" t="s">
        <v>202</v>
      </c>
      <c r="E4576" s="1" t="s">
        <v>14</v>
      </c>
      <c r="F4576" s="1" t="s">
        <v>412</v>
      </c>
      <c r="G4576" s="1" t="s">
        <v>413</v>
      </c>
      <c r="H4576" s="1" t="s">
        <v>72</v>
      </c>
      <c r="I4576">
        <v>65977</v>
      </c>
      <c r="J4576" s="3">
        <v>8.0399999999999991</v>
      </c>
      <c r="K4576" s="3">
        <v>530455.07999999996</v>
      </c>
    </row>
    <row r="4577" spans="1:11" x14ac:dyDescent="0.2">
      <c r="A4577" s="1" t="s">
        <v>5695</v>
      </c>
      <c r="B4577" s="2">
        <v>45298</v>
      </c>
      <c r="C4577" s="1" t="s">
        <v>1666</v>
      </c>
      <c r="D4577" s="1" t="s">
        <v>1667</v>
      </c>
      <c r="E4577" s="1" t="s">
        <v>28</v>
      </c>
      <c r="F4577" s="1" t="s">
        <v>552</v>
      </c>
      <c r="G4577" s="1" t="s">
        <v>553</v>
      </c>
      <c r="H4577" s="1" t="s">
        <v>37</v>
      </c>
      <c r="I4577">
        <v>23097</v>
      </c>
      <c r="J4577" s="3">
        <v>18.899999999999999</v>
      </c>
      <c r="K4577" s="3">
        <v>436533.3</v>
      </c>
    </row>
    <row r="4578" spans="1:11" x14ac:dyDescent="0.2">
      <c r="A4578" s="1" t="s">
        <v>5696</v>
      </c>
      <c r="B4578" s="2">
        <v>45492</v>
      </c>
      <c r="C4578" s="1" t="s">
        <v>1881</v>
      </c>
      <c r="D4578" s="1" t="s">
        <v>1882</v>
      </c>
      <c r="E4578" s="1" t="s">
        <v>34</v>
      </c>
      <c r="F4578" s="1" t="s">
        <v>552</v>
      </c>
      <c r="G4578" s="1" t="s">
        <v>553</v>
      </c>
      <c r="H4578" s="1" t="s">
        <v>37</v>
      </c>
      <c r="I4578">
        <v>46518</v>
      </c>
      <c r="J4578" s="3">
        <v>18.43</v>
      </c>
      <c r="K4578" s="3">
        <v>857326.74</v>
      </c>
    </row>
    <row r="4579" spans="1:11" x14ac:dyDescent="0.2">
      <c r="A4579" s="1" t="s">
        <v>5697</v>
      </c>
      <c r="B4579" s="2">
        <v>45738</v>
      </c>
      <c r="C4579" s="1" t="s">
        <v>2252</v>
      </c>
      <c r="D4579" s="1" t="s">
        <v>2253</v>
      </c>
      <c r="E4579" s="1" t="s">
        <v>34</v>
      </c>
      <c r="F4579" s="1" t="s">
        <v>144</v>
      </c>
      <c r="G4579" s="1" t="s">
        <v>145</v>
      </c>
      <c r="H4579" s="1" t="s">
        <v>24</v>
      </c>
      <c r="I4579">
        <v>26809</v>
      </c>
      <c r="J4579" s="3">
        <v>16.309999999999999</v>
      </c>
      <c r="K4579" s="3">
        <v>437254.79</v>
      </c>
    </row>
    <row r="4580" spans="1:11" x14ac:dyDescent="0.2">
      <c r="A4580" s="1" t="s">
        <v>5698</v>
      </c>
      <c r="B4580" s="2">
        <v>45456</v>
      </c>
      <c r="C4580" s="1" t="s">
        <v>1364</v>
      </c>
      <c r="D4580" s="1" t="s">
        <v>1365</v>
      </c>
      <c r="E4580" s="1" t="s">
        <v>37</v>
      </c>
      <c r="F4580" s="1" t="s">
        <v>540</v>
      </c>
      <c r="G4580" s="1" t="s">
        <v>541</v>
      </c>
      <c r="H4580" s="1" t="s">
        <v>37</v>
      </c>
      <c r="I4580">
        <v>39511</v>
      </c>
      <c r="J4580" s="3">
        <v>20.010000000000002</v>
      </c>
      <c r="K4580" s="3">
        <v>790615.11</v>
      </c>
    </row>
    <row r="4581" spans="1:11" x14ac:dyDescent="0.2">
      <c r="A4581" s="1" t="s">
        <v>5699</v>
      </c>
      <c r="B4581" s="2">
        <v>45399</v>
      </c>
      <c r="C4581" s="1" t="s">
        <v>1647</v>
      </c>
      <c r="D4581" s="1" t="s">
        <v>1648</v>
      </c>
      <c r="E4581" s="1" t="s">
        <v>14</v>
      </c>
      <c r="F4581" s="1" t="s">
        <v>108</v>
      </c>
      <c r="G4581" s="1" t="s">
        <v>109</v>
      </c>
      <c r="H4581" s="1" t="s">
        <v>37</v>
      </c>
      <c r="I4581">
        <v>61502</v>
      </c>
      <c r="J4581" s="3">
        <v>31.65</v>
      </c>
      <c r="K4581" s="3">
        <v>1946538.3</v>
      </c>
    </row>
    <row r="4582" spans="1:11" x14ac:dyDescent="0.2">
      <c r="A4582" s="1" t="s">
        <v>5700</v>
      </c>
      <c r="B4582" s="2">
        <v>45826</v>
      </c>
      <c r="C4582" s="1" t="s">
        <v>1357</v>
      </c>
      <c r="D4582" s="1" t="s">
        <v>1358</v>
      </c>
      <c r="E4582" s="1" t="s">
        <v>37</v>
      </c>
      <c r="F4582" s="1" t="s">
        <v>284</v>
      </c>
      <c r="G4582" s="1" t="s">
        <v>285</v>
      </c>
      <c r="H4582" s="1" t="s">
        <v>37</v>
      </c>
      <c r="I4582">
        <v>85426</v>
      </c>
      <c r="J4582" s="3">
        <v>6.18</v>
      </c>
      <c r="K4582" s="3">
        <v>527932.68000000005</v>
      </c>
    </row>
    <row r="4583" spans="1:11" x14ac:dyDescent="0.2">
      <c r="A4583" s="1" t="s">
        <v>5701</v>
      </c>
      <c r="B4583" s="2">
        <v>45657</v>
      </c>
      <c r="C4583" s="1" t="s">
        <v>1953</v>
      </c>
      <c r="D4583" s="1" t="s">
        <v>1954</v>
      </c>
      <c r="E4583" s="1" t="s">
        <v>34</v>
      </c>
      <c r="F4583" s="1" t="s">
        <v>217</v>
      </c>
      <c r="G4583" s="1" t="s">
        <v>218</v>
      </c>
      <c r="H4583" s="1" t="s">
        <v>72</v>
      </c>
      <c r="I4583">
        <v>94480</v>
      </c>
      <c r="J4583" s="3">
        <v>25.94</v>
      </c>
      <c r="K4583" s="3">
        <v>2450811.2000000002</v>
      </c>
    </row>
    <row r="4584" spans="1:11" x14ac:dyDescent="0.2">
      <c r="A4584" s="1" t="s">
        <v>5702</v>
      </c>
      <c r="B4584" s="2">
        <v>45783</v>
      </c>
      <c r="C4584" s="1" t="s">
        <v>1317</v>
      </c>
      <c r="D4584" s="1" t="s">
        <v>1318</v>
      </c>
      <c r="E4584" s="1" t="s">
        <v>28</v>
      </c>
      <c r="F4584" s="1" t="s">
        <v>458</v>
      </c>
      <c r="G4584" s="1" t="s">
        <v>459</v>
      </c>
      <c r="H4584" s="1" t="s">
        <v>72</v>
      </c>
      <c r="I4584">
        <v>52237</v>
      </c>
      <c r="J4584" s="3">
        <v>7.32</v>
      </c>
      <c r="K4584" s="3">
        <v>382374.84</v>
      </c>
    </row>
    <row r="4585" spans="1:11" x14ac:dyDescent="0.2">
      <c r="A4585" s="1" t="s">
        <v>5703</v>
      </c>
      <c r="B4585" s="2">
        <v>45747</v>
      </c>
      <c r="C4585" s="1" t="s">
        <v>811</v>
      </c>
      <c r="D4585" s="1" t="s">
        <v>812</v>
      </c>
      <c r="E4585" s="1" t="s">
        <v>14</v>
      </c>
      <c r="F4585" s="1" t="s">
        <v>251</v>
      </c>
      <c r="G4585" s="1" t="s">
        <v>252</v>
      </c>
      <c r="H4585" s="1" t="s">
        <v>72</v>
      </c>
      <c r="I4585">
        <v>13620</v>
      </c>
      <c r="J4585" s="3">
        <v>41.25</v>
      </c>
      <c r="K4585" s="3">
        <v>561825</v>
      </c>
    </row>
    <row r="4586" spans="1:11" x14ac:dyDescent="0.2">
      <c r="A4586" s="1" t="s">
        <v>5704</v>
      </c>
      <c r="B4586" s="2">
        <v>45692</v>
      </c>
      <c r="C4586" s="1" t="s">
        <v>1722</v>
      </c>
      <c r="D4586" s="1" t="s">
        <v>1723</v>
      </c>
      <c r="E4586" s="1" t="s">
        <v>34</v>
      </c>
      <c r="F4586" s="1" t="s">
        <v>761</v>
      </c>
      <c r="G4586" s="1" t="s">
        <v>762</v>
      </c>
      <c r="H4586" s="1" t="s">
        <v>48</v>
      </c>
      <c r="I4586">
        <v>70001</v>
      </c>
      <c r="J4586" s="3">
        <v>38.25</v>
      </c>
      <c r="K4586" s="3">
        <v>2677538.25</v>
      </c>
    </row>
    <row r="4587" spans="1:11" x14ac:dyDescent="0.2">
      <c r="A4587" s="1" t="s">
        <v>5705</v>
      </c>
      <c r="B4587" s="2">
        <v>45993</v>
      </c>
      <c r="C4587" s="1" t="s">
        <v>243</v>
      </c>
      <c r="D4587" s="1" t="s">
        <v>244</v>
      </c>
      <c r="E4587" s="1" t="s">
        <v>21</v>
      </c>
      <c r="F4587" s="1" t="s">
        <v>394</v>
      </c>
      <c r="G4587" s="1" t="s">
        <v>395</v>
      </c>
      <c r="H4587" s="1" t="s">
        <v>48</v>
      </c>
      <c r="I4587">
        <v>58553</v>
      </c>
      <c r="J4587" s="3">
        <v>21.6</v>
      </c>
      <c r="K4587" s="3">
        <v>1264744.8</v>
      </c>
    </row>
    <row r="4588" spans="1:11" x14ac:dyDescent="0.2">
      <c r="A4588" s="1" t="s">
        <v>5706</v>
      </c>
      <c r="B4588" s="2">
        <v>45708</v>
      </c>
      <c r="C4588" s="1" t="s">
        <v>948</v>
      </c>
      <c r="D4588" s="1" t="s">
        <v>949</v>
      </c>
      <c r="E4588" s="1" t="s">
        <v>21</v>
      </c>
      <c r="F4588" s="1" t="s">
        <v>436</v>
      </c>
      <c r="G4588" s="1" t="s">
        <v>437</v>
      </c>
      <c r="H4588" s="1" t="s">
        <v>24</v>
      </c>
      <c r="I4588">
        <v>73291</v>
      </c>
      <c r="J4588" s="3">
        <v>44.38</v>
      </c>
      <c r="K4588" s="3">
        <v>3252654.58</v>
      </c>
    </row>
    <row r="4589" spans="1:11" x14ac:dyDescent="0.2">
      <c r="A4589" s="1" t="s">
        <v>5707</v>
      </c>
      <c r="B4589" s="2">
        <v>45598</v>
      </c>
      <c r="C4589" s="1" t="s">
        <v>235</v>
      </c>
      <c r="D4589" s="1" t="s">
        <v>236</v>
      </c>
      <c r="E4589" s="1" t="s">
        <v>14</v>
      </c>
      <c r="F4589" s="1" t="s">
        <v>552</v>
      </c>
      <c r="G4589" s="1" t="s">
        <v>553</v>
      </c>
      <c r="H4589" s="1" t="s">
        <v>37</v>
      </c>
      <c r="I4589">
        <v>80408</v>
      </c>
      <c r="J4589" s="3">
        <v>12.79</v>
      </c>
      <c r="K4589" s="3">
        <v>1028418.32</v>
      </c>
    </row>
    <row r="4590" spans="1:11" x14ac:dyDescent="0.2">
      <c r="A4590" s="1" t="s">
        <v>5708</v>
      </c>
      <c r="B4590" s="2">
        <v>45843</v>
      </c>
      <c r="C4590" s="1" t="s">
        <v>1814</v>
      </c>
      <c r="D4590" s="1" t="s">
        <v>1815</v>
      </c>
      <c r="E4590" s="1" t="s">
        <v>14</v>
      </c>
      <c r="F4590" s="1" t="s">
        <v>251</v>
      </c>
      <c r="G4590" s="1" t="s">
        <v>252</v>
      </c>
      <c r="H4590" s="1" t="s">
        <v>72</v>
      </c>
      <c r="I4590">
        <v>60975</v>
      </c>
      <c r="J4590" s="3">
        <v>34.19</v>
      </c>
      <c r="K4590" s="3">
        <v>2084735.25</v>
      </c>
    </row>
    <row r="4591" spans="1:11" x14ac:dyDescent="0.2">
      <c r="A4591" s="1" t="s">
        <v>5709</v>
      </c>
      <c r="B4591" s="2">
        <v>45753</v>
      </c>
      <c r="C4591" s="1" t="s">
        <v>932</v>
      </c>
      <c r="D4591" s="1" t="s">
        <v>933</v>
      </c>
      <c r="E4591" s="1" t="s">
        <v>14</v>
      </c>
      <c r="F4591" s="1" t="s">
        <v>152</v>
      </c>
      <c r="G4591" s="1" t="s">
        <v>153</v>
      </c>
      <c r="H4591" s="1" t="s">
        <v>17</v>
      </c>
      <c r="I4591">
        <v>53370</v>
      </c>
      <c r="J4591" s="3">
        <v>25.41</v>
      </c>
      <c r="K4591" s="3">
        <v>1356131.7</v>
      </c>
    </row>
    <row r="4592" spans="1:11" x14ac:dyDescent="0.2">
      <c r="A4592" s="1" t="s">
        <v>5710</v>
      </c>
      <c r="B4592" s="2">
        <v>45364</v>
      </c>
      <c r="C4592" s="1" t="s">
        <v>1082</v>
      </c>
      <c r="D4592" s="1" t="s">
        <v>1083</v>
      </c>
      <c r="E4592" s="1" t="s">
        <v>28</v>
      </c>
      <c r="F4592" s="1" t="s">
        <v>406</v>
      </c>
      <c r="G4592" s="1" t="s">
        <v>407</v>
      </c>
      <c r="H4592" s="1" t="s">
        <v>17</v>
      </c>
      <c r="I4592">
        <v>41074</v>
      </c>
      <c r="J4592" s="3">
        <v>49.84</v>
      </c>
      <c r="K4592" s="3">
        <v>2047128.16</v>
      </c>
    </row>
    <row r="4593" spans="1:11" x14ac:dyDescent="0.2">
      <c r="A4593" s="1" t="s">
        <v>5711</v>
      </c>
      <c r="B4593" s="2">
        <v>45566</v>
      </c>
      <c r="C4593" s="1" t="s">
        <v>2293</v>
      </c>
      <c r="D4593" s="1" t="s">
        <v>2294</v>
      </c>
      <c r="E4593" s="1" t="s">
        <v>34</v>
      </c>
      <c r="F4593" s="1" t="s">
        <v>57</v>
      </c>
      <c r="G4593" s="1" t="s">
        <v>58</v>
      </c>
      <c r="H4593" s="1" t="s">
        <v>48</v>
      </c>
      <c r="I4593">
        <v>55761</v>
      </c>
      <c r="J4593" s="3">
        <v>32.06</v>
      </c>
      <c r="K4593" s="3">
        <v>1787697.66</v>
      </c>
    </row>
    <row r="4594" spans="1:11" x14ac:dyDescent="0.2">
      <c r="A4594" s="1" t="s">
        <v>5712</v>
      </c>
      <c r="B4594" s="2">
        <v>45608</v>
      </c>
      <c r="C4594" s="1" t="s">
        <v>1460</v>
      </c>
      <c r="D4594" s="1" t="s">
        <v>1461</v>
      </c>
      <c r="E4594" s="1" t="s">
        <v>37</v>
      </c>
      <c r="F4594" s="1" t="s">
        <v>263</v>
      </c>
      <c r="G4594" s="1" t="s">
        <v>264</v>
      </c>
      <c r="H4594" s="1" t="s">
        <v>17</v>
      </c>
      <c r="I4594">
        <v>27858</v>
      </c>
      <c r="J4594" s="3">
        <v>38.130000000000003</v>
      </c>
      <c r="K4594" s="3">
        <v>1062225.54</v>
      </c>
    </row>
    <row r="4595" spans="1:11" x14ac:dyDescent="0.2">
      <c r="A4595" s="1" t="s">
        <v>5713</v>
      </c>
      <c r="B4595" s="2">
        <v>45293</v>
      </c>
      <c r="C4595" s="1" t="s">
        <v>546</v>
      </c>
      <c r="D4595" s="1" t="s">
        <v>547</v>
      </c>
      <c r="E4595" s="1" t="s">
        <v>34</v>
      </c>
      <c r="F4595" s="1" t="s">
        <v>324</v>
      </c>
      <c r="G4595" s="1" t="s">
        <v>325</v>
      </c>
      <c r="H4595" s="1" t="s">
        <v>24</v>
      </c>
      <c r="I4595">
        <v>22347</v>
      </c>
      <c r="J4595" s="3">
        <v>17.78</v>
      </c>
      <c r="K4595" s="3">
        <v>397329.66</v>
      </c>
    </row>
    <row r="4596" spans="1:11" x14ac:dyDescent="0.2">
      <c r="A4596" s="1" t="s">
        <v>5714</v>
      </c>
      <c r="B4596" s="2">
        <v>45947</v>
      </c>
      <c r="C4596" s="1" t="s">
        <v>1201</v>
      </c>
      <c r="D4596" s="1" t="s">
        <v>1202</v>
      </c>
      <c r="E4596" s="1" t="s">
        <v>37</v>
      </c>
      <c r="F4596" s="1" t="s">
        <v>540</v>
      </c>
      <c r="G4596" s="1" t="s">
        <v>541</v>
      </c>
      <c r="H4596" s="1" t="s">
        <v>37</v>
      </c>
      <c r="I4596">
        <v>86195</v>
      </c>
      <c r="J4596" s="3">
        <v>24.18</v>
      </c>
      <c r="K4596" s="3">
        <v>2084195.1</v>
      </c>
    </row>
    <row r="4597" spans="1:11" x14ac:dyDescent="0.2">
      <c r="A4597" s="1" t="s">
        <v>5715</v>
      </c>
      <c r="B4597" s="2">
        <v>45327</v>
      </c>
      <c r="C4597" s="1" t="s">
        <v>294</v>
      </c>
      <c r="D4597" s="1" t="s">
        <v>295</v>
      </c>
      <c r="E4597" s="1" t="s">
        <v>37</v>
      </c>
      <c r="F4597" s="1" t="s">
        <v>52</v>
      </c>
      <c r="G4597" s="1" t="s">
        <v>53</v>
      </c>
      <c r="H4597" s="1" t="s">
        <v>17</v>
      </c>
      <c r="I4597">
        <v>35411</v>
      </c>
      <c r="J4597" s="3">
        <v>17.62</v>
      </c>
      <c r="K4597" s="3">
        <v>623941.81999999995</v>
      </c>
    </row>
    <row r="4598" spans="1:11" x14ac:dyDescent="0.2">
      <c r="A4598" s="1" t="s">
        <v>5716</v>
      </c>
      <c r="B4598" s="2">
        <v>45648</v>
      </c>
      <c r="C4598" s="1" t="s">
        <v>1854</v>
      </c>
      <c r="D4598" s="1" t="s">
        <v>1855</v>
      </c>
      <c r="E4598" s="1" t="s">
        <v>37</v>
      </c>
      <c r="F4598" s="1" t="s">
        <v>463</v>
      </c>
      <c r="G4598" s="1" t="s">
        <v>464</v>
      </c>
      <c r="H4598" s="1" t="s">
        <v>37</v>
      </c>
      <c r="I4598">
        <v>55848</v>
      </c>
      <c r="J4598" s="3">
        <v>23.52</v>
      </c>
      <c r="K4598" s="3">
        <v>1313544.96</v>
      </c>
    </row>
    <row r="4599" spans="1:11" x14ac:dyDescent="0.2">
      <c r="A4599" s="1" t="s">
        <v>5717</v>
      </c>
      <c r="B4599" s="2">
        <v>45336</v>
      </c>
      <c r="C4599" s="1" t="s">
        <v>2050</v>
      </c>
      <c r="D4599" s="1" t="s">
        <v>2051</v>
      </c>
      <c r="E4599" s="1" t="s">
        <v>14</v>
      </c>
      <c r="F4599" s="1" t="s">
        <v>203</v>
      </c>
      <c r="G4599" s="1" t="s">
        <v>204</v>
      </c>
      <c r="H4599" s="1" t="s">
        <v>72</v>
      </c>
      <c r="I4599">
        <v>92411</v>
      </c>
      <c r="J4599" s="3">
        <v>22.23</v>
      </c>
      <c r="K4599" s="3">
        <v>2054296.53</v>
      </c>
    </row>
    <row r="4600" spans="1:11" x14ac:dyDescent="0.2">
      <c r="A4600" s="1" t="s">
        <v>5718</v>
      </c>
      <c r="B4600" s="2">
        <v>45740</v>
      </c>
      <c r="C4600" s="1" t="s">
        <v>1324</v>
      </c>
      <c r="D4600" s="1" t="s">
        <v>1325</v>
      </c>
      <c r="E4600" s="1" t="s">
        <v>34</v>
      </c>
      <c r="F4600" s="1" t="s">
        <v>324</v>
      </c>
      <c r="G4600" s="1" t="s">
        <v>325</v>
      </c>
      <c r="H4600" s="1" t="s">
        <v>24</v>
      </c>
      <c r="I4600">
        <v>85377</v>
      </c>
      <c r="J4600" s="3">
        <v>22.68</v>
      </c>
      <c r="K4600" s="3">
        <v>1936350.36</v>
      </c>
    </row>
    <row r="4601" spans="1:11" x14ac:dyDescent="0.2">
      <c r="A4601" s="1" t="s">
        <v>5719</v>
      </c>
      <c r="B4601" s="2">
        <v>45946</v>
      </c>
      <c r="C4601" s="1" t="s">
        <v>1408</v>
      </c>
      <c r="D4601" s="1" t="s">
        <v>1409</v>
      </c>
      <c r="E4601" s="1" t="s">
        <v>21</v>
      </c>
      <c r="F4601" s="1" t="s">
        <v>103</v>
      </c>
      <c r="G4601" s="1" t="s">
        <v>104</v>
      </c>
      <c r="H4601" s="1" t="s">
        <v>37</v>
      </c>
      <c r="I4601">
        <v>37530</v>
      </c>
      <c r="J4601" s="3">
        <v>8.11</v>
      </c>
      <c r="K4601" s="3">
        <v>304368.3</v>
      </c>
    </row>
    <row r="4602" spans="1:11" x14ac:dyDescent="0.2">
      <c r="A4602" s="1" t="s">
        <v>5720</v>
      </c>
      <c r="B4602" s="2">
        <v>45813</v>
      </c>
      <c r="C4602" s="1" t="s">
        <v>1810</v>
      </c>
      <c r="D4602" s="1" t="s">
        <v>1811</v>
      </c>
      <c r="E4602" s="1" t="s">
        <v>21</v>
      </c>
      <c r="F4602" s="1" t="s">
        <v>339</v>
      </c>
      <c r="G4602" s="1" t="s">
        <v>340</v>
      </c>
      <c r="H4602" s="1" t="s">
        <v>24</v>
      </c>
      <c r="I4602">
        <v>91949</v>
      </c>
      <c r="J4602" s="3">
        <v>27.26</v>
      </c>
      <c r="K4602" s="3">
        <v>2506529.7400000002</v>
      </c>
    </row>
    <row r="4603" spans="1:11" x14ac:dyDescent="0.2">
      <c r="A4603" s="1" t="s">
        <v>5721</v>
      </c>
      <c r="B4603" s="2">
        <v>45815</v>
      </c>
      <c r="C4603" s="1" t="s">
        <v>1666</v>
      </c>
      <c r="D4603" s="1" t="s">
        <v>1667</v>
      </c>
      <c r="E4603" s="1" t="s">
        <v>28</v>
      </c>
      <c r="F4603" s="1" t="s">
        <v>113</v>
      </c>
      <c r="G4603" s="1" t="s">
        <v>114</v>
      </c>
      <c r="H4603" s="1" t="s">
        <v>37</v>
      </c>
      <c r="I4603">
        <v>34516</v>
      </c>
      <c r="J4603" s="3">
        <v>5.25</v>
      </c>
      <c r="K4603" s="3">
        <v>181209</v>
      </c>
    </row>
    <row r="4604" spans="1:11" x14ac:dyDescent="0.2">
      <c r="A4604" s="1" t="s">
        <v>5722</v>
      </c>
      <c r="B4604" s="2">
        <v>45907</v>
      </c>
      <c r="C4604" s="1" t="s">
        <v>1698</v>
      </c>
      <c r="D4604" s="1" t="s">
        <v>1699</v>
      </c>
      <c r="E4604" s="1" t="s">
        <v>14</v>
      </c>
      <c r="F4604" s="1" t="s">
        <v>406</v>
      </c>
      <c r="G4604" s="1" t="s">
        <v>407</v>
      </c>
      <c r="H4604" s="1" t="s">
        <v>17</v>
      </c>
      <c r="I4604">
        <v>77053</v>
      </c>
      <c r="J4604" s="3">
        <v>48.74</v>
      </c>
      <c r="K4604" s="3">
        <v>3755563.22</v>
      </c>
    </row>
    <row r="4605" spans="1:11" x14ac:dyDescent="0.2">
      <c r="A4605" s="1" t="s">
        <v>5723</v>
      </c>
      <c r="B4605" s="2">
        <v>45541</v>
      </c>
      <c r="C4605" s="1" t="s">
        <v>1191</v>
      </c>
      <c r="D4605" s="1" t="s">
        <v>1192</v>
      </c>
      <c r="E4605" s="1" t="s">
        <v>21</v>
      </c>
      <c r="F4605" s="1" t="s">
        <v>540</v>
      </c>
      <c r="G4605" s="1" t="s">
        <v>541</v>
      </c>
      <c r="H4605" s="1" t="s">
        <v>37</v>
      </c>
      <c r="I4605">
        <v>48549</v>
      </c>
      <c r="J4605" s="3">
        <v>8.11</v>
      </c>
      <c r="K4605" s="3">
        <v>393732.39</v>
      </c>
    </row>
    <row r="4606" spans="1:11" x14ac:dyDescent="0.2">
      <c r="A4606" s="1" t="s">
        <v>5724</v>
      </c>
      <c r="B4606" s="2">
        <v>45646</v>
      </c>
      <c r="C4606" s="1" t="s">
        <v>1191</v>
      </c>
      <c r="D4606" s="1" t="s">
        <v>1192</v>
      </c>
      <c r="E4606" s="1" t="s">
        <v>21</v>
      </c>
      <c r="F4606" s="1" t="s">
        <v>228</v>
      </c>
      <c r="G4606" s="1" t="s">
        <v>229</v>
      </c>
      <c r="H4606" s="1" t="s">
        <v>48</v>
      </c>
      <c r="I4606">
        <v>2610</v>
      </c>
      <c r="J4606" s="3">
        <v>43.78</v>
      </c>
      <c r="K4606" s="3">
        <v>114265.8</v>
      </c>
    </row>
    <row r="4607" spans="1:11" x14ac:dyDescent="0.2">
      <c r="A4607" s="1" t="s">
        <v>5725</v>
      </c>
      <c r="B4607" s="2">
        <v>45311</v>
      </c>
      <c r="C4607" s="1" t="s">
        <v>1468</v>
      </c>
      <c r="D4607" s="1" t="s">
        <v>1469</v>
      </c>
      <c r="E4607" s="1" t="s">
        <v>21</v>
      </c>
      <c r="F4607" s="1" t="s">
        <v>98</v>
      </c>
      <c r="G4607" s="1" t="s">
        <v>99</v>
      </c>
      <c r="H4607" s="1" t="s">
        <v>72</v>
      </c>
      <c r="I4607">
        <v>51341</v>
      </c>
      <c r="J4607" s="3">
        <v>46.75</v>
      </c>
      <c r="K4607" s="3">
        <v>2400191.75</v>
      </c>
    </row>
    <row r="4608" spans="1:11" x14ac:dyDescent="0.2">
      <c r="A4608" s="1" t="s">
        <v>5726</v>
      </c>
      <c r="B4608" s="2">
        <v>45427</v>
      </c>
      <c r="C4608" s="1" t="s">
        <v>116</v>
      </c>
      <c r="D4608" s="1" t="s">
        <v>117</v>
      </c>
      <c r="E4608" s="1" t="s">
        <v>28</v>
      </c>
      <c r="F4608" s="1" t="s">
        <v>70</v>
      </c>
      <c r="G4608" s="1" t="s">
        <v>71</v>
      </c>
      <c r="H4608" s="1" t="s">
        <v>72</v>
      </c>
      <c r="I4608">
        <v>63128</v>
      </c>
      <c r="J4608" s="3">
        <v>17.940000000000001</v>
      </c>
      <c r="K4608" s="3">
        <v>1132516.32</v>
      </c>
    </row>
    <row r="4609" spans="1:11" x14ac:dyDescent="0.2">
      <c r="A4609" s="1" t="s">
        <v>5727</v>
      </c>
      <c r="B4609" s="2">
        <v>45401</v>
      </c>
      <c r="C4609" s="1" t="s">
        <v>246</v>
      </c>
      <c r="D4609" s="1" t="s">
        <v>247</v>
      </c>
      <c r="E4609" s="1" t="s">
        <v>21</v>
      </c>
      <c r="F4609" s="1" t="s">
        <v>22</v>
      </c>
      <c r="G4609" s="1" t="s">
        <v>23</v>
      </c>
      <c r="H4609" s="1" t="s">
        <v>24</v>
      </c>
      <c r="I4609">
        <v>5181</v>
      </c>
      <c r="J4609" s="3">
        <v>18.649999999999999</v>
      </c>
      <c r="K4609" s="3">
        <v>96625.65</v>
      </c>
    </row>
    <row r="4610" spans="1:11" x14ac:dyDescent="0.2">
      <c r="A4610" s="1" t="s">
        <v>5728</v>
      </c>
      <c r="B4610" s="2">
        <v>45634</v>
      </c>
      <c r="C4610" s="1" t="s">
        <v>1254</v>
      </c>
      <c r="D4610" s="1" t="s">
        <v>1255</v>
      </c>
      <c r="E4610" s="1" t="s">
        <v>14</v>
      </c>
      <c r="F4610" s="1" t="s">
        <v>273</v>
      </c>
      <c r="G4610" s="1" t="s">
        <v>274</v>
      </c>
      <c r="H4610" s="1" t="s">
        <v>24</v>
      </c>
      <c r="I4610">
        <v>49350</v>
      </c>
      <c r="J4610" s="3">
        <v>46.76</v>
      </c>
      <c r="K4610" s="3">
        <v>2307606</v>
      </c>
    </row>
    <row r="4611" spans="1:11" x14ac:dyDescent="0.2">
      <c r="A4611" s="1" t="s">
        <v>5729</v>
      </c>
      <c r="B4611" s="2">
        <v>45753</v>
      </c>
      <c r="C4611" s="1" t="s">
        <v>535</v>
      </c>
      <c r="D4611" s="1" t="s">
        <v>536</v>
      </c>
      <c r="E4611" s="1" t="s">
        <v>28</v>
      </c>
      <c r="F4611" s="1" t="s">
        <v>195</v>
      </c>
      <c r="G4611" s="1" t="s">
        <v>196</v>
      </c>
      <c r="H4611" s="1" t="s">
        <v>48</v>
      </c>
      <c r="I4611">
        <v>75240</v>
      </c>
      <c r="J4611" s="3">
        <v>23.55</v>
      </c>
      <c r="K4611" s="3">
        <v>1771902</v>
      </c>
    </row>
    <row r="4612" spans="1:11" x14ac:dyDescent="0.2">
      <c r="A4612" s="1" t="s">
        <v>5730</v>
      </c>
      <c r="B4612" s="2">
        <v>46006</v>
      </c>
      <c r="C4612" s="1" t="s">
        <v>391</v>
      </c>
      <c r="D4612" s="1" t="s">
        <v>392</v>
      </c>
      <c r="E4612" s="1" t="s">
        <v>37</v>
      </c>
      <c r="F4612" s="1" t="s">
        <v>189</v>
      </c>
      <c r="G4612" s="1" t="s">
        <v>190</v>
      </c>
      <c r="H4612" s="1" t="s">
        <v>17</v>
      </c>
      <c r="I4612">
        <v>73671</v>
      </c>
      <c r="J4612" s="3">
        <v>49.51</v>
      </c>
      <c r="K4612" s="3">
        <v>3647451.21</v>
      </c>
    </row>
    <row r="4613" spans="1:11" x14ac:dyDescent="0.2">
      <c r="A4613" s="1" t="s">
        <v>5731</v>
      </c>
      <c r="B4613" s="2">
        <v>45797</v>
      </c>
      <c r="C4613" s="1" t="s">
        <v>559</v>
      </c>
      <c r="D4613" s="1" t="s">
        <v>560</v>
      </c>
      <c r="E4613" s="1" t="s">
        <v>14</v>
      </c>
      <c r="F4613" s="1" t="s">
        <v>330</v>
      </c>
      <c r="G4613" s="1" t="s">
        <v>331</v>
      </c>
      <c r="H4613" s="1" t="s">
        <v>72</v>
      </c>
      <c r="I4613">
        <v>31594</v>
      </c>
      <c r="J4613" s="3">
        <v>46.81</v>
      </c>
      <c r="K4613" s="3">
        <v>1478915.14</v>
      </c>
    </row>
    <row r="4614" spans="1:11" x14ac:dyDescent="0.2">
      <c r="A4614" s="1" t="s">
        <v>5732</v>
      </c>
      <c r="B4614" s="2">
        <v>45878</v>
      </c>
      <c r="C4614" s="1" t="s">
        <v>1429</v>
      </c>
      <c r="D4614" s="1" t="s">
        <v>1430</v>
      </c>
      <c r="E4614" s="1" t="s">
        <v>37</v>
      </c>
      <c r="F4614" s="1" t="s">
        <v>208</v>
      </c>
      <c r="G4614" s="1" t="s">
        <v>209</v>
      </c>
      <c r="H4614" s="1" t="s">
        <v>17</v>
      </c>
      <c r="I4614">
        <v>90350</v>
      </c>
      <c r="J4614" s="3">
        <v>4.74</v>
      </c>
      <c r="K4614" s="3">
        <v>428259</v>
      </c>
    </row>
    <row r="4615" spans="1:11" x14ac:dyDescent="0.2">
      <c r="A4615" s="1" t="s">
        <v>5733</v>
      </c>
      <c r="B4615" s="2">
        <v>45625</v>
      </c>
      <c r="C4615" s="1" t="s">
        <v>3170</v>
      </c>
      <c r="D4615" s="1" t="s">
        <v>3171</v>
      </c>
      <c r="E4615" s="1" t="s">
        <v>34</v>
      </c>
      <c r="F4615" s="1" t="s">
        <v>339</v>
      </c>
      <c r="G4615" s="1" t="s">
        <v>340</v>
      </c>
      <c r="H4615" s="1" t="s">
        <v>24</v>
      </c>
      <c r="I4615">
        <v>49803</v>
      </c>
      <c r="J4615" s="3">
        <v>33.71</v>
      </c>
      <c r="K4615" s="3">
        <v>1678859.13</v>
      </c>
    </row>
    <row r="4616" spans="1:11" x14ac:dyDescent="0.2">
      <c r="A4616" s="1" t="s">
        <v>5734</v>
      </c>
      <c r="B4616" s="2">
        <v>45440</v>
      </c>
      <c r="C4616" s="1" t="s">
        <v>1854</v>
      </c>
      <c r="D4616" s="1" t="s">
        <v>1855</v>
      </c>
      <c r="E4616" s="1" t="s">
        <v>37</v>
      </c>
      <c r="F4616" s="1" t="s">
        <v>268</v>
      </c>
      <c r="G4616" s="1" t="s">
        <v>269</v>
      </c>
      <c r="H4616" s="1" t="s">
        <v>72</v>
      </c>
      <c r="I4616">
        <v>49507</v>
      </c>
      <c r="J4616" s="3">
        <v>49.71</v>
      </c>
      <c r="K4616" s="3">
        <v>2460992.9700000002</v>
      </c>
    </row>
    <row r="4617" spans="1:11" x14ac:dyDescent="0.2">
      <c r="A4617" s="1" t="s">
        <v>5735</v>
      </c>
      <c r="B4617" s="2">
        <v>46002</v>
      </c>
      <c r="C4617" s="1" t="s">
        <v>182</v>
      </c>
      <c r="D4617" s="1" t="s">
        <v>183</v>
      </c>
      <c r="E4617" s="1" t="s">
        <v>14</v>
      </c>
      <c r="F4617" s="1" t="s">
        <v>157</v>
      </c>
      <c r="G4617" s="1" t="s">
        <v>158</v>
      </c>
      <c r="H4617" s="1" t="s">
        <v>48</v>
      </c>
      <c r="I4617">
        <v>65638</v>
      </c>
      <c r="J4617" s="3">
        <v>30.58</v>
      </c>
      <c r="K4617" s="3">
        <v>2007210.04</v>
      </c>
    </row>
    <row r="4618" spans="1:11" x14ac:dyDescent="0.2">
      <c r="A4618" s="1" t="s">
        <v>5736</v>
      </c>
      <c r="B4618" s="2">
        <v>45806</v>
      </c>
      <c r="C4618" s="1" t="s">
        <v>617</v>
      </c>
      <c r="D4618" s="1" t="s">
        <v>618</v>
      </c>
      <c r="E4618" s="1" t="s">
        <v>37</v>
      </c>
      <c r="F4618" s="1" t="s">
        <v>251</v>
      </c>
      <c r="G4618" s="1" t="s">
        <v>252</v>
      </c>
      <c r="H4618" s="1" t="s">
        <v>72</v>
      </c>
      <c r="I4618">
        <v>85478</v>
      </c>
      <c r="J4618" s="3">
        <v>39.92</v>
      </c>
      <c r="K4618" s="3">
        <v>3412281.76</v>
      </c>
    </row>
    <row r="4619" spans="1:11" x14ac:dyDescent="0.2">
      <c r="A4619" s="1" t="s">
        <v>5737</v>
      </c>
      <c r="B4619" s="2">
        <v>45965</v>
      </c>
      <c r="C4619" s="1" t="s">
        <v>698</v>
      </c>
      <c r="D4619" s="1" t="s">
        <v>699</v>
      </c>
      <c r="E4619" s="1" t="s">
        <v>28</v>
      </c>
      <c r="F4619" s="1" t="s">
        <v>157</v>
      </c>
      <c r="G4619" s="1" t="s">
        <v>158</v>
      </c>
      <c r="H4619" s="1" t="s">
        <v>48</v>
      </c>
      <c r="I4619">
        <v>23659</v>
      </c>
      <c r="J4619" s="3">
        <v>6.32</v>
      </c>
      <c r="K4619" s="3">
        <v>149524.88</v>
      </c>
    </row>
    <row r="4620" spans="1:11" x14ac:dyDescent="0.2">
      <c r="A4620" s="1" t="s">
        <v>5738</v>
      </c>
      <c r="B4620" s="2">
        <v>45795</v>
      </c>
      <c r="C4620" s="1" t="s">
        <v>2050</v>
      </c>
      <c r="D4620" s="1" t="s">
        <v>2051</v>
      </c>
      <c r="E4620" s="1" t="s">
        <v>14</v>
      </c>
      <c r="F4620" s="1" t="s">
        <v>330</v>
      </c>
      <c r="G4620" s="1" t="s">
        <v>331</v>
      </c>
      <c r="H4620" s="1" t="s">
        <v>72</v>
      </c>
      <c r="I4620">
        <v>61199</v>
      </c>
      <c r="J4620" s="3">
        <v>16.71</v>
      </c>
      <c r="K4620" s="3">
        <v>1022635.29</v>
      </c>
    </row>
    <row r="4621" spans="1:11" x14ac:dyDescent="0.2">
      <c r="A4621" s="1" t="s">
        <v>5739</v>
      </c>
      <c r="B4621" s="2">
        <v>45750</v>
      </c>
      <c r="C4621" s="1" t="s">
        <v>2273</v>
      </c>
      <c r="D4621" s="1" t="s">
        <v>2274</v>
      </c>
      <c r="E4621" s="1" t="s">
        <v>28</v>
      </c>
      <c r="F4621" s="1" t="s">
        <v>189</v>
      </c>
      <c r="G4621" s="1" t="s">
        <v>190</v>
      </c>
      <c r="H4621" s="1" t="s">
        <v>17</v>
      </c>
      <c r="I4621">
        <v>19235</v>
      </c>
      <c r="J4621" s="3">
        <v>28.97</v>
      </c>
      <c r="K4621" s="3">
        <v>557237.94999999995</v>
      </c>
    </row>
    <row r="4622" spans="1:11" x14ac:dyDescent="0.2">
      <c r="A4622" s="1" t="s">
        <v>5740</v>
      </c>
      <c r="B4622" s="2">
        <v>45356</v>
      </c>
      <c r="C4622" s="1" t="s">
        <v>478</v>
      </c>
      <c r="D4622" s="1" t="s">
        <v>479</v>
      </c>
      <c r="E4622" s="1" t="s">
        <v>34</v>
      </c>
      <c r="F4622" s="1" t="s">
        <v>157</v>
      </c>
      <c r="G4622" s="1" t="s">
        <v>158</v>
      </c>
      <c r="H4622" s="1" t="s">
        <v>48</v>
      </c>
      <c r="I4622">
        <v>46623</v>
      </c>
      <c r="J4622" s="3">
        <v>31.91</v>
      </c>
      <c r="K4622" s="3">
        <v>1487739.93</v>
      </c>
    </row>
    <row r="4623" spans="1:11" x14ac:dyDescent="0.2">
      <c r="A4623" s="1" t="s">
        <v>5741</v>
      </c>
      <c r="B4623" s="2">
        <v>45553</v>
      </c>
      <c r="C4623" s="1" t="s">
        <v>1489</v>
      </c>
      <c r="D4623" s="1" t="s">
        <v>1490</v>
      </c>
      <c r="E4623" s="1" t="s">
        <v>37</v>
      </c>
      <c r="F4623" s="1" t="s">
        <v>195</v>
      </c>
      <c r="G4623" s="1" t="s">
        <v>196</v>
      </c>
      <c r="H4623" s="1" t="s">
        <v>48</v>
      </c>
      <c r="I4623">
        <v>89130</v>
      </c>
      <c r="J4623" s="3">
        <v>9.7799999999999994</v>
      </c>
      <c r="K4623" s="3">
        <v>871691.4</v>
      </c>
    </row>
    <row r="4624" spans="1:11" x14ac:dyDescent="0.2">
      <c r="A4624" s="1" t="s">
        <v>5742</v>
      </c>
      <c r="B4624" s="2">
        <v>45625</v>
      </c>
      <c r="C4624" s="1" t="s">
        <v>353</v>
      </c>
      <c r="D4624" s="1" t="s">
        <v>354</v>
      </c>
      <c r="E4624" s="1" t="s">
        <v>14</v>
      </c>
      <c r="F4624" s="1" t="s">
        <v>176</v>
      </c>
      <c r="G4624" s="1" t="s">
        <v>177</v>
      </c>
      <c r="H4624" s="1" t="s">
        <v>37</v>
      </c>
      <c r="I4624">
        <v>52100</v>
      </c>
      <c r="J4624" s="3">
        <v>44.63</v>
      </c>
      <c r="K4624" s="3">
        <v>2325223</v>
      </c>
    </row>
    <row r="4625" spans="1:11" x14ac:dyDescent="0.2">
      <c r="A4625" s="1" t="s">
        <v>5743</v>
      </c>
      <c r="B4625" s="2">
        <v>45517</v>
      </c>
      <c r="C4625" s="1" t="s">
        <v>1737</v>
      </c>
      <c r="D4625" s="1" t="s">
        <v>1738</v>
      </c>
      <c r="E4625" s="1" t="s">
        <v>21</v>
      </c>
      <c r="F4625" s="1" t="s">
        <v>203</v>
      </c>
      <c r="G4625" s="1" t="s">
        <v>204</v>
      </c>
      <c r="H4625" s="1" t="s">
        <v>72</v>
      </c>
      <c r="I4625">
        <v>61218</v>
      </c>
      <c r="J4625" s="3">
        <v>17.46</v>
      </c>
      <c r="K4625" s="3">
        <v>1068866.28</v>
      </c>
    </row>
    <row r="4626" spans="1:11" x14ac:dyDescent="0.2">
      <c r="A4626" s="1" t="s">
        <v>5744</v>
      </c>
      <c r="B4626" s="2">
        <v>45619</v>
      </c>
      <c r="C4626" s="1" t="s">
        <v>1178</v>
      </c>
      <c r="D4626" s="1" t="s">
        <v>1179</v>
      </c>
      <c r="E4626" s="1" t="s">
        <v>34</v>
      </c>
      <c r="F4626" s="1" t="s">
        <v>339</v>
      </c>
      <c r="G4626" s="1" t="s">
        <v>340</v>
      </c>
      <c r="H4626" s="1" t="s">
        <v>24</v>
      </c>
      <c r="I4626">
        <v>77133</v>
      </c>
      <c r="J4626" s="3">
        <v>20.05</v>
      </c>
      <c r="K4626" s="3">
        <v>1546516.65</v>
      </c>
    </row>
    <row r="4627" spans="1:11" x14ac:dyDescent="0.2">
      <c r="A4627" s="1" t="s">
        <v>5745</v>
      </c>
      <c r="B4627" s="2">
        <v>45908</v>
      </c>
      <c r="C4627" s="1" t="s">
        <v>975</v>
      </c>
      <c r="D4627" s="1" t="s">
        <v>976</v>
      </c>
      <c r="E4627" s="1" t="s">
        <v>28</v>
      </c>
      <c r="F4627" s="1" t="s">
        <v>81</v>
      </c>
      <c r="G4627" s="1" t="s">
        <v>82</v>
      </c>
      <c r="H4627" s="1" t="s">
        <v>72</v>
      </c>
      <c r="I4627">
        <v>8465</v>
      </c>
      <c r="J4627" s="3">
        <v>32.450000000000003</v>
      </c>
      <c r="K4627" s="3">
        <v>274689.25</v>
      </c>
    </row>
    <row r="4628" spans="1:11" x14ac:dyDescent="0.2">
      <c r="A4628" s="1" t="s">
        <v>5746</v>
      </c>
      <c r="B4628" s="2">
        <v>45302</v>
      </c>
      <c r="C4628" s="1" t="s">
        <v>1797</v>
      </c>
      <c r="D4628" s="1" t="s">
        <v>1798</v>
      </c>
      <c r="E4628" s="1" t="s">
        <v>37</v>
      </c>
      <c r="F4628" s="1" t="s">
        <v>273</v>
      </c>
      <c r="G4628" s="1" t="s">
        <v>274</v>
      </c>
      <c r="H4628" s="1" t="s">
        <v>24</v>
      </c>
      <c r="I4628">
        <v>7410</v>
      </c>
      <c r="J4628" s="3">
        <v>14.14</v>
      </c>
      <c r="K4628" s="3">
        <v>104777.4</v>
      </c>
    </row>
    <row r="4629" spans="1:11" x14ac:dyDescent="0.2">
      <c r="A4629" s="1" t="s">
        <v>5747</v>
      </c>
      <c r="B4629" s="2">
        <v>45296</v>
      </c>
      <c r="C4629" s="1" t="s">
        <v>2711</v>
      </c>
      <c r="D4629" s="1" t="s">
        <v>2712</v>
      </c>
      <c r="E4629" s="1" t="s">
        <v>14</v>
      </c>
      <c r="F4629" s="1" t="s">
        <v>263</v>
      </c>
      <c r="G4629" s="1" t="s">
        <v>264</v>
      </c>
      <c r="H4629" s="1" t="s">
        <v>17</v>
      </c>
      <c r="I4629">
        <v>55992</v>
      </c>
      <c r="J4629" s="3">
        <v>16.28</v>
      </c>
      <c r="K4629" s="3">
        <v>911549.76</v>
      </c>
    </row>
    <row r="4630" spans="1:11" x14ac:dyDescent="0.2">
      <c r="A4630" s="1" t="s">
        <v>5748</v>
      </c>
      <c r="B4630" s="2">
        <v>45483</v>
      </c>
      <c r="C4630" s="1" t="s">
        <v>695</v>
      </c>
      <c r="D4630" s="1" t="s">
        <v>696</v>
      </c>
      <c r="E4630" s="1" t="s">
        <v>14</v>
      </c>
      <c r="F4630" s="1" t="s">
        <v>152</v>
      </c>
      <c r="G4630" s="1" t="s">
        <v>153</v>
      </c>
      <c r="H4630" s="1" t="s">
        <v>17</v>
      </c>
      <c r="I4630">
        <v>76683</v>
      </c>
      <c r="J4630" s="3">
        <v>3.03</v>
      </c>
      <c r="K4630" s="3">
        <v>232349.49</v>
      </c>
    </row>
    <row r="4631" spans="1:11" x14ac:dyDescent="0.2">
      <c r="A4631" s="1" t="s">
        <v>5749</v>
      </c>
      <c r="B4631" s="2">
        <v>45445</v>
      </c>
      <c r="C4631" s="1" t="s">
        <v>3170</v>
      </c>
      <c r="D4631" s="1" t="s">
        <v>3171</v>
      </c>
      <c r="E4631" s="1" t="s">
        <v>34</v>
      </c>
      <c r="F4631" s="1" t="s">
        <v>35</v>
      </c>
      <c r="G4631" s="1" t="s">
        <v>36</v>
      </c>
      <c r="H4631" s="1" t="s">
        <v>37</v>
      </c>
      <c r="I4631">
        <v>24322</v>
      </c>
      <c r="J4631" s="3">
        <v>44.4</v>
      </c>
      <c r="K4631" s="3">
        <v>1079896.8</v>
      </c>
    </row>
    <row r="4632" spans="1:11" x14ac:dyDescent="0.2">
      <c r="A4632" s="1" t="s">
        <v>5750</v>
      </c>
      <c r="B4632" s="2">
        <v>45626</v>
      </c>
      <c r="C4632" s="1" t="s">
        <v>211</v>
      </c>
      <c r="D4632" s="1" t="s">
        <v>212</v>
      </c>
      <c r="E4632" s="1" t="s">
        <v>37</v>
      </c>
      <c r="F4632" s="1" t="s">
        <v>52</v>
      </c>
      <c r="G4632" s="1" t="s">
        <v>53</v>
      </c>
      <c r="H4632" s="1" t="s">
        <v>17</v>
      </c>
      <c r="I4632">
        <v>85966</v>
      </c>
      <c r="J4632" s="3">
        <v>41.63</v>
      </c>
      <c r="K4632" s="3">
        <v>3578764.58</v>
      </c>
    </row>
    <row r="4633" spans="1:11" x14ac:dyDescent="0.2">
      <c r="A4633" s="1" t="s">
        <v>5751</v>
      </c>
      <c r="B4633" s="2">
        <v>45758</v>
      </c>
      <c r="C4633" s="1" t="s">
        <v>421</v>
      </c>
      <c r="D4633" s="1" t="s">
        <v>422</v>
      </c>
      <c r="E4633" s="1" t="s">
        <v>21</v>
      </c>
      <c r="F4633" s="1" t="s">
        <v>176</v>
      </c>
      <c r="G4633" s="1" t="s">
        <v>177</v>
      </c>
      <c r="H4633" s="1" t="s">
        <v>37</v>
      </c>
      <c r="I4633">
        <v>76500</v>
      </c>
      <c r="J4633" s="3">
        <v>49.13</v>
      </c>
      <c r="K4633" s="3">
        <v>3758445</v>
      </c>
    </row>
    <row r="4634" spans="1:11" x14ac:dyDescent="0.2">
      <c r="A4634" s="1" t="s">
        <v>5752</v>
      </c>
      <c r="B4634" s="2">
        <v>45766</v>
      </c>
      <c r="C4634" s="1" t="s">
        <v>1516</v>
      </c>
      <c r="D4634" s="1" t="s">
        <v>1517</v>
      </c>
      <c r="E4634" s="1" t="s">
        <v>21</v>
      </c>
      <c r="F4634" s="1" t="s">
        <v>237</v>
      </c>
      <c r="G4634" s="1" t="s">
        <v>238</v>
      </c>
      <c r="H4634" s="1" t="s">
        <v>17</v>
      </c>
      <c r="I4634">
        <v>84945</v>
      </c>
      <c r="J4634" s="3">
        <v>15.77</v>
      </c>
      <c r="K4634" s="3">
        <v>1339582.6499999999</v>
      </c>
    </row>
    <row r="4635" spans="1:11" x14ac:dyDescent="0.2">
      <c r="A4635" s="1" t="s">
        <v>5753</v>
      </c>
      <c r="B4635" s="2">
        <v>45473</v>
      </c>
      <c r="C4635" s="1" t="s">
        <v>174</v>
      </c>
      <c r="D4635" s="1" t="s">
        <v>175</v>
      </c>
      <c r="E4635" s="1" t="s">
        <v>37</v>
      </c>
      <c r="F4635" s="1" t="s">
        <v>103</v>
      </c>
      <c r="G4635" s="1" t="s">
        <v>104</v>
      </c>
      <c r="H4635" s="1" t="s">
        <v>37</v>
      </c>
      <c r="I4635">
        <v>91085</v>
      </c>
      <c r="J4635" s="3">
        <v>5.7</v>
      </c>
      <c r="K4635" s="3">
        <v>519184.5</v>
      </c>
    </row>
    <row r="4636" spans="1:11" x14ac:dyDescent="0.2">
      <c r="A4636" s="1" t="s">
        <v>5754</v>
      </c>
      <c r="B4636" s="2">
        <v>45934</v>
      </c>
      <c r="C4636" s="1" t="s">
        <v>385</v>
      </c>
      <c r="D4636" s="1" t="s">
        <v>386</v>
      </c>
      <c r="E4636" s="1" t="s">
        <v>34</v>
      </c>
      <c r="F4636" s="1" t="s">
        <v>165</v>
      </c>
      <c r="G4636" s="1" t="s">
        <v>166</v>
      </c>
      <c r="H4636" s="1" t="s">
        <v>24</v>
      </c>
      <c r="I4636">
        <v>44054</v>
      </c>
      <c r="J4636" s="3">
        <v>25.74</v>
      </c>
      <c r="K4636" s="3">
        <v>1133949.96</v>
      </c>
    </row>
    <row r="4637" spans="1:11" x14ac:dyDescent="0.2">
      <c r="A4637" s="1" t="s">
        <v>5755</v>
      </c>
      <c r="B4637" s="2">
        <v>45859</v>
      </c>
      <c r="C4637" s="1" t="s">
        <v>333</v>
      </c>
      <c r="D4637" s="1" t="s">
        <v>334</v>
      </c>
      <c r="E4637" s="1" t="s">
        <v>21</v>
      </c>
      <c r="F4637" s="1" t="s">
        <v>510</v>
      </c>
      <c r="G4637" s="1" t="s">
        <v>511</v>
      </c>
      <c r="H4637" s="1" t="s">
        <v>17</v>
      </c>
      <c r="I4637">
        <v>33709</v>
      </c>
      <c r="J4637" s="3">
        <v>23.31</v>
      </c>
      <c r="K4637" s="3">
        <v>785756.79</v>
      </c>
    </row>
    <row r="4638" spans="1:11" x14ac:dyDescent="0.2">
      <c r="A4638" s="1" t="s">
        <v>5756</v>
      </c>
      <c r="B4638" s="2">
        <v>45533</v>
      </c>
      <c r="C4638" s="1" t="s">
        <v>1643</v>
      </c>
      <c r="D4638" s="1" t="s">
        <v>1644</v>
      </c>
      <c r="E4638" s="1" t="s">
        <v>28</v>
      </c>
      <c r="F4638" s="1" t="s">
        <v>76</v>
      </c>
      <c r="G4638" s="1" t="s">
        <v>77</v>
      </c>
      <c r="H4638" s="1" t="s">
        <v>48</v>
      </c>
      <c r="I4638">
        <v>52022</v>
      </c>
      <c r="J4638" s="3">
        <v>6.16</v>
      </c>
      <c r="K4638" s="3">
        <v>320455.52</v>
      </c>
    </row>
    <row r="4639" spans="1:11" x14ac:dyDescent="0.2">
      <c r="A4639" s="1" t="s">
        <v>5757</v>
      </c>
      <c r="B4639" s="2">
        <v>45619</v>
      </c>
      <c r="C4639" s="1" t="s">
        <v>171</v>
      </c>
      <c r="D4639" s="1" t="s">
        <v>172</v>
      </c>
      <c r="E4639" s="1" t="s">
        <v>28</v>
      </c>
      <c r="F4639" s="1" t="s">
        <v>761</v>
      </c>
      <c r="G4639" s="1" t="s">
        <v>762</v>
      </c>
      <c r="H4639" s="1" t="s">
        <v>48</v>
      </c>
      <c r="I4639">
        <v>80327</v>
      </c>
      <c r="J4639" s="3">
        <v>26.86</v>
      </c>
      <c r="K4639" s="3">
        <v>2157583.2200000002</v>
      </c>
    </row>
    <row r="4640" spans="1:11" x14ac:dyDescent="0.2">
      <c r="A4640" s="1" t="s">
        <v>5758</v>
      </c>
      <c r="B4640" s="2">
        <v>45345</v>
      </c>
      <c r="C4640" s="1" t="s">
        <v>206</v>
      </c>
      <c r="D4640" s="1" t="s">
        <v>207</v>
      </c>
      <c r="E4640" s="1" t="s">
        <v>14</v>
      </c>
      <c r="F4640" s="1" t="s">
        <v>144</v>
      </c>
      <c r="G4640" s="1" t="s">
        <v>145</v>
      </c>
      <c r="H4640" s="1" t="s">
        <v>24</v>
      </c>
      <c r="I4640">
        <v>58539</v>
      </c>
      <c r="J4640" s="3">
        <v>18.12</v>
      </c>
      <c r="K4640" s="3">
        <v>1060726.68</v>
      </c>
    </row>
    <row r="4641" spans="1:11" x14ac:dyDescent="0.2">
      <c r="A4641" s="1" t="s">
        <v>5759</v>
      </c>
      <c r="B4641" s="2">
        <v>45591</v>
      </c>
      <c r="C4641" s="1" t="s">
        <v>2478</v>
      </c>
      <c r="D4641" s="1" t="s">
        <v>2479</v>
      </c>
      <c r="E4641" s="1" t="s">
        <v>37</v>
      </c>
      <c r="F4641" s="1" t="s">
        <v>81</v>
      </c>
      <c r="G4641" s="1" t="s">
        <v>82</v>
      </c>
      <c r="H4641" s="1" t="s">
        <v>72</v>
      </c>
      <c r="I4641">
        <v>24572</v>
      </c>
      <c r="J4641" s="3">
        <v>43.43</v>
      </c>
      <c r="K4641" s="3">
        <v>1067161.96</v>
      </c>
    </row>
    <row r="4642" spans="1:11" x14ac:dyDescent="0.2">
      <c r="A4642" s="1" t="s">
        <v>5760</v>
      </c>
      <c r="B4642" s="2">
        <v>45612</v>
      </c>
      <c r="C4642" s="1" t="s">
        <v>613</v>
      </c>
      <c r="D4642" s="1" t="s">
        <v>614</v>
      </c>
      <c r="E4642" s="1" t="s">
        <v>34</v>
      </c>
      <c r="F4642" s="1" t="s">
        <v>203</v>
      </c>
      <c r="G4642" s="1" t="s">
        <v>204</v>
      </c>
      <c r="H4642" s="1" t="s">
        <v>72</v>
      </c>
      <c r="I4642">
        <v>13445</v>
      </c>
      <c r="J4642" s="3">
        <v>40.78</v>
      </c>
      <c r="K4642" s="3">
        <v>548287.1</v>
      </c>
    </row>
    <row r="4643" spans="1:11" x14ac:dyDescent="0.2">
      <c r="A4643" s="1" t="s">
        <v>5761</v>
      </c>
      <c r="B4643" s="2">
        <v>45409</v>
      </c>
      <c r="C4643" s="1" t="s">
        <v>3733</v>
      </c>
      <c r="D4643" s="1" t="s">
        <v>3734</v>
      </c>
      <c r="E4643" s="1" t="s">
        <v>14</v>
      </c>
      <c r="F4643" s="1" t="s">
        <v>324</v>
      </c>
      <c r="G4643" s="1" t="s">
        <v>325</v>
      </c>
      <c r="H4643" s="1" t="s">
        <v>24</v>
      </c>
      <c r="I4643">
        <v>35745</v>
      </c>
      <c r="J4643" s="3">
        <v>28.66</v>
      </c>
      <c r="K4643" s="3">
        <v>1024451.7</v>
      </c>
    </row>
    <row r="4644" spans="1:11" x14ac:dyDescent="0.2">
      <c r="A4644" s="1" t="s">
        <v>5762</v>
      </c>
      <c r="B4644" s="2">
        <v>45375</v>
      </c>
      <c r="C4644" s="1" t="s">
        <v>192</v>
      </c>
      <c r="D4644" s="1" t="s">
        <v>193</v>
      </c>
      <c r="E4644" s="1" t="s">
        <v>37</v>
      </c>
      <c r="F4644" s="1" t="s">
        <v>350</v>
      </c>
      <c r="G4644" s="1" t="s">
        <v>351</v>
      </c>
      <c r="H4644" s="1" t="s">
        <v>37</v>
      </c>
      <c r="I4644">
        <v>50400</v>
      </c>
      <c r="J4644" s="3">
        <v>2.39</v>
      </c>
      <c r="K4644" s="3">
        <v>120456</v>
      </c>
    </row>
    <row r="4645" spans="1:11" x14ac:dyDescent="0.2">
      <c r="A4645" s="1" t="s">
        <v>5763</v>
      </c>
      <c r="B4645" s="2">
        <v>45787</v>
      </c>
      <c r="C4645" s="1" t="s">
        <v>2011</v>
      </c>
      <c r="D4645" s="1" t="s">
        <v>2012</v>
      </c>
      <c r="E4645" s="1" t="s">
        <v>37</v>
      </c>
      <c r="F4645" s="1" t="s">
        <v>330</v>
      </c>
      <c r="G4645" s="1" t="s">
        <v>331</v>
      </c>
      <c r="H4645" s="1" t="s">
        <v>72</v>
      </c>
      <c r="I4645">
        <v>95431</v>
      </c>
      <c r="J4645" s="3">
        <v>5.16</v>
      </c>
      <c r="K4645" s="3">
        <v>492423.96</v>
      </c>
    </row>
    <row r="4646" spans="1:11" x14ac:dyDescent="0.2">
      <c r="A4646" s="1" t="s">
        <v>5764</v>
      </c>
      <c r="B4646" s="2">
        <v>45829</v>
      </c>
      <c r="C4646" s="1" t="s">
        <v>994</v>
      </c>
      <c r="D4646" s="1" t="s">
        <v>995</v>
      </c>
      <c r="E4646" s="1" t="s">
        <v>21</v>
      </c>
      <c r="F4646" s="1" t="s">
        <v>165</v>
      </c>
      <c r="G4646" s="1" t="s">
        <v>166</v>
      </c>
      <c r="H4646" s="1" t="s">
        <v>24</v>
      </c>
      <c r="I4646">
        <v>99005</v>
      </c>
      <c r="J4646" s="3">
        <v>26.65</v>
      </c>
      <c r="K4646" s="3">
        <v>2638483.25</v>
      </c>
    </row>
    <row r="4647" spans="1:11" x14ac:dyDescent="0.2">
      <c r="A4647" s="1" t="s">
        <v>5765</v>
      </c>
      <c r="B4647" s="2">
        <v>45405</v>
      </c>
      <c r="C4647" s="1" t="s">
        <v>415</v>
      </c>
      <c r="D4647" s="1" t="s">
        <v>416</v>
      </c>
      <c r="E4647" s="1" t="s">
        <v>14</v>
      </c>
      <c r="F4647" s="1" t="s">
        <v>208</v>
      </c>
      <c r="G4647" s="1" t="s">
        <v>209</v>
      </c>
      <c r="H4647" s="1" t="s">
        <v>17</v>
      </c>
      <c r="I4647">
        <v>39703</v>
      </c>
      <c r="J4647" s="3">
        <v>8.4</v>
      </c>
      <c r="K4647" s="3">
        <v>333505.2</v>
      </c>
    </row>
    <row r="4648" spans="1:11" x14ac:dyDescent="0.2">
      <c r="A4648" s="1" t="s">
        <v>5766</v>
      </c>
      <c r="B4648" s="2">
        <v>45922</v>
      </c>
      <c r="C4648" s="1" t="s">
        <v>1227</v>
      </c>
      <c r="D4648" s="1" t="s">
        <v>1228</v>
      </c>
      <c r="E4648" s="1" t="s">
        <v>34</v>
      </c>
      <c r="F4648" s="1" t="s">
        <v>474</v>
      </c>
      <c r="G4648" s="1" t="s">
        <v>475</v>
      </c>
      <c r="H4648" s="1" t="s">
        <v>48</v>
      </c>
      <c r="I4648">
        <v>70172</v>
      </c>
      <c r="J4648" s="3">
        <v>9.14</v>
      </c>
      <c r="K4648" s="3">
        <v>641372.07999999996</v>
      </c>
    </row>
    <row r="4649" spans="1:11" x14ac:dyDescent="0.2">
      <c r="A4649" s="1" t="s">
        <v>5767</v>
      </c>
      <c r="B4649" s="2">
        <v>45617</v>
      </c>
      <c r="C4649" s="1" t="s">
        <v>1001</v>
      </c>
      <c r="D4649" s="1" t="s">
        <v>1002</v>
      </c>
      <c r="E4649" s="1" t="s">
        <v>37</v>
      </c>
      <c r="F4649" s="1" t="s">
        <v>195</v>
      </c>
      <c r="G4649" s="1" t="s">
        <v>196</v>
      </c>
      <c r="H4649" s="1" t="s">
        <v>48</v>
      </c>
      <c r="I4649">
        <v>36524</v>
      </c>
      <c r="J4649" s="3">
        <v>35.869999999999997</v>
      </c>
      <c r="K4649" s="3">
        <v>1310115.8799999999</v>
      </c>
    </row>
    <row r="4650" spans="1:11" x14ac:dyDescent="0.2">
      <c r="A4650" s="1" t="s">
        <v>5768</v>
      </c>
      <c r="B4650" s="2">
        <v>45293</v>
      </c>
      <c r="C4650" s="1" t="s">
        <v>1095</v>
      </c>
      <c r="D4650" s="1" t="s">
        <v>1096</v>
      </c>
      <c r="E4650" s="1" t="s">
        <v>14</v>
      </c>
      <c r="F4650" s="1" t="s">
        <v>29</v>
      </c>
      <c r="G4650" s="1" t="s">
        <v>30</v>
      </c>
      <c r="H4650" s="1" t="s">
        <v>24</v>
      </c>
      <c r="I4650">
        <v>5558</v>
      </c>
      <c r="J4650" s="3">
        <v>12.4</v>
      </c>
      <c r="K4650" s="3">
        <v>68919.199999999997</v>
      </c>
    </row>
    <row r="4651" spans="1:11" x14ac:dyDescent="0.2">
      <c r="A4651" s="1" t="s">
        <v>5769</v>
      </c>
      <c r="B4651" s="2">
        <v>45863</v>
      </c>
      <c r="C4651" s="1" t="s">
        <v>798</v>
      </c>
      <c r="D4651" s="1" t="s">
        <v>799</v>
      </c>
      <c r="E4651" s="1" t="s">
        <v>34</v>
      </c>
      <c r="F4651" s="1" t="s">
        <v>195</v>
      </c>
      <c r="G4651" s="1" t="s">
        <v>196</v>
      </c>
      <c r="H4651" s="1" t="s">
        <v>48</v>
      </c>
      <c r="I4651">
        <v>91153</v>
      </c>
      <c r="J4651" s="3">
        <v>17.399999999999999</v>
      </c>
      <c r="K4651" s="3">
        <v>1586062.2</v>
      </c>
    </row>
    <row r="4652" spans="1:11" x14ac:dyDescent="0.2">
      <c r="A4652" s="1" t="s">
        <v>5770</v>
      </c>
      <c r="B4652" s="2">
        <v>45745</v>
      </c>
      <c r="C4652" s="1" t="s">
        <v>2169</v>
      </c>
      <c r="D4652" s="1" t="s">
        <v>2170</v>
      </c>
      <c r="E4652" s="1" t="s">
        <v>28</v>
      </c>
      <c r="F4652" s="1" t="s">
        <v>152</v>
      </c>
      <c r="G4652" s="1" t="s">
        <v>153</v>
      </c>
      <c r="H4652" s="1" t="s">
        <v>17</v>
      </c>
      <c r="I4652">
        <v>61827</v>
      </c>
      <c r="J4652" s="3">
        <v>12.2</v>
      </c>
      <c r="K4652" s="3">
        <v>754289.4</v>
      </c>
    </row>
    <row r="4653" spans="1:11" x14ac:dyDescent="0.2">
      <c r="A4653" s="1" t="s">
        <v>5771</v>
      </c>
      <c r="B4653" s="2">
        <v>45933</v>
      </c>
      <c r="C4653" s="1" t="s">
        <v>984</v>
      </c>
      <c r="D4653" s="1" t="s">
        <v>985</v>
      </c>
      <c r="E4653" s="1" t="s">
        <v>14</v>
      </c>
      <c r="F4653" s="1" t="s">
        <v>228</v>
      </c>
      <c r="G4653" s="1" t="s">
        <v>229</v>
      </c>
      <c r="H4653" s="1" t="s">
        <v>48</v>
      </c>
      <c r="I4653">
        <v>76771</v>
      </c>
      <c r="J4653" s="3">
        <v>48.14</v>
      </c>
      <c r="K4653" s="3">
        <v>3695755.94</v>
      </c>
    </row>
    <row r="4654" spans="1:11" x14ac:dyDescent="0.2">
      <c r="A4654" s="1" t="s">
        <v>5772</v>
      </c>
      <c r="B4654" s="2">
        <v>45519</v>
      </c>
      <c r="C4654" s="1" t="s">
        <v>1197</v>
      </c>
      <c r="D4654" s="1" t="s">
        <v>1198</v>
      </c>
      <c r="E4654" s="1" t="s">
        <v>34</v>
      </c>
      <c r="F4654" s="1" t="s">
        <v>65</v>
      </c>
      <c r="G4654" s="1" t="s">
        <v>66</v>
      </c>
      <c r="H4654" s="1" t="s">
        <v>48</v>
      </c>
      <c r="I4654">
        <v>57811</v>
      </c>
      <c r="J4654" s="3">
        <v>49.43</v>
      </c>
      <c r="K4654" s="3">
        <v>2857597.73</v>
      </c>
    </row>
    <row r="4655" spans="1:11" x14ac:dyDescent="0.2">
      <c r="A4655" s="1" t="s">
        <v>5773</v>
      </c>
      <c r="B4655" s="2">
        <v>45682</v>
      </c>
      <c r="C4655" s="1" t="s">
        <v>254</v>
      </c>
      <c r="D4655" s="1" t="s">
        <v>255</v>
      </c>
      <c r="E4655" s="1" t="s">
        <v>14</v>
      </c>
      <c r="F4655" s="1" t="s">
        <v>458</v>
      </c>
      <c r="G4655" s="1" t="s">
        <v>459</v>
      </c>
      <c r="H4655" s="1" t="s">
        <v>72</v>
      </c>
      <c r="I4655">
        <v>33786</v>
      </c>
      <c r="J4655" s="3">
        <v>36.94</v>
      </c>
      <c r="K4655" s="3">
        <v>1248054.8400000001</v>
      </c>
    </row>
    <row r="4656" spans="1:11" x14ac:dyDescent="0.2">
      <c r="A4656" s="1" t="s">
        <v>5774</v>
      </c>
      <c r="B4656" s="2">
        <v>45751</v>
      </c>
      <c r="C4656" s="1" t="s">
        <v>469</v>
      </c>
      <c r="D4656" s="1" t="s">
        <v>470</v>
      </c>
      <c r="E4656" s="1" t="s">
        <v>21</v>
      </c>
      <c r="F4656" s="1" t="s">
        <v>540</v>
      </c>
      <c r="G4656" s="1" t="s">
        <v>541</v>
      </c>
      <c r="H4656" s="1" t="s">
        <v>37</v>
      </c>
      <c r="I4656">
        <v>97612</v>
      </c>
      <c r="J4656" s="3">
        <v>2.46</v>
      </c>
      <c r="K4656" s="3">
        <v>240125.52</v>
      </c>
    </row>
    <row r="4657" spans="1:11" x14ac:dyDescent="0.2">
      <c r="A4657" s="1" t="s">
        <v>5775</v>
      </c>
      <c r="B4657" s="2">
        <v>45421</v>
      </c>
      <c r="C4657" s="1" t="s">
        <v>254</v>
      </c>
      <c r="D4657" s="1" t="s">
        <v>255</v>
      </c>
      <c r="E4657" s="1" t="s">
        <v>14</v>
      </c>
      <c r="F4657" s="1" t="s">
        <v>189</v>
      </c>
      <c r="G4657" s="1" t="s">
        <v>190</v>
      </c>
      <c r="H4657" s="1" t="s">
        <v>17</v>
      </c>
      <c r="I4657">
        <v>84113</v>
      </c>
      <c r="J4657" s="3">
        <v>41.5</v>
      </c>
      <c r="K4657" s="3">
        <v>3490689.5</v>
      </c>
    </row>
    <row r="4658" spans="1:11" x14ac:dyDescent="0.2">
      <c r="A4658" s="1" t="s">
        <v>5776</v>
      </c>
      <c r="B4658" s="2">
        <v>45315</v>
      </c>
      <c r="C4658" s="1" t="s">
        <v>702</v>
      </c>
      <c r="D4658" s="1" t="s">
        <v>703</v>
      </c>
      <c r="E4658" s="1" t="s">
        <v>34</v>
      </c>
      <c r="F4658" s="1" t="s">
        <v>284</v>
      </c>
      <c r="G4658" s="1" t="s">
        <v>285</v>
      </c>
      <c r="H4658" s="1" t="s">
        <v>37</v>
      </c>
      <c r="I4658">
        <v>21612</v>
      </c>
      <c r="J4658" s="3">
        <v>20.61</v>
      </c>
      <c r="K4658" s="3">
        <v>445423.32</v>
      </c>
    </row>
    <row r="4659" spans="1:11" x14ac:dyDescent="0.2">
      <c r="A4659" s="1" t="s">
        <v>5777</v>
      </c>
      <c r="B4659" s="2">
        <v>45834</v>
      </c>
      <c r="C4659" s="1" t="s">
        <v>2002</v>
      </c>
      <c r="D4659" s="1" t="s">
        <v>2003</v>
      </c>
      <c r="E4659" s="1" t="s">
        <v>34</v>
      </c>
      <c r="F4659" s="1" t="s">
        <v>98</v>
      </c>
      <c r="G4659" s="1" t="s">
        <v>99</v>
      </c>
      <c r="H4659" s="1" t="s">
        <v>72</v>
      </c>
      <c r="I4659">
        <v>34657</v>
      </c>
      <c r="J4659" s="3">
        <v>29.5</v>
      </c>
      <c r="K4659" s="3">
        <v>1022381.5</v>
      </c>
    </row>
    <row r="4660" spans="1:11" x14ac:dyDescent="0.2">
      <c r="A4660" s="1" t="s">
        <v>5778</v>
      </c>
      <c r="B4660" s="2">
        <v>45475</v>
      </c>
      <c r="C4660" s="1" t="s">
        <v>2597</v>
      </c>
      <c r="D4660" s="1" t="s">
        <v>2598</v>
      </c>
      <c r="E4660" s="1" t="s">
        <v>21</v>
      </c>
      <c r="F4660" s="1" t="s">
        <v>208</v>
      </c>
      <c r="G4660" s="1" t="s">
        <v>209</v>
      </c>
      <c r="H4660" s="1" t="s">
        <v>17</v>
      </c>
      <c r="I4660">
        <v>13010</v>
      </c>
      <c r="J4660" s="3">
        <v>28.8</v>
      </c>
      <c r="K4660" s="3">
        <v>374688</v>
      </c>
    </row>
    <row r="4661" spans="1:11" x14ac:dyDescent="0.2">
      <c r="A4661" s="1" t="s">
        <v>5779</v>
      </c>
      <c r="B4661" s="2">
        <v>45776</v>
      </c>
      <c r="C4661" s="1" t="s">
        <v>722</v>
      </c>
      <c r="D4661" s="1" t="s">
        <v>723</v>
      </c>
      <c r="E4661" s="1" t="s">
        <v>21</v>
      </c>
      <c r="F4661" s="1" t="s">
        <v>108</v>
      </c>
      <c r="G4661" s="1" t="s">
        <v>109</v>
      </c>
      <c r="H4661" s="1" t="s">
        <v>37</v>
      </c>
      <c r="I4661">
        <v>50151</v>
      </c>
      <c r="J4661" s="3">
        <v>14.21</v>
      </c>
      <c r="K4661" s="3">
        <v>712645.71</v>
      </c>
    </row>
    <row r="4662" spans="1:11" x14ac:dyDescent="0.2">
      <c r="A4662" s="1" t="s">
        <v>5780</v>
      </c>
      <c r="B4662" s="2">
        <v>45861</v>
      </c>
      <c r="C4662" s="1" t="s">
        <v>746</v>
      </c>
      <c r="D4662" s="1" t="s">
        <v>747</v>
      </c>
      <c r="E4662" s="1" t="s">
        <v>37</v>
      </c>
      <c r="F4662" s="1" t="s">
        <v>165</v>
      </c>
      <c r="G4662" s="1" t="s">
        <v>166</v>
      </c>
      <c r="H4662" s="1" t="s">
        <v>24</v>
      </c>
      <c r="I4662">
        <v>71741</v>
      </c>
      <c r="J4662" s="3">
        <v>3.12</v>
      </c>
      <c r="K4662" s="3">
        <v>223831.92</v>
      </c>
    </row>
    <row r="4663" spans="1:11" x14ac:dyDescent="0.2">
      <c r="A4663" s="1" t="s">
        <v>5781</v>
      </c>
      <c r="B4663" s="2">
        <v>45473</v>
      </c>
      <c r="C4663" s="1" t="s">
        <v>409</v>
      </c>
      <c r="D4663" s="1" t="s">
        <v>410</v>
      </c>
      <c r="E4663" s="1" t="s">
        <v>14</v>
      </c>
      <c r="F4663" s="1" t="s">
        <v>29</v>
      </c>
      <c r="G4663" s="1" t="s">
        <v>30</v>
      </c>
      <c r="H4663" s="1" t="s">
        <v>24</v>
      </c>
      <c r="I4663">
        <v>81137</v>
      </c>
      <c r="J4663" s="3">
        <v>43.72</v>
      </c>
      <c r="K4663" s="3">
        <v>3547309.64</v>
      </c>
    </row>
    <row r="4664" spans="1:11" x14ac:dyDescent="0.2">
      <c r="A4664" s="1" t="s">
        <v>5782</v>
      </c>
      <c r="B4664" s="2">
        <v>45908</v>
      </c>
      <c r="C4664" s="1" t="s">
        <v>1314</v>
      </c>
      <c r="D4664" s="1" t="s">
        <v>1315</v>
      </c>
      <c r="E4664" s="1" t="s">
        <v>14</v>
      </c>
      <c r="F4664" s="1" t="s">
        <v>139</v>
      </c>
      <c r="G4664" s="1" t="s">
        <v>140</v>
      </c>
      <c r="H4664" s="1" t="s">
        <v>24</v>
      </c>
      <c r="I4664">
        <v>77309</v>
      </c>
      <c r="J4664" s="3">
        <v>12.22</v>
      </c>
      <c r="K4664" s="3">
        <v>944715.98</v>
      </c>
    </row>
    <row r="4665" spans="1:11" x14ac:dyDescent="0.2">
      <c r="A4665" s="1" t="s">
        <v>5783</v>
      </c>
      <c r="B4665" s="2">
        <v>45983</v>
      </c>
      <c r="C4665" s="1" t="s">
        <v>231</v>
      </c>
      <c r="D4665" s="1" t="s">
        <v>232</v>
      </c>
      <c r="E4665" s="1" t="s">
        <v>34</v>
      </c>
      <c r="F4665" s="1" t="s">
        <v>46</v>
      </c>
      <c r="G4665" s="1" t="s">
        <v>47</v>
      </c>
      <c r="H4665" s="1" t="s">
        <v>48</v>
      </c>
      <c r="I4665">
        <v>31314</v>
      </c>
      <c r="J4665" s="3">
        <v>42.5</v>
      </c>
      <c r="K4665" s="3">
        <v>1330845</v>
      </c>
    </row>
    <row r="4666" spans="1:11" x14ac:dyDescent="0.2">
      <c r="A4666" s="1" t="s">
        <v>5784</v>
      </c>
      <c r="B4666" s="2">
        <v>45788</v>
      </c>
      <c r="C4666" s="1" t="s">
        <v>2654</v>
      </c>
      <c r="D4666" s="1" t="s">
        <v>2655</v>
      </c>
      <c r="E4666" s="1" t="s">
        <v>28</v>
      </c>
      <c r="F4666" s="1" t="s">
        <v>237</v>
      </c>
      <c r="G4666" s="1" t="s">
        <v>238</v>
      </c>
      <c r="H4666" s="1" t="s">
        <v>17</v>
      </c>
      <c r="I4666">
        <v>17238</v>
      </c>
      <c r="J4666" s="3">
        <v>6.89</v>
      </c>
      <c r="K4666" s="3">
        <v>118769.82</v>
      </c>
    </row>
    <row r="4667" spans="1:11" x14ac:dyDescent="0.2">
      <c r="A4667" s="1" t="s">
        <v>5785</v>
      </c>
      <c r="B4667" s="2">
        <v>45756</v>
      </c>
      <c r="C4667" s="1" t="s">
        <v>2109</v>
      </c>
      <c r="D4667" s="1" t="s">
        <v>2110</v>
      </c>
      <c r="E4667" s="1" t="s">
        <v>28</v>
      </c>
      <c r="F4667" s="1" t="s">
        <v>22</v>
      </c>
      <c r="G4667" s="1" t="s">
        <v>23</v>
      </c>
      <c r="H4667" s="1" t="s">
        <v>24</v>
      </c>
      <c r="I4667">
        <v>99698</v>
      </c>
      <c r="J4667" s="3">
        <v>20.5</v>
      </c>
      <c r="K4667" s="3">
        <v>2043809</v>
      </c>
    </row>
    <row r="4668" spans="1:11" x14ac:dyDescent="0.2">
      <c r="A4668" s="1" t="s">
        <v>5786</v>
      </c>
      <c r="B4668" s="2">
        <v>45466</v>
      </c>
      <c r="C4668" s="1" t="s">
        <v>605</v>
      </c>
      <c r="D4668" s="1" t="s">
        <v>606</v>
      </c>
      <c r="E4668" s="1" t="s">
        <v>14</v>
      </c>
      <c r="F4668" s="1" t="s">
        <v>228</v>
      </c>
      <c r="G4668" s="1" t="s">
        <v>229</v>
      </c>
      <c r="H4668" s="1" t="s">
        <v>48</v>
      </c>
      <c r="I4668">
        <v>38789</v>
      </c>
      <c r="J4668" s="3">
        <v>29.68</v>
      </c>
      <c r="K4668" s="3">
        <v>1151257.52</v>
      </c>
    </row>
    <row r="4669" spans="1:11" x14ac:dyDescent="0.2">
      <c r="A4669" s="1" t="s">
        <v>5787</v>
      </c>
      <c r="B4669" s="2">
        <v>45507</v>
      </c>
      <c r="C4669" s="1" t="s">
        <v>291</v>
      </c>
      <c r="D4669" s="1" t="s">
        <v>292</v>
      </c>
      <c r="E4669" s="1" t="s">
        <v>14</v>
      </c>
      <c r="F4669" s="1" t="s">
        <v>237</v>
      </c>
      <c r="G4669" s="1" t="s">
        <v>238</v>
      </c>
      <c r="H4669" s="1" t="s">
        <v>17</v>
      </c>
      <c r="I4669">
        <v>26487</v>
      </c>
      <c r="J4669" s="3">
        <v>45.02</v>
      </c>
      <c r="K4669" s="3">
        <v>1192444.74</v>
      </c>
    </row>
    <row r="4670" spans="1:11" x14ac:dyDescent="0.2">
      <c r="A4670" s="1" t="s">
        <v>5788</v>
      </c>
      <c r="B4670" s="2">
        <v>45957</v>
      </c>
      <c r="C4670" s="1" t="s">
        <v>1382</v>
      </c>
      <c r="D4670" s="1" t="s">
        <v>1383</v>
      </c>
      <c r="E4670" s="1" t="s">
        <v>37</v>
      </c>
      <c r="F4670" s="1" t="s">
        <v>436</v>
      </c>
      <c r="G4670" s="1" t="s">
        <v>437</v>
      </c>
      <c r="H4670" s="1" t="s">
        <v>24</v>
      </c>
      <c r="I4670">
        <v>43089</v>
      </c>
      <c r="J4670" s="3">
        <v>16.29</v>
      </c>
      <c r="K4670" s="3">
        <v>701919.81</v>
      </c>
    </row>
    <row r="4671" spans="1:11" x14ac:dyDescent="0.2">
      <c r="A4671" s="1" t="s">
        <v>5789</v>
      </c>
      <c r="B4671" s="2">
        <v>45348</v>
      </c>
      <c r="C4671" s="1" t="s">
        <v>863</v>
      </c>
      <c r="D4671" s="1" t="s">
        <v>864</v>
      </c>
      <c r="E4671" s="1" t="s">
        <v>37</v>
      </c>
      <c r="F4671" s="1" t="s">
        <v>157</v>
      </c>
      <c r="G4671" s="1" t="s">
        <v>158</v>
      </c>
      <c r="H4671" s="1" t="s">
        <v>48</v>
      </c>
      <c r="I4671">
        <v>16320</v>
      </c>
      <c r="J4671" s="3">
        <v>32.47</v>
      </c>
      <c r="K4671" s="3">
        <v>529910.4</v>
      </c>
    </row>
    <row r="4672" spans="1:11" x14ac:dyDescent="0.2">
      <c r="A4672" s="1" t="s">
        <v>5790</v>
      </c>
      <c r="B4672" s="2">
        <v>45695</v>
      </c>
      <c r="C4672" s="1" t="s">
        <v>1240</v>
      </c>
      <c r="D4672" s="1" t="s">
        <v>1241</v>
      </c>
      <c r="E4672" s="1" t="s">
        <v>28</v>
      </c>
      <c r="F4672" s="1" t="s">
        <v>217</v>
      </c>
      <c r="G4672" s="1" t="s">
        <v>218</v>
      </c>
      <c r="H4672" s="1" t="s">
        <v>72</v>
      </c>
      <c r="I4672">
        <v>99624</v>
      </c>
      <c r="J4672" s="3">
        <v>3.35</v>
      </c>
      <c r="K4672" s="3">
        <v>333740.40000000002</v>
      </c>
    </row>
    <row r="4673" spans="1:11" x14ac:dyDescent="0.2">
      <c r="A4673" s="1" t="s">
        <v>5791</v>
      </c>
      <c r="B4673" s="2">
        <v>45594</v>
      </c>
      <c r="C4673" s="1" t="s">
        <v>2541</v>
      </c>
      <c r="D4673" s="1" t="s">
        <v>2542</v>
      </c>
      <c r="E4673" s="1" t="s">
        <v>14</v>
      </c>
      <c r="F4673" s="1" t="s">
        <v>22</v>
      </c>
      <c r="G4673" s="1" t="s">
        <v>23</v>
      </c>
      <c r="H4673" s="1" t="s">
        <v>24</v>
      </c>
      <c r="I4673">
        <v>75496</v>
      </c>
      <c r="J4673" s="3">
        <v>29.88</v>
      </c>
      <c r="K4673" s="3">
        <v>2255820.48</v>
      </c>
    </row>
    <row r="4674" spans="1:11" x14ac:dyDescent="0.2">
      <c r="A4674" s="1" t="s">
        <v>5792</v>
      </c>
      <c r="B4674" s="2">
        <v>45690</v>
      </c>
      <c r="C4674" s="1" t="s">
        <v>397</v>
      </c>
      <c r="D4674" s="1" t="s">
        <v>398</v>
      </c>
      <c r="E4674" s="1" t="s">
        <v>34</v>
      </c>
      <c r="F4674" s="1" t="s">
        <v>474</v>
      </c>
      <c r="G4674" s="1" t="s">
        <v>475</v>
      </c>
      <c r="H4674" s="1" t="s">
        <v>48</v>
      </c>
      <c r="I4674">
        <v>90124</v>
      </c>
      <c r="J4674" s="3">
        <v>24.93</v>
      </c>
      <c r="K4674" s="3">
        <v>2246791.3199999998</v>
      </c>
    </row>
    <row r="4675" spans="1:11" x14ac:dyDescent="0.2">
      <c r="A4675" s="1" t="s">
        <v>5793</v>
      </c>
      <c r="B4675" s="2">
        <v>45387</v>
      </c>
      <c r="C4675" s="1" t="s">
        <v>2628</v>
      </c>
      <c r="D4675" s="1" t="s">
        <v>2629</v>
      </c>
      <c r="E4675" s="1" t="s">
        <v>14</v>
      </c>
      <c r="F4675" s="1" t="s">
        <v>251</v>
      </c>
      <c r="G4675" s="1" t="s">
        <v>252</v>
      </c>
      <c r="H4675" s="1" t="s">
        <v>72</v>
      </c>
      <c r="I4675">
        <v>57191</v>
      </c>
      <c r="J4675" s="3">
        <v>42.64</v>
      </c>
      <c r="K4675" s="3">
        <v>2438624.2400000002</v>
      </c>
    </row>
    <row r="4676" spans="1:11" x14ac:dyDescent="0.2">
      <c r="A4676" s="1" t="s">
        <v>5794</v>
      </c>
      <c r="B4676" s="2">
        <v>45379</v>
      </c>
      <c r="C4676" s="1" t="s">
        <v>1571</v>
      </c>
      <c r="D4676" s="1" t="s">
        <v>1572</v>
      </c>
      <c r="E4676" s="1" t="s">
        <v>14</v>
      </c>
      <c r="F4676" s="1" t="s">
        <v>228</v>
      </c>
      <c r="G4676" s="1" t="s">
        <v>229</v>
      </c>
      <c r="H4676" s="1" t="s">
        <v>48</v>
      </c>
      <c r="I4676">
        <v>57648</v>
      </c>
      <c r="J4676" s="3">
        <v>39.92</v>
      </c>
      <c r="K4676" s="3">
        <v>2301308.16</v>
      </c>
    </row>
    <row r="4677" spans="1:11" x14ac:dyDescent="0.2">
      <c r="A4677" s="1" t="s">
        <v>5795</v>
      </c>
      <c r="B4677" s="2">
        <v>45562</v>
      </c>
      <c r="C4677" s="1" t="s">
        <v>692</v>
      </c>
      <c r="D4677" s="1" t="s">
        <v>693</v>
      </c>
      <c r="E4677" s="1" t="s">
        <v>28</v>
      </c>
      <c r="F4677" s="1" t="s">
        <v>29</v>
      </c>
      <c r="G4677" s="1" t="s">
        <v>30</v>
      </c>
      <c r="H4677" s="1" t="s">
        <v>24</v>
      </c>
      <c r="I4677">
        <v>55626</v>
      </c>
      <c r="J4677" s="3">
        <v>18.329999999999998</v>
      </c>
      <c r="K4677" s="3">
        <v>1019624.58</v>
      </c>
    </row>
    <row r="4678" spans="1:11" x14ac:dyDescent="0.2">
      <c r="A4678" s="1" t="s">
        <v>5796</v>
      </c>
      <c r="B4678" s="2">
        <v>45530</v>
      </c>
      <c r="C4678" s="1" t="s">
        <v>2541</v>
      </c>
      <c r="D4678" s="1" t="s">
        <v>2542</v>
      </c>
      <c r="E4678" s="1" t="s">
        <v>14</v>
      </c>
      <c r="F4678" s="1" t="s">
        <v>540</v>
      </c>
      <c r="G4678" s="1" t="s">
        <v>541</v>
      </c>
      <c r="H4678" s="1" t="s">
        <v>37</v>
      </c>
      <c r="I4678">
        <v>12185</v>
      </c>
      <c r="J4678" s="3">
        <v>19.04</v>
      </c>
      <c r="K4678" s="3">
        <v>232002.4</v>
      </c>
    </row>
    <row r="4679" spans="1:11" x14ac:dyDescent="0.2">
      <c r="A4679" s="1" t="s">
        <v>5797</v>
      </c>
      <c r="B4679" s="2">
        <v>45668</v>
      </c>
      <c r="C4679" s="1" t="s">
        <v>345</v>
      </c>
      <c r="D4679" s="1" t="s">
        <v>346</v>
      </c>
      <c r="E4679" s="1" t="s">
        <v>37</v>
      </c>
      <c r="F4679" s="1" t="s">
        <v>268</v>
      </c>
      <c r="G4679" s="1" t="s">
        <v>269</v>
      </c>
      <c r="H4679" s="1" t="s">
        <v>72</v>
      </c>
      <c r="I4679">
        <v>6267</v>
      </c>
      <c r="J4679" s="3">
        <v>19.36</v>
      </c>
      <c r="K4679" s="3">
        <v>121329.12</v>
      </c>
    </row>
    <row r="4680" spans="1:11" x14ac:dyDescent="0.2">
      <c r="A4680" s="1" t="s">
        <v>5798</v>
      </c>
      <c r="B4680" s="2">
        <v>45818</v>
      </c>
      <c r="C4680" s="1" t="s">
        <v>2260</v>
      </c>
      <c r="D4680" s="1" t="s">
        <v>2261</v>
      </c>
      <c r="E4680" s="1" t="s">
        <v>14</v>
      </c>
      <c r="F4680" s="1" t="s">
        <v>237</v>
      </c>
      <c r="G4680" s="1" t="s">
        <v>238</v>
      </c>
      <c r="H4680" s="1" t="s">
        <v>17</v>
      </c>
      <c r="I4680">
        <v>20870</v>
      </c>
      <c r="J4680" s="3">
        <v>6.72</v>
      </c>
      <c r="K4680" s="3">
        <v>140246.39999999999</v>
      </c>
    </row>
    <row r="4681" spans="1:11" x14ac:dyDescent="0.2">
      <c r="A4681" s="1" t="s">
        <v>5799</v>
      </c>
      <c r="B4681" s="2">
        <v>45366</v>
      </c>
      <c r="C4681" s="1" t="s">
        <v>1520</v>
      </c>
      <c r="D4681" s="1" t="s">
        <v>1521</v>
      </c>
      <c r="E4681" s="1" t="s">
        <v>37</v>
      </c>
      <c r="F4681" s="1" t="s">
        <v>81</v>
      </c>
      <c r="G4681" s="1" t="s">
        <v>82</v>
      </c>
      <c r="H4681" s="1" t="s">
        <v>72</v>
      </c>
      <c r="I4681">
        <v>80691</v>
      </c>
      <c r="J4681" s="3">
        <v>18.32</v>
      </c>
      <c r="K4681" s="3">
        <v>1478259.12</v>
      </c>
    </row>
    <row r="4682" spans="1:11" x14ac:dyDescent="0.2">
      <c r="A4682" s="1" t="s">
        <v>5800</v>
      </c>
      <c r="B4682" s="2">
        <v>45694</v>
      </c>
      <c r="C4682" s="1" t="s">
        <v>570</v>
      </c>
      <c r="D4682" s="1" t="s">
        <v>571</v>
      </c>
      <c r="E4682" s="1" t="s">
        <v>28</v>
      </c>
      <c r="F4682" s="1" t="s">
        <v>76</v>
      </c>
      <c r="G4682" s="1" t="s">
        <v>77</v>
      </c>
      <c r="H4682" s="1" t="s">
        <v>48</v>
      </c>
      <c r="I4682">
        <v>93439</v>
      </c>
      <c r="J4682" s="3">
        <v>24.41</v>
      </c>
      <c r="K4682" s="3">
        <v>2280845.9900000002</v>
      </c>
    </row>
    <row r="4683" spans="1:11" x14ac:dyDescent="0.2">
      <c r="A4683" s="1" t="s">
        <v>5801</v>
      </c>
      <c r="B4683" s="2">
        <v>45856</v>
      </c>
      <c r="C4683" s="1" t="s">
        <v>142</v>
      </c>
      <c r="D4683" s="1" t="s">
        <v>143</v>
      </c>
      <c r="E4683" s="1" t="s">
        <v>37</v>
      </c>
      <c r="F4683" s="1" t="s">
        <v>552</v>
      </c>
      <c r="G4683" s="1" t="s">
        <v>553</v>
      </c>
      <c r="H4683" s="1" t="s">
        <v>37</v>
      </c>
      <c r="I4683">
        <v>18220</v>
      </c>
      <c r="J4683" s="3">
        <v>7.17</v>
      </c>
      <c r="K4683" s="3">
        <v>130637.4</v>
      </c>
    </row>
    <row r="4684" spans="1:11" x14ac:dyDescent="0.2">
      <c r="A4684" s="1" t="s">
        <v>5802</v>
      </c>
      <c r="B4684" s="2">
        <v>45937</v>
      </c>
      <c r="C4684" s="1" t="s">
        <v>439</v>
      </c>
      <c r="D4684" s="1" t="s">
        <v>440</v>
      </c>
      <c r="E4684" s="1" t="s">
        <v>28</v>
      </c>
      <c r="F4684" s="1" t="s">
        <v>237</v>
      </c>
      <c r="G4684" s="1" t="s">
        <v>238</v>
      </c>
      <c r="H4684" s="1" t="s">
        <v>17</v>
      </c>
      <c r="I4684">
        <v>51465</v>
      </c>
      <c r="J4684" s="3">
        <v>7.53</v>
      </c>
      <c r="K4684" s="3">
        <v>387531.45</v>
      </c>
    </row>
    <row r="4685" spans="1:11" x14ac:dyDescent="0.2">
      <c r="A4685" s="1" t="s">
        <v>5803</v>
      </c>
      <c r="B4685" s="2">
        <v>45363</v>
      </c>
      <c r="C4685" s="1" t="s">
        <v>1708</v>
      </c>
      <c r="D4685" s="1" t="s">
        <v>1709</v>
      </c>
      <c r="E4685" s="1" t="s">
        <v>14</v>
      </c>
      <c r="F4685" s="1" t="s">
        <v>144</v>
      </c>
      <c r="G4685" s="1" t="s">
        <v>145</v>
      </c>
      <c r="H4685" s="1" t="s">
        <v>24</v>
      </c>
      <c r="I4685">
        <v>2573</v>
      </c>
      <c r="J4685" s="3">
        <v>23.21</v>
      </c>
      <c r="K4685" s="3">
        <v>59719.33</v>
      </c>
    </row>
    <row r="4686" spans="1:11" x14ac:dyDescent="0.2">
      <c r="A4686" s="1" t="s">
        <v>5804</v>
      </c>
      <c r="B4686" s="2">
        <v>45306</v>
      </c>
      <c r="C4686" s="1" t="s">
        <v>508</v>
      </c>
      <c r="D4686" s="1" t="s">
        <v>509</v>
      </c>
      <c r="E4686" s="1" t="s">
        <v>34</v>
      </c>
      <c r="F4686" s="1" t="s">
        <v>76</v>
      </c>
      <c r="G4686" s="1" t="s">
        <v>77</v>
      </c>
      <c r="H4686" s="1" t="s">
        <v>48</v>
      </c>
      <c r="I4686">
        <v>74855</v>
      </c>
      <c r="J4686" s="3">
        <v>26.21</v>
      </c>
      <c r="K4686" s="3">
        <v>1961949.55</v>
      </c>
    </row>
    <row r="4687" spans="1:11" x14ac:dyDescent="0.2">
      <c r="A4687" s="1" t="s">
        <v>5805</v>
      </c>
      <c r="B4687" s="2">
        <v>45414</v>
      </c>
      <c r="C4687" s="1" t="s">
        <v>1442</v>
      </c>
      <c r="D4687" s="1" t="s">
        <v>1443</v>
      </c>
      <c r="E4687" s="1" t="s">
        <v>14</v>
      </c>
      <c r="F4687" s="1" t="s">
        <v>330</v>
      </c>
      <c r="G4687" s="1" t="s">
        <v>331</v>
      </c>
      <c r="H4687" s="1" t="s">
        <v>72</v>
      </c>
      <c r="I4687">
        <v>51595</v>
      </c>
      <c r="J4687" s="3">
        <v>15.65</v>
      </c>
      <c r="K4687" s="3">
        <v>807461.75</v>
      </c>
    </row>
    <row r="4688" spans="1:11" x14ac:dyDescent="0.2">
      <c r="A4688" s="1" t="s">
        <v>5806</v>
      </c>
      <c r="B4688" s="2">
        <v>45853</v>
      </c>
      <c r="C4688" s="1" t="s">
        <v>345</v>
      </c>
      <c r="D4688" s="1" t="s">
        <v>346</v>
      </c>
      <c r="E4688" s="1" t="s">
        <v>37</v>
      </c>
      <c r="F4688" s="1" t="s">
        <v>251</v>
      </c>
      <c r="G4688" s="1" t="s">
        <v>252</v>
      </c>
      <c r="H4688" s="1" t="s">
        <v>72</v>
      </c>
      <c r="I4688">
        <v>34262</v>
      </c>
      <c r="J4688" s="3">
        <v>5.25</v>
      </c>
      <c r="K4688" s="3">
        <v>179875.5</v>
      </c>
    </row>
    <row r="4689" spans="1:11" x14ac:dyDescent="0.2">
      <c r="A4689" s="1" t="s">
        <v>5807</v>
      </c>
      <c r="B4689" s="2">
        <v>45796</v>
      </c>
      <c r="C4689" s="1" t="s">
        <v>1683</v>
      </c>
      <c r="D4689" s="1" t="s">
        <v>1684</v>
      </c>
      <c r="E4689" s="1" t="s">
        <v>14</v>
      </c>
      <c r="F4689" s="1" t="s">
        <v>284</v>
      </c>
      <c r="G4689" s="1" t="s">
        <v>285</v>
      </c>
      <c r="H4689" s="1" t="s">
        <v>37</v>
      </c>
      <c r="I4689">
        <v>86475</v>
      </c>
      <c r="J4689" s="3">
        <v>37.1</v>
      </c>
      <c r="K4689" s="3">
        <v>3208222.5</v>
      </c>
    </row>
    <row r="4690" spans="1:11" x14ac:dyDescent="0.2">
      <c r="A4690" s="1" t="s">
        <v>5808</v>
      </c>
      <c r="B4690" s="2">
        <v>45700</v>
      </c>
      <c r="C4690" s="1" t="s">
        <v>1814</v>
      </c>
      <c r="D4690" s="1" t="s">
        <v>1815</v>
      </c>
      <c r="E4690" s="1" t="s">
        <v>14</v>
      </c>
      <c r="F4690" s="1" t="s">
        <v>35</v>
      </c>
      <c r="G4690" s="1" t="s">
        <v>36</v>
      </c>
      <c r="H4690" s="1" t="s">
        <v>37</v>
      </c>
      <c r="I4690">
        <v>19879</v>
      </c>
      <c r="J4690" s="3">
        <v>33.46</v>
      </c>
      <c r="K4690" s="3">
        <v>665151.34</v>
      </c>
    </row>
    <row r="4691" spans="1:11" x14ac:dyDescent="0.2">
      <c r="A4691" s="1" t="s">
        <v>5809</v>
      </c>
      <c r="B4691" s="2">
        <v>45398</v>
      </c>
      <c r="C4691" s="1" t="s">
        <v>1288</v>
      </c>
      <c r="D4691" s="1" t="s">
        <v>1289</v>
      </c>
      <c r="E4691" s="1" t="s">
        <v>34</v>
      </c>
      <c r="F4691" s="1" t="s">
        <v>228</v>
      </c>
      <c r="G4691" s="1" t="s">
        <v>229</v>
      </c>
      <c r="H4691" s="1" t="s">
        <v>48</v>
      </c>
      <c r="I4691">
        <v>58716</v>
      </c>
      <c r="J4691" s="3">
        <v>6.08</v>
      </c>
      <c r="K4691" s="3">
        <v>356993.28000000003</v>
      </c>
    </row>
    <row r="4692" spans="1:11" x14ac:dyDescent="0.2">
      <c r="A4692" s="1" t="s">
        <v>5810</v>
      </c>
      <c r="B4692" s="2">
        <v>45654</v>
      </c>
      <c r="C4692" s="1" t="s">
        <v>1507</v>
      </c>
      <c r="D4692" s="1" t="s">
        <v>1508</v>
      </c>
      <c r="E4692" s="1" t="s">
        <v>37</v>
      </c>
      <c r="F4692" s="1" t="s">
        <v>157</v>
      </c>
      <c r="G4692" s="1" t="s">
        <v>158</v>
      </c>
      <c r="H4692" s="1" t="s">
        <v>48</v>
      </c>
      <c r="I4692">
        <v>17150</v>
      </c>
      <c r="J4692" s="3">
        <v>36.25</v>
      </c>
      <c r="K4692" s="3">
        <v>621687.5</v>
      </c>
    </row>
    <row r="4693" spans="1:11" x14ac:dyDescent="0.2">
      <c r="A4693" s="1" t="s">
        <v>5811</v>
      </c>
      <c r="B4693" s="2">
        <v>45993</v>
      </c>
      <c r="C4693" s="1" t="s">
        <v>1909</v>
      </c>
      <c r="D4693" s="1" t="s">
        <v>1910</v>
      </c>
      <c r="E4693" s="1" t="s">
        <v>37</v>
      </c>
      <c r="F4693" s="1" t="s">
        <v>436</v>
      </c>
      <c r="G4693" s="1" t="s">
        <v>437</v>
      </c>
      <c r="H4693" s="1" t="s">
        <v>24</v>
      </c>
      <c r="I4693">
        <v>19311</v>
      </c>
      <c r="J4693" s="3">
        <v>40.369999999999997</v>
      </c>
      <c r="K4693" s="3">
        <v>779585.07</v>
      </c>
    </row>
    <row r="4694" spans="1:11" x14ac:dyDescent="0.2">
      <c r="A4694" s="1" t="s">
        <v>5812</v>
      </c>
      <c r="B4694" s="2">
        <v>46021</v>
      </c>
      <c r="C4694" s="1" t="s">
        <v>310</v>
      </c>
      <c r="D4694" s="1" t="s">
        <v>311</v>
      </c>
      <c r="E4694" s="1" t="s">
        <v>37</v>
      </c>
      <c r="F4694" s="1" t="s">
        <v>203</v>
      </c>
      <c r="G4694" s="1" t="s">
        <v>204</v>
      </c>
      <c r="H4694" s="1" t="s">
        <v>72</v>
      </c>
      <c r="I4694">
        <v>61036</v>
      </c>
      <c r="J4694" s="3">
        <v>7.49</v>
      </c>
      <c r="K4694" s="3">
        <v>457159.64</v>
      </c>
    </row>
    <row r="4695" spans="1:11" x14ac:dyDescent="0.2">
      <c r="A4695" s="1" t="s">
        <v>5813</v>
      </c>
      <c r="B4695" s="2">
        <v>45914</v>
      </c>
      <c r="C4695" s="1" t="s">
        <v>487</v>
      </c>
      <c r="D4695" s="1" t="s">
        <v>488</v>
      </c>
      <c r="E4695" s="1" t="s">
        <v>28</v>
      </c>
      <c r="F4695" s="1" t="s">
        <v>113</v>
      </c>
      <c r="G4695" s="1" t="s">
        <v>114</v>
      </c>
      <c r="H4695" s="1" t="s">
        <v>37</v>
      </c>
      <c r="I4695">
        <v>40324</v>
      </c>
      <c r="J4695" s="3">
        <v>33.58</v>
      </c>
      <c r="K4695" s="3">
        <v>1354079.92</v>
      </c>
    </row>
    <row r="4696" spans="1:11" x14ac:dyDescent="0.2">
      <c r="A4696" s="1" t="s">
        <v>5814</v>
      </c>
      <c r="B4696" s="2">
        <v>45966</v>
      </c>
      <c r="C4696" s="1" t="s">
        <v>160</v>
      </c>
      <c r="D4696" s="1" t="s">
        <v>161</v>
      </c>
      <c r="E4696" s="1" t="s">
        <v>21</v>
      </c>
      <c r="F4696" s="1" t="s">
        <v>29</v>
      </c>
      <c r="G4696" s="1" t="s">
        <v>30</v>
      </c>
      <c r="H4696" s="1" t="s">
        <v>24</v>
      </c>
      <c r="I4696">
        <v>79462</v>
      </c>
      <c r="J4696" s="3">
        <v>13.05</v>
      </c>
      <c r="K4696" s="3">
        <v>1036979.1</v>
      </c>
    </row>
    <row r="4697" spans="1:11" x14ac:dyDescent="0.2">
      <c r="A4697" s="1" t="s">
        <v>5815</v>
      </c>
      <c r="B4697" s="2">
        <v>45646</v>
      </c>
      <c r="C4697" s="1" t="s">
        <v>291</v>
      </c>
      <c r="D4697" s="1" t="s">
        <v>292</v>
      </c>
      <c r="E4697" s="1" t="s">
        <v>14</v>
      </c>
      <c r="F4697" s="1" t="s">
        <v>41</v>
      </c>
      <c r="G4697" s="1" t="s">
        <v>42</v>
      </c>
      <c r="H4697" s="1" t="s">
        <v>24</v>
      </c>
      <c r="I4697">
        <v>17799</v>
      </c>
      <c r="J4697" s="3">
        <v>45.57</v>
      </c>
      <c r="K4697" s="3">
        <v>811100.43</v>
      </c>
    </row>
    <row r="4698" spans="1:11" x14ac:dyDescent="0.2">
      <c r="A4698" s="1" t="s">
        <v>5816</v>
      </c>
      <c r="B4698" s="2">
        <v>45503</v>
      </c>
      <c r="C4698" s="1" t="s">
        <v>1994</v>
      </c>
      <c r="D4698" s="1" t="s">
        <v>1995</v>
      </c>
      <c r="E4698" s="1" t="s">
        <v>28</v>
      </c>
      <c r="F4698" s="1" t="s">
        <v>139</v>
      </c>
      <c r="G4698" s="1" t="s">
        <v>140</v>
      </c>
      <c r="H4698" s="1" t="s">
        <v>24</v>
      </c>
      <c r="I4698">
        <v>25155</v>
      </c>
      <c r="J4698" s="3">
        <v>12.12</v>
      </c>
      <c r="K4698" s="3">
        <v>304878.59999999998</v>
      </c>
    </row>
    <row r="4699" spans="1:11" x14ac:dyDescent="0.2">
      <c r="A4699" s="1" t="s">
        <v>5817</v>
      </c>
      <c r="B4699" s="2">
        <v>45784</v>
      </c>
      <c r="C4699" s="1" t="s">
        <v>535</v>
      </c>
      <c r="D4699" s="1" t="s">
        <v>536</v>
      </c>
      <c r="E4699" s="1" t="s">
        <v>28</v>
      </c>
      <c r="F4699" s="1" t="s">
        <v>65</v>
      </c>
      <c r="G4699" s="1" t="s">
        <v>66</v>
      </c>
      <c r="H4699" s="1" t="s">
        <v>48</v>
      </c>
      <c r="I4699">
        <v>46075</v>
      </c>
      <c r="J4699" s="3">
        <v>45.66</v>
      </c>
      <c r="K4699" s="3">
        <v>2103784.5</v>
      </c>
    </row>
    <row r="4700" spans="1:11" x14ac:dyDescent="0.2">
      <c r="A4700" s="1" t="s">
        <v>5818</v>
      </c>
      <c r="B4700" s="2">
        <v>45348</v>
      </c>
      <c r="C4700" s="1" t="s">
        <v>2109</v>
      </c>
      <c r="D4700" s="1" t="s">
        <v>2110</v>
      </c>
      <c r="E4700" s="1" t="s">
        <v>28</v>
      </c>
      <c r="F4700" s="1" t="s">
        <v>237</v>
      </c>
      <c r="G4700" s="1" t="s">
        <v>238</v>
      </c>
      <c r="H4700" s="1" t="s">
        <v>17</v>
      </c>
      <c r="I4700">
        <v>4109</v>
      </c>
      <c r="J4700" s="3">
        <v>47.85</v>
      </c>
      <c r="K4700" s="3">
        <v>196615.65</v>
      </c>
    </row>
    <row r="4701" spans="1:11" x14ac:dyDescent="0.2">
      <c r="A4701" s="1" t="s">
        <v>5819</v>
      </c>
      <c r="B4701" s="2">
        <v>45975</v>
      </c>
      <c r="C4701" s="1" t="s">
        <v>969</v>
      </c>
      <c r="D4701" s="1" t="s">
        <v>970</v>
      </c>
      <c r="E4701" s="1" t="s">
        <v>37</v>
      </c>
      <c r="F4701" s="1" t="s">
        <v>406</v>
      </c>
      <c r="G4701" s="1" t="s">
        <v>407</v>
      </c>
      <c r="H4701" s="1" t="s">
        <v>17</v>
      </c>
      <c r="I4701">
        <v>75193</v>
      </c>
      <c r="J4701" s="3">
        <v>32.11</v>
      </c>
      <c r="K4701" s="3">
        <v>2414447.23</v>
      </c>
    </row>
    <row r="4702" spans="1:11" x14ac:dyDescent="0.2">
      <c r="A4702" s="1" t="s">
        <v>5820</v>
      </c>
      <c r="B4702" s="2">
        <v>45450</v>
      </c>
      <c r="C4702" s="1" t="s">
        <v>1797</v>
      </c>
      <c r="D4702" s="1" t="s">
        <v>1798</v>
      </c>
      <c r="E4702" s="1" t="s">
        <v>37</v>
      </c>
      <c r="F4702" s="1" t="s">
        <v>394</v>
      </c>
      <c r="G4702" s="1" t="s">
        <v>395</v>
      </c>
      <c r="H4702" s="1" t="s">
        <v>48</v>
      </c>
      <c r="I4702">
        <v>55146</v>
      </c>
      <c r="J4702" s="3">
        <v>9.67</v>
      </c>
      <c r="K4702" s="3">
        <v>533261.81999999995</v>
      </c>
    </row>
    <row r="4703" spans="1:11" x14ac:dyDescent="0.2">
      <c r="A4703" s="1" t="s">
        <v>5821</v>
      </c>
      <c r="B4703" s="2">
        <v>46020</v>
      </c>
      <c r="C4703" s="1" t="s">
        <v>1867</v>
      </c>
      <c r="D4703" s="1" t="s">
        <v>1868</v>
      </c>
      <c r="E4703" s="1" t="s">
        <v>28</v>
      </c>
      <c r="F4703" s="1" t="s">
        <v>394</v>
      </c>
      <c r="G4703" s="1" t="s">
        <v>395</v>
      </c>
      <c r="H4703" s="1" t="s">
        <v>48</v>
      </c>
      <c r="I4703">
        <v>31788</v>
      </c>
      <c r="J4703" s="3">
        <v>26.26</v>
      </c>
      <c r="K4703" s="3">
        <v>834752.88</v>
      </c>
    </row>
    <row r="4704" spans="1:11" x14ac:dyDescent="0.2">
      <c r="A4704" s="1" t="s">
        <v>5822</v>
      </c>
      <c r="B4704" s="2">
        <v>45631</v>
      </c>
      <c r="C4704" s="1" t="s">
        <v>2398</v>
      </c>
      <c r="D4704" s="1" t="s">
        <v>2399</v>
      </c>
      <c r="E4704" s="1" t="s">
        <v>37</v>
      </c>
      <c r="F4704" s="1" t="s">
        <v>761</v>
      </c>
      <c r="G4704" s="1" t="s">
        <v>762</v>
      </c>
      <c r="H4704" s="1" t="s">
        <v>48</v>
      </c>
      <c r="I4704">
        <v>38155</v>
      </c>
      <c r="J4704" s="3">
        <v>43.67</v>
      </c>
      <c r="K4704" s="3">
        <v>1666228.85</v>
      </c>
    </row>
    <row r="4705" spans="1:11" x14ac:dyDescent="0.2">
      <c r="A4705" s="1" t="s">
        <v>5823</v>
      </c>
      <c r="B4705" s="2">
        <v>45975</v>
      </c>
      <c r="C4705" s="1" t="s">
        <v>692</v>
      </c>
      <c r="D4705" s="1" t="s">
        <v>693</v>
      </c>
      <c r="E4705" s="1" t="s">
        <v>28</v>
      </c>
      <c r="F4705" s="1" t="s">
        <v>184</v>
      </c>
      <c r="G4705" s="1" t="s">
        <v>185</v>
      </c>
      <c r="H4705" s="1" t="s">
        <v>17</v>
      </c>
      <c r="I4705">
        <v>71126</v>
      </c>
      <c r="J4705" s="3">
        <v>9.43</v>
      </c>
      <c r="K4705" s="3">
        <v>670718.18000000005</v>
      </c>
    </row>
    <row r="4706" spans="1:11" x14ac:dyDescent="0.2">
      <c r="A4706" s="1" t="s">
        <v>5824</v>
      </c>
      <c r="B4706" s="2">
        <v>45512</v>
      </c>
      <c r="C4706" s="1" t="s">
        <v>74</v>
      </c>
      <c r="D4706" s="1" t="s">
        <v>75</v>
      </c>
      <c r="E4706" s="1" t="s">
        <v>37</v>
      </c>
      <c r="F4706" s="1" t="s">
        <v>81</v>
      </c>
      <c r="G4706" s="1" t="s">
        <v>82</v>
      </c>
      <c r="H4706" s="1" t="s">
        <v>72</v>
      </c>
      <c r="I4706">
        <v>43804</v>
      </c>
      <c r="J4706" s="3">
        <v>6.47</v>
      </c>
      <c r="K4706" s="3">
        <v>283411.88</v>
      </c>
    </row>
    <row r="4707" spans="1:11" x14ac:dyDescent="0.2">
      <c r="A4707" s="1" t="s">
        <v>5825</v>
      </c>
      <c r="B4707" s="2">
        <v>45316</v>
      </c>
      <c r="C4707" s="1" t="s">
        <v>847</v>
      </c>
      <c r="D4707" s="1" t="s">
        <v>848</v>
      </c>
      <c r="E4707" s="1" t="s">
        <v>34</v>
      </c>
      <c r="F4707" s="1" t="s">
        <v>263</v>
      </c>
      <c r="G4707" s="1" t="s">
        <v>264</v>
      </c>
      <c r="H4707" s="1" t="s">
        <v>17</v>
      </c>
      <c r="I4707">
        <v>91244</v>
      </c>
      <c r="J4707" s="3">
        <v>29.49</v>
      </c>
      <c r="K4707" s="3">
        <v>2690785.56</v>
      </c>
    </row>
    <row r="4708" spans="1:11" x14ac:dyDescent="0.2">
      <c r="A4708" s="1" t="s">
        <v>5826</v>
      </c>
      <c r="B4708" s="2">
        <v>45868</v>
      </c>
      <c r="C4708" s="1" t="s">
        <v>1854</v>
      </c>
      <c r="D4708" s="1" t="s">
        <v>1855</v>
      </c>
      <c r="E4708" s="1" t="s">
        <v>37</v>
      </c>
      <c r="F4708" s="1" t="s">
        <v>273</v>
      </c>
      <c r="G4708" s="1" t="s">
        <v>274</v>
      </c>
      <c r="H4708" s="1" t="s">
        <v>24</v>
      </c>
      <c r="I4708">
        <v>27751</v>
      </c>
      <c r="J4708" s="3">
        <v>9.34</v>
      </c>
      <c r="K4708" s="3">
        <v>259194.34</v>
      </c>
    </row>
    <row r="4709" spans="1:11" x14ac:dyDescent="0.2">
      <c r="A4709" s="1" t="s">
        <v>5827</v>
      </c>
      <c r="B4709" s="2">
        <v>45532</v>
      </c>
      <c r="C4709" s="1" t="s">
        <v>3064</v>
      </c>
      <c r="D4709" s="1" t="s">
        <v>3065</v>
      </c>
      <c r="E4709" s="1" t="s">
        <v>37</v>
      </c>
      <c r="F4709" s="1" t="s">
        <v>70</v>
      </c>
      <c r="G4709" s="1" t="s">
        <v>71</v>
      </c>
      <c r="H4709" s="1" t="s">
        <v>72</v>
      </c>
      <c r="I4709">
        <v>87155</v>
      </c>
      <c r="J4709" s="3">
        <v>17.02</v>
      </c>
      <c r="K4709" s="3">
        <v>1483378.1</v>
      </c>
    </row>
    <row r="4710" spans="1:11" x14ac:dyDescent="0.2">
      <c r="A4710" s="1" t="s">
        <v>5828</v>
      </c>
      <c r="B4710" s="2">
        <v>45540</v>
      </c>
      <c r="C4710" s="1" t="s">
        <v>371</v>
      </c>
      <c r="D4710" s="1" t="s">
        <v>372</v>
      </c>
      <c r="E4710" s="1" t="s">
        <v>14</v>
      </c>
      <c r="F4710" s="1" t="s">
        <v>70</v>
      </c>
      <c r="G4710" s="1" t="s">
        <v>71</v>
      </c>
      <c r="H4710" s="1" t="s">
        <v>72</v>
      </c>
      <c r="I4710">
        <v>71462</v>
      </c>
      <c r="J4710" s="3">
        <v>10.31</v>
      </c>
      <c r="K4710" s="3">
        <v>736773.22</v>
      </c>
    </row>
    <row r="4711" spans="1:11" x14ac:dyDescent="0.2">
      <c r="A4711" s="1" t="s">
        <v>5829</v>
      </c>
      <c r="B4711" s="2">
        <v>45806</v>
      </c>
      <c r="C4711" s="1" t="s">
        <v>684</v>
      </c>
      <c r="D4711" s="1" t="s">
        <v>685</v>
      </c>
      <c r="E4711" s="1" t="s">
        <v>37</v>
      </c>
      <c r="F4711" s="1" t="s">
        <v>98</v>
      </c>
      <c r="G4711" s="1" t="s">
        <v>99</v>
      </c>
      <c r="H4711" s="1" t="s">
        <v>72</v>
      </c>
      <c r="I4711">
        <v>45693</v>
      </c>
      <c r="J4711" s="3">
        <v>26.99</v>
      </c>
      <c r="K4711" s="3">
        <v>1233254.07</v>
      </c>
    </row>
    <row r="4712" spans="1:11" x14ac:dyDescent="0.2">
      <c r="A4712" s="1" t="s">
        <v>5830</v>
      </c>
      <c r="B4712" s="2">
        <v>46001</v>
      </c>
      <c r="C4712" s="1" t="s">
        <v>316</v>
      </c>
      <c r="D4712" s="1" t="s">
        <v>317</v>
      </c>
      <c r="E4712" s="1" t="s">
        <v>14</v>
      </c>
      <c r="F4712" s="1" t="s">
        <v>46</v>
      </c>
      <c r="G4712" s="1" t="s">
        <v>47</v>
      </c>
      <c r="H4712" s="1" t="s">
        <v>48</v>
      </c>
      <c r="I4712">
        <v>12016</v>
      </c>
      <c r="J4712" s="3">
        <v>19.920000000000002</v>
      </c>
      <c r="K4712" s="3">
        <v>239358.72</v>
      </c>
    </row>
    <row r="4713" spans="1:11" x14ac:dyDescent="0.2">
      <c r="A4713" s="1" t="s">
        <v>5831</v>
      </c>
      <c r="B4713" s="2">
        <v>45940</v>
      </c>
      <c r="C4713" s="1" t="s">
        <v>187</v>
      </c>
      <c r="D4713" s="1" t="s">
        <v>188</v>
      </c>
      <c r="E4713" s="1" t="s">
        <v>34</v>
      </c>
      <c r="F4713" s="1" t="s">
        <v>139</v>
      </c>
      <c r="G4713" s="1" t="s">
        <v>140</v>
      </c>
      <c r="H4713" s="1" t="s">
        <v>24</v>
      </c>
      <c r="I4713">
        <v>13484</v>
      </c>
      <c r="J4713" s="3">
        <v>42.97</v>
      </c>
      <c r="K4713" s="3">
        <v>579407.48</v>
      </c>
    </row>
    <row r="4714" spans="1:11" x14ac:dyDescent="0.2">
      <c r="A4714" s="1" t="s">
        <v>5832</v>
      </c>
      <c r="B4714" s="2">
        <v>45649</v>
      </c>
      <c r="C4714" s="1" t="s">
        <v>404</v>
      </c>
      <c r="D4714" s="1" t="s">
        <v>405</v>
      </c>
      <c r="E4714" s="1" t="s">
        <v>37</v>
      </c>
      <c r="F4714" s="1" t="s">
        <v>217</v>
      </c>
      <c r="G4714" s="1" t="s">
        <v>218</v>
      </c>
      <c r="H4714" s="1" t="s">
        <v>72</v>
      </c>
      <c r="I4714">
        <v>95926</v>
      </c>
      <c r="J4714" s="3">
        <v>39.65</v>
      </c>
      <c r="K4714" s="3">
        <v>3803465.9</v>
      </c>
    </row>
    <row r="4715" spans="1:11" x14ac:dyDescent="0.2">
      <c r="A4715" s="1" t="s">
        <v>5833</v>
      </c>
      <c r="B4715" s="2">
        <v>45956</v>
      </c>
      <c r="C4715" s="1" t="s">
        <v>451</v>
      </c>
      <c r="D4715" s="1" t="s">
        <v>452</v>
      </c>
      <c r="E4715" s="1" t="s">
        <v>28</v>
      </c>
      <c r="F4715" s="1" t="s">
        <v>284</v>
      </c>
      <c r="G4715" s="1" t="s">
        <v>285</v>
      </c>
      <c r="H4715" s="1" t="s">
        <v>37</v>
      </c>
      <c r="I4715">
        <v>52504</v>
      </c>
      <c r="J4715" s="3">
        <v>38.840000000000003</v>
      </c>
      <c r="K4715" s="3">
        <v>2039255.36</v>
      </c>
    </row>
    <row r="4716" spans="1:11" x14ac:dyDescent="0.2">
      <c r="A4716" s="1" t="s">
        <v>5834</v>
      </c>
      <c r="B4716" s="2">
        <v>45709</v>
      </c>
      <c r="C4716" s="1" t="s">
        <v>2363</v>
      </c>
      <c r="D4716" s="1" t="s">
        <v>2364</v>
      </c>
      <c r="E4716" s="1" t="s">
        <v>14</v>
      </c>
      <c r="F4716" s="1" t="s">
        <v>139</v>
      </c>
      <c r="G4716" s="1" t="s">
        <v>140</v>
      </c>
      <c r="H4716" s="1" t="s">
        <v>24</v>
      </c>
      <c r="I4716">
        <v>44834</v>
      </c>
      <c r="J4716" s="3">
        <v>42.21</v>
      </c>
      <c r="K4716" s="3">
        <v>1892443.14</v>
      </c>
    </row>
    <row r="4717" spans="1:11" x14ac:dyDescent="0.2">
      <c r="A4717" s="1" t="s">
        <v>5835</v>
      </c>
      <c r="B4717" s="2">
        <v>45741</v>
      </c>
      <c r="C4717" s="1" t="s">
        <v>672</v>
      </c>
      <c r="D4717" s="1" t="s">
        <v>673</v>
      </c>
      <c r="E4717" s="1" t="s">
        <v>21</v>
      </c>
      <c r="F4717" s="1" t="s">
        <v>350</v>
      </c>
      <c r="G4717" s="1" t="s">
        <v>351</v>
      </c>
      <c r="H4717" s="1" t="s">
        <v>37</v>
      </c>
      <c r="I4717">
        <v>8114</v>
      </c>
      <c r="J4717" s="3">
        <v>43.14</v>
      </c>
      <c r="K4717" s="3">
        <v>350037.96</v>
      </c>
    </row>
    <row r="4718" spans="1:11" x14ac:dyDescent="0.2">
      <c r="A4718" s="1" t="s">
        <v>5836</v>
      </c>
      <c r="B4718" s="2">
        <v>45574</v>
      </c>
      <c r="C4718" s="1" t="s">
        <v>1541</v>
      </c>
      <c r="D4718" s="1" t="s">
        <v>1542</v>
      </c>
      <c r="E4718" s="1" t="s">
        <v>37</v>
      </c>
      <c r="F4718" s="1" t="s">
        <v>761</v>
      </c>
      <c r="G4718" s="1" t="s">
        <v>762</v>
      </c>
      <c r="H4718" s="1" t="s">
        <v>48</v>
      </c>
      <c r="I4718">
        <v>42919</v>
      </c>
      <c r="J4718" s="3">
        <v>36.659999999999997</v>
      </c>
      <c r="K4718" s="3">
        <v>1573410.54</v>
      </c>
    </row>
    <row r="4719" spans="1:11" x14ac:dyDescent="0.2">
      <c r="A4719" s="1" t="s">
        <v>5837</v>
      </c>
      <c r="B4719" s="2">
        <v>45799</v>
      </c>
      <c r="C4719" s="1" t="s">
        <v>487</v>
      </c>
      <c r="D4719" s="1" t="s">
        <v>488</v>
      </c>
      <c r="E4719" s="1" t="s">
        <v>28</v>
      </c>
      <c r="F4719" s="1" t="s">
        <v>46</v>
      </c>
      <c r="G4719" s="1" t="s">
        <v>47</v>
      </c>
      <c r="H4719" s="1" t="s">
        <v>48</v>
      </c>
      <c r="I4719">
        <v>86188</v>
      </c>
      <c r="J4719" s="3">
        <v>28.27</v>
      </c>
      <c r="K4719" s="3">
        <v>2436534.7599999998</v>
      </c>
    </row>
    <row r="4720" spans="1:11" x14ac:dyDescent="0.2">
      <c r="A4720" s="1" t="s">
        <v>5838</v>
      </c>
      <c r="B4720" s="2">
        <v>45515</v>
      </c>
      <c r="C4720" s="1" t="s">
        <v>2064</v>
      </c>
      <c r="D4720" s="1" t="s">
        <v>2065</v>
      </c>
      <c r="E4720" s="1" t="s">
        <v>14</v>
      </c>
      <c r="F4720" s="1" t="s">
        <v>268</v>
      </c>
      <c r="G4720" s="1" t="s">
        <v>269</v>
      </c>
      <c r="H4720" s="1" t="s">
        <v>72</v>
      </c>
      <c r="I4720">
        <v>85871</v>
      </c>
      <c r="J4720" s="3">
        <v>28.53</v>
      </c>
      <c r="K4720" s="3">
        <v>2449899.63</v>
      </c>
    </row>
    <row r="4721" spans="1:11" x14ac:dyDescent="0.2">
      <c r="A4721" s="1" t="s">
        <v>5839</v>
      </c>
      <c r="B4721" s="2">
        <v>45499</v>
      </c>
      <c r="C4721" s="1" t="s">
        <v>1261</v>
      </c>
      <c r="D4721" s="1" t="s">
        <v>1262</v>
      </c>
      <c r="E4721" s="1" t="s">
        <v>28</v>
      </c>
      <c r="F4721" s="1" t="s">
        <v>436</v>
      </c>
      <c r="G4721" s="1" t="s">
        <v>437</v>
      </c>
      <c r="H4721" s="1" t="s">
        <v>24</v>
      </c>
      <c r="I4721">
        <v>43262</v>
      </c>
      <c r="J4721" s="3">
        <v>32.42</v>
      </c>
      <c r="K4721" s="3">
        <v>1402554.04</v>
      </c>
    </row>
    <row r="4722" spans="1:11" x14ac:dyDescent="0.2">
      <c r="A4722" s="1" t="s">
        <v>5840</v>
      </c>
      <c r="B4722" s="2">
        <v>45330</v>
      </c>
      <c r="C4722" s="1" t="s">
        <v>1999</v>
      </c>
      <c r="D4722" s="1" t="s">
        <v>2000</v>
      </c>
      <c r="E4722" s="1" t="s">
        <v>21</v>
      </c>
      <c r="F4722" s="1" t="s">
        <v>350</v>
      </c>
      <c r="G4722" s="1" t="s">
        <v>351</v>
      </c>
      <c r="H4722" s="1" t="s">
        <v>37</v>
      </c>
      <c r="I4722">
        <v>84085</v>
      </c>
      <c r="J4722" s="3">
        <v>24.66</v>
      </c>
      <c r="K4722" s="3">
        <v>2073536.1</v>
      </c>
    </row>
    <row r="4723" spans="1:11" x14ac:dyDescent="0.2">
      <c r="A4723" s="1" t="s">
        <v>5841</v>
      </c>
      <c r="B4723" s="2">
        <v>45827</v>
      </c>
      <c r="C4723" s="1" t="s">
        <v>1784</v>
      </c>
      <c r="D4723" s="1" t="s">
        <v>1785</v>
      </c>
      <c r="E4723" s="1" t="s">
        <v>21</v>
      </c>
      <c r="F4723" s="1" t="s">
        <v>217</v>
      </c>
      <c r="G4723" s="1" t="s">
        <v>218</v>
      </c>
      <c r="H4723" s="1" t="s">
        <v>72</v>
      </c>
      <c r="I4723">
        <v>18438</v>
      </c>
      <c r="J4723" s="3">
        <v>48.04</v>
      </c>
      <c r="K4723" s="3">
        <v>885761.52</v>
      </c>
    </row>
    <row r="4724" spans="1:11" x14ac:dyDescent="0.2">
      <c r="A4724" s="1" t="s">
        <v>5842</v>
      </c>
      <c r="B4724" s="2">
        <v>45346</v>
      </c>
      <c r="C4724" s="1" t="s">
        <v>972</v>
      </c>
      <c r="D4724" s="1" t="s">
        <v>973</v>
      </c>
      <c r="E4724" s="1" t="s">
        <v>34</v>
      </c>
      <c r="F4724" s="1" t="s">
        <v>157</v>
      </c>
      <c r="G4724" s="1" t="s">
        <v>158</v>
      </c>
      <c r="H4724" s="1" t="s">
        <v>48</v>
      </c>
      <c r="I4724">
        <v>13833</v>
      </c>
      <c r="J4724" s="3">
        <v>9.58</v>
      </c>
      <c r="K4724" s="3">
        <v>132520.14000000001</v>
      </c>
    </row>
    <row r="4725" spans="1:11" x14ac:dyDescent="0.2">
      <c r="A4725" s="1" t="s">
        <v>5843</v>
      </c>
      <c r="B4725" s="2">
        <v>45994</v>
      </c>
      <c r="C4725" s="1" t="s">
        <v>684</v>
      </c>
      <c r="D4725" s="1" t="s">
        <v>685</v>
      </c>
      <c r="E4725" s="1" t="s">
        <v>37</v>
      </c>
      <c r="F4725" s="1" t="s">
        <v>57</v>
      </c>
      <c r="G4725" s="1" t="s">
        <v>58</v>
      </c>
      <c r="H4725" s="1" t="s">
        <v>48</v>
      </c>
      <c r="I4725">
        <v>82268</v>
      </c>
      <c r="J4725" s="3">
        <v>19.64</v>
      </c>
      <c r="K4725" s="3">
        <v>1615743.52</v>
      </c>
    </row>
    <row r="4726" spans="1:11" x14ac:dyDescent="0.2">
      <c r="A4726" s="1" t="s">
        <v>5844</v>
      </c>
      <c r="B4726" s="2">
        <v>45583</v>
      </c>
      <c r="C4726" s="1" t="s">
        <v>211</v>
      </c>
      <c r="D4726" s="1" t="s">
        <v>212</v>
      </c>
      <c r="E4726" s="1" t="s">
        <v>37</v>
      </c>
      <c r="F4726" s="1" t="s">
        <v>139</v>
      </c>
      <c r="G4726" s="1" t="s">
        <v>140</v>
      </c>
      <c r="H4726" s="1" t="s">
        <v>24</v>
      </c>
      <c r="I4726">
        <v>9117</v>
      </c>
      <c r="J4726" s="3">
        <v>4.54</v>
      </c>
      <c r="K4726" s="3">
        <v>41391.18</v>
      </c>
    </row>
    <row r="4727" spans="1:11" x14ac:dyDescent="0.2">
      <c r="A4727" s="1" t="s">
        <v>5845</v>
      </c>
      <c r="B4727" s="2">
        <v>45879</v>
      </c>
      <c r="C4727" s="1" t="s">
        <v>727</v>
      </c>
      <c r="D4727" s="1" t="s">
        <v>728</v>
      </c>
      <c r="E4727" s="1" t="s">
        <v>37</v>
      </c>
      <c r="F4727" s="1" t="s">
        <v>406</v>
      </c>
      <c r="G4727" s="1" t="s">
        <v>407</v>
      </c>
      <c r="H4727" s="1" t="s">
        <v>17</v>
      </c>
      <c r="I4727">
        <v>3822</v>
      </c>
      <c r="J4727" s="3">
        <v>11.34</v>
      </c>
      <c r="K4727" s="3">
        <v>43341.48</v>
      </c>
    </row>
    <row r="4728" spans="1:11" x14ac:dyDescent="0.2">
      <c r="A4728" s="1" t="s">
        <v>5846</v>
      </c>
      <c r="B4728" s="2">
        <v>45886</v>
      </c>
      <c r="C4728" s="1" t="s">
        <v>752</v>
      </c>
      <c r="D4728" s="1" t="s">
        <v>753</v>
      </c>
      <c r="E4728" s="1" t="s">
        <v>34</v>
      </c>
      <c r="F4728" s="1" t="s">
        <v>108</v>
      </c>
      <c r="G4728" s="1" t="s">
        <v>109</v>
      </c>
      <c r="H4728" s="1" t="s">
        <v>37</v>
      </c>
      <c r="I4728">
        <v>68848</v>
      </c>
      <c r="J4728" s="3">
        <v>10.76</v>
      </c>
      <c r="K4728" s="3">
        <v>740804.48</v>
      </c>
    </row>
    <row r="4729" spans="1:11" x14ac:dyDescent="0.2">
      <c r="A4729" s="1" t="s">
        <v>5847</v>
      </c>
      <c r="B4729" s="2">
        <v>45968</v>
      </c>
      <c r="C4729" s="1" t="s">
        <v>2571</v>
      </c>
      <c r="D4729" s="1" t="s">
        <v>2572</v>
      </c>
      <c r="E4729" s="1" t="s">
        <v>34</v>
      </c>
      <c r="F4729" s="1" t="s">
        <v>217</v>
      </c>
      <c r="G4729" s="1" t="s">
        <v>218</v>
      </c>
      <c r="H4729" s="1" t="s">
        <v>72</v>
      </c>
      <c r="I4729">
        <v>23453</v>
      </c>
      <c r="J4729" s="3">
        <v>3.75</v>
      </c>
      <c r="K4729" s="3">
        <v>87948.75</v>
      </c>
    </row>
    <row r="4730" spans="1:11" x14ac:dyDescent="0.2">
      <c r="A4730" s="1" t="s">
        <v>5848</v>
      </c>
      <c r="B4730" s="2">
        <v>45896</v>
      </c>
      <c r="C4730" s="1" t="s">
        <v>759</v>
      </c>
      <c r="D4730" s="1" t="s">
        <v>760</v>
      </c>
      <c r="E4730" s="1" t="s">
        <v>37</v>
      </c>
      <c r="F4730" s="1" t="s">
        <v>324</v>
      </c>
      <c r="G4730" s="1" t="s">
        <v>325</v>
      </c>
      <c r="H4730" s="1" t="s">
        <v>24</v>
      </c>
      <c r="I4730">
        <v>42228</v>
      </c>
      <c r="J4730" s="3">
        <v>23.65</v>
      </c>
      <c r="K4730" s="3">
        <v>998692.2</v>
      </c>
    </row>
    <row r="4731" spans="1:11" x14ac:dyDescent="0.2">
      <c r="A4731" s="1" t="s">
        <v>5849</v>
      </c>
      <c r="B4731" s="2">
        <v>45796</v>
      </c>
      <c r="C4731" s="1" t="s">
        <v>1032</v>
      </c>
      <c r="D4731" s="1" t="s">
        <v>1033</v>
      </c>
      <c r="E4731" s="1" t="s">
        <v>34</v>
      </c>
      <c r="F4731" s="1" t="s">
        <v>339</v>
      </c>
      <c r="G4731" s="1" t="s">
        <v>340</v>
      </c>
      <c r="H4731" s="1" t="s">
        <v>24</v>
      </c>
      <c r="I4731">
        <v>66961</v>
      </c>
      <c r="J4731" s="3">
        <v>17.399999999999999</v>
      </c>
      <c r="K4731" s="3">
        <v>1165121.3999999999</v>
      </c>
    </row>
    <row r="4732" spans="1:11" x14ac:dyDescent="0.2">
      <c r="A4732" s="1" t="s">
        <v>5850</v>
      </c>
      <c r="B4732" s="2">
        <v>45298</v>
      </c>
      <c r="C4732" s="1" t="s">
        <v>2064</v>
      </c>
      <c r="D4732" s="1" t="s">
        <v>2065</v>
      </c>
      <c r="E4732" s="1" t="s">
        <v>14</v>
      </c>
      <c r="F4732" s="1" t="s">
        <v>108</v>
      </c>
      <c r="G4732" s="1" t="s">
        <v>109</v>
      </c>
      <c r="H4732" s="1" t="s">
        <v>37</v>
      </c>
      <c r="I4732">
        <v>77283</v>
      </c>
      <c r="J4732" s="3">
        <v>3.91</v>
      </c>
      <c r="K4732" s="3">
        <v>302176.53000000003</v>
      </c>
    </row>
    <row r="4733" spans="1:11" x14ac:dyDescent="0.2">
      <c r="A4733" s="1" t="s">
        <v>5851</v>
      </c>
      <c r="B4733" s="2">
        <v>45399</v>
      </c>
      <c r="C4733" s="1" t="s">
        <v>1161</v>
      </c>
      <c r="D4733" s="1" t="s">
        <v>1162</v>
      </c>
      <c r="E4733" s="1" t="s">
        <v>21</v>
      </c>
      <c r="F4733" s="1" t="s">
        <v>41</v>
      </c>
      <c r="G4733" s="1" t="s">
        <v>42</v>
      </c>
      <c r="H4733" s="1" t="s">
        <v>24</v>
      </c>
      <c r="I4733">
        <v>95948</v>
      </c>
      <c r="J4733" s="3">
        <v>33.159999999999997</v>
      </c>
      <c r="K4733" s="3">
        <v>3181635.68</v>
      </c>
    </row>
    <row r="4734" spans="1:11" x14ac:dyDescent="0.2">
      <c r="A4734" s="1" t="s">
        <v>5852</v>
      </c>
      <c r="B4734" s="2">
        <v>45488</v>
      </c>
      <c r="C4734" s="1" t="s">
        <v>734</v>
      </c>
      <c r="D4734" s="1" t="s">
        <v>735</v>
      </c>
      <c r="E4734" s="1" t="s">
        <v>28</v>
      </c>
      <c r="F4734" s="1" t="s">
        <v>113</v>
      </c>
      <c r="G4734" s="1" t="s">
        <v>114</v>
      </c>
      <c r="H4734" s="1" t="s">
        <v>37</v>
      </c>
      <c r="I4734">
        <v>4338</v>
      </c>
      <c r="J4734" s="3">
        <v>35.49</v>
      </c>
      <c r="K4734" s="3">
        <v>153955.62</v>
      </c>
    </row>
    <row r="4735" spans="1:11" x14ac:dyDescent="0.2">
      <c r="A4735" s="1" t="s">
        <v>5853</v>
      </c>
      <c r="B4735" s="2">
        <v>45494</v>
      </c>
      <c r="C4735" s="1" t="s">
        <v>890</v>
      </c>
      <c r="D4735" s="1" t="s">
        <v>891</v>
      </c>
      <c r="E4735" s="1" t="s">
        <v>37</v>
      </c>
      <c r="F4735" s="1" t="s">
        <v>176</v>
      </c>
      <c r="G4735" s="1" t="s">
        <v>177</v>
      </c>
      <c r="H4735" s="1" t="s">
        <v>37</v>
      </c>
      <c r="I4735">
        <v>82256</v>
      </c>
      <c r="J4735" s="3">
        <v>46.4</v>
      </c>
      <c r="K4735" s="3">
        <v>3816678.4</v>
      </c>
    </row>
    <row r="4736" spans="1:11" x14ac:dyDescent="0.2">
      <c r="A4736" s="1" t="s">
        <v>5854</v>
      </c>
      <c r="B4736" s="2">
        <v>45512</v>
      </c>
      <c r="C4736" s="1" t="s">
        <v>1789</v>
      </c>
      <c r="D4736" s="1" t="s">
        <v>1790</v>
      </c>
      <c r="E4736" s="1" t="s">
        <v>21</v>
      </c>
      <c r="F4736" s="1" t="s">
        <v>70</v>
      </c>
      <c r="G4736" s="1" t="s">
        <v>71</v>
      </c>
      <c r="H4736" s="1" t="s">
        <v>72</v>
      </c>
      <c r="I4736">
        <v>46025</v>
      </c>
      <c r="J4736" s="3">
        <v>8.44</v>
      </c>
      <c r="K4736" s="3">
        <v>388451</v>
      </c>
    </row>
    <row r="4737" spans="1:11" x14ac:dyDescent="0.2">
      <c r="A4737" s="1" t="s">
        <v>5855</v>
      </c>
      <c r="B4737" s="2">
        <v>45428</v>
      </c>
      <c r="C4737" s="1" t="s">
        <v>371</v>
      </c>
      <c r="D4737" s="1" t="s">
        <v>372</v>
      </c>
      <c r="E4737" s="1" t="s">
        <v>14</v>
      </c>
      <c r="F4737" s="1" t="s">
        <v>203</v>
      </c>
      <c r="G4737" s="1" t="s">
        <v>204</v>
      </c>
      <c r="H4737" s="1" t="s">
        <v>72</v>
      </c>
      <c r="I4737">
        <v>44426</v>
      </c>
      <c r="J4737" s="3">
        <v>12.22</v>
      </c>
      <c r="K4737" s="3">
        <v>542885.72</v>
      </c>
    </row>
    <row r="4738" spans="1:11" x14ac:dyDescent="0.2">
      <c r="A4738" s="1" t="s">
        <v>5856</v>
      </c>
      <c r="B4738" s="2">
        <v>45316</v>
      </c>
      <c r="C4738" s="1" t="s">
        <v>182</v>
      </c>
      <c r="D4738" s="1" t="s">
        <v>183</v>
      </c>
      <c r="E4738" s="1" t="s">
        <v>14</v>
      </c>
      <c r="F4738" s="1" t="s">
        <v>81</v>
      </c>
      <c r="G4738" s="1" t="s">
        <v>82</v>
      </c>
      <c r="H4738" s="1" t="s">
        <v>72</v>
      </c>
      <c r="I4738">
        <v>70245</v>
      </c>
      <c r="J4738" s="3">
        <v>20.399999999999999</v>
      </c>
      <c r="K4738" s="3">
        <v>1432998</v>
      </c>
    </row>
    <row r="4739" spans="1:11" x14ac:dyDescent="0.2">
      <c r="A4739" s="1" t="s">
        <v>5857</v>
      </c>
      <c r="B4739" s="2">
        <v>45677</v>
      </c>
      <c r="C4739" s="1" t="s">
        <v>266</v>
      </c>
      <c r="D4739" s="1" t="s">
        <v>267</v>
      </c>
      <c r="E4739" s="1" t="s">
        <v>14</v>
      </c>
      <c r="F4739" s="1" t="s">
        <v>350</v>
      </c>
      <c r="G4739" s="1" t="s">
        <v>351</v>
      </c>
      <c r="H4739" s="1" t="s">
        <v>37</v>
      </c>
      <c r="I4739">
        <v>54275</v>
      </c>
      <c r="J4739" s="3">
        <v>36.159999999999997</v>
      </c>
      <c r="K4739" s="3">
        <v>1962584</v>
      </c>
    </row>
    <row r="4740" spans="1:11" x14ac:dyDescent="0.2">
      <c r="A4740" s="1" t="s">
        <v>5858</v>
      </c>
      <c r="B4740" s="2">
        <v>45474</v>
      </c>
      <c r="C4740" s="1" t="s">
        <v>291</v>
      </c>
      <c r="D4740" s="1" t="s">
        <v>292</v>
      </c>
      <c r="E4740" s="1" t="s">
        <v>14</v>
      </c>
      <c r="F4740" s="1" t="s">
        <v>330</v>
      </c>
      <c r="G4740" s="1" t="s">
        <v>331</v>
      </c>
      <c r="H4740" s="1" t="s">
        <v>72</v>
      </c>
      <c r="I4740">
        <v>40966</v>
      </c>
      <c r="J4740" s="3">
        <v>24.72</v>
      </c>
      <c r="K4740" s="3">
        <v>1012679.52</v>
      </c>
    </row>
    <row r="4741" spans="1:11" x14ac:dyDescent="0.2">
      <c r="A4741" s="1" t="s">
        <v>5859</v>
      </c>
      <c r="B4741" s="2">
        <v>45501</v>
      </c>
      <c r="C4741" s="1" t="s">
        <v>12</v>
      </c>
      <c r="D4741" s="1" t="s">
        <v>13</v>
      </c>
      <c r="E4741" s="1" t="s">
        <v>14</v>
      </c>
      <c r="F4741" s="1" t="s">
        <v>474</v>
      </c>
      <c r="G4741" s="1" t="s">
        <v>475</v>
      </c>
      <c r="H4741" s="1" t="s">
        <v>48</v>
      </c>
      <c r="I4741">
        <v>67734</v>
      </c>
      <c r="J4741" s="3">
        <v>25.62</v>
      </c>
      <c r="K4741" s="3">
        <v>1735345.08</v>
      </c>
    </row>
    <row r="4742" spans="1:11" x14ac:dyDescent="0.2">
      <c r="A4742" s="1" t="s">
        <v>5860</v>
      </c>
      <c r="B4742" s="2">
        <v>45878</v>
      </c>
      <c r="C4742" s="1" t="s">
        <v>1761</v>
      </c>
      <c r="D4742" s="1" t="s">
        <v>1762</v>
      </c>
      <c r="E4742" s="1" t="s">
        <v>14</v>
      </c>
      <c r="F4742" s="1" t="s">
        <v>458</v>
      </c>
      <c r="G4742" s="1" t="s">
        <v>459</v>
      </c>
      <c r="H4742" s="1" t="s">
        <v>72</v>
      </c>
      <c r="I4742">
        <v>52277</v>
      </c>
      <c r="J4742" s="3">
        <v>4.17</v>
      </c>
      <c r="K4742" s="3">
        <v>217995.09</v>
      </c>
    </row>
    <row r="4743" spans="1:11" x14ac:dyDescent="0.2">
      <c r="A4743" s="1" t="s">
        <v>5861</v>
      </c>
      <c r="B4743" s="2">
        <v>45785</v>
      </c>
      <c r="C4743" s="1" t="s">
        <v>111</v>
      </c>
      <c r="D4743" s="1" t="s">
        <v>112</v>
      </c>
      <c r="E4743" s="1" t="s">
        <v>14</v>
      </c>
      <c r="F4743" s="1" t="s">
        <v>22</v>
      </c>
      <c r="G4743" s="1" t="s">
        <v>23</v>
      </c>
      <c r="H4743" s="1" t="s">
        <v>24</v>
      </c>
      <c r="I4743">
        <v>13680</v>
      </c>
      <c r="J4743" s="3">
        <v>14.06</v>
      </c>
      <c r="K4743" s="3">
        <v>192340.8</v>
      </c>
    </row>
    <row r="4744" spans="1:11" x14ac:dyDescent="0.2">
      <c r="A4744" s="1" t="s">
        <v>5862</v>
      </c>
      <c r="B4744" s="2">
        <v>45322</v>
      </c>
      <c r="C4744" s="1" t="s">
        <v>313</v>
      </c>
      <c r="D4744" s="1" t="s">
        <v>314</v>
      </c>
      <c r="E4744" s="1" t="s">
        <v>37</v>
      </c>
      <c r="F4744" s="1" t="s">
        <v>165</v>
      </c>
      <c r="G4744" s="1" t="s">
        <v>166</v>
      </c>
      <c r="H4744" s="1" t="s">
        <v>24</v>
      </c>
      <c r="I4744">
        <v>56361</v>
      </c>
      <c r="J4744" s="3">
        <v>37.74</v>
      </c>
      <c r="K4744" s="3">
        <v>2127064.14</v>
      </c>
    </row>
    <row r="4745" spans="1:11" x14ac:dyDescent="0.2">
      <c r="A4745" s="1" t="s">
        <v>5863</v>
      </c>
      <c r="B4745" s="2">
        <v>45679</v>
      </c>
      <c r="C4745" s="1" t="s">
        <v>461</v>
      </c>
      <c r="D4745" s="1" t="s">
        <v>462</v>
      </c>
      <c r="E4745" s="1" t="s">
        <v>28</v>
      </c>
      <c r="F4745" s="1" t="s">
        <v>208</v>
      </c>
      <c r="G4745" s="1" t="s">
        <v>209</v>
      </c>
      <c r="H4745" s="1" t="s">
        <v>17</v>
      </c>
      <c r="I4745">
        <v>58842</v>
      </c>
      <c r="J4745" s="3">
        <v>44.68</v>
      </c>
      <c r="K4745" s="3">
        <v>2629060.56</v>
      </c>
    </row>
    <row r="4746" spans="1:11" x14ac:dyDescent="0.2">
      <c r="A4746" s="1" t="s">
        <v>5864</v>
      </c>
      <c r="B4746" s="2">
        <v>45948</v>
      </c>
      <c r="C4746" s="1" t="s">
        <v>979</v>
      </c>
      <c r="D4746" s="1" t="s">
        <v>980</v>
      </c>
      <c r="E4746" s="1" t="s">
        <v>37</v>
      </c>
      <c r="F4746" s="1" t="s">
        <v>510</v>
      </c>
      <c r="G4746" s="1" t="s">
        <v>511</v>
      </c>
      <c r="H4746" s="1" t="s">
        <v>17</v>
      </c>
      <c r="I4746">
        <v>92461</v>
      </c>
      <c r="J4746" s="3">
        <v>12.87</v>
      </c>
      <c r="K4746" s="3">
        <v>1189973.07</v>
      </c>
    </row>
    <row r="4747" spans="1:11" x14ac:dyDescent="0.2">
      <c r="A4747" s="1" t="s">
        <v>5865</v>
      </c>
      <c r="B4747" s="2">
        <v>45305</v>
      </c>
      <c r="C4747" s="1" t="s">
        <v>2766</v>
      </c>
      <c r="D4747" s="1" t="s">
        <v>2767</v>
      </c>
      <c r="E4747" s="1" t="s">
        <v>37</v>
      </c>
      <c r="F4747" s="1" t="s">
        <v>184</v>
      </c>
      <c r="G4747" s="1" t="s">
        <v>185</v>
      </c>
      <c r="H4747" s="1" t="s">
        <v>17</v>
      </c>
      <c r="I4747">
        <v>87705</v>
      </c>
      <c r="J4747" s="3">
        <v>37.799999999999997</v>
      </c>
      <c r="K4747" s="3">
        <v>3315249</v>
      </c>
    </row>
    <row r="4748" spans="1:11" x14ac:dyDescent="0.2">
      <c r="A4748" s="1" t="s">
        <v>5866</v>
      </c>
      <c r="B4748" s="2">
        <v>45802</v>
      </c>
      <c r="C4748" s="1" t="s">
        <v>969</v>
      </c>
      <c r="D4748" s="1" t="s">
        <v>970</v>
      </c>
      <c r="E4748" s="1" t="s">
        <v>37</v>
      </c>
      <c r="F4748" s="1" t="s">
        <v>412</v>
      </c>
      <c r="G4748" s="1" t="s">
        <v>413</v>
      </c>
      <c r="H4748" s="1" t="s">
        <v>72</v>
      </c>
      <c r="I4748">
        <v>38806</v>
      </c>
      <c r="J4748" s="3">
        <v>14.86</v>
      </c>
      <c r="K4748" s="3">
        <v>576657.16</v>
      </c>
    </row>
    <row r="4749" spans="1:11" x14ac:dyDescent="0.2">
      <c r="A4749" s="1" t="s">
        <v>5867</v>
      </c>
      <c r="B4749" s="2">
        <v>45664</v>
      </c>
      <c r="C4749" s="1" t="s">
        <v>529</v>
      </c>
      <c r="D4749" s="1" t="s">
        <v>530</v>
      </c>
      <c r="E4749" s="1" t="s">
        <v>34</v>
      </c>
      <c r="F4749" s="1" t="s">
        <v>189</v>
      </c>
      <c r="G4749" s="1" t="s">
        <v>190</v>
      </c>
      <c r="H4749" s="1" t="s">
        <v>17</v>
      </c>
      <c r="I4749">
        <v>68314</v>
      </c>
      <c r="J4749" s="3">
        <v>41.2</v>
      </c>
      <c r="K4749" s="3">
        <v>2814536.8</v>
      </c>
    </row>
    <row r="4750" spans="1:11" x14ac:dyDescent="0.2">
      <c r="A4750" s="1" t="s">
        <v>5868</v>
      </c>
      <c r="B4750" s="2">
        <v>45594</v>
      </c>
      <c r="C4750" s="1" t="s">
        <v>1761</v>
      </c>
      <c r="D4750" s="1" t="s">
        <v>1762</v>
      </c>
      <c r="E4750" s="1" t="s">
        <v>14</v>
      </c>
      <c r="F4750" s="1" t="s">
        <v>761</v>
      </c>
      <c r="G4750" s="1" t="s">
        <v>762</v>
      </c>
      <c r="H4750" s="1" t="s">
        <v>48</v>
      </c>
      <c r="I4750">
        <v>34204</v>
      </c>
      <c r="J4750" s="3">
        <v>45.21</v>
      </c>
      <c r="K4750" s="3">
        <v>1546362.84</v>
      </c>
    </row>
    <row r="4751" spans="1:11" x14ac:dyDescent="0.2">
      <c r="A4751" s="1" t="s">
        <v>5869</v>
      </c>
      <c r="B4751" s="2">
        <v>45876</v>
      </c>
      <c r="C4751" s="1" t="s">
        <v>984</v>
      </c>
      <c r="D4751" s="1" t="s">
        <v>985</v>
      </c>
      <c r="E4751" s="1" t="s">
        <v>14</v>
      </c>
      <c r="F4751" s="1" t="s">
        <v>165</v>
      </c>
      <c r="G4751" s="1" t="s">
        <v>166</v>
      </c>
      <c r="H4751" s="1" t="s">
        <v>24</v>
      </c>
      <c r="I4751">
        <v>69036</v>
      </c>
      <c r="J4751" s="3">
        <v>38.86</v>
      </c>
      <c r="K4751" s="3">
        <v>2682738.96</v>
      </c>
    </row>
    <row r="4752" spans="1:11" x14ac:dyDescent="0.2">
      <c r="A4752" s="1" t="s">
        <v>5870</v>
      </c>
      <c r="B4752" s="2">
        <v>45772</v>
      </c>
      <c r="C4752" s="1" t="s">
        <v>877</v>
      </c>
      <c r="D4752" s="1" t="s">
        <v>878</v>
      </c>
      <c r="E4752" s="1" t="s">
        <v>37</v>
      </c>
      <c r="F4752" s="1" t="s">
        <v>113</v>
      </c>
      <c r="G4752" s="1" t="s">
        <v>114</v>
      </c>
      <c r="H4752" s="1" t="s">
        <v>37</v>
      </c>
      <c r="I4752">
        <v>18869</v>
      </c>
      <c r="J4752" s="3">
        <v>16.690000000000001</v>
      </c>
      <c r="K4752" s="3">
        <v>314923.61</v>
      </c>
    </row>
    <row r="4753" spans="1:11" x14ac:dyDescent="0.2">
      <c r="A4753" s="1" t="s">
        <v>5871</v>
      </c>
      <c r="B4753" s="2">
        <v>45962</v>
      </c>
      <c r="C4753" s="1" t="s">
        <v>570</v>
      </c>
      <c r="D4753" s="1" t="s">
        <v>571</v>
      </c>
      <c r="E4753" s="1" t="s">
        <v>28</v>
      </c>
      <c r="F4753" s="1" t="s">
        <v>394</v>
      </c>
      <c r="G4753" s="1" t="s">
        <v>395</v>
      </c>
      <c r="H4753" s="1" t="s">
        <v>48</v>
      </c>
      <c r="I4753">
        <v>52524</v>
      </c>
      <c r="J4753" s="3">
        <v>16.64</v>
      </c>
      <c r="K4753" s="3">
        <v>873999.35999999999</v>
      </c>
    </row>
    <row r="4754" spans="1:11" x14ac:dyDescent="0.2">
      <c r="A4754" s="1" t="s">
        <v>5872</v>
      </c>
      <c r="B4754" s="2">
        <v>45957</v>
      </c>
      <c r="C4754" s="1" t="s">
        <v>593</v>
      </c>
      <c r="D4754" s="1" t="s">
        <v>594</v>
      </c>
      <c r="E4754" s="1" t="s">
        <v>37</v>
      </c>
      <c r="F4754" s="1" t="s">
        <v>144</v>
      </c>
      <c r="G4754" s="1" t="s">
        <v>145</v>
      </c>
      <c r="H4754" s="1" t="s">
        <v>24</v>
      </c>
      <c r="I4754">
        <v>87041</v>
      </c>
      <c r="J4754" s="3">
        <v>11.3</v>
      </c>
      <c r="K4754" s="3">
        <v>983563.3</v>
      </c>
    </row>
    <row r="4755" spans="1:11" x14ac:dyDescent="0.2">
      <c r="A4755" s="1" t="s">
        <v>5873</v>
      </c>
      <c r="B4755" s="2">
        <v>45466</v>
      </c>
      <c r="C4755" s="1" t="s">
        <v>431</v>
      </c>
      <c r="D4755" s="1" t="s">
        <v>432</v>
      </c>
      <c r="E4755" s="1" t="s">
        <v>14</v>
      </c>
      <c r="F4755" s="1" t="s">
        <v>144</v>
      </c>
      <c r="G4755" s="1" t="s">
        <v>145</v>
      </c>
      <c r="H4755" s="1" t="s">
        <v>24</v>
      </c>
      <c r="I4755">
        <v>4669</v>
      </c>
      <c r="J4755" s="3">
        <v>20.09</v>
      </c>
      <c r="K4755" s="3">
        <v>93800.21</v>
      </c>
    </row>
    <row r="4756" spans="1:11" x14ac:dyDescent="0.2">
      <c r="A4756" s="1" t="s">
        <v>5874</v>
      </c>
      <c r="B4756" s="2">
        <v>45751</v>
      </c>
      <c r="C4756" s="1" t="s">
        <v>400</v>
      </c>
      <c r="D4756" s="1" t="s">
        <v>401</v>
      </c>
      <c r="E4756" s="1" t="s">
        <v>21</v>
      </c>
      <c r="F4756" s="1" t="s">
        <v>350</v>
      </c>
      <c r="G4756" s="1" t="s">
        <v>351</v>
      </c>
      <c r="H4756" s="1" t="s">
        <v>37</v>
      </c>
      <c r="I4756">
        <v>44183</v>
      </c>
      <c r="J4756" s="3">
        <v>26.57</v>
      </c>
      <c r="K4756" s="3">
        <v>1173942.31</v>
      </c>
    </row>
    <row r="4757" spans="1:11" x14ac:dyDescent="0.2">
      <c r="A4757" s="1" t="s">
        <v>5875</v>
      </c>
      <c r="B4757" s="2">
        <v>45307</v>
      </c>
      <c r="C4757" s="1" t="s">
        <v>1891</v>
      </c>
      <c r="D4757" s="1" t="s">
        <v>1892</v>
      </c>
      <c r="E4757" s="1" t="s">
        <v>14</v>
      </c>
      <c r="F4757" s="1" t="s">
        <v>273</v>
      </c>
      <c r="G4757" s="1" t="s">
        <v>274</v>
      </c>
      <c r="H4757" s="1" t="s">
        <v>24</v>
      </c>
      <c r="I4757">
        <v>50497</v>
      </c>
      <c r="J4757" s="3">
        <v>37.200000000000003</v>
      </c>
      <c r="K4757" s="3">
        <v>1878488.4</v>
      </c>
    </row>
    <row r="4758" spans="1:11" x14ac:dyDescent="0.2">
      <c r="A4758" s="1" t="s">
        <v>5876</v>
      </c>
      <c r="B4758" s="2">
        <v>45680</v>
      </c>
      <c r="C4758" s="1" t="s">
        <v>752</v>
      </c>
      <c r="D4758" s="1" t="s">
        <v>753</v>
      </c>
      <c r="E4758" s="1" t="s">
        <v>34</v>
      </c>
      <c r="F4758" s="1" t="s">
        <v>284</v>
      </c>
      <c r="G4758" s="1" t="s">
        <v>285</v>
      </c>
      <c r="H4758" s="1" t="s">
        <v>37</v>
      </c>
      <c r="I4758">
        <v>25783</v>
      </c>
      <c r="J4758" s="3">
        <v>31.12</v>
      </c>
      <c r="K4758" s="3">
        <v>802366.96</v>
      </c>
    </row>
    <row r="4759" spans="1:11" x14ac:dyDescent="0.2">
      <c r="A4759" s="1" t="s">
        <v>5877</v>
      </c>
      <c r="B4759" s="2">
        <v>45577</v>
      </c>
      <c r="C4759" s="1" t="s">
        <v>1483</v>
      </c>
      <c r="D4759" s="1" t="s">
        <v>1484</v>
      </c>
      <c r="E4759" s="1" t="s">
        <v>21</v>
      </c>
      <c r="F4759" s="1" t="s">
        <v>65</v>
      </c>
      <c r="G4759" s="1" t="s">
        <v>66</v>
      </c>
      <c r="H4759" s="1" t="s">
        <v>48</v>
      </c>
      <c r="I4759">
        <v>62251</v>
      </c>
      <c r="J4759" s="3">
        <v>5.42</v>
      </c>
      <c r="K4759" s="3">
        <v>337400.42</v>
      </c>
    </row>
    <row r="4760" spans="1:11" x14ac:dyDescent="0.2">
      <c r="A4760" s="1" t="s">
        <v>5878</v>
      </c>
      <c r="B4760" s="2">
        <v>45806</v>
      </c>
      <c r="C4760" s="1" t="s">
        <v>791</v>
      </c>
      <c r="D4760" s="1" t="s">
        <v>792</v>
      </c>
      <c r="E4760" s="1" t="s">
        <v>34</v>
      </c>
      <c r="F4760" s="1" t="s">
        <v>103</v>
      </c>
      <c r="G4760" s="1" t="s">
        <v>104</v>
      </c>
      <c r="H4760" s="1" t="s">
        <v>37</v>
      </c>
      <c r="I4760">
        <v>61004</v>
      </c>
      <c r="J4760" s="3">
        <v>36.130000000000003</v>
      </c>
      <c r="K4760" s="3">
        <v>2204074.52</v>
      </c>
    </row>
    <row r="4761" spans="1:11" x14ac:dyDescent="0.2">
      <c r="A4761" s="1" t="s">
        <v>5879</v>
      </c>
      <c r="B4761" s="2">
        <v>45828</v>
      </c>
      <c r="C4761" s="1" t="s">
        <v>1701</v>
      </c>
      <c r="D4761" s="1" t="s">
        <v>1702</v>
      </c>
      <c r="E4761" s="1" t="s">
        <v>34</v>
      </c>
      <c r="F4761" s="1" t="s">
        <v>406</v>
      </c>
      <c r="G4761" s="1" t="s">
        <v>407</v>
      </c>
      <c r="H4761" s="1" t="s">
        <v>17</v>
      </c>
      <c r="I4761">
        <v>6223</v>
      </c>
      <c r="J4761" s="3">
        <v>33.979999999999997</v>
      </c>
      <c r="K4761" s="3">
        <v>211457.54</v>
      </c>
    </row>
    <row r="4762" spans="1:11" x14ac:dyDescent="0.2">
      <c r="A4762" s="1" t="s">
        <v>5880</v>
      </c>
      <c r="B4762" s="2">
        <v>45606</v>
      </c>
      <c r="C4762" s="1" t="s">
        <v>68</v>
      </c>
      <c r="D4762" s="1" t="s">
        <v>69</v>
      </c>
      <c r="E4762" s="1" t="s">
        <v>14</v>
      </c>
      <c r="F4762" s="1" t="s">
        <v>394</v>
      </c>
      <c r="G4762" s="1" t="s">
        <v>395</v>
      </c>
      <c r="H4762" s="1" t="s">
        <v>48</v>
      </c>
      <c r="I4762">
        <v>21794</v>
      </c>
      <c r="J4762" s="3">
        <v>36.729999999999997</v>
      </c>
      <c r="K4762" s="3">
        <v>800493.62</v>
      </c>
    </row>
    <row r="4763" spans="1:11" x14ac:dyDescent="0.2">
      <c r="A4763" s="1" t="s">
        <v>5881</v>
      </c>
      <c r="B4763" s="2">
        <v>45476</v>
      </c>
      <c r="C4763" s="1" t="s">
        <v>587</v>
      </c>
      <c r="D4763" s="1" t="s">
        <v>588</v>
      </c>
      <c r="E4763" s="1" t="s">
        <v>21</v>
      </c>
      <c r="F4763" s="1" t="s">
        <v>251</v>
      </c>
      <c r="G4763" s="1" t="s">
        <v>252</v>
      </c>
      <c r="H4763" s="1" t="s">
        <v>72</v>
      </c>
      <c r="I4763">
        <v>72467</v>
      </c>
      <c r="J4763" s="3">
        <v>39.869999999999997</v>
      </c>
      <c r="K4763" s="3">
        <v>2889259.29</v>
      </c>
    </row>
    <row r="4764" spans="1:11" x14ac:dyDescent="0.2">
      <c r="A4764" s="1" t="s">
        <v>5882</v>
      </c>
      <c r="B4764" s="2">
        <v>45384</v>
      </c>
      <c r="C4764" s="1" t="s">
        <v>1073</v>
      </c>
      <c r="D4764" s="1" t="s">
        <v>1074</v>
      </c>
      <c r="E4764" s="1" t="s">
        <v>34</v>
      </c>
      <c r="F4764" s="1" t="s">
        <v>176</v>
      </c>
      <c r="G4764" s="1" t="s">
        <v>177</v>
      </c>
      <c r="H4764" s="1" t="s">
        <v>37</v>
      </c>
      <c r="I4764">
        <v>53396</v>
      </c>
      <c r="J4764" s="3">
        <v>47.74</v>
      </c>
      <c r="K4764" s="3">
        <v>2549125.04</v>
      </c>
    </row>
    <row r="4765" spans="1:11" x14ac:dyDescent="0.2">
      <c r="A4765" s="1" t="s">
        <v>5883</v>
      </c>
      <c r="B4765" s="2">
        <v>45712</v>
      </c>
      <c r="C4765" s="1" t="s">
        <v>1535</v>
      </c>
      <c r="D4765" s="1" t="s">
        <v>1536</v>
      </c>
      <c r="E4765" s="1" t="s">
        <v>21</v>
      </c>
      <c r="F4765" s="1" t="s">
        <v>184</v>
      </c>
      <c r="G4765" s="1" t="s">
        <v>185</v>
      </c>
      <c r="H4765" s="1" t="s">
        <v>17</v>
      </c>
      <c r="I4765">
        <v>4100</v>
      </c>
      <c r="J4765" s="3">
        <v>45.44</v>
      </c>
      <c r="K4765" s="3">
        <v>186304</v>
      </c>
    </row>
    <row r="4766" spans="1:11" x14ac:dyDescent="0.2">
      <c r="A4766" s="1" t="s">
        <v>5884</v>
      </c>
      <c r="B4766" s="2">
        <v>45370</v>
      </c>
      <c r="C4766" s="1" t="s">
        <v>801</v>
      </c>
      <c r="D4766" s="1" t="s">
        <v>802</v>
      </c>
      <c r="E4766" s="1" t="s">
        <v>14</v>
      </c>
      <c r="F4766" s="1" t="s">
        <v>330</v>
      </c>
      <c r="G4766" s="1" t="s">
        <v>331</v>
      </c>
      <c r="H4766" s="1" t="s">
        <v>72</v>
      </c>
      <c r="I4766">
        <v>9759</v>
      </c>
      <c r="J4766" s="3">
        <v>26.19</v>
      </c>
      <c r="K4766" s="3">
        <v>255588.21</v>
      </c>
    </row>
    <row r="4767" spans="1:11" x14ac:dyDescent="0.2">
      <c r="A4767" s="1" t="s">
        <v>5885</v>
      </c>
      <c r="B4767" s="2">
        <v>45553</v>
      </c>
      <c r="C4767" s="1" t="s">
        <v>1643</v>
      </c>
      <c r="D4767" s="1" t="s">
        <v>1644</v>
      </c>
      <c r="E4767" s="1" t="s">
        <v>28</v>
      </c>
      <c r="F4767" s="1" t="s">
        <v>324</v>
      </c>
      <c r="G4767" s="1" t="s">
        <v>325</v>
      </c>
      <c r="H4767" s="1" t="s">
        <v>24</v>
      </c>
      <c r="I4767">
        <v>25717</v>
      </c>
      <c r="J4767" s="3">
        <v>16.28</v>
      </c>
      <c r="K4767" s="3">
        <v>418672.76</v>
      </c>
    </row>
    <row r="4768" spans="1:11" x14ac:dyDescent="0.2">
      <c r="A4768" s="1" t="s">
        <v>5886</v>
      </c>
      <c r="B4768" s="2">
        <v>45469</v>
      </c>
      <c r="C4768" s="1" t="s">
        <v>495</v>
      </c>
      <c r="D4768" s="1" t="s">
        <v>496</v>
      </c>
      <c r="E4768" s="1" t="s">
        <v>37</v>
      </c>
      <c r="F4768" s="1" t="s">
        <v>339</v>
      </c>
      <c r="G4768" s="1" t="s">
        <v>340</v>
      </c>
      <c r="H4768" s="1" t="s">
        <v>24</v>
      </c>
      <c r="I4768">
        <v>83126</v>
      </c>
      <c r="J4768" s="3">
        <v>28.96</v>
      </c>
      <c r="K4768" s="3">
        <v>2407328.96</v>
      </c>
    </row>
    <row r="4769" spans="1:11" x14ac:dyDescent="0.2">
      <c r="A4769" s="1" t="s">
        <v>5887</v>
      </c>
      <c r="B4769" s="2">
        <v>45875</v>
      </c>
      <c r="C4769" s="1" t="s">
        <v>2481</v>
      </c>
      <c r="D4769" s="1" t="s">
        <v>2482</v>
      </c>
      <c r="E4769" s="1" t="s">
        <v>21</v>
      </c>
      <c r="F4769" s="1" t="s">
        <v>108</v>
      </c>
      <c r="G4769" s="1" t="s">
        <v>109</v>
      </c>
      <c r="H4769" s="1" t="s">
        <v>37</v>
      </c>
      <c r="I4769">
        <v>32548</v>
      </c>
      <c r="J4769" s="3">
        <v>47.62</v>
      </c>
      <c r="K4769" s="3">
        <v>1549935.76</v>
      </c>
    </row>
    <row r="4770" spans="1:11" x14ac:dyDescent="0.2">
      <c r="A4770" s="1" t="s">
        <v>5888</v>
      </c>
      <c r="B4770" s="2">
        <v>45816</v>
      </c>
      <c r="C4770" s="1" t="s">
        <v>1708</v>
      </c>
      <c r="D4770" s="1" t="s">
        <v>1709</v>
      </c>
      <c r="E4770" s="1" t="s">
        <v>14</v>
      </c>
      <c r="F4770" s="1" t="s">
        <v>761</v>
      </c>
      <c r="G4770" s="1" t="s">
        <v>762</v>
      </c>
      <c r="H4770" s="1" t="s">
        <v>48</v>
      </c>
      <c r="I4770">
        <v>51536</v>
      </c>
      <c r="J4770" s="3">
        <v>21.02</v>
      </c>
      <c r="K4770" s="3">
        <v>1083286.72</v>
      </c>
    </row>
    <row r="4771" spans="1:11" x14ac:dyDescent="0.2">
      <c r="A4771" s="1" t="s">
        <v>5889</v>
      </c>
      <c r="B4771" s="2">
        <v>45743</v>
      </c>
      <c r="C4771" s="1" t="s">
        <v>353</v>
      </c>
      <c r="D4771" s="1" t="s">
        <v>354</v>
      </c>
      <c r="E4771" s="1" t="s">
        <v>14</v>
      </c>
      <c r="F4771" s="1" t="s">
        <v>324</v>
      </c>
      <c r="G4771" s="1" t="s">
        <v>325</v>
      </c>
      <c r="H4771" s="1" t="s">
        <v>24</v>
      </c>
      <c r="I4771">
        <v>57653</v>
      </c>
      <c r="J4771" s="3">
        <v>49.22</v>
      </c>
      <c r="K4771" s="3">
        <v>2837680.66</v>
      </c>
    </row>
    <row r="4772" spans="1:11" x14ac:dyDescent="0.2">
      <c r="A4772" s="1" t="s">
        <v>5890</v>
      </c>
      <c r="B4772" s="2">
        <v>45549</v>
      </c>
      <c r="C4772" s="1" t="s">
        <v>32</v>
      </c>
      <c r="D4772" s="1" t="s">
        <v>33</v>
      </c>
      <c r="E4772" s="1" t="s">
        <v>34</v>
      </c>
      <c r="F4772" s="1" t="s">
        <v>157</v>
      </c>
      <c r="G4772" s="1" t="s">
        <v>158</v>
      </c>
      <c r="H4772" s="1" t="s">
        <v>48</v>
      </c>
      <c r="I4772">
        <v>93472</v>
      </c>
      <c r="J4772" s="3">
        <v>22.07</v>
      </c>
      <c r="K4772" s="3">
        <v>2062927.04</v>
      </c>
    </row>
    <row r="4773" spans="1:11" x14ac:dyDescent="0.2">
      <c r="A4773" s="1" t="s">
        <v>5891</v>
      </c>
      <c r="B4773" s="2">
        <v>45362</v>
      </c>
      <c r="C4773" s="1" t="s">
        <v>1092</v>
      </c>
      <c r="D4773" s="1" t="s">
        <v>1093</v>
      </c>
      <c r="E4773" s="1" t="s">
        <v>34</v>
      </c>
      <c r="F4773" s="1" t="s">
        <v>165</v>
      </c>
      <c r="G4773" s="1" t="s">
        <v>166</v>
      </c>
      <c r="H4773" s="1" t="s">
        <v>24</v>
      </c>
      <c r="I4773">
        <v>97459</v>
      </c>
      <c r="J4773" s="3">
        <v>46.37</v>
      </c>
      <c r="K4773" s="3">
        <v>4519173.83</v>
      </c>
    </row>
    <row r="4774" spans="1:11" x14ac:dyDescent="0.2">
      <c r="A4774" s="1" t="s">
        <v>5892</v>
      </c>
      <c r="B4774" s="2">
        <v>45358</v>
      </c>
      <c r="C4774" s="1" t="s">
        <v>2314</v>
      </c>
      <c r="D4774" s="1" t="s">
        <v>2315</v>
      </c>
      <c r="E4774" s="1" t="s">
        <v>21</v>
      </c>
      <c r="F4774" s="1" t="s">
        <v>263</v>
      </c>
      <c r="G4774" s="1" t="s">
        <v>264</v>
      </c>
      <c r="H4774" s="1" t="s">
        <v>17</v>
      </c>
      <c r="I4774">
        <v>87648</v>
      </c>
      <c r="J4774" s="3">
        <v>14.32</v>
      </c>
      <c r="K4774" s="3">
        <v>1255119.3600000001</v>
      </c>
    </row>
    <row r="4775" spans="1:11" x14ac:dyDescent="0.2">
      <c r="A4775" s="1" t="s">
        <v>5893</v>
      </c>
      <c r="B4775" s="2">
        <v>45858</v>
      </c>
      <c r="C4775" s="1" t="s">
        <v>798</v>
      </c>
      <c r="D4775" s="1" t="s">
        <v>799</v>
      </c>
      <c r="E4775" s="1" t="s">
        <v>34</v>
      </c>
      <c r="F4775" s="1" t="s">
        <v>113</v>
      </c>
      <c r="G4775" s="1" t="s">
        <v>114</v>
      </c>
      <c r="H4775" s="1" t="s">
        <v>37</v>
      </c>
      <c r="I4775">
        <v>18009</v>
      </c>
      <c r="J4775" s="3">
        <v>44.14</v>
      </c>
      <c r="K4775" s="3">
        <v>794917.26</v>
      </c>
    </row>
    <row r="4776" spans="1:11" x14ac:dyDescent="0.2">
      <c r="A4776" s="1" t="s">
        <v>5894</v>
      </c>
      <c r="B4776" s="2">
        <v>45328</v>
      </c>
      <c r="C4776" s="1" t="s">
        <v>617</v>
      </c>
      <c r="D4776" s="1" t="s">
        <v>618</v>
      </c>
      <c r="E4776" s="1" t="s">
        <v>37</v>
      </c>
      <c r="F4776" s="1" t="s">
        <v>22</v>
      </c>
      <c r="G4776" s="1" t="s">
        <v>23</v>
      </c>
      <c r="H4776" s="1" t="s">
        <v>24</v>
      </c>
      <c r="I4776">
        <v>58079</v>
      </c>
      <c r="J4776" s="3">
        <v>37.58</v>
      </c>
      <c r="K4776" s="3">
        <v>2182608.8199999998</v>
      </c>
    </row>
    <row r="4777" spans="1:11" x14ac:dyDescent="0.2">
      <c r="A4777" s="1" t="s">
        <v>5895</v>
      </c>
      <c r="B4777" s="2">
        <v>45849</v>
      </c>
      <c r="C4777" s="1" t="s">
        <v>734</v>
      </c>
      <c r="D4777" s="1" t="s">
        <v>735</v>
      </c>
      <c r="E4777" s="1" t="s">
        <v>28</v>
      </c>
      <c r="F4777" s="1" t="s">
        <v>52</v>
      </c>
      <c r="G4777" s="1" t="s">
        <v>53</v>
      </c>
      <c r="H4777" s="1" t="s">
        <v>17</v>
      </c>
      <c r="I4777">
        <v>53989</v>
      </c>
      <c r="J4777" s="3">
        <v>17.739999999999998</v>
      </c>
      <c r="K4777" s="3">
        <v>957764.86</v>
      </c>
    </row>
    <row r="4778" spans="1:11" x14ac:dyDescent="0.2">
      <c r="A4778" s="1" t="s">
        <v>5896</v>
      </c>
      <c r="B4778" s="2">
        <v>45946</v>
      </c>
      <c r="C4778" s="1" t="s">
        <v>814</v>
      </c>
      <c r="D4778" s="1" t="s">
        <v>815</v>
      </c>
      <c r="E4778" s="1" t="s">
        <v>14</v>
      </c>
      <c r="F4778" s="1" t="s">
        <v>350</v>
      </c>
      <c r="G4778" s="1" t="s">
        <v>351</v>
      </c>
      <c r="H4778" s="1" t="s">
        <v>37</v>
      </c>
      <c r="I4778">
        <v>39789</v>
      </c>
      <c r="J4778" s="3">
        <v>17.91</v>
      </c>
      <c r="K4778" s="3">
        <v>712620.99</v>
      </c>
    </row>
    <row r="4779" spans="1:11" x14ac:dyDescent="0.2">
      <c r="A4779" s="1" t="s">
        <v>5897</v>
      </c>
      <c r="B4779" s="2">
        <v>45714</v>
      </c>
      <c r="C4779" s="1" t="s">
        <v>651</v>
      </c>
      <c r="D4779" s="1" t="s">
        <v>652</v>
      </c>
      <c r="E4779" s="1" t="s">
        <v>28</v>
      </c>
      <c r="F4779" s="1" t="s">
        <v>139</v>
      </c>
      <c r="G4779" s="1" t="s">
        <v>140</v>
      </c>
      <c r="H4779" s="1" t="s">
        <v>24</v>
      </c>
      <c r="I4779">
        <v>91656</v>
      </c>
      <c r="J4779" s="3">
        <v>49.05</v>
      </c>
      <c r="K4779" s="3">
        <v>4495726.8</v>
      </c>
    </row>
    <row r="4780" spans="1:11" x14ac:dyDescent="0.2">
      <c r="A4780" s="1" t="s">
        <v>5898</v>
      </c>
      <c r="B4780" s="2">
        <v>45385</v>
      </c>
      <c r="C4780" s="1" t="s">
        <v>890</v>
      </c>
      <c r="D4780" s="1" t="s">
        <v>891</v>
      </c>
      <c r="E4780" s="1" t="s">
        <v>37</v>
      </c>
      <c r="F4780" s="1" t="s">
        <v>406</v>
      </c>
      <c r="G4780" s="1" t="s">
        <v>407</v>
      </c>
      <c r="H4780" s="1" t="s">
        <v>17</v>
      </c>
      <c r="I4780">
        <v>38839</v>
      </c>
      <c r="J4780" s="3">
        <v>2.0499999999999998</v>
      </c>
      <c r="K4780" s="3">
        <v>79619.95</v>
      </c>
    </row>
    <row r="4781" spans="1:11" x14ac:dyDescent="0.2">
      <c r="A4781" s="1" t="s">
        <v>5899</v>
      </c>
      <c r="B4781" s="2">
        <v>45658</v>
      </c>
      <c r="C4781" s="1" t="s">
        <v>779</v>
      </c>
      <c r="D4781" s="1" t="s">
        <v>780</v>
      </c>
      <c r="E4781" s="1" t="s">
        <v>21</v>
      </c>
      <c r="F4781" s="1" t="s">
        <v>65</v>
      </c>
      <c r="G4781" s="1" t="s">
        <v>66</v>
      </c>
      <c r="H4781" s="1" t="s">
        <v>48</v>
      </c>
      <c r="I4781">
        <v>83528</v>
      </c>
      <c r="J4781" s="3">
        <v>6.52</v>
      </c>
      <c r="K4781" s="3">
        <v>544602.56000000006</v>
      </c>
    </row>
    <row r="4782" spans="1:11" x14ac:dyDescent="0.2">
      <c r="A4782" s="1" t="s">
        <v>5900</v>
      </c>
      <c r="B4782" s="2">
        <v>45449</v>
      </c>
      <c r="C4782" s="1" t="s">
        <v>456</v>
      </c>
      <c r="D4782" s="1" t="s">
        <v>457</v>
      </c>
      <c r="E4782" s="1" t="s">
        <v>37</v>
      </c>
      <c r="F4782" s="1" t="s">
        <v>339</v>
      </c>
      <c r="G4782" s="1" t="s">
        <v>340</v>
      </c>
      <c r="H4782" s="1" t="s">
        <v>24</v>
      </c>
      <c r="I4782">
        <v>86802</v>
      </c>
      <c r="J4782" s="3">
        <v>11.19</v>
      </c>
      <c r="K4782" s="3">
        <v>971314.38</v>
      </c>
    </row>
    <row r="4783" spans="1:11" x14ac:dyDescent="0.2">
      <c r="A4783" s="1" t="s">
        <v>5901</v>
      </c>
      <c r="B4783" s="2">
        <v>45809</v>
      </c>
      <c r="C4783" s="1" t="s">
        <v>523</v>
      </c>
      <c r="D4783" s="1" t="s">
        <v>524</v>
      </c>
      <c r="E4783" s="1" t="s">
        <v>14</v>
      </c>
      <c r="F4783" s="1" t="s">
        <v>98</v>
      </c>
      <c r="G4783" s="1" t="s">
        <v>99</v>
      </c>
      <c r="H4783" s="1" t="s">
        <v>72</v>
      </c>
      <c r="I4783">
        <v>24427</v>
      </c>
      <c r="J4783" s="3">
        <v>29.24</v>
      </c>
      <c r="K4783" s="3">
        <v>714245.48</v>
      </c>
    </row>
    <row r="4784" spans="1:11" x14ac:dyDescent="0.2">
      <c r="A4784" s="1" t="s">
        <v>5902</v>
      </c>
      <c r="B4784" s="2">
        <v>45920</v>
      </c>
      <c r="C4784" s="1" t="s">
        <v>791</v>
      </c>
      <c r="D4784" s="1" t="s">
        <v>792</v>
      </c>
      <c r="E4784" s="1" t="s">
        <v>34</v>
      </c>
      <c r="F4784" s="1" t="s">
        <v>113</v>
      </c>
      <c r="G4784" s="1" t="s">
        <v>114</v>
      </c>
      <c r="H4784" s="1" t="s">
        <v>37</v>
      </c>
      <c r="I4784">
        <v>40582</v>
      </c>
      <c r="J4784" s="3">
        <v>45.11</v>
      </c>
      <c r="K4784" s="3">
        <v>1830654.02</v>
      </c>
    </row>
    <row r="4785" spans="1:11" x14ac:dyDescent="0.2">
      <c r="A4785" s="1" t="s">
        <v>5903</v>
      </c>
      <c r="B4785" s="2">
        <v>45708</v>
      </c>
      <c r="C4785" s="1" t="s">
        <v>972</v>
      </c>
      <c r="D4785" s="1" t="s">
        <v>973</v>
      </c>
      <c r="E4785" s="1" t="s">
        <v>34</v>
      </c>
      <c r="F4785" s="1" t="s">
        <v>184</v>
      </c>
      <c r="G4785" s="1" t="s">
        <v>185</v>
      </c>
      <c r="H4785" s="1" t="s">
        <v>17</v>
      </c>
      <c r="I4785">
        <v>62102</v>
      </c>
      <c r="J4785" s="3">
        <v>15.55</v>
      </c>
      <c r="K4785" s="3">
        <v>965686.1</v>
      </c>
    </row>
    <row r="4786" spans="1:11" x14ac:dyDescent="0.2">
      <c r="A4786" s="1" t="s">
        <v>5904</v>
      </c>
      <c r="B4786" s="2">
        <v>45648</v>
      </c>
      <c r="C4786" s="1" t="s">
        <v>1520</v>
      </c>
      <c r="D4786" s="1" t="s">
        <v>1521</v>
      </c>
      <c r="E4786" s="1" t="s">
        <v>37</v>
      </c>
      <c r="F4786" s="1" t="s">
        <v>108</v>
      </c>
      <c r="G4786" s="1" t="s">
        <v>109</v>
      </c>
      <c r="H4786" s="1" t="s">
        <v>37</v>
      </c>
      <c r="I4786">
        <v>39447</v>
      </c>
      <c r="J4786" s="3">
        <v>35.659999999999997</v>
      </c>
      <c r="K4786" s="3">
        <v>1406680.02</v>
      </c>
    </row>
    <row r="4787" spans="1:11" x14ac:dyDescent="0.2">
      <c r="A4787" s="1" t="s">
        <v>5905</v>
      </c>
      <c r="B4787" s="2">
        <v>45382</v>
      </c>
      <c r="C4787" s="1" t="s">
        <v>2211</v>
      </c>
      <c r="D4787" s="1" t="s">
        <v>2212</v>
      </c>
      <c r="E4787" s="1" t="s">
        <v>21</v>
      </c>
      <c r="F4787" s="1" t="s">
        <v>284</v>
      </c>
      <c r="G4787" s="1" t="s">
        <v>285</v>
      </c>
      <c r="H4787" s="1" t="s">
        <v>37</v>
      </c>
      <c r="I4787">
        <v>41636</v>
      </c>
      <c r="J4787" s="3">
        <v>40.14</v>
      </c>
      <c r="K4787" s="3">
        <v>1671269.04</v>
      </c>
    </row>
    <row r="4788" spans="1:11" x14ac:dyDescent="0.2">
      <c r="A4788" s="1" t="s">
        <v>5906</v>
      </c>
      <c r="B4788" s="2">
        <v>45754</v>
      </c>
      <c r="C4788" s="1" t="s">
        <v>93</v>
      </c>
      <c r="D4788" s="1" t="s">
        <v>94</v>
      </c>
      <c r="E4788" s="1" t="s">
        <v>34</v>
      </c>
      <c r="F4788" s="1" t="s">
        <v>273</v>
      </c>
      <c r="G4788" s="1" t="s">
        <v>274</v>
      </c>
      <c r="H4788" s="1" t="s">
        <v>24</v>
      </c>
      <c r="I4788">
        <v>10488</v>
      </c>
      <c r="J4788" s="3">
        <v>3.02</v>
      </c>
      <c r="K4788" s="3">
        <v>31673.759999999998</v>
      </c>
    </row>
    <row r="4789" spans="1:11" x14ac:dyDescent="0.2">
      <c r="A4789" s="1" t="s">
        <v>5907</v>
      </c>
      <c r="B4789" s="2">
        <v>45512</v>
      </c>
      <c r="C4789" s="1" t="s">
        <v>932</v>
      </c>
      <c r="D4789" s="1" t="s">
        <v>933</v>
      </c>
      <c r="E4789" s="1" t="s">
        <v>14</v>
      </c>
      <c r="F4789" s="1" t="s">
        <v>152</v>
      </c>
      <c r="G4789" s="1" t="s">
        <v>153</v>
      </c>
      <c r="H4789" s="1" t="s">
        <v>17</v>
      </c>
      <c r="I4789">
        <v>67660</v>
      </c>
      <c r="J4789" s="3">
        <v>48.6</v>
      </c>
      <c r="K4789" s="3">
        <v>3288276</v>
      </c>
    </row>
    <row r="4790" spans="1:11" x14ac:dyDescent="0.2">
      <c r="A4790" s="1" t="s">
        <v>5908</v>
      </c>
      <c r="B4790" s="2">
        <v>45944</v>
      </c>
      <c r="C4790" s="1" t="s">
        <v>1105</v>
      </c>
      <c r="D4790" s="1" t="s">
        <v>1106</v>
      </c>
      <c r="E4790" s="1" t="s">
        <v>34</v>
      </c>
      <c r="F4790" s="1" t="s">
        <v>165</v>
      </c>
      <c r="G4790" s="1" t="s">
        <v>166</v>
      </c>
      <c r="H4790" s="1" t="s">
        <v>24</v>
      </c>
      <c r="I4790">
        <v>7110</v>
      </c>
      <c r="J4790" s="3">
        <v>10.97</v>
      </c>
      <c r="K4790" s="3">
        <v>77996.7</v>
      </c>
    </row>
    <row r="4791" spans="1:11" x14ac:dyDescent="0.2">
      <c r="A4791" s="1" t="s">
        <v>5909</v>
      </c>
      <c r="B4791" s="2">
        <v>45471</v>
      </c>
      <c r="C4791" s="1" t="s">
        <v>1082</v>
      </c>
      <c r="D4791" s="1" t="s">
        <v>1083</v>
      </c>
      <c r="E4791" s="1" t="s">
        <v>28</v>
      </c>
      <c r="F4791" s="1" t="s">
        <v>52</v>
      </c>
      <c r="G4791" s="1" t="s">
        <v>53</v>
      </c>
      <c r="H4791" s="1" t="s">
        <v>17</v>
      </c>
      <c r="I4791">
        <v>34338</v>
      </c>
      <c r="J4791" s="3">
        <v>22.36</v>
      </c>
      <c r="K4791" s="3">
        <v>767797.68</v>
      </c>
    </row>
    <row r="4792" spans="1:11" x14ac:dyDescent="0.2">
      <c r="A4792" s="1" t="s">
        <v>5910</v>
      </c>
      <c r="B4792" s="2">
        <v>45680</v>
      </c>
      <c r="C4792" s="1" t="s">
        <v>660</v>
      </c>
      <c r="D4792" s="1" t="s">
        <v>661</v>
      </c>
      <c r="E4792" s="1" t="s">
        <v>34</v>
      </c>
      <c r="F4792" s="1" t="s">
        <v>552</v>
      </c>
      <c r="G4792" s="1" t="s">
        <v>553</v>
      </c>
      <c r="H4792" s="1" t="s">
        <v>37</v>
      </c>
      <c r="I4792">
        <v>37783</v>
      </c>
      <c r="J4792" s="3">
        <v>6.5</v>
      </c>
      <c r="K4792" s="3">
        <v>245589.5</v>
      </c>
    </row>
    <row r="4793" spans="1:11" x14ac:dyDescent="0.2">
      <c r="A4793" s="1" t="s">
        <v>5911</v>
      </c>
      <c r="B4793" s="2">
        <v>45476</v>
      </c>
      <c r="C4793" s="1" t="s">
        <v>811</v>
      </c>
      <c r="D4793" s="1" t="s">
        <v>812</v>
      </c>
      <c r="E4793" s="1" t="s">
        <v>14</v>
      </c>
      <c r="F4793" s="1" t="s">
        <v>436</v>
      </c>
      <c r="G4793" s="1" t="s">
        <v>437</v>
      </c>
      <c r="H4793" s="1" t="s">
        <v>24</v>
      </c>
      <c r="I4793">
        <v>30222</v>
      </c>
      <c r="J4793" s="3">
        <v>33.54</v>
      </c>
      <c r="K4793" s="3">
        <v>1013645.88</v>
      </c>
    </row>
    <row r="4794" spans="1:11" x14ac:dyDescent="0.2">
      <c r="A4794" s="1" t="s">
        <v>5912</v>
      </c>
      <c r="B4794" s="2">
        <v>45744</v>
      </c>
      <c r="C4794" s="1" t="s">
        <v>266</v>
      </c>
      <c r="D4794" s="1" t="s">
        <v>267</v>
      </c>
      <c r="E4794" s="1" t="s">
        <v>14</v>
      </c>
      <c r="F4794" s="1" t="s">
        <v>406</v>
      </c>
      <c r="G4794" s="1" t="s">
        <v>407</v>
      </c>
      <c r="H4794" s="1" t="s">
        <v>17</v>
      </c>
      <c r="I4794">
        <v>90724</v>
      </c>
      <c r="J4794" s="3">
        <v>29.19</v>
      </c>
      <c r="K4794" s="3">
        <v>2648233.56</v>
      </c>
    </row>
    <row r="4795" spans="1:11" x14ac:dyDescent="0.2">
      <c r="A4795" s="1" t="s">
        <v>5913</v>
      </c>
      <c r="B4795" s="2">
        <v>45449</v>
      </c>
      <c r="C4795" s="1" t="s">
        <v>2686</v>
      </c>
      <c r="D4795" s="1" t="s">
        <v>2687</v>
      </c>
      <c r="E4795" s="1" t="s">
        <v>21</v>
      </c>
      <c r="F4795" s="1" t="s">
        <v>474</v>
      </c>
      <c r="G4795" s="1" t="s">
        <v>475</v>
      </c>
      <c r="H4795" s="1" t="s">
        <v>48</v>
      </c>
      <c r="I4795">
        <v>82853</v>
      </c>
      <c r="J4795" s="3">
        <v>15.08</v>
      </c>
      <c r="K4795" s="3">
        <v>1249423.24</v>
      </c>
    </row>
    <row r="4796" spans="1:11" x14ac:dyDescent="0.2">
      <c r="A4796" s="1" t="s">
        <v>5914</v>
      </c>
      <c r="B4796" s="2">
        <v>45462</v>
      </c>
      <c r="C4796" s="1" t="s">
        <v>1314</v>
      </c>
      <c r="D4796" s="1" t="s">
        <v>1315</v>
      </c>
      <c r="E4796" s="1" t="s">
        <v>14</v>
      </c>
      <c r="F4796" s="1" t="s">
        <v>273</v>
      </c>
      <c r="G4796" s="1" t="s">
        <v>274</v>
      </c>
      <c r="H4796" s="1" t="s">
        <v>24</v>
      </c>
      <c r="I4796">
        <v>46232</v>
      </c>
      <c r="J4796" s="3">
        <v>31.25</v>
      </c>
      <c r="K4796" s="3">
        <v>1444750</v>
      </c>
    </row>
    <row r="4797" spans="1:11" x14ac:dyDescent="0.2">
      <c r="A4797" s="1" t="s">
        <v>5915</v>
      </c>
      <c r="B4797" s="2">
        <v>45795</v>
      </c>
      <c r="C4797" s="1" t="s">
        <v>336</v>
      </c>
      <c r="D4797" s="1" t="s">
        <v>337</v>
      </c>
      <c r="E4797" s="1" t="s">
        <v>21</v>
      </c>
      <c r="F4797" s="1" t="s">
        <v>152</v>
      </c>
      <c r="G4797" s="1" t="s">
        <v>153</v>
      </c>
      <c r="H4797" s="1" t="s">
        <v>17</v>
      </c>
      <c r="I4797">
        <v>91107</v>
      </c>
      <c r="J4797" s="3">
        <v>23.07</v>
      </c>
      <c r="K4797" s="3">
        <v>2101838.4900000002</v>
      </c>
    </row>
    <row r="4798" spans="1:11" x14ac:dyDescent="0.2">
      <c r="A4798" s="1" t="s">
        <v>5916</v>
      </c>
      <c r="B4798" s="2">
        <v>45735</v>
      </c>
      <c r="C4798" s="1" t="s">
        <v>1272</v>
      </c>
      <c r="D4798" s="1" t="s">
        <v>1273</v>
      </c>
      <c r="E4798" s="1" t="s">
        <v>34</v>
      </c>
      <c r="F4798" s="1" t="s">
        <v>324</v>
      </c>
      <c r="G4798" s="1" t="s">
        <v>325</v>
      </c>
      <c r="H4798" s="1" t="s">
        <v>24</v>
      </c>
      <c r="I4798">
        <v>54231</v>
      </c>
      <c r="J4798" s="3">
        <v>29.93</v>
      </c>
      <c r="K4798" s="3">
        <v>1623133.83</v>
      </c>
    </row>
    <row r="4799" spans="1:11" x14ac:dyDescent="0.2">
      <c r="A4799" s="1" t="s">
        <v>5917</v>
      </c>
      <c r="B4799" s="2">
        <v>45862</v>
      </c>
      <c r="C4799" s="1" t="s">
        <v>1666</v>
      </c>
      <c r="D4799" s="1" t="s">
        <v>1667</v>
      </c>
      <c r="E4799" s="1" t="s">
        <v>28</v>
      </c>
      <c r="F4799" s="1" t="s">
        <v>552</v>
      </c>
      <c r="G4799" s="1" t="s">
        <v>553</v>
      </c>
      <c r="H4799" s="1" t="s">
        <v>37</v>
      </c>
      <c r="I4799">
        <v>3167</v>
      </c>
      <c r="J4799" s="3">
        <v>25.28</v>
      </c>
      <c r="K4799" s="3">
        <v>80061.759999999995</v>
      </c>
    </row>
    <row r="4800" spans="1:11" x14ac:dyDescent="0.2">
      <c r="A4800" s="1" t="s">
        <v>5918</v>
      </c>
      <c r="B4800" s="2">
        <v>45498</v>
      </c>
      <c r="C4800" s="1" t="s">
        <v>972</v>
      </c>
      <c r="D4800" s="1" t="s">
        <v>973</v>
      </c>
      <c r="E4800" s="1" t="s">
        <v>34</v>
      </c>
      <c r="F4800" s="1" t="s">
        <v>552</v>
      </c>
      <c r="G4800" s="1" t="s">
        <v>553</v>
      </c>
      <c r="H4800" s="1" t="s">
        <v>37</v>
      </c>
      <c r="I4800">
        <v>8891</v>
      </c>
      <c r="J4800" s="3">
        <v>19.87</v>
      </c>
      <c r="K4800" s="3">
        <v>176664.17</v>
      </c>
    </row>
    <row r="4801" spans="1:11" x14ac:dyDescent="0.2">
      <c r="A4801" s="1" t="s">
        <v>5919</v>
      </c>
      <c r="B4801" s="2">
        <v>45747</v>
      </c>
      <c r="C4801" s="1" t="s">
        <v>1053</v>
      </c>
      <c r="D4801" s="1" t="s">
        <v>1054</v>
      </c>
      <c r="E4801" s="1" t="s">
        <v>21</v>
      </c>
      <c r="F4801" s="1" t="s">
        <v>108</v>
      </c>
      <c r="G4801" s="1" t="s">
        <v>109</v>
      </c>
      <c r="H4801" s="1" t="s">
        <v>37</v>
      </c>
      <c r="I4801">
        <v>75076</v>
      </c>
      <c r="J4801" s="3">
        <v>12.75</v>
      </c>
      <c r="K4801" s="3">
        <v>957219</v>
      </c>
    </row>
    <row r="4802" spans="1:11" x14ac:dyDescent="0.2">
      <c r="A4802" s="1" t="s">
        <v>5920</v>
      </c>
      <c r="B4802" s="2">
        <v>45740</v>
      </c>
      <c r="C4802" s="1" t="s">
        <v>702</v>
      </c>
      <c r="D4802" s="1" t="s">
        <v>703</v>
      </c>
      <c r="E4802" s="1" t="s">
        <v>34</v>
      </c>
      <c r="F4802" s="1" t="s">
        <v>46</v>
      </c>
      <c r="G4802" s="1" t="s">
        <v>47</v>
      </c>
      <c r="H4802" s="1" t="s">
        <v>48</v>
      </c>
      <c r="I4802">
        <v>56815</v>
      </c>
      <c r="J4802" s="3">
        <v>36.74</v>
      </c>
      <c r="K4802" s="3">
        <v>2087383.1</v>
      </c>
    </row>
    <row r="4803" spans="1:11" x14ac:dyDescent="0.2">
      <c r="A4803" s="1" t="s">
        <v>5921</v>
      </c>
      <c r="B4803" s="2">
        <v>45430</v>
      </c>
      <c r="C4803" s="1" t="s">
        <v>1871</v>
      </c>
      <c r="D4803" s="1" t="s">
        <v>1872</v>
      </c>
      <c r="E4803" s="1" t="s">
        <v>34</v>
      </c>
      <c r="F4803" s="1" t="s">
        <v>761</v>
      </c>
      <c r="G4803" s="1" t="s">
        <v>762</v>
      </c>
      <c r="H4803" s="1" t="s">
        <v>48</v>
      </c>
      <c r="I4803">
        <v>37011</v>
      </c>
      <c r="J4803" s="3">
        <v>2.5499999999999998</v>
      </c>
      <c r="K4803" s="3">
        <v>94378.05</v>
      </c>
    </row>
    <row r="4804" spans="1:11" x14ac:dyDescent="0.2">
      <c r="A4804" s="1" t="s">
        <v>5922</v>
      </c>
      <c r="B4804" s="2">
        <v>45747</v>
      </c>
      <c r="C4804" s="1" t="s">
        <v>730</v>
      </c>
      <c r="D4804" s="1" t="s">
        <v>731</v>
      </c>
      <c r="E4804" s="1" t="s">
        <v>14</v>
      </c>
      <c r="F4804" s="1" t="s">
        <v>81</v>
      </c>
      <c r="G4804" s="1" t="s">
        <v>82</v>
      </c>
      <c r="H4804" s="1" t="s">
        <v>72</v>
      </c>
      <c r="I4804">
        <v>76990</v>
      </c>
      <c r="J4804" s="3">
        <v>36.270000000000003</v>
      </c>
      <c r="K4804" s="3">
        <v>2792427.3</v>
      </c>
    </row>
    <row r="4805" spans="1:11" x14ac:dyDescent="0.2">
      <c r="A4805" s="1" t="s">
        <v>5923</v>
      </c>
      <c r="B4805" s="2">
        <v>45891</v>
      </c>
      <c r="C4805" s="1" t="s">
        <v>32</v>
      </c>
      <c r="D4805" s="1" t="s">
        <v>33</v>
      </c>
      <c r="E4805" s="1" t="s">
        <v>34</v>
      </c>
      <c r="F4805" s="1" t="s">
        <v>761</v>
      </c>
      <c r="G4805" s="1" t="s">
        <v>762</v>
      </c>
      <c r="H4805" s="1" t="s">
        <v>48</v>
      </c>
      <c r="I4805">
        <v>2428</v>
      </c>
      <c r="J4805" s="3">
        <v>11.33</v>
      </c>
      <c r="K4805" s="3">
        <v>27509.24</v>
      </c>
    </row>
    <row r="4806" spans="1:11" x14ac:dyDescent="0.2">
      <c r="A4806" s="1" t="s">
        <v>5924</v>
      </c>
      <c r="B4806" s="2">
        <v>45340</v>
      </c>
      <c r="C4806" s="1" t="s">
        <v>526</v>
      </c>
      <c r="D4806" s="1" t="s">
        <v>527</v>
      </c>
      <c r="E4806" s="1" t="s">
        <v>34</v>
      </c>
      <c r="F4806" s="1" t="s">
        <v>139</v>
      </c>
      <c r="G4806" s="1" t="s">
        <v>140</v>
      </c>
      <c r="H4806" s="1" t="s">
        <v>24</v>
      </c>
      <c r="I4806">
        <v>20701</v>
      </c>
      <c r="J4806" s="3">
        <v>46.6</v>
      </c>
      <c r="K4806" s="3">
        <v>964666.6</v>
      </c>
    </row>
    <row r="4807" spans="1:11" x14ac:dyDescent="0.2">
      <c r="A4807" s="1" t="s">
        <v>5925</v>
      </c>
      <c r="B4807" s="2">
        <v>45636</v>
      </c>
      <c r="C4807" s="1" t="s">
        <v>1113</v>
      </c>
      <c r="D4807" s="1" t="s">
        <v>1114</v>
      </c>
      <c r="E4807" s="1" t="s">
        <v>14</v>
      </c>
      <c r="F4807" s="1" t="s">
        <v>552</v>
      </c>
      <c r="G4807" s="1" t="s">
        <v>553</v>
      </c>
      <c r="H4807" s="1" t="s">
        <v>37</v>
      </c>
      <c r="I4807">
        <v>47118</v>
      </c>
      <c r="J4807" s="3">
        <v>27.1</v>
      </c>
      <c r="K4807" s="3">
        <v>1276897.8</v>
      </c>
    </row>
    <row r="4808" spans="1:11" x14ac:dyDescent="0.2">
      <c r="A4808" s="1" t="s">
        <v>5926</v>
      </c>
      <c r="B4808" s="2">
        <v>45891</v>
      </c>
      <c r="C4808" s="1" t="s">
        <v>348</v>
      </c>
      <c r="D4808" s="1" t="s">
        <v>349</v>
      </c>
      <c r="E4808" s="1" t="s">
        <v>28</v>
      </c>
      <c r="F4808" s="1" t="s">
        <v>251</v>
      </c>
      <c r="G4808" s="1" t="s">
        <v>252</v>
      </c>
      <c r="H4808" s="1" t="s">
        <v>72</v>
      </c>
      <c r="I4808">
        <v>57134</v>
      </c>
      <c r="J4808" s="3">
        <v>21.06</v>
      </c>
      <c r="K4808" s="3">
        <v>1203242.04</v>
      </c>
    </row>
    <row r="4809" spans="1:11" x14ac:dyDescent="0.2">
      <c r="A4809" s="1" t="s">
        <v>5927</v>
      </c>
      <c r="B4809" s="2">
        <v>45888</v>
      </c>
      <c r="C4809" s="1" t="s">
        <v>456</v>
      </c>
      <c r="D4809" s="1" t="s">
        <v>457</v>
      </c>
      <c r="E4809" s="1" t="s">
        <v>37</v>
      </c>
      <c r="F4809" s="1" t="s">
        <v>339</v>
      </c>
      <c r="G4809" s="1" t="s">
        <v>340</v>
      </c>
      <c r="H4809" s="1" t="s">
        <v>24</v>
      </c>
      <c r="I4809">
        <v>79200</v>
      </c>
      <c r="J4809" s="3">
        <v>33.909999999999997</v>
      </c>
      <c r="K4809" s="3">
        <v>2685672</v>
      </c>
    </row>
    <row r="4810" spans="1:11" x14ac:dyDescent="0.2">
      <c r="A4810" s="1" t="s">
        <v>5928</v>
      </c>
      <c r="B4810" s="2">
        <v>45908</v>
      </c>
      <c r="C4810" s="1" t="s">
        <v>1233</v>
      </c>
      <c r="D4810" s="1" t="s">
        <v>1234</v>
      </c>
      <c r="E4810" s="1" t="s">
        <v>14</v>
      </c>
      <c r="F4810" s="1" t="s">
        <v>165</v>
      </c>
      <c r="G4810" s="1" t="s">
        <v>166</v>
      </c>
      <c r="H4810" s="1" t="s">
        <v>24</v>
      </c>
      <c r="I4810">
        <v>67831</v>
      </c>
      <c r="J4810" s="3">
        <v>18.29</v>
      </c>
      <c r="K4810" s="3">
        <v>1240628.99</v>
      </c>
    </row>
    <row r="4811" spans="1:11" x14ac:dyDescent="0.2">
      <c r="A4811" s="1" t="s">
        <v>5929</v>
      </c>
      <c r="B4811" s="2">
        <v>45751</v>
      </c>
      <c r="C4811" s="1" t="s">
        <v>2211</v>
      </c>
      <c r="D4811" s="1" t="s">
        <v>2212</v>
      </c>
      <c r="E4811" s="1" t="s">
        <v>21</v>
      </c>
      <c r="F4811" s="1" t="s">
        <v>184</v>
      </c>
      <c r="G4811" s="1" t="s">
        <v>185</v>
      </c>
      <c r="H4811" s="1" t="s">
        <v>17</v>
      </c>
      <c r="I4811">
        <v>53513</v>
      </c>
      <c r="J4811" s="3">
        <v>43.88</v>
      </c>
      <c r="K4811" s="3">
        <v>2348150.44</v>
      </c>
    </row>
    <row r="4812" spans="1:11" x14ac:dyDescent="0.2">
      <c r="A4812" s="1" t="s">
        <v>5930</v>
      </c>
      <c r="B4812" s="2">
        <v>45582</v>
      </c>
      <c r="C4812" s="1" t="s">
        <v>770</v>
      </c>
      <c r="D4812" s="1" t="s">
        <v>771</v>
      </c>
      <c r="E4812" s="1" t="s">
        <v>34</v>
      </c>
      <c r="F4812" s="1" t="s">
        <v>29</v>
      </c>
      <c r="G4812" s="1" t="s">
        <v>30</v>
      </c>
      <c r="H4812" s="1" t="s">
        <v>24</v>
      </c>
      <c r="I4812">
        <v>73866</v>
      </c>
      <c r="J4812" s="3">
        <v>30.41</v>
      </c>
      <c r="K4812" s="3">
        <v>2246265.06</v>
      </c>
    </row>
    <row r="4813" spans="1:11" x14ac:dyDescent="0.2">
      <c r="A4813" s="1" t="s">
        <v>5931</v>
      </c>
      <c r="B4813" s="2">
        <v>45523</v>
      </c>
      <c r="C4813" s="1" t="s">
        <v>905</v>
      </c>
      <c r="D4813" s="1" t="s">
        <v>906</v>
      </c>
      <c r="E4813" s="1" t="s">
        <v>14</v>
      </c>
      <c r="F4813" s="1" t="s">
        <v>412</v>
      </c>
      <c r="G4813" s="1" t="s">
        <v>413</v>
      </c>
      <c r="H4813" s="1" t="s">
        <v>72</v>
      </c>
      <c r="I4813">
        <v>90985</v>
      </c>
      <c r="J4813" s="3">
        <v>8.6199999999999992</v>
      </c>
      <c r="K4813" s="3">
        <v>784290.7</v>
      </c>
    </row>
    <row r="4814" spans="1:11" x14ac:dyDescent="0.2">
      <c r="A4814" s="1" t="s">
        <v>5932</v>
      </c>
      <c r="B4814" s="2">
        <v>45836</v>
      </c>
      <c r="C4814" s="1" t="s">
        <v>832</v>
      </c>
      <c r="D4814" s="1" t="s">
        <v>833</v>
      </c>
      <c r="E4814" s="1" t="s">
        <v>28</v>
      </c>
      <c r="F4814" s="1" t="s">
        <v>761</v>
      </c>
      <c r="G4814" s="1" t="s">
        <v>762</v>
      </c>
      <c r="H4814" s="1" t="s">
        <v>48</v>
      </c>
      <c r="I4814">
        <v>97351</v>
      </c>
      <c r="J4814" s="3">
        <v>35.64</v>
      </c>
      <c r="K4814" s="3">
        <v>3469589.64</v>
      </c>
    </row>
    <row r="4815" spans="1:11" x14ac:dyDescent="0.2">
      <c r="A4815" s="1" t="s">
        <v>5933</v>
      </c>
      <c r="B4815" s="2">
        <v>45565</v>
      </c>
      <c r="C4815" s="1" t="s">
        <v>297</v>
      </c>
      <c r="D4815" s="1" t="s">
        <v>298</v>
      </c>
      <c r="E4815" s="1" t="s">
        <v>21</v>
      </c>
      <c r="F4815" s="1" t="s">
        <v>70</v>
      </c>
      <c r="G4815" s="1" t="s">
        <v>71</v>
      </c>
      <c r="H4815" s="1" t="s">
        <v>72</v>
      </c>
      <c r="I4815">
        <v>30980</v>
      </c>
      <c r="J4815" s="3">
        <v>8.36</v>
      </c>
      <c r="K4815" s="3">
        <v>258992.8</v>
      </c>
    </row>
    <row r="4816" spans="1:11" x14ac:dyDescent="0.2">
      <c r="A4816" s="1" t="s">
        <v>5934</v>
      </c>
      <c r="B4816" s="2">
        <v>45459</v>
      </c>
      <c r="C4816" s="1" t="s">
        <v>96</v>
      </c>
      <c r="D4816" s="1" t="s">
        <v>97</v>
      </c>
      <c r="E4816" s="1" t="s">
        <v>21</v>
      </c>
      <c r="F4816" s="1" t="s">
        <v>284</v>
      </c>
      <c r="G4816" s="1" t="s">
        <v>285</v>
      </c>
      <c r="H4816" s="1" t="s">
        <v>37</v>
      </c>
      <c r="I4816">
        <v>7290</v>
      </c>
      <c r="J4816" s="3">
        <v>2.87</v>
      </c>
      <c r="K4816" s="3">
        <v>20922.3</v>
      </c>
    </row>
    <row r="4817" spans="1:11" x14ac:dyDescent="0.2">
      <c r="A4817" s="1" t="s">
        <v>5935</v>
      </c>
      <c r="B4817" s="2">
        <v>45963</v>
      </c>
      <c r="C4817" s="1" t="s">
        <v>427</v>
      </c>
      <c r="D4817" s="1" t="s">
        <v>428</v>
      </c>
      <c r="E4817" s="1" t="s">
        <v>21</v>
      </c>
      <c r="F4817" s="1" t="s">
        <v>108</v>
      </c>
      <c r="G4817" s="1" t="s">
        <v>109</v>
      </c>
      <c r="H4817" s="1" t="s">
        <v>37</v>
      </c>
      <c r="I4817">
        <v>70642</v>
      </c>
      <c r="J4817" s="3">
        <v>30.42</v>
      </c>
      <c r="K4817" s="3">
        <v>2148929.64</v>
      </c>
    </row>
    <row r="4818" spans="1:11" x14ac:dyDescent="0.2">
      <c r="A4818" s="1" t="s">
        <v>5936</v>
      </c>
      <c r="B4818" s="2">
        <v>45411</v>
      </c>
      <c r="C4818" s="1" t="s">
        <v>160</v>
      </c>
      <c r="D4818" s="1" t="s">
        <v>161</v>
      </c>
      <c r="E4818" s="1" t="s">
        <v>21</v>
      </c>
      <c r="F4818" s="1" t="s">
        <v>330</v>
      </c>
      <c r="G4818" s="1" t="s">
        <v>331</v>
      </c>
      <c r="H4818" s="1" t="s">
        <v>72</v>
      </c>
      <c r="I4818">
        <v>81346</v>
      </c>
      <c r="J4818" s="3">
        <v>25.22</v>
      </c>
      <c r="K4818" s="3">
        <v>2051546.12</v>
      </c>
    </row>
    <row r="4819" spans="1:11" x14ac:dyDescent="0.2">
      <c r="A4819" s="1" t="s">
        <v>5937</v>
      </c>
      <c r="B4819" s="2">
        <v>45357</v>
      </c>
      <c r="C4819" s="1" t="s">
        <v>4024</v>
      </c>
      <c r="D4819" s="1" t="s">
        <v>4025</v>
      </c>
      <c r="E4819" s="1" t="s">
        <v>28</v>
      </c>
      <c r="F4819" s="1" t="s">
        <v>35</v>
      </c>
      <c r="G4819" s="1" t="s">
        <v>36</v>
      </c>
      <c r="H4819" s="1" t="s">
        <v>37</v>
      </c>
      <c r="I4819">
        <v>50757</v>
      </c>
      <c r="J4819" s="3">
        <v>28.47</v>
      </c>
      <c r="K4819" s="3">
        <v>1445051.79</v>
      </c>
    </row>
    <row r="4820" spans="1:11" x14ac:dyDescent="0.2">
      <c r="A4820" s="1" t="s">
        <v>5938</v>
      </c>
      <c r="B4820" s="2">
        <v>45621</v>
      </c>
      <c r="C4820" s="1" t="s">
        <v>599</v>
      </c>
      <c r="D4820" s="1" t="s">
        <v>600</v>
      </c>
      <c r="E4820" s="1" t="s">
        <v>37</v>
      </c>
      <c r="F4820" s="1" t="s">
        <v>263</v>
      </c>
      <c r="G4820" s="1" t="s">
        <v>264</v>
      </c>
      <c r="H4820" s="1" t="s">
        <v>17</v>
      </c>
      <c r="I4820">
        <v>53080</v>
      </c>
      <c r="J4820" s="3">
        <v>44.97</v>
      </c>
      <c r="K4820" s="3">
        <v>2387007.6</v>
      </c>
    </row>
    <row r="4821" spans="1:11" x14ac:dyDescent="0.2">
      <c r="A4821" s="1" t="s">
        <v>5939</v>
      </c>
      <c r="B4821" s="2">
        <v>45633</v>
      </c>
      <c r="C4821" s="1" t="s">
        <v>590</v>
      </c>
      <c r="D4821" s="1" t="s">
        <v>591</v>
      </c>
      <c r="E4821" s="1" t="s">
        <v>37</v>
      </c>
      <c r="F4821" s="1" t="s">
        <v>208</v>
      </c>
      <c r="G4821" s="1" t="s">
        <v>209</v>
      </c>
      <c r="H4821" s="1" t="s">
        <v>17</v>
      </c>
      <c r="I4821">
        <v>11771</v>
      </c>
      <c r="J4821" s="3">
        <v>18.66</v>
      </c>
      <c r="K4821" s="3">
        <v>219646.86</v>
      </c>
    </row>
    <row r="4822" spans="1:11" x14ac:dyDescent="0.2">
      <c r="A4822" s="1" t="s">
        <v>5940</v>
      </c>
      <c r="B4822" s="2">
        <v>45956</v>
      </c>
      <c r="C4822" s="1" t="s">
        <v>90</v>
      </c>
      <c r="D4822" s="1" t="s">
        <v>91</v>
      </c>
      <c r="E4822" s="1" t="s">
        <v>28</v>
      </c>
      <c r="F4822" s="1" t="s">
        <v>165</v>
      </c>
      <c r="G4822" s="1" t="s">
        <v>166</v>
      </c>
      <c r="H4822" s="1" t="s">
        <v>24</v>
      </c>
      <c r="I4822">
        <v>89893</v>
      </c>
      <c r="J4822" s="3">
        <v>30.11</v>
      </c>
      <c r="K4822" s="3">
        <v>2706678.23</v>
      </c>
    </row>
    <row r="4823" spans="1:11" x14ac:dyDescent="0.2">
      <c r="A4823" s="1" t="s">
        <v>5941</v>
      </c>
      <c r="B4823" s="2">
        <v>46022</v>
      </c>
      <c r="C4823" s="1" t="s">
        <v>1571</v>
      </c>
      <c r="D4823" s="1" t="s">
        <v>1572</v>
      </c>
      <c r="E4823" s="1" t="s">
        <v>14</v>
      </c>
      <c r="F4823" s="1" t="s">
        <v>22</v>
      </c>
      <c r="G4823" s="1" t="s">
        <v>23</v>
      </c>
      <c r="H4823" s="1" t="s">
        <v>24</v>
      </c>
      <c r="I4823">
        <v>4735</v>
      </c>
      <c r="J4823" s="3">
        <v>45.58</v>
      </c>
      <c r="K4823" s="3">
        <v>215821.3</v>
      </c>
    </row>
    <row r="4824" spans="1:11" x14ac:dyDescent="0.2">
      <c r="A4824" s="1" t="s">
        <v>5942</v>
      </c>
      <c r="B4824" s="2">
        <v>45853</v>
      </c>
      <c r="C4824" s="1" t="s">
        <v>857</v>
      </c>
      <c r="D4824" s="1" t="s">
        <v>858</v>
      </c>
      <c r="E4824" s="1" t="s">
        <v>34</v>
      </c>
      <c r="F4824" s="1" t="s">
        <v>57</v>
      </c>
      <c r="G4824" s="1" t="s">
        <v>58</v>
      </c>
      <c r="H4824" s="1" t="s">
        <v>48</v>
      </c>
      <c r="I4824">
        <v>46500</v>
      </c>
      <c r="J4824" s="3">
        <v>38.520000000000003</v>
      </c>
      <c r="K4824" s="3">
        <v>1791180</v>
      </c>
    </row>
    <row r="4825" spans="1:11" x14ac:dyDescent="0.2">
      <c r="A4825" s="1" t="s">
        <v>5943</v>
      </c>
      <c r="B4825" s="2">
        <v>45487</v>
      </c>
      <c r="C4825" s="1" t="s">
        <v>1972</v>
      </c>
      <c r="D4825" s="1" t="s">
        <v>1973</v>
      </c>
      <c r="E4825" s="1" t="s">
        <v>28</v>
      </c>
      <c r="F4825" s="1" t="s">
        <v>412</v>
      </c>
      <c r="G4825" s="1" t="s">
        <v>413</v>
      </c>
      <c r="H4825" s="1" t="s">
        <v>72</v>
      </c>
      <c r="I4825">
        <v>86988</v>
      </c>
      <c r="J4825" s="3">
        <v>33.44</v>
      </c>
      <c r="K4825" s="3">
        <v>2908878.72</v>
      </c>
    </row>
    <row r="4826" spans="1:11" x14ac:dyDescent="0.2">
      <c r="A4826" s="1" t="s">
        <v>5944</v>
      </c>
      <c r="B4826" s="2">
        <v>45826</v>
      </c>
      <c r="C4826" s="1" t="s">
        <v>1591</v>
      </c>
      <c r="D4826" s="1" t="s">
        <v>1592</v>
      </c>
      <c r="E4826" s="1" t="s">
        <v>34</v>
      </c>
      <c r="F4826" s="1" t="s">
        <v>144</v>
      </c>
      <c r="G4826" s="1" t="s">
        <v>145</v>
      </c>
      <c r="H4826" s="1" t="s">
        <v>24</v>
      </c>
      <c r="I4826">
        <v>28420</v>
      </c>
      <c r="J4826" s="3">
        <v>38.19</v>
      </c>
      <c r="K4826" s="3">
        <v>1085359.8</v>
      </c>
    </row>
    <row r="4827" spans="1:11" x14ac:dyDescent="0.2">
      <c r="A4827" s="1" t="s">
        <v>5945</v>
      </c>
      <c r="B4827" s="2">
        <v>45381</v>
      </c>
      <c r="C4827" s="1" t="s">
        <v>1368</v>
      </c>
      <c r="D4827" s="1" t="s">
        <v>1369</v>
      </c>
      <c r="E4827" s="1" t="s">
        <v>28</v>
      </c>
      <c r="F4827" s="1" t="s">
        <v>268</v>
      </c>
      <c r="G4827" s="1" t="s">
        <v>269</v>
      </c>
      <c r="H4827" s="1" t="s">
        <v>72</v>
      </c>
      <c r="I4827">
        <v>22909</v>
      </c>
      <c r="J4827" s="3">
        <v>15.14</v>
      </c>
      <c r="K4827" s="3">
        <v>346842.26</v>
      </c>
    </row>
    <row r="4828" spans="1:11" x14ac:dyDescent="0.2">
      <c r="A4828" s="1" t="s">
        <v>5946</v>
      </c>
      <c r="B4828" s="2">
        <v>45455</v>
      </c>
      <c r="C4828" s="1" t="s">
        <v>1622</v>
      </c>
      <c r="D4828" s="1" t="s">
        <v>1623</v>
      </c>
      <c r="E4828" s="1" t="s">
        <v>21</v>
      </c>
      <c r="F4828" s="1" t="s">
        <v>108</v>
      </c>
      <c r="G4828" s="1" t="s">
        <v>109</v>
      </c>
      <c r="H4828" s="1" t="s">
        <v>37</v>
      </c>
      <c r="I4828">
        <v>90379</v>
      </c>
      <c r="J4828" s="3">
        <v>46.89</v>
      </c>
      <c r="K4828" s="3">
        <v>4237871.3099999996</v>
      </c>
    </row>
    <row r="4829" spans="1:11" x14ac:dyDescent="0.2">
      <c r="A4829" s="1" t="s">
        <v>5947</v>
      </c>
      <c r="B4829" s="2">
        <v>45928</v>
      </c>
      <c r="C4829" s="1" t="s">
        <v>1871</v>
      </c>
      <c r="D4829" s="1" t="s">
        <v>1872</v>
      </c>
      <c r="E4829" s="1" t="s">
        <v>34</v>
      </c>
      <c r="F4829" s="1" t="s">
        <v>463</v>
      </c>
      <c r="G4829" s="1" t="s">
        <v>464</v>
      </c>
      <c r="H4829" s="1" t="s">
        <v>37</v>
      </c>
      <c r="I4829">
        <v>37667</v>
      </c>
      <c r="J4829" s="3">
        <v>49.57</v>
      </c>
      <c r="K4829" s="3">
        <v>1867153.19</v>
      </c>
    </row>
    <row r="4830" spans="1:11" x14ac:dyDescent="0.2">
      <c r="A4830" s="1" t="s">
        <v>5948</v>
      </c>
      <c r="B4830" s="2">
        <v>45723</v>
      </c>
      <c r="C4830" s="1" t="s">
        <v>783</v>
      </c>
      <c r="D4830" s="1" t="s">
        <v>784</v>
      </c>
      <c r="E4830" s="1" t="s">
        <v>14</v>
      </c>
      <c r="F4830" s="1" t="s">
        <v>76</v>
      </c>
      <c r="G4830" s="1" t="s">
        <v>77</v>
      </c>
      <c r="H4830" s="1" t="s">
        <v>48</v>
      </c>
      <c r="I4830">
        <v>9836</v>
      </c>
      <c r="J4830" s="3">
        <v>18.63</v>
      </c>
      <c r="K4830" s="3">
        <v>183244.68</v>
      </c>
    </row>
    <row r="4831" spans="1:11" x14ac:dyDescent="0.2">
      <c r="A4831" s="1" t="s">
        <v>5949</v>
      </c>
      <c r="B4831" s="2">
        <v>45447</v>
      </c>
      <c r="C4831" s="1" t="s">
        <v>955</v>
      </c>
      <c r="D4831" s="1" t="s">
        <v>956</v>
      </c>
      <c r="E4831" s="1" t="s">
        <v>28</v>
      </c>
      <c r="F4831" s="1" t="s">
        <v>208</v>
      </c>
      <c r="G4831" s="1" t="s">
        <v>209</v>
      </c>
      <c r="H4831" s="1" t="s">
        <v>17</v>
      </c>
      <c r="I4831">
        <v>85049</v>
      </c>
      <c r="J4831" s="3">
        <v>32.64</v>
      </c>
      <c r="K4831" s="3">
        <v>2775999.36</v>
      </c>
    </row>
    <row r="4832" spans="1:11" x14ac:dyDescent="0.2">
      <c r="A4832" s="1" t="s">
        <v>5950</v>
      </c>
      <c r="B4832" s="2">
        <v>45901</v>
      </c>
      <c r="C4832" s="1" t="s">
        <v>155</v>
      </c>
      <c r="D4832" s="1" t="s">
        <v>156</v>
      </c>
      <c r="E4832" s="1" t="s">
        <v>14</v>
      </c>
      <c r="F4832" s="1" t="s">
        <v>406</v>
      </c>
      <c r="G4832" s="1" t="s">
        <v>407</v>
      </c>
      <c r="H4832" s="1" t="s">
        <v>17</v>
      </c>
      <c r="I4832">
        <v>65318</v>
      </c>
      <c r="J4832" s="3">
        <v>32.44</v>
      </c>
      <c r="K4832" s="3">
        <v>2118915.92</v>
      </c>
    </row>
    <row r="4833" spans="1:11" x14ac:dyDescent="0.2">
      <c r="A4833" s="1" t="s">
        <v>5951</v>
      </c>
      <c r="B4833" s="2">
        <v>45526</v>
      </c>
      <c r="C4833" s="1" t="s">
        <v>93</v>
      </c>
      <c r="D4833" s="1" t="s">
        <v>94</v>
      </c>
      <c r="E4833" s="1" t="s">
        <v>34</v>
      </c>
      <c r="F4833" s="1" t="s">
        <v>189</v>
      </c>
      <c r="G4833" s="1" t="s">
        <v>190</v>
      </c>
      <c r="H4833" s="1" t="s">
        <v>17</v>
      </c>
      <c r="I4833">
        <v>29048</v>
      </c>
      <c r="J4833" s="3">
        <v>22.04</v>
      </c>
      <c r="K4833" s="3">
        <v>640217.92000000004</v>
      </c>
    </row>
    <row r="4834" spans="1:11" x14ac:dyDescent="0.2">
      <c r="A4834" s="1" t="s">
        <v>5952</v>
      </c>
      <c r="B4834" s="2">
        <v>45998</v>
      </c>
      <c r="C4834" s="1" t="s">
        <v>1310</v>
      </c>
      <c r="D4834" s="1" t="s">
        <v>1311</v>
      </c>
      <c r="E4834" s="1" t="s">
        <v>37</v>
      </c>
      <c r="F4834" s="1" t="s">
        <v>52</v>
      </c>
      <c r="G4834" s="1" t="s">
        <v>53</v>
      </c>
      <c r="H4834" s="1" t="s">
        <v>17</v>
      </c>
      <c r="I4834">
        <v>81838</v>
      </c>
      <c r="J4834" s="3">
        <v>41.18</v>
      </c>
      <c r="K4834" s="3">
        <v>3370088.84</v>
      </c>
    </row>
    <row r="4835" spans="1:11" x14ac:dyDescent="0.2">
      <c r="A4835" s="1" t="s">
        <v>5953</v>
      </c>
      <c r="B4835" s="2">
        <v>45366</v>
      </c>
      <c r="C4835" s="1" t="s">
        <v>722</v>
      </c>
      <c r="D4835" s="1" t="s">
        <v>723</v>
      </c>
      <c r="E4835" s="1" t="s">
        <v>21</v>
      </c>
      <c r="F4835" s="1" t="s">
        <v>540</v>
      </c>
      <c r="G4835" s="1" t="s">
        <v>541</v>
      </c>
      <c r="H4835" s="1" t="s">
        <v>37</v>
      </c>
      <c r="I4835">
        <v>26223</v>
      </c>
      <c r="J4835" s="3">
        <v>24.6</v>
      </c>
      <c r="K4835" s="3">
        <v>645085.80000000005</v>
      </c>
    </row>
    <row r="4836" spans="1:11" x14ac:dyDescent="0.2">
      <c r="A4836" s="1" t="s">
        <v>5954</v>
      </c>
      <c r="B4836" s="2">
        <v>45305</v>
      </c>
      <c r="C4836" s="1" t="s">
        <v>421</v>
      </c>
      <c r="D4836" s="1" t="s">
        <v>422</v>
      </c>
      <c r="E4836" s="1" t="s">
        <v>21</v>
      </c>
      <c r="F4836" s="1" t="s">
        <v>29</v>
      </c>
      <c r="G4836" s="1" t="s">
        <v>30</v>
      </c>
      <c r="H4836" s="1" t="s">
        <v>24</v>
      </c>
      <c r="I4836">
        <v>16236</v>
      </c>
      <c r="J4836" s="3">
        <v>30.61</v>
      </c>
      <c r="K4836" s="3">
        <v>496983.96</v>
      </c>
    </row>
    <row r="4837" spans="1:11" x14ac:dyDescent="0.2">
      <c r="A4837" s="1" t="s">
        <v>5955</v>
      </c>
      <c r="B4837" s="2">
        <v>45937</v>
      </c>
      <c r="C4837" s="1" t="s">
        <v>32</v>
      </c>
      <c r="D4837" s="1" t="s">
        <v>33</v>
      </c>
      <c r="E4837" s="1" t="s">
        <v>34</v>
      </c>
      <c r="F4837" s="1" t="s">
        <v>228</v>
      </c>
      <c r="G4837" s="1" t="s">
        <v>229</v>
      </c>
      <c r="H4837" s="1" t="s">
        <v>48</v>
      </c>
      <c r="I4837">
        <v>89062</v>
      </c>
      <c r="J4837" s="3">
        <v>47.54</v>
      </c>
      <c r="K4837" s="3">
        <v>4234007.4800000004</v>
      </c>
    </row>
    <row r="4838" spans="1:11" x14ac:dyDescent="0.2">
      <c r="A4838" s="1" t="s">
        <v>5956</v>
      </c>
      <c r="B4838" s="2">
        <v>45936</v>
      </c>
      <c r="C4838" s="1" t="s">
        <v>532</v>
      </c>
      <c r="D4838" s="1" t="s">
        <v>533</v>
      </c>
      <c r="E4838" s="1" t="s">
        <v>28</v>
      </c>
      <c r="F4838" s="1" t="s">
        <v>98</v>
      </c>
      <c r="G4838" s="1" t="s">
        <v>99</v>
      </c>
      <c r="H4838" s="1" t="s">
        <v>72</v>
      </c>
      <c r="I4838">
        <v>68895</v>
      </c>
      <c r="J4838" s="3">
        <v>16.75</v>
      </c>
      <c r="K4838" s="3">
        <v>1153991.25</v>
      </c>
    </row>
    <row r="4839" spans="1:11" x14ac:dyDescent="0.2">
      <c r="A4839" s="1" t="s">
        <v>5957</v>
      </c>
      <c r="B4839" s="2">
        <v>45641</v>
      </c>
      <c r="C4839" s="1" t="s">
        <v>791</v>
      </c>
      <c r="D4839" s="1" t="s">
        <v>792</v>
      </c>
      <c r="E4839" s="1" t="s">
        <v>34</v>
      </c>
      <c r="F4839" s="1" t="s">
        <v>324</v>
      </c>
      <c r="G4839" s="1" t="s">
        <v>325</v>
      </c>
      <c r="H4839" s="1" t="s">
        <v>24</v>
      </c>
      <c r="I4839">
        <v>54731</v>
      </c>
      <c r="J4839" s="3">
        <v>15.32</v>
      </c>
      <c r="K4839" s="3">
        <v>838478.92</v>
      </c>
    </row>
    <row r="4840" spans="1:11" x14ac:dyDescent="0.2">
      <c r="A4840" s="1" t="s">
        <v>5958</v>
      </c>
      <c r="B4840" s="2">
        <v>45324</v>
      </c>
      <c r="C4840" s="1" t="s">
        <v>1058</v>
      </c>
      <c r="D4840" s="1" t="s">
        <v>1059</v>
      </c>
      <c r="E4840" s="1" t="s">
        <v>14</v>
      </c>
      <c r="F4840" s="1" t="s">
        <v>113</v>
      </c>
      <c r="G4840" s="1" t="s">
        <v>114</v>
      </c>
      <c r="H4840" s="1" t="s">
        <v>37</v>
      </c>
      <c r="I4840">
        <v>97474</v>
      </c>
      <c r="J4840" s="3">
        <v>33.5</v>
      </c>
      <c r="K4840" s="3">
        <v>3265379</v>
      </c>
    </row>
    <row r="4841" spans="1:11" x14ac:dyDescent="0.2">
      <c r="A4841" s="1" t="s">
        <v>5959</v>
      </c>
      <c r="B4841" s="2">
        <v>45508</v>
      </c>
      <c r="C4841" s="1" t="s">
        <v>287</v>
      </c>
      <c r="D4841" s="1" t="s">
        <v>288</v>
      </c>
      <c r="E4841" s="1" t="s">
        <v>21</v>
      </c>
      <c r="F4841" s="1" t="s">
        <v>324</v>
      </c>
      <c r="G4841" s="1" t="s">
        <v>325</v>
      </c>
      <c r="H4841" s="1" t="s">
        <v>24</v>
      </c>
      <c r="I4841">
        <v>64178</v>
      </c>
      <c r="J4841" s="3">
        <v>22.8</v>
      </c>
      <c r="K4841" s="3">
        <v>1463258.4</v>
      </c>
    </row>
    <row r="4842" spans="1:11" x14ac:dyDescent="0.2">
      <c r="A4842" s="1" t="s">
        <v>5960</v>
      </c>
      <c r="B4842" s="2">
        <v>45308</v>
      </c>
      <c r="C4842" s="1" t="s">
        <v>142</v>
      </c>
      <c r="D4842" s="1" t="s">
        <v>143</v>
      </c>
      <c r="E4842" s="1" t="s">
        <v>37</v>
      </c>
      <c r="F4842" s="1" t="s">
        <v>189</v>
      </c>
      <c r="G4842" s="1" t="s">
        <v>190</v>
      </c>
      <c r="H4842" s="1" t="s">
        <v>17</v>
      </c>
      <c r="I4842">
        <v>73001</v>
      </c>
      <c r="J4842" s="3">
        <v>8.51</v>
      </c>
      <c r="K4842" s="3">
        <v>621238.51</v>
      </c>
    </row>
    <row r="4843" spans="1:11" x14ac:dyDescent="0.2">
      <c r="A4843" s="1" t="s">
        <v>5961</v>
      </c>
      <c r="B4843" s="2">
        <v>45384</v>
      </c>
      <c r="C4843" s="1" t="s">
        <v>1426</v>
      </c>
      <c r="D4843" s="1" t="s">
        <v>1427</v>
      </c>
      <c r="E4843" s="1" t="s">
        <v>28</v>
      </c>
      <c r="F4843" s="1" t="s">
        <v>139</v>
      </c>
      <c r="G4843" s="1" t="s">
        <v>140</v>
      </c>
      <c r="H4843" s="1" t="s">
        <v>24</v>
      </c>
      <c r="I4843">
        <v>4277</v>
      </c>
      <c r="J4843" s="3">
        <v>48.96</v>
      </c>
      <c r="K4843" s="3">
        <v>209401.92</v>
      </c>
    </row>
    <row r="4844" spans="1:11" x14ac:dyDescent="0.2">
      <c r="A4844" s="1" t="s">
        <v>5962</v>
      </c>
      <c r="B4844" s="2">
        <v>45482</v>
      </c>
      <c r="C4844" s="1" t="s">
        <v>688</v>
      </c>
      <c r="D4844" s="1" t="s">
        <v>689</v>
      </c>
      <c r="E4844" s="1" t="s">
        <v>37</v>
      </c>
      <c r="F4844" s="1" t="s">
        <v>22</v>
      </c>
      <c r="G4844" s="1" t="s">
        <v>23</v>
      </c>
      <c r="H4844" s="1" t="s">
        <v>24</v>
      </c>
      <c r="I4844">
        <v>88556</v>
      </c>
      <c r="J4844" s="3">
        <v>34.119999999999997</v>
      </c>
      <c r="K4844" s="3">
        <v>3021530.72</v>
      </c>
    </row>
    <row r="4845" spans="1:11" x14ac:dyDescent="0.2">
      <c r="A4845" s="1" t="s">
        <v>5963</v>
      </c>
      <c r="B4845" s="2">
        <v>45706</v>
      </c>
      <c r="C4845" s="1" t="s">
        <v>832</v>
      </c>
      <c r="D4845" s="1" t="s">
        <v>833</v>
      </c>
      <c r="E4845" s="1" t="s">
        <v>28</v>
      </c>
      <c r="F4845" s="1" t="s">
        <v>108</v>
      </c>
      <c r="G4845" s="1" t="s">
        <v>109</v>
      </c>
      <c r="H4845" s="1" t="s">
        <v>37</v>
      </c>
      <c r="I4845">
        <v>52151</v>
      </c>
      <c r="J4845" s="3">
        <v>49.42</v>
      </c>
      <c r="K4845" s="3">
        <v>2577302.42</v>
      </c>
    </row>
    <row r="4846" spans="1:11" x14ac:dyDescent="0.2">
      <c r="A4846" s="1" t="s">
        <v>5964</v>
      </c>
      <c r="B4846" s="2">
        <v>45818</v>
      </c>
      <c r="C4846" s="1" t="s">
        <v>713</v>
      </c>
      <c r="D4846" s="1" t="s">
        <v>714</v>
      </c>
      <c r="E4846" s="1" t="s">
        <v>34</v>
      </c>
      <c r="F4846" s="1" t="s">
        <v>81</v>
      </c>
      <c r="G4846" s="1" t="s">
        <v>82</v>
      </c>
      <c r="H4846" s="1" t="s">
        <v>72</v>
      </c>
      <c r="I4846">
        <v>68291</v>
      </c>
      <c r="J4846" s="3">
        <v>6.19</v>
      </c>
      <c r="K4846" s="3">
        <v>422721.29</v>
      </c>
    </row>
    <row r="4847" spans="1:11" x14ac:dyDescent="0.2">
      <c r="A4847" s="1" t="s">
        <v>5965</v>
      </c>
      <c r="B4847" s="2">
        <v>45829</v>
      </c>
      <c r="C4847" s="1" t="s">
        <v>969</v>
      </c>
      <c r="D4847" s="1" t="s">
        <v>970</v>
      </c>
      <c r="E4847" s="1" t="s">
        <v>37</v>
      </c>
      <c r="F4847" s="1" t="s">
        <v>108</v>
      </c>
      <c r="G4847" s="1" t="s">
        <v>109</v>
      </c>
      <c r="H4847" s="1" t="s">
        <v>37</v>
      </c>
      <c r="I4847">
        <v>93731</v>
      </c>
      <c r="J4847" s="3">
        <v>37.58</v>
      </c>
      <c r="K4847" s="3">
        <v>3522410.98</v>
      </c>
    </row>
    <row r="4848" spans="1:11" x14ac:dyDescent="0.2">
      <c r="A4848" s="1" t="s">
        <v>5966</v>
      </c>
      <c r="B4848" s="2">
        <v>45816</v>
      </c>
      <c r="C4848" s="1" t="s">
        <v>1881</v>
      </c>
      <c r="D4848" s="1" t="s">
        <v>1882</v>
      </c>
      <c r="E4848" s="1" t="s">
        <v>34</v>
      </c>
      <c r="F4848" s="1" t="s">
        <v>176</v>
      </c>
      <c r="G4848" s="1" t="s">
        <v>177</v>
      </c>
      <c r="H4848" s="1" t="s">
        <v>37</v>
      </c>
      <c r="I4848">
        <v>58178</v>
      </c>
      <c r="J4848" s="3">
        <v>19.22</v>
      </c>
      <c r="K4848" s="3">
        <v>1118181.1599999999</v>
      </c>
    </row>
    <row r="4849" spans="1:11" x14ac:dyDescent="0.2">
      <c r="A4849" s="1" t="s">
        <v>5967</v>
      </c>
      <c r="B4849" s="2">
        <v>45653</v>
      </c>
      <c r="C4849" s="1" t="s">
        <v>2386</v>
      </c>
      <c r="D4849" s="1" t="s">
        <v>2387</v>
      </c>
      <c r="E4849" s="1" t="s">
        <v>28</v>
      </c>
      <c r="F4849" s="1" t="s">
        <v>394</v>
      </c>
      <c r="G4849" s="1" t="s">
        <v>395</v>
      </c>
      <c r="H4849" s="1" t="s">
        <v>48</v>
      </c>
      <c r="I4849">
        <v>41555</v>
      </c>
      <c r="J4849" s="3">
        <v>10.98</v>
      </c>
      <c r="K4849" s="3">
        <v>456273.9</v>
      </c>
    </row>
    <row r="4850" spans="1:11" x14ac:dyDescent="0.2">
      <c r="A4850" s="1" t="s">
        <v>5968</v>
      </c>
      <c r="B4850" s="2">
        <v>45591</v>
      </c>
      <c r="C4850" s="1" t="s">
        <v>249</v>
      </c>
      <c r="D4850" s="1" t="s">
        <v>250</v>
      </c>
      <c r="E4850" s="1" t="s">
        <v>21</v>
      </c>
      <c r="F4850" s="1" t="s">
        <v>394</v>
      </c>
      <c r="G4850" s="1" t="s">
        <v>395</v>
      </c>
      <c r="H4850" s="1" t="s">
        <v>48</v>
      </c>
      <c r="I4850">
        <v>94310</v>
      </c>
      <c r="J4850" s="3">
        <v>19.53</v>
      </c>
      <c r="K4850" s="3">
        <v>1841874.3</v>
      </c>
    </row>
    <row r="4851" spans="1:11" x14ac:dyDescent="0.2">
      <c r="A4851" s="1" t="s">
        <v>5969</v>
      </c>
      <c r="B4851" s="2">
        <v>45890</v>
      </c>
      <c r="C4851" s="1" t="s">
        <v>770</v>
      </c>
      <c r="D4851" s="1" t="s">
        <v>771</v>
      </c>
      <c r="E4851" s="1" t="s">
        <v>34</v>
      </c>
      <c r="F4851" s="1" t="s">
        <v>15</v>
      </c>
      <c r="G4851" s="1" t="s">
        <v>16</v>
      </c>
      <c r="H4851" s="1" t="s">
        <v>17</v>
      </c>
      <c r="I4851">
        <v>69553</v>
      </c>
      <c r="J4851" s="3">
        <v>8.8800000000000008</v>
      </c>
      <c r="K4851" s="3">
        <v>617630.64</v>
      </c>
    </row>
    <row r="4852" spans="1:11" x14ac:dyDescent="0.2">
      <c r="A4852" s="1" t="s">
        <v>5970</v>
      </c>
      <c r="B4852" s="2">
        <v>45410</v>
      </c>
      <c r="C4852" s="1" t="s">
        <v>134</v>
      </c>
      <c r="D4852" s="1" t="s">
        <v>135</v>
      </c>
      <c r="E4852" s="1" t="s">
        <v>14</v>
      </c>
      <c r="F4852" s="1" t="s">
        <v>41</v>
      </c>
      <c r="G4852" s="1" t="s">
        <v>42</v>
      </c>
      <c r="H4852" s="1" t="s">
        <v>24</v>
      </c>
      <c r="I4852">
        <v>59038</v>
      </c>
      <c r="J4852" s="3">
        <v>16.760000000000002</v>
      </c>
      <c r="K4852" s="3">
        <v>989476.88</v>
      </c>
    </row>
    <row r="4853" spans="1:11" x14ac:dyDescent="0.2">
      <c r="A4853" s="1" t="s">
        <v>5971</v>
      </c>
      <c r="B4853" s="2">
        <v>45743</v>
      </c>
      <c r="C4853" s="1" t="s">
        <v>2319</v>
      </c>
      <c r="D4853" s="1" t="s">
        <v>2320</v>
      </c>
      <c r="E4853" s="1" t="s">
        <v>21</v>
      </c>
      <c r="F4853" s="1" t="s">
        <v>152</v>
      </c>
      <c r="G4853" s="1" t="s">
        <v>153</v>
      </c>
      <c r="H4853" s="1" t="s">
        <v>17</v>
      </c>
      <c r="I4853">
        <v>86940</v>
      </c>
      <c r="J4853" s="3">
        <v>49.86</v>
      </c>
      <c r="K4853" s="3">
        <v>4334828.4000000004</v>
      </c>
    </row>
    <row r="4854" spans="1:11" x14ac:dyDescent="0.2">
      <c r="A4854" s="1" t="s">
        <v>5972</v>
      </c>
      <c r="B4854" s="2">
        <v>45804</v>
      </c>
      <c r="C4854" s="1" t="s">
        <v>3086</v>
      </c>
      <c r="D4854" s="1" t="s">
        <v>3087</v>
      </c>
      <c r="E4854" s="1" t="s">
        <v>28</v>
      </c>
      <c r="F4854" s="1" t="s">
        <v>144</v>
      </c>
      <c r="G4854" s="1" t="s">
        <v>145</v>
      </c>
      <c r="H4854" s="1" t="s">
        <v>24</v>
      </c>
      <c r="I4854">
        <v>67333</v>
      </c>
      <c r="J4854" s="3">
        <v>35.99</v>
      </c>
      <c r="K4854" s="3">
        <v>2423314.67</v>
      </c>
    </row>
    <row r="4855" spans="1:11" x14ac:dyDescent="0.2">
      <c r="A4855" s="1" t="s">
        <v>5973</v>
      </c>
      <c r="B4855" s="2">
        <v>45497</v>
      </c>
      <c r="C4855" s="1" t="s">
        <v>1044</v>
      </c>
      <c r="D4855" s="1" t="s">
        <v>1045</v>
      </c>
      <c r="E4855" s="1" t="s">
        <v>14</v>
      </c>
      <c r="F4855" s="1" t="s">
        <v>76</v>
      </c>
      <c r="G4855" s="1" t="s">
        <v>77</v>
      </c>
      <c r="H4855" s="1" t="s">
        <v>48</v>
      </c>
      <c r="I4855">
        <v>54743</v>
      </c>
      <c r="J4855" s="3">
        <v>38.409999999999997</v>
      </c>
      <c r="K4855" s="3">
        <v>2102678.63</v>
      </c>
    </row>
    <row r="4856" spans="1:11" x14ac:dyDescent="0.2">
      <c r="A4856" s="1" t="s">
        <v>5974</v>
      </c>
      <c r="B4856" s="2">
        <v>45677</v>
      </c>
      <c r="C4856" s="1" t="s">
        <v>923</v>
      </c>
      <c r="D4856" s="1" t="s">
        <v>924</v>
      </c>
      <c r="E4856" s="1" t="s">
        <v>37</v>
      </c>
      <c r="F4856" s="1" t="s">
        <v>29</v>
      </c>
      <c r="G4856" s="1" t="s">
        <v>30</v>
      </c>
      <c r="H4856" s="1" t="s">
        <v>24</v>
      </c>
      <c r="I4856">
        <v>53046</v>
      </c>
      <c r="J4856" s="3">
        <v>3.85</v>
      </c>
      <c r="K4856" s="3">
        <v>204227.1</v>
      </c>
    </row>
    <row r="4857" spans="1:11" x14ac:dyDescent="0.2">
      <c r="A4857" s="1" t="s">
        <v>5975</v>
      </c>
      <c r="B4857" s="2">
        <v>45328</v>
      </c>
      <c r="C4857" s="1" t="s">
        <v>359</v>
      </c>
      <c r="D4857" s="1" t="s">
        <v>360</v>
      </c>
      <c r="E4857" s="1" t="s">
        <v>34</v>
      </c>
      <c r="F4857" s="1" t="s">
        <v>139</v>
      </c>
      <c r="G4857" s="1" t="s">
        <v>140</v>
      </c>
      <c r="H4857" s="1" t="s">
        <v>24</v>
      </c>
      <c r="I4857">
        <v>28594</v>
      </c>
      <c r="J4857" s="3">
        <v>25.84</v>
      </c>
      <c r="K4857" s="3">
        <v>738868.96</v>
      </c>
    </row>
    <row r="4858" spans="1:11" x14ac:dyDescent="0.2">
      <c r="A4858" s="1" t="s">
        <v>5976</v>
      </c>
      <c r="B4858" s="2">
        <v>45939</v>
      </c>
      <c r="C4858" s="1" t="s">
        <v>168</v>
      </c>
      <c r="D4858" s="1" t="s">
        <v>169</v>
      </c>
      <c r="E4858" s="1" t="s">
        <v>21</v>
      </c>
      <c r="F4858" s="1" t="s">
        <v>144</v>
      </c>
      <c r="G4858" s="1" t="s">
        <v>145</v>
      </c>
      <c r="H4858" s="1" t="s">
        <v>24</v>
      </c>
      <c r="I4858">
        <v>26309</v>
      </c>
      <c r="J4858" s="3">
        <v>6.98</v>
      </c>
      <c r="K4858" s="3">
        <v>183636.82</v>
      </c>
    </row>
    <row r="4859" spans="1:11" x14ac:dyDescent="0.2">
      <c r="A4859" s="1" t="s">
        <v>5977</v>
      </c>
      <c r="B4859" s="2">
        <v>46008</v>
      </c>
      <c r="C4859" s="1" t="s">
        <v>2571</v>
      </c>
      <c r="D4859" s="1" t="s">
        <v>2572</v>
      </c>
      <c r="E4859" s="1" t="s">
        <v>34</v>
      </c>
      <c r="F4859" s="1" t="s">
        <v>98</v>
      </c>
      <c r="G4859" s="1" t="s">
        <v>99</v>
      </c>
      <c r="H4859" s="1" t="s">
        <v>72</v>
      </c>
      <c r="I4859">
        <v>30339</v>
      </c>
      <c r="J4859" s="3">
        <v>17.45</v>
      </c>
      <c r="K4859" s="3">
        <v>529415.55000000005</v>
      </c>
    </row>
    <row r="4860" spans="1:11" x14ac:dyDescent="0.2">
      <c r="A4860" s="1" t="s">
        <v>5978</v>
      </c>
      <c r="B4860" s="2">
        <v>45462</v>
      </c>
      <c r="C4860" s="1" t="s">
        <v>844</v>
      </c>
      <c r="D4860" s="1" t="s">
        <v>845</v>
      </c>
      <c r="E4860" s="1" t="s">
        <v>37</v>
      </c>
      <c r="F4860" s="1" t="s">
        <v>412</v>
      </c>
      <c r="G4860" s="1" t="s">
        <v>413</v>
      </c>
      <c r="H4860" s="1" t="s">
        <v>72</v>
      </c>
      <c r="I4860">
        <v>18872</v>
      </c>
      <c r="J4860" s="3">
        <v>6.38</v>
      </c>
      <c r="K4860" s="3">
        <v>120403.36</v>
      </c>
    </row>
    <row r="4861" spans="1:11" x14ac:dyDescent="0.2">
      <c r="A4861" s="1" t="s">
        <v>5979</v>
      </c>
      <c r="B4861" s="2">
        <v>45555</v>
      </c>
      <c r="C4861" s="1" t="s">
        <v>593</v>
      </c>
      <c r="D4861" s="1" t="s">
        <v>594</v>
      </c>
      <c r="E4861" s="1" t="s">
        <v>37</v>
      </c>
      <c r="F4861" s="1" t="s">
        <v>273</v>
      </c>
      <c r="G4861" s="1" t="s">
        <v>274</v>
      </c>
      <c r="H4861" s="1" t="s">
        <v>24</v>
      </c>
      <c r="I4861">
        <v>82193</v>
      </c>
      <c r="J4861" s="3">
        <v>49.46</v>
      </c>
      <c r="K4861" s="3">
        <v>4065265.78</v>
      </c>
    </row>
    <row r="4862" spans="1:11" x14ac:dyDescent="0.2">
      <c r="A4862" s="1" t="s">
        <v>5980</v>
      </c>
      <c r="B4862" s="2">
        <v>45486</v>
      </c>
      <c r="C4862" s="1" t="s">
        <v>1039</v>
      </c>
      <c r="D4862" s="1" t="s">
        <v>1040</v>
      </c>
      <c r="E4862" s="1" t="s">
        <v>14</v>
      </c>
      <c r="F4862" s="1" t="s">
        <v>165</v>
      </c>
      <c r="G4862" s="1" t="s">
        <v>166</v>
      </c>
      <c r="H4862" s="1" t="s">
        <v>24</v>
      </c>
      <c r="I4862">
        <v>79008</v>
      </c>
      <c r="J4862" s="3">
        <v>12.13</v>
      </c>
      <c r="K4862" s="3">
        <v>958367.04</v>
      </c>
    </row>
    <row r="4863" spans="1:11" x14ac:dyDescent="0.2">
      <c r="A4863" s="1" t="s">
        <v>5981</v>
      </c>
      <c r="B4863" s="2">
        <v>45664</v>
      </c>
      <c r="C4863" s="1" t="s">
        <v>303</v>
      </c>
      <c r="D4863" s="1" t="s">
        <v>304</v>
      </c>
      <c r="E4863" s="1" t="s">
        <v>28</v>
      </c>
      <c r="F4863" s="1" t="s">
        <v>540</v>
      </c>
      <c r="G4863" s="1" t="s">
        <v>541</v>
      </c>
      <c r="H4863" s="1" t="s">
        <v>37</v>
      </c>
      <c r="I4863">
        <v>21250</v>
      </c>
      <c r="J4863" s="3">
        <v>10.34</v>
      </c>
      <c r="K4863" s="3">
        <v>219725</v>
      </c>
    </row>
    <row r="4864" spans="1:11" x14ac:dyDescent="0.2">
      <c r="A4864" s="1" t="s">
        <v>5982</v>
      </c>
      <c r="B4864" s="2">
        <v>45338</v>
      </c>
      <c r="C4864" s="1" t="s">
        <v>932</v>
      </c>
      <c r="D4864" s="1" t="s">
        <v>933</v>
      </c>
      <c r="E4864" s="1" t="s">
        <v>14</v>
      </c>
      <c r="F4864" s="1" t="s">
        <v>228</v>
      </c>
      <c r="G4864" s="1" t="s">
        <v>229</v>
      </c>
      <c r="H4864" s="1" t="s">
        <v>48</v>
      </c>
      <c r="I4864">
        <v>73619</v>
      </c>
      <c r="J4864" s="3">
        <v>27.84</v>
      </c>
      <c r="K4864" s="3">
        <v>2049552.96</v>
      </c>
    </row>
    <row r="4865" spans="1:11" x14ac:dyDescent="0.2">
      <c r="A4865" s="1" t="s">
        <v>5983</v>
      </c>
      <c r="B4865" s="2">
        <v>45553</v>
      </c>
      <c r="C4865" s="1" t="s">
        <v>201</v>
      </c>
      <c r="D4865" s="1" t="s">
        <v>202</v>
      </c>
      <c r="E4865" s="1" t="s">
        <v>14</v>
      </c>
      <c r="F4865" s="1" t="s">
        <v>165</v>
      </c>
      <c r="G4865" s="1" t="s">
        <v>166</v>
      </c>
      <c r="H4865" s="1" t="s">
        <v>24</v>
      </c>
      <c r="I4865">
        <v>2349</v>
      </c>
      <c r="J4865" s="3">
        <v>38.31</v>
      </c>
      <c r="K4865" s="3">
        <v>89990.19</v>
      </c>
    </row>
    <row r="4866" spans="1:11" x14ac:dyDescent="0.2">
      <c r="A4866" s="1" t="s">
        <v>5984</v>
      </c>
      <c r="B4866" s="2">
        <v>45967</v>
      </c>
      <c r="C4866" s="1" t="s">
        <v>368</v>
      </c>
      <c r="D4866" s="1" t="s">
        <v>369</v>
      </c>
      <c r="E4866" s="1" t="s">
        <v>37</v>
      </c>
      <c r="F4866" s="1" t="s">
        <v>139</v>
      </c>
      <c r="G4866" s="1" t="s">
        <v>140</v>
      </c>
      <c r="H4866" s="1" t="s">
        <v>24</v>
      </c>
      <c r="I4866">
        <v>71769</v>
      </c>
      <c r="J4866" s="3">
        <v>13.69</v>
      </c>
      <c r="K4866" s="3">
        <v>982517.61</v>
      </c>
    </row>
    <row r="4867" spans="1:11" x14ac:dyDescent="0.2">
      <c r="A4867" s="1" t="s">
        <v>5985</v>
      </c>
      <c r="B4867" s="2">
        <v>45552</v>
      </c>
      <c r="C4867" s="1" t="s">
        <v>1523</v>
      </c>
      <c r="D4867" s="1" t="s">
        <v>1524</v>
      </c>
      <c r="E4867" s="1" t="s">
        <v>28</v>
      </c>
      <c r="F4867" s="1" t="s">
        <v>108</v>
      </c>
      <c r="G4867" s="1" t="s">
        <v>109</v>
      </c>
      <c r="H4867" s="1" t="s">
        <v>37</v>
      </c>
      <c r="I4867">
        <v>70783</v>
      </c>
      <c r="J4867" s="3">
        <v>38.590000000000003</v>
      </c>
      <c r="K4867" s="3">
        <v>2731515.97</v>
      </c>
    </row>
    <row r="4868" spans="1:11" x14ac:dyDescent="0.2">
      <c r="A4868" s="1" t="s">
        <v>5986</v>
      </c>
      <c r="B4868" s="2">
        <v>45771</v>
      </c>
      <c r="C4868" s="1" t="s">
        <v>651</v>
      </c>
      <c r="D4868" s="1" t="s">
        <v>652</v>
      </c>
      <c r="E4868" s="1" t="s">
        <v>28</v>
      </c>
      <c r="F4868" s="1" t="s">
        <v>463</v>
      </c>
      <c r="G4868" s="1" t="s">
        <v>464</v>
      </c>
      <c r="H4868" s="1" t="s">
        <v>37</v>
      </c>
      <c r="I4868">
        <v>4819</v>
      </c>
      <c r="J4868" s="3">
        <v>36.76</v>
      </c>
      <c r="K4868" s="3">
        <v>177146.44</v>
      </c>
    </row>
    <row r="4869" spans="1:11" x14ac:dyDescent="0.2">
      <c r="A4869" s="1" t="s">
        <v>5987</v>
      </c>
      <c r="B4869" s="2">
        <v>45707</v>
      </c>
      <c r="C4869" s="1" t="s">
        <v>74</v>
      </c>
      <c r="D4869" s="1" t="s">
        <v>75</v>
      </c>
      <c r="E4869" s="1" t="s">
        <v>37</v>
      </c>
      <c r="F4869" s="1" t="s">
        <v>176</v>
      </c>
      <c r="G4869" s="1" t="s">
        <v>177</v>
      </c>
      <c r="H4869" s="1" t="s">
        <v>37</v>
      </c>
      <c r="I4869">
        <v>39010</v>
      </c>
      <c r="J4869" s="3">
        <v>23.39</v>
      </c>
      <c r="K4869" s="3">
        <v>912443.9</v>
      </c>
    </row>
    <row r="4870" spans="1:11" x14ac:dyDescent="0.2">
      <c r="A4870" s="1" t="s">
        <v>5988</v>
      </c>
      <c r="B4870" s="2">
        <v>45588</v>
      </c>
      <c r="C4870" s="1" t="s">
        <v>1244</v>
      </c>
      <c r="D4870" s="1" t="s">
        <v>1245</v>
      </c>
      <c r="E4870" s="1" t="s">
        <v>28</v>
      </c>
      <c r="F4870" s="1" t="s">
        <v>203</v>
      </c>
      <c r="G4870" s="1" t="s">
        <v>204</v>
      </c>
      <c r="H4870" s="1" t="s">
        <v>72</v>
      </c>
      <c r="I4870">
        <v>28595</v>
      </c>
      <c r="J4870" s="3">
        <v>28.45</v>
      </c>
      <c r="K4870" s="3">
        <v>813527.75</v>
      </c>
    </row>
    <row r="4871" spans="1:11" x14ac:dyDescent="0.2">
      <c r="A4871" s="1" t="s">
        <v>5989</v>
      </c>
      <c r="B4871" s="2">
        <v>45779</v>
      </c>
      <c r="C4871" s="1" t="s">
        <v>636</v>
      </c>
      <c r="D4871" s="1" t="s">
        <v>637</v>
      </c>
      <c r="E4871" s="1" t="s">
        <v>21</v>
      </c>
      <c r="F4871" s="1" t="s">
        <v>57</v>
      </c>
      <c r="G4871" s="1" t="s">
        <v>58</v>
      </c>
      <c r="H4871" s="1" t="s">
        <v>48</v>
      </c>
      <c r="I4871">
        <v>12863</v>
      </c>
      <c r="J4871" s="3">
        <v>17.809999999999999</v>
      </c>
      <c r="K4871" s="3">
        <v>229090.03</v>
      </c>
    </row>
    <row r="4872" spans="1:11" x14ac:dyDescent="0.2">
      <c r="A4872" s="1" t="s">
        <v>5990</v>
      </c>
      <c r="B4872" s="2">
        <v>45787</v>
      </c>
      <c r="C4872" s="1" t="s">
        <v>801</v>
      </c>
      <c r="D4872" s="1" t="s">
        <v>802</v>
      </c>
      <c r="E4872" s="1" t="s">
        <v>14</v>
      </c>
      <c r="F4872" s="1" t="s">
        <v>46</v>
      </c>
      <c r="G4872" s="1" t="s">
        <v>47</v>
      </c>
      <c r="H4872" s="1" t="s">
        <v>48</v>
      </c>
      <c r="I4872">
        <v>52570</v>
      </c>
      <c r="J4872" s="3">
        <v>41.88</v>
      </c>
      <c r="K4872" s="3">
        <v>2201631.6</v>
      </c>
    </row>
    <row r="4873" spans="1:11" x14ac:dyDescent="0.2">
      <c r="A4873" s="1" t="s">
        <v>5991</v>
      </c>
      <c r="B4873" s="2">
        <v>45684</v>
      </c>
      <c r="C4873" s="1" t="s">
        <v>168</v>
      </c>
      <c r="D4873" s="1" t="s">
        <v>169</v>
      </c>
      <c r="E4873" s="1" t="s">
        <v>21</v>
      </c>
      <c r="F4873" s="1" t="s">
        <v>35</v>
      </c>
      <c r="G4873" s="1" t="s">
        <v>36</v>
      </c>
      <c r="H4873" s="1" t="s">
        <v>37</v>
      </c>
      <c r="I4873">
        <v>32980</v>
      </c>
      <c r="J4873" s="3">
        <v>47.37</v>
      </c>
      <c r="K4873" s="3">
        <v>1562262.6</v>
      </c>
    </row>
    <row r="4874" spans="1:11" x14ac:dyDescent="0.2">
      <c r="A4874" s="1" t="s">
        <v>5992</v>
      </c>
      <c r="B4874" s="2">
        <v>45621</v>
      </c>
      <c r="C4874" s="1" t="s">
        <v>788</v>
      </c>
      <c r="D4874" s="1" t="s">
        <v>789</v>
      </c>
      <c r="E4874" s="1" t="s">
        <v>14</v>
      </c>
      <c r="F4874" s="1" t="s">
        <v>510</v>
      </c>
      <c r="G4874" s="1" t="s">
        <v>511</v>
      </c>
      <c r="H4874" s="1" t="s">
        <v>17</v>
      </c>
      <c r="I4874">
        <v>36439</v>
      </c>
      <c r="J4874" s="3">
        <v>31.05</v>
      </c>
      <c r="K4874" s="3">
        <v>1131430.95</v>
      </c>
    </row>
    <row r="4875" spans="1:11" x14ac:dyDescent="0.2">
      <c r="A4875" s="1" t="s">
        <v>5993</v>
      </c>
      <c r="B4875" s="2">
        <v>45666</v>
      </c>
      <c r="C4875" s="1" t="s">
        <v>266</v>
      </c>
      <c r="D4875" s="1" t="s">
        <v>267</v>
      </c>
      <c r="E4875" s="1" t="s">
        <v>14</v>
      </c>
      <c r="F4875" s="1" t="s">
        <v>76</v>
      </c>
      <c r="G4875" s="1" t="s">
        <v>77</v>
      </c>
      <c r="H4875" s="1" t="s">
        <v>48</v>
      </c>
      <c r="I4875">
        <v>46109</v>
      </c>
      <c r="J4875" s="3">
        <v>46.98</v>
      </c>
      <c r="K4875" s="3">
        <v>2166200.8199999998</v>
      </c>
    </row>
    <row r="4876" spans="1:11" x14ac:dyDescent="0.2">
      <c r="A4876" s="1" t="s">
        <v>5994</v>
      </c>
      <c r="B4876" s="2">
        <v>45613</v>
      </c>
      <c r="C4876" s="1" t="s">
        <v>1397</v>
      </c>
      <c r="D4876" s="1" t="s">
        <v>1398</v>
      </c>
      <c r="E4876" s="1" t="s">
        <v>14</v>
      </c>
      <c r="F4876" s="1" t="s">
        <v>237</v>
      </c>
      <c r="G4876" s="1" t="s">
        <v>238</v>
      </c>
      <c r="H4876" s="1" t="s">
        <v>17</v>
      </c>
      <c r="I4876">
        <v>77540</v>
      </c>
      <c r="J4876" s="3">
        <v>30.67</v>
      </c>
      <c r="K4876" s="3">
        <v>2378151.7999999998</v>
      </c>
    </row>
    <row r="4877" spans="1:11" x14ac:dyDescent="0.2">
      <c r="A4877" s="1" t="s">
        <v>5995</v>
      </c>
      <c r="B4877" s="2">
        <v>45779</v>
      </c>
      <c r="C4877" s="1" t="s">
        <v>913</v>
      </c>
      <c r="D4877" s="1" t="s">
        <v>914</v>
      </c>
      <c r="E4877" s="1" t="s">
        <v>37</v>
      </c>
      <c r="F4877" s="1" t="s">
        <v>217</v>
      </c>
      <c r="G4877" s="1" t="s">
        <v>218</v>
      </c>
      <c r="H4877" s="1" t="s">
        <v>72</v>
      </c>
      <c r="I4877">
        <v>80989</v>
      </c>
      <c r="J4877" s="3">
        <v>33.659999999999997</v>
      </c>
      <c r="K4877" s="3">
        <v>2726089.74</v>
      </c>
    </row>
    <row r="4878" spans="1:11" x14ac:dyDescent="0.2">
      <c r="A4878" s="1" t="s">
        <v>5996</v>
      </c>
      <c r="B4878" s="2">
        <v>45825</v>
      </c>
      <c r="C4878" s="1" t="s">
        <v>1178</v>
      </c>
      <c r="D4878" s="1" t="s">
        <v>1179</v>
      </c>
      <c r="E4878" s="1" t="s">
        <v>34</v>
      </c>
      <c r="F4878" s="1" t="s">
        <v>76</v>
      </c>
      <c r="G4878" s="1" t="s">
        <v>77</v>
      </c>
      <c r="H4878" s="1" t="s">
        <v>48</v>
      </c>
      <c r="I4878">
        <v>98016</v>
      </c>
      <c r="J4878" s="3">
        <v>48.99</v>
      </c>
      <c r="K4878" s="3">
        <v>4801803.84</v>
      </c>
    </row>
    <row r="4879" spans="1:11" x14ac:dyDescent="0.2">
      <c r="A4879" s="1" t="s">
        <v>5997</v>
      </c>
      <c r="B4879" s="2">
        <v>45441</v>
      </c>
      <c r="C4879" s="1" t="s">
        <v>657</v>
      </c>
      <c r="D4879" s="1" t="s">
        <v>658</v>
      </c>
      <c r="E4879" s="1" t="s">
        <v>37</v>
      </c>
      <c r="F4879" s="1" t="s">
        <v>113</v>
      </c>
      <c r="G4879" s="1" t="s">
        <v>114</v>
      </c>
      <c r="H4879" s="1" t="s">
        <v>37</v>
      </c>
      <c r="I4879">
        <v>94415</v>
      </c>
      <c r="J4879" s="3">
        <v>25.98</v>
      </c>
      <c r="K4879" s="3">
        <v>2452901.7000000002</v>
      </c>
    </row>
    <row r="4880" spans="1:11" x14ac:dyDescent="0.2">
      <c r="A4880" s="1" t="s">
        <v>5998</v>
      </c>
      <c r="B4880" s="2">
        <v>45873</v>
      </c>
      <c r="C4880" s="1" t="s">
        <v>576</v>
      </c>
      <c r="D4880" s="1" t="s">
        <v>577</v>
      </c>
      <c r="E4880" s="1" t="s">
        <v>14</v>
      </c>
      <c r="F4880" s="1" t="s">
        <v>463</v>
      </c>
      <c r="G4880" s="1" t="s">
        <v>464</v>
      </c>
      <c r="H4880" s="1" t="s">
        <v>37</v>
      </c>
      <c r="I4880">
        <v>1111</v>
      </c>
      <c r="J4880" s="3">
        <v>43.48</v>
      </c>
      <c r="K4880" s="3">
        <v>48306.28</v>
      </c>
    </row>
    <row r="4881" spans="1:11" x14ac:dyDescent="0.2">
      <c r="A4881" s="1" t="s">
        <v>5999</v>
      </c>
      <c r="B4881" s="2">
        <v>45398</v>
      </c>
      <c r="C4881" s="1" t="s">
        <v>271</v>
      </c>
      <c r="D4881" s="1" t="s">
        <v>272</v>
      </c>
      <c r="E4881" s="1" t="s">
        <v>37</v>
      </c>
      <c r="F4881" s="1" t="s">
        <v>339</v>
      </c>
      <c r="G4881" s="1" t="s">
        <v>340</v>
      </c>
      <c r="H4881" s="1" t="s">
        <v>24</v>
      </c>
      <c r="I4881">
        <v>42959</v>
      </c>
      <c r="J4881" s="3">
        <v>35.83</v>
      </c>
      <c r="K4881" s="3">
        <v>1539220.97</v>
      </c>
    </row>
    <row r="4882" spans="1:11" x14ac:dyDescent="0.2">
      <c r="A4882" s="1" t="s">
        <v>6000</v>
      </c>
      <c r="B4882" s="2">
        <v>45869</v>
      </c>
      <c r="C4882" s="1" t="s">
        <v>365</v>
      </c>
      <c r="D4882" s="1" t="s">
        <v>366</v>
      </c>
      <c r="E4882" s="1" t="s">
        <v>14</v>
      </c>
      <c r="F4882" s="1" t="s">
        <v>228</v>
      </c>
      <c r="G4882" s="1" t="s">
        <v>229</v>
      </c>
      <c r="H4882" s="1" t="s">
        <v>48</v>
      </c>
      <c r="I4882">
        <v>13754</v>
      </c>
      <c r="J4882" s="3">
        <v>10.66</v>
      </c>
      <c r="K4882" s="3">
        <v>146617.64000000001</v>
      </c>
    </row>
    <row r="4883" spans="1:11" x14ac:dyDescent="0.2">
      <c r="A4883" s="1" t="s">
        <v>6001</v>
      </c>
      <c r="B4883" s="2">
        <v>45441</v>
      </c>
      <c r="C4883" s="1" t="s">
        <v>101</v>
      </c>
      <c r="D4883" s="1" t="s">
        <v>102</v>
      </c>
      <c r="E4883" s="1" t="s">
        <v>37</v>
      </c>
      <c r="F4883" s="1" t="s">
        <v>474</v>
      </c>
      <c r="G4883" s="1" t="s">
        <v>475</v>
      </c>
      <c r="H4883" s="1" t="s">
        <v>48</v>
      </c>
      <c r="I4883">
        <v>66640</v>
      </c>
      <c r="J4883" s="3">
        <v>8.86</v>
      </c>
      <c r="K4883" s="3">
        <v>590430.4</v>
      </c>
    </row>
    <row r="4884" spans="1:11" x14ac:dyDescent="0.2">
      <c r="A4884" s="1" t="s">
        <v>6002</v>
      </c>
      <c r="B4884" s="2">
        <v>45693</v>
      </c>
      <c r="C4884" s="1" t="s">
        <v>573</v>
      </c>
      <c r="D4884" s="1" t="s">
        <v>574</v>
      </c>
      <c r="E4884" s="1" t="s">
        <v>14</v>
      </c>
      <c r="F4884" s="1" t="s">
        <v>217</v>
      </c>
      <c r="G4884" s="1" t="s">
        <v>218</v>
      </c>
      <c r="H4884" s="1" t="s">
        <v>72</v>
      </c>
      <c r="I4884">
        <v>69919</v>
      </c>
      <c r="J4884" s="3">
        <v>11.58</v>
      </c>
      <c r="K4884" s="3">
        <v>809662.02</v>
      </c>
    </row>
    <row r="4885" spans="1:11" x14ac:dyDescent="0.2">
      <c r="A4885" s="1" t="s">
        <v>6003</v>
      </c>
      <c r="B4885" s="2">
        <v>45793</v>
      </c>
      <c r="C4885" s="1" t="s">
        <v>1535</v>
      </c>
      <c r="D4885" s="1" t="s">
        <v>1536</v>
      </c>
      <c r="E4885" s="1" t="s">
        <v>21</v>
      </c>
      <c r="F4885" s="1" t="s">
        <v>70</v>
      </c>
      <c r="G4885" s="1" t="s">
        <v>71</v>
      </c>
      <c r="H4885" s="1" t="s">
        <v>72</v>
      </c>
      <c r="I4885">
        <v>29481</v>
      </c>
      <c r="J4885" s="3">
        <v>23.53</v>
      </c>
      <c r="K4885" s="3">
        <v>693687.93</v>
      </c>
    </row>
    <row r="4886" spans="1:11" x14ac:dyDescent="0.2">
      <c r="A4886" s="1" t="s">
        <v>6004</v>
      </c>
      <c r="B4886" s="2">
        <v>45832</v>
      </c>
      <c r="C4886" s="1" t="s">
        <v>783</v>
      </c>
      <c r="D4886" s="1" t="s">
        <v>784</v>
      </c>
      <c r="E4886" s="1" t="s">
        <v>14</v>
      </c>
      <c r="F4886" s="1" t="s">
        <v>165</v>
      </c>
      <c r="G4886" s="1" t="s">
        <v>166</v>
      </c>
      <c r="H4886" s="1" t="s">
        <v>24</v>
      </c>
      <c r="I4886">
        <v>94077</v>
      </c>
      <c r="J4886" s="3">
        <v>49.25</v>
      </c>
      <c r="K4886" s="3">
        <v>4633292.25</v>
      </c>
    </row>
    <row r="4887" spans="1:11" x14ac:dyDescent="0.2">
      <c r="A4887" s="1" t="s">
        <v>6005</v>
      </c>
      <c r="B4887" s="2">
        <v>46009</v>
      </c>
      <c r="C4887" s="1" t="s">
        <v>1050</v>
      </c>
      <c r="D4887" s="1" t="s">
        <v>1051</v>
      </c>
      <c r="E4887" s="1" t="s">
        <v>14</v>
      </c>
      <c r="F4887" s="1" t="s">
        <v>189</v>
      </c>
      <c r="G4887" s="1" t="s">
        <v>190</v>
      </c>
      <c r="H4887" s="1" t="s">
        <v>17</v>
      </c>
      <c r="I4887">
        <v>67025</v>
      </c>
      <c r="J4887" s="3">
        <v>33.82</v>
      </c>
      <c r="K4887" s="3">
        <v>2266785.5</v>
      </c>
    </row>
    <row r="4888" spans="1:11" x14ac:dyDescent="0.2">
      <c r="A4888" s="1" t="s">
        <v>6006</v>
      </c>
      <c r="B4888" s="2">
        <v>45457</v>
      </c>
      <c r="C4888" s="1" t="s">
        <v>365</v>
      </c>
      <c r="D4888" s="1" t="s">
        <v>366</v>
      </c>
      <c r="E4888" s="1" t="s">
        <v>14</v>
      </c>
      <c r="F4888" s="1" t="s">
        <v>350</v>
      </c>
      <c r="G4888" s="1" t="s">
        <v>351</v>
      </c>
      <c r="H4888" s="1" t="s">
        <v>37</v>
      </c>
      <c r="I4888">
        <v>58815</v>
      </c>
      <c r="J4888" s="3">
        <v>25.31</v>
      </c>
      <c r="K4888" s="3">
        <v>1488607.65</v>
      </c>
    </row>
    <row r="4889" spans="1:11" x14ac:dyDescent="0.2">
      <c r="A4889" s="1" t="s">
        <v>6007</v>
      </c>
      <c r="B4889" s="2">
        <v>45626</v>
      </c>
      <c r="C4889" s="1" t="s">
        <v>122</v>
      </c>
      <c r="D4889" s="1" t="s">
        <v>123</v>
      </c>
      <c r="E4889" s="1" t="s">
        <v>28</v>
      </c>
      <c r="F4889" s="1" t="s">
        <v>152</v>
      </c>
      <c r="G4889" s="1" t="s">
        <v>153</v>
      </c>
      <c r="H4889" s="1" t="s">
        <v>17</v>
      </c>
      <c r="I4889">
        <v>28415</v>
      </c>
      <c r="J4889" s="3">
        <v>8</v>
      </c>
      <c r="K4889" s="3">
        <v>227320</v>
      </c>
    </row>
    <row r="4890" spans="1:11" x14ac:dyDescent="0.2">
      <c r="A4890" s="1" t="s">
        <v>6008</v>
      </c>
      <c r="B4890" s="2">
        <v>45498</v>
      </c>
      <c r="C4890" s="1" t="s">
        <v>353</v>
      </c>
      <c r="D4890" s="1" t="s">
        <v>354</v>
      </c>
      <c r="E4890" s="1" t="s">
        <v>14</v>
      </c>
      <c r="F4890" s="1" t="s">
        <v>195</v>
      </c>
      <c r="G4890" s="1" t="s">
        <v>196</v>
      </c>
      <c r="H4890" s="1" t="s">
        <v>48</v>
      </c>
      <c r="I4890">
        <v>2489</v>
      </c>
      <c r="J4890" s="3">
        <v>45.41</v>
      </c>
      <c r="K4890" s="3">
        <v>113025.49</v>
      </c>
    </row>
    <row r="4891" spans="1:11" x14ac:dyDescent="0.2">
      <c r="A4891" s="1" t="s">
        <v>6009</v>
      </c>
      <c r="B4891" s="2">
        <v>46013</v>
      </c>
      <c r="C4891" s="1" t="s">
        <v>116</v>
      </c>
      <c r="D4891" s="1" t="s">
        <v>117</v>
      </c>
      <c r="E4891" s="1" t="s">
        <v>28</v>
      </c>
      <c r="F4891" s="1" t="s">
        <v>52</v>
      </c>
      <c r="G4891" s="1" t="s">
        <v>53</v>
      </c>
      <c r="H4891" s="1" t="s">
        <v>17</v>
      </c>
      <c r="I4891">
        <v>23489</v>
      </c>
      <c r="J4891" s="3">
        <v>9.51</v>
      </c>
      <c r="K4891" s="3">
        <v>223380.39</v>
      </c>
    </row>
    <row r="4892" spans="1:11" x14ac:dyDescent="0.2">
      <c r="A4892" s="1" t="s">
        <v>6010</v>
      </c>
      <c r="B4892" s="2">
        <v>45399</v>
      </c>
      <c r="C4892" s="1" t="s">
        <v>1930</v>
      </c>
      <c r="D4892" s="1" t="s">
        <v>1931</v>
      </c>
      <c r="E4892" s="1" t="s">
        <v>14</v>
      </c>
      <c r="F4892" s="1" t="s">
        <v>339</v>
      </c>
      <c r="G4892" s="1" t="s">
        <v>340</v>
      </c>
      <c r="H4892" s="1" t="s">
        <v>24</v>
      </c>
      <c r="I4892">
        <v>37779</v>
      </c>
      <c r="J4892" s="3">
        <v>41.21</v>
      </c>
      <c r="K4892" s="3">
        <v>1556872.59</v>
      </c>
    </row>
    <row r="4893" spans="1:11" x14ac:dyDescent="0.2">
      <c r="A4893" s="1" t="s">
        <v>6011</v>
      </c>
      <c r="B4893" s="2">
        <v>45563</v>
      </c>
      <c r="C4893" s="1" t="s">
        <v>2050</v>
      </c>
      <c r="D4893" s="1" t="s">
        <v>2051</v>
      </c>
      <c r="E4893" s="1" t="s">
        <v>14</v>
      </c>
      <c r="F4893" s="1" t="s">
        <v>81</v>
      </c>
      <c r="G4893" s="1" t="s">
        <v>82</v>
      </c>
      <c r="H4893" s="1" t="s">
        <v>72</v>
      </c>
      <c r="I4893">
        <v>30343</v>
      </c>
      <c r="J4893" s="3">
        <v>48.43</v>
      </c>
      <c r="K4893" s="3">
        <v>1469511.49</v>
      </c>
    </row>
    <row r="4894" spans="1:11" x14ac:dyDescent="0.2">
      <c r="A4894" s="1" t="s">
        <v>6012</v>
      </c>
      <c r="B4894" s="2">
        <v>45773</v>
      </c>
      <c r="C4894" s="1" t="s">
        <v>955</v>
      </c>
      <c r="D4894" s="1" t="s">
        <v>956</v>
      </c>
      <c r="E4894" s="1" t="s">
        <v>28</v>
      </c>
      <c r="F4894" s="1" t="s">
        <v>165</v>
      </c>
      <c r="G4894" s="1" t="s">
        <v>166</v>
      </c>
      <c r="H4894" s="1" t="s">
        <v>24</v>
      </c>
      <c r="I4894">
        <v>28179</v>
      </c>
      <c r="J4894" s="3">
        <v>38.11</v>
      </c>
      <c r="K4894" s="3">
        <v>1073901.69</v>
      </c>
    </row>
    <row r="4895" spans="1:11" x14ac:dyDescent="0.2">
      <c r="A4895" s="1" t="s">
        <v>6013</v>
      </c>
      <c r="B4895" s="2">
        <v>45861</v>
      </c>
      <c r="C4895" s="1" t="s">
        <v>2628</v>
      </c>
      <c r="D4895" s="1" t="s">
        <v>2629</v>
      </c>
      <c r="E4895" s="1" t="s">
        <v>14</v>
      </c>
      <c r="F4895" s="1" t="s">
        <v>339</v>
      </c>
      <c r="G4895" s="1" t="s">
        <v>340</v>
      </c>
      <c r="H4895" s="1" t="s">
        <v>24</v>
      </c>
      <c r="I4895">
        <v>68522</v>
      </c>
      <c r="J4895" s="3">
        <v>2.12</v>
      </c>
      <c r="K4895" s="3">
        <v>145266.64000000001</v>
      </c>
    </row>
    <row r="4896" spans="1:11" x14ac:dyDescent="0.2">
      <c r="A4896" s="1" t="s">
        <v>6014</v>
      </c>
      <c r="B4896" s="2">
        <v>45704</v>
      </c>
      <c r="C4896" s="1" t="s">
        <v>2121</v>
      </c>
      <c r="D4896" s="1" t="s">
        <v>2122</v>
      </c>
      <c r="E4896" s="1" t="s">
        <v>34</v>
      </c>
      <c r="F4896" s="1" t="s">
        <v>273</v>
      </c>
      <c r="G4896" s="1" t="s">
        <v>274</v>
      </c>
      <c r="H4896" s="1" t="s">
        <v>24</v>
      </c>
      <c r="I4896">
        <v>2470</v>
      </c>
      <c r="J4896" s="3">
        <v>42</v>
      </c>
      <c r="K4896" s="3">
        <v>103740</v>
      </c>
    </row>
    <row r="4897" spans="1:11" x14ac:dyDescent="0.2">
      <c r="A4897" s="1" t="s">
        <v>6015</v>
      </c>
      <c r="B4897" s="2">
        <v>45633</v>
      </c>
      <c r="C4897" s="1" t="s">
        <v>1417</v>
      </c>
      <c r="D4897" s="1" t="s">
        <v>1418</v>
      </c>
      <c r="E4897" s="1" t="s">
        <v>34</v>
      </c>
      <c r="F4897" s="1" t="s">
        <v>339</v>
      </c>
      <c r="G4897" s="1" t="s">
        <v>340</v>
      </c>
      <c r="H4897" s="1" t="s">
        <v>24</v>
      </c>
      <c r="I4897">
        <v>89593</v>
      </c>
      <c r="J4897" s="3">
        <v>32.369999999999997</v>
      </c>
      <c r="K4897" s="3">
        <v>2900125.41</v>
      </c>
    </row>
    <row r="4898" spans="1:11" x14ac:dyDescent="0.2">
      <c r="A4898" s="1" t="s">
        <v>6016</v>
      </c>
      <c r="B4898" s="2">
        <v>45404</v>
      </c>
      <c r="C4898" s="1" t="s">
        <v>811</v>
      </c>
      <c r="D4898" s="1" t="s">
        <v>812</v>
      </c>
      <c r="E4898" s="1" t="s">
        <v>14</v>
      </c>
      <c r="F4898" s="1" t="s">
        <v>113</v>
      </c>
      <c r="G4898" s="1" t="s">
        <v>114</v>
      </c>
      <c r="H4898" s="1" t="s">
        <v>37</v>
      </c>
      <c r="I4898">
        <v>77035</v>
      </c>
      <c r="J4898" s="3">
        <v>2.25</v>
      </c>
      <c r="K4898" s="3">
        <v>173328.75</v>
      </c>
    </row>
    <row r="4899" spans="1:11" x14ac:dyDescent="0.2">
      <c r="A4899" s="1" t="s">
        <v>6017</v>
      </c>
      <c r="B4899" s="2">
        <v>45982</v>
      </c>
      <c r="C4899" s="1" t="s">
        <v>371</v>
      </c>
      <c r="D4899" s="1" t="s">
        <v>372</v>
      </c>
      <c r="E4899" s="1" t="s">
        <v>14</v>
      </c>
      <c r="F4899" s="1" t="s">
        <v>76</v>
      </c>
      <c r="G4899" s="1" t="s">
        <v>77</v>
      </c>
      <c r="H4899" s="1" t="s">
        <v>48</v>
      </c>
      <c r="I4899">
        <v>86747</v>
      </c>
      <c r="J4899" s="3">
        <v>23.69</v>
      </c>
      <c r="K4899" s="3">
        <v>2055036.43</v>
      </c>
    </row>
    <row r="4900" spans="1:11" x14ac:dyDescent="0.2">
      <c r="A4900" s="1" t="s">
        <v>6018</v>
      </c>
      <c r="B4900" s="2">
        <v>45306</v>
      </c>
      <c r="C4900" s="1" t="s">
        <v>382</v>
      </c>
      <c r="D4900" s="1" t="s">
        <v>383</v>
      </c>
      <c r="E4900" s="1" t="s">
        <v>34</v>
      </c>
      <c r="F4900" s="1" t="s">
        <v>474</v>
      </c>
      <c r="G4900" s="1" t="s">
        <v>475</v>
      </c>
      <c r="H4900" s="1" t="s">
        <v>48</v>
      </c>
      <c r="I4900">
        <v>49601</v>
      </c>
      <c r="J4900" s="3">
        <v>40.369999999999997</v>
      </c>
      <c r="K4900" s="3">
        <v>2002392.37</v>
      </c>
    </row>
    <row r="4901" spans="1:11" x14ac:dyDescent="0.2">
      <c r="A4901" s="1" t="s">
        <v>6019</v>
      </c>
      <c r="B4901" s="2">
        <v>45518</v>
      </c>
      <c r="C4901" s="1" t="s">
        <v>1227</v>
      </c>
      <c r="D4901" s="1" t="s">
        <v>1228</v>
      </c>
      <c r="E4901" s="1" t="s">
        <v>34</v>
      </c>
      <c r="F4901" s="1" t="s">
        <v>65</v>
      </c>
      <c r="G4901" s="1" t="s">
        <v>66</v>
      </c>
      <c r="H4901" s="1" t="s">
        <v>48</v>
      </c>
      <c r="I4901">
        <v>47569</v>
      </c>
      <c r="J4901" s="3">
        <v>25.41</v>
      </c>
      <c r="K4901" s="3">
        <v>1208728.29</v>
      </c>
    </row>
    <row r="4902" spans="1:11" x14ac:dyDescent="0.2">
      <c r="A4902" s="1" t="s">
        <v>6020</v>
      </c>
      <c r="B4902" s="2">
        <v>45891</v>
      </c>
      <c r="C4902" s="1" t="s">
        <v>1157</v>
      </c>
      <c r="D4902" s="1" t="s">
        <v>1158</v>
      </c>
      <c r="E4902" s="1" t="s">
        <v>28</v>
      </c>
      <c r="F4902" s="1" t="s">
        <v>157</v>
      </c>
      <c r="G4902" s="1" t="s">
        <v>158</v>
      </c>
      <c r="H4902" s="1" t="s">
        <v>48</v>
      </c>
      <c r="I4902">
        <v>26357</v>
      </c>
      <c r="J4902" s="3">
        <v>37.799999999999997</v>
      </c>
      <c r="K4902" s="3">
        <v>996294.6</v>
      </c>
    </row>
    <row r="4903" spans="1:11" x14ac:dyDescent="0.2">
      <c r="A4903" s="1" t="s">
        <v>6021</v>
      </c>
      <c r="B4903" s="2">
        <v>45441</v>
      </c>
      <c r="C4903" s="1" t="s">
        <v>32</v>
      </c>
      <c r="D4903" s="1" t="s">
        <v>33</v>
      </c>
      <c r="E4903" s="1" t="s">
        <v>34</v>
      </c>
      <c r="F4903" s="1" t="s">
        <v>284</v>
      </c>
      <c r="G4903" s="1" t="s">
        <v>285</v>
      </c>
      <c r="H4903" s="1" t="s">
        <v>37</v>
      </c>
      <c r="I4903">
        <v>51402</v>
      </c>
      <c r="J4903" s="3">
        <v>43.19</v>
      </c>
      <c r="K4903" s="3">
        <v>2220052.38</v>
      </c>
    </row>
    <row r="4904" spans="1:11" x14ac:dyDescent="0.2">
      <c r="A4904" s="1" t="s">
        <v>6022</v>
      </c>
      <c r="B4904" s="2">
        <v>45375</v>
      </c>
      <c r="C4904" s="1" t="s">
        <v>240</v>
      </c>
      <c r="D4904" s="1" t="s">
        <v>241</v>
      </c>
      <c r="E4904" s="1" t="s">
        <v>28</v>
      </c>
      <c r="F4904" s="1" t="s">
        <v>251</v>
      </c>
      <c r="G4904" s="1" t="s">
        <v>252</v>
      </c>
      <c r="H4904" s="1" t="s">
        <v>72</v>
      </c>
      <c r="I4904">
        <v>63888</v>
      </c>
      <c r="J4904" s="3">
        <v>45.56</v>
      </c>
      <c r="K4904" s="3">
        <v>2910737.28</v>
      </c>
    </row>
    <row r="4905" spans="1:11" x14ac:dyDescent="0.2">
      <c r="A4905" s="1" t="s">
        <v>6023</v>
      </c>
      <c r="B4905" s="2">
        <v>45421</v>
      </c>
      <c r="C4905" s="1" t="s">
        <v>1728</v>
      </c>
      <c r="D4905" s="1" t="s">
        <v>1729</v>
      </c>
      <c r="E4905" s="1" t="s">
        <v>21</v>
      </c>
      <c r="F4905" s="1" t="s">
        <v>406</v>
      </c>
      <c r="G4905" s="1" t="s">
        <v>407</v>
      </c>
      <c r="H4905" s="1" t="s">
        <v>17</v>
      </c>
      <c r="I4905">
        <v>98091</v>
      </c>
      <c r="J4905" s="3">
        <v>18.920000000000002</v>
      </c>
      <c r="K4905" s="3">
        <v>1855881.72</v>
      </c>
    </row>
    <row r="4906" spans="1:11" x14ac:dyDescent="0.2">
      <c r="A4906" s="1" t="s">
        <v>6024</v>
      </c>
      <c r="B4906" s="2">
        <v>45447</v>
      </c>
      <c r="C4906" s="1" t="s">
        <v>838</v>
      </c>
      <c r="D4906" s="1" t="s">
        <v>839</v>
      </c>
      <c r="E4906" s="1" t="s">
        <v>28</v>
      </c>
      <c r="F4906" s="1" t="s">
        <v>474</v>
      </c>
      <c r="G4906" s="1" t="s">
        <v>475</v>
      </c>
      <c r="H4906" s="1" t="s">
        <v>48</v>
      </c>
      <c r="I4906">
        <v>39717</v>
      </c>
      <c r="J4906" s="3">
        <v>35.04</v>
      </c>
      <c r="K4906" s="3">
        <v>1391683.68</v>
      </c>
    </row>
    <row r="4907" spans="1:11" x14ac:dyDescent="0.2">
      <c r="A4907" s="1" t="s">
        <v>6025</v>
      </c>
      <c r="B4907" s="2">
        <v>45722</v>
      </c>
      <c r="C4907" s="1" t="s">
        <v>307</v>
      </c>
      <c r="D4907" s="1" t="s">
        <v>308</v>
      </c>
      <c r="E4907" s="1" t="s">
        <v>14</v>
      </c>
      <c r="F4907" s="1" t="s">
        <v>510</v>
      </c>
      <c r="G4907" s="1" t="s">
        <v>511</v>
      </c>
      <c r="H4907" s="1" t="s">
        <v>17</v>
      </c>
      <c r="I4907">
        <v>52326</v>
      </c>
      <c r="J4907" s="3">
        <v>43.06</v>
      </c>
      <c r="K4907" s="3">
        <v>2253157.56</v>
      </c>
    </row>
    <row r="4908" spans="1:11" x14ac:dyDescent="0.2">
      <c r="A4908" s="1" t="s">
        <v>6026</v>
      </c>
      <c r="B4908" s="2">
        <v>45803</v>
      </c>
      <c r="C4908" s="1" t="s">
        <v>559</v>
      </c>
      <c r="D4908" s="1" t="s">
        <v>560</v>
      </c>
      <c r="E4908" s="1" t="s">
        <v>14</v>
      </c>
      <c r="F4908" s="1" t="s">
        <v>251</v>
      </c>
      <c r="G4908" s="1" t="s">
        <v>252</v>
      </c>
      <c r="H4908" s="1" t="s">
        <v>72</v>
      </c>
      <c r="I4908">
        <v>86206</v>
      </c>
      <c r="J4908" s="3">
        <v>27.34</v>
      </c>
      <c r="K4908" s="3">
        <v>2356872.04</v>
      </c>
    </row>
    <row r="4909" spans="1:11" x14ac:dyDescent="0.2">
      <c r="A4909" s="1" t="s">
        <v>6027</v>
      </c>
      <c r="B4909" s="2">
        <v>45648</v>
      </c>
      <c r="C4909" s="1" t="s">
        <v>1357</v>
      </c>
      <c r="D4909" s="1" t="s">
        <v>1358</v>
      </c>
      <c r="E4909" s="1" t="s">
        <v>37</v>
      </c>
      <c r="F4909" s="1" t="s">
        <v>510</v>
      </c>
      <c r="G4909" s="1" t="s">
        <v>511</v>
      </c>
      <c r="H4909" s="1" t="s">
        <v>17</v>
      </c>
      <c r="I4909">
        <v>46696</v>
      </c>
      <c r="J4909" s="3">
        <v>15.61</v>
      </c>
      <c r="K4909" s="3">
        <v>728924.56</v>
      </c>
    </row>
    <row r="4910" spans="1:11" x14ac:dyDescent="0.2">
      <c r="A4910" s="1" t="s">
        <v>6028</v>
      </c>
      <c r="B4910" s="2">
        <v>45691</v>
      </c>
      <c r="C4910" s="1" t="s">
        <v>1541</v>
      </c>
      <c r="D4910" s="1" t="s">
        <v>1542</v>
      </c>
      <c r="E4910" s="1" t="s">
        <v>37</v>
      </c>
      <c r="F4910" s="1" t="s">
        <v>57</v>
      </c>
      <c r="G4910" s="1" t="s">
        <v>58</v>
      </c>
      <c r="H4910" s="1" t="s">
        <v>48</v>
      </c>
      <c r="I4910">
        <v>45232</v>
      </c>
      <c r="J4910" s="3">
        <v>34.29</v>
      </c>
      <c r="K4910" s="3">
        <v>1551005.28</v>
      </c>
    </row>
    <row r="4911" spans="1:11" x14ac:dyDescent="0.2">
      <c r="A4911" s="1" t="s">
        <v>6029</v>
      </c>
      <c r="B4911" s="2">
        <v>45806</v>
      </c>
      <c r="C4911" s="1" t="s">
        <v>1302</v>
      </c>
      <c r="D4911" s="1" t="s">
        <v>1303</v>
      </c>
      <c r="E4911" s="1" t="s">
        <v>37</v>
      </c>
      <c r="F4911" s="1" t="s">
        <v>284</v>
      </c>
      <c r="G4911" s="1" t="s">
        <v>285</v>
      </c>
      <c r="H4911" s="1" t="s">
        <v>37</v>
      </c>
      <c r="I4911">
        <v>36659</v>
      </c>
      <c r="J4911" s="3">
        <v>31.76</v>
      </c>
      <c r="K4911" s="3">
        <v>1164289.8400000001</v>
      </c>
    </row>
    <row r="4912" spans="1:11" x14ac:dyDescent="0.2">
      <c r="A4912" s="1" t="s">
        <v>6030</v>
      </c>
      <c r="B4912" s="2">
        <v>45674</v>
      </c>
      <c r="C4912" s="1" t="s">
        <v>2442</v>
      </c>
      <c r="D4912" s="1" t="s">
        <v>2443</v>
      </c>
      <c r="E4912" s="1" t="s">
        <v>34</v>
      </c>
      <c r="F4912" s="1" t="s">
        <v>284</v>
      </c>
      <c r="G4912" s="1" t="s">
        <v>285</v>
      </c>
      <c r="H4912" s="1" t="s">
        <v>37</v>
      </c>
      <c r="I4912">
        <v>58297</v>
      </c>
      <c r="J4912" s="3">
        <v>23.16</v>
      </c>
      <c r="K4912" s="3">
        <v>1350158.52</v>
      </c>
    </row>
    <row r="4913" spans="1:11" x14ac:dyDescent="0.2">
      <c r="A4913" s="1" t="s">
        <v>6031</v>
      </c>
      <c r="B4913" s="2">
        <v>45326</v>
      </c>
      <c r="C4913" s="1" t="s">
        <v>1020</v>
      </c>
      <c r="D4913" s="1" t="s">
        <v>1021</v>
      </c>
      <c r="E4913" s="1" t="s">
        <v>14</v>
      </c>
      <c r="F4913" s="1" t="s">
        <v>41</v>
      </c>
      <c r="G4913" s="1" t="s">
        <v>42</v>
      </c>
      <c r="H4913" s="1" t="s">
        <v>24</v>
      </c>
      <c r="I4913">
        <v>12713</v>
      </c>
      <c r="J4913" s="3">
        <v>13.18</v>
      </c>
      <c r="K4913" s="3">
        <v>167557.34</v>
      </c>
    </row>
    <row r="4914" spans="1:11" x14ac:dyDescent="0.2">
      <c r="A4914" s="1" t="s">
        <v>6032</v>
      </c>
      <c r="B4914" s="2">
        <v>45847</v>
      </c>
      <c r="C4914" s="1" t="s">
        <v>1220</v>
      </c>
      <c r="D4914" s="1" t="s">
        <v>1221</v>
      </c>
      <c r="E4914" s="1" t="s">
        <v>34</v>
      </c>
      <c r="F4914" s="1" t="s">
        <v>22</v>
      </c>
      <c r="G4914" s="1" t="s">
        <v>23</v>
      </c>
      <c r="H4914" s="1" t="s">
        <v>24</v>
      </c>
      <c r="I4914">
        <v>14113</v>
      </c>
      <c r="J4914" s="3">
        <v>18.09</v>
      </c>
      <c r="K4914" s="3">
        <v>255304.17</v>
      </c>
    </row>
    <row r="4915" spans="1:11" x14ac:dyDescent="0.2">
      <c r="A4915" s="1" t="s">
        <v>6033</v>
      </c>
      <c r="B4915" s="2">
        <v>45605</v>
      </c>
      <c r="C4915" s="1" t="s">
        <v>759</v>
      </c>
      <c r="D4915" s="1" t="s">
        <v>760</v>
      </c>
      <c r="E4915" s="1" t="s">
        <v>37</v>
      </c>
      <c r="F4915" s="1" t="s">
        <v>208</v>
      </c>
      <c r="G4915" s="1" t="s">
        <v>209</v>
      </c>
      <c r="H4915" s="1" t="s">
        <v>17</v>
      </c>
      <c r="I4915">
        <v>76796</v>
      </c>
      <c r="J4915" s="3">
        <v>5.58</v>
      </c>
      <c r="K4915" s="3">
        <v>428521.68</v>
      </c>
    </row>
    <row r="4916" spans="1:11" x14ac:dyDescent="0.2">
      <c r="A4916" s="1" t="s">
        <v>6034</v>
      </c>
      <c r="B4916" s="2">
        <v>45722</v>
      </c>
      <c r="C4916" s="1" t="s">
        <v>131</v>
      </c>
      <c r="D4916" s="1" t="s">
        <v>132</v>
      </c>
      <c r="E4916" s="1" t="s">
        <v>37</v>
      </c>
      <c r="F4916" s="1" t="s">
        <v>268</v>
      </c>
      <c r="G4916" s="1" t="s">
        <v>269</v>
      </c>
      <c r="H4916" s="1" t="s">
        <v>72</v>
      </c>
      <c r="I4916">
        <v>32955</v>
      </c>
      <c r="J4916" s="3">
        <v>25.49</v>
      </c>
      <c r="K4916" s="3">
        <v>840022.95</v>
      </c>
    </row>
    <row r="4917" spans="1:11" x14ac:dyDescent="0.2">
      <c r="A4917" s="1" t="s">
        <v>6035</v>
      </c>
      <c r="B4917" s="2">
        <v>45892</v>
      </c>
      <c r="C4917" s="1" t="s">
        <v>678</v>
      </c>
      <c r="D4917" s="1" t="s">
        <v>679</v>
      </c>
      <c r="E4917" s="1" t="s">
        <v>28</v>
      </c>
      <c r="F4917" s="1" t="s">
        <v>57</v>
      </c>
      <c r="G4917" s="1" t="s">
        <v>58</v>
      </c>
      <c r="H4917" s="1" t="s">
        <v>48</v>
      </c>
      <c r="I4917">
        <v>89460</v>
      </c>
      <c r="J4917" s="3">
        <v>20.3</v>
      </c>
      <c r="K4917" s="3">
        <v>1816038</v>
      </c>
    </row>
    <row r="4918" spans="1:11" x14ac:dyDescent="0.2">
      <c r="A4918" s="1" t="s">
        <v>6036</v>
      </c>
      <c r="B4918" s="2">
        <v>45687</v>
      </c>
      <c r="C4918" s="1" t="s">
        <v>424</v>
      </c>
      <c r="D4918" s="1" t="s">
        <v>425</v>
      </c>
      <c r="E4918" s="1" t="s">
        <v>28</v>
      </c>
      <c r="F4918" s="1" t="s">
        <v>195</v>
      </c>
      <c r="G4918" s="1" t="s">
        <v>196</v>
      </c>
      <c r="H4918" s="1" t="s">
        <v>48</v>
      </c>
      <c r="I4918">
        <v>4843</v>
      </c>
      <c r="J4918" s="3">
        <v>8.0399999999999991</v>
      </c>
      <c r="K4918" s="3">
        <v>38937.72</v>
      </c>
    </row>
    <row r="4919" spans="1:11" x14ac:dyDescent="0.2">
      <c r="A4919" s="1" t="s">
        <v>6037</v>
      </c>
      <c r="B4919" s="2">
        <v>45921</v>
      </c>
      <c r="C4919" s="1" t="s">
        <v>2418</v>
      </c>
      <c r="D4919" s="1" t="s">
        <v>2419</v>
      </c>
      <c r="E4919" s="1" t="s">
        <v>37</v>
      </c>
      <c r="F4919" s="1" t="s">
        <v>15</v>
      </c>
      <c r="G4919" s="1" t="s">
        <v>16</v>
      </c>
      <c r="H4919" s="1" t="s">
        <v>17</v>
      </c>
      <c r="I4919">
        <v>59859</v>
      </c>
      <c r="J4919" s="3">
        <v>2.88</v>
      </c>
      <c r="K4919" s="3">
        <v>172393.92</v>
      </c>
    </row>
    <row r="4920" spans="1:11" x14ac:dyDescent="0.2">
      <c r="A4920" s="1" t="s">
        <v>6038</v>
      </c>
      <c r="B4920" s="2">
        <v>45833</v>
      </c>
      <c r="C4920" s="1" t="s">
        <v>1622</v>
      </c>
      <c r="D4920" s="1" t="s">
        <v>1623</v>
      </c>
      <c r="E4920" s="1" t="s">
        <v>21</v>
      </c>
      <c r="F4920" s="1" t="s">
        <v>406</v>
      </c>
      <c r="G4920" s="1" t="s">
        <v>407</v>
      </c>
      <c r="H4920" s="1" t="s">
        <v>17</v>
      </c>
      <c r="I4920">
        <v>6746</v>
      </c>
      <c r="J4920" s="3">
        <v>29.33</v>
      </c>
      <c r="K4920" s="3">
        <v>197860.18</v>
      </c>
    </row>
    <row r="4921" spans="1:11" x14ac:dyDescent="0.2">
      <c r="A4921" s="1" t="s">
        <v>6039</v>
      </c>
      <c r="B4921" s="2">
        <v>45897</v>
      </c>
      <c r="C4921" s="1" t="s">
        <v>2293</v>
      </c>
      <c r="D4921" s="1" t="s">
        <v>2294</v>
      </c>
      <c r="E4921" s="1" t="s">
        <v>34</v>
      </c>
      <c r="F4921" s="1" t="s">
        <v>203</v>
      </c>
      <c r="G4921" s="1" t="s">
        <v>204</v>
      </c>
      <c r="H4921" s="1" t="s">
        <v>72</v>
      </c>
      <c r="I4921">
        <v>27930</v>
      </c>
      <c r="J4921" s="3">
        <v>17.64</v>
      </c>
      <c r="K4921" s="3">
        <v>492685.2</v>
      </c>
    </row>
    <row r="4922" spans="1:11" x14ac:dyDescent="0.2">
      <c r="A4922" s="1" t="s">
        <v>6040</v>
      </c>
      <c r="B4922" s="2">
        <v>45414</v>
      </c>
      <c r="C4922" s="1" t="s">
        <v>1446</v>
      </c>
      <c r="D4922" s="1" t="s">
        <v>1447</v>
      </c>
      <c r="E4922" s="1" t="s">
        <v>37</v>
      </c>
      <c r="F4922" s="1" t="s">
        <v>237</v>
      </c>
      <c r="G4922" s="1" t="s">
        <v>238</v>
      </c>
      <c r="H4922" s="1" t="s">
        <v>17</v>
      </c>
      <c r="I4922">
        <v>47572</v>
      </c>
      <c r="J4922" s="3">
        <v>2.46</v>
      </c>
      <c r="K4922" s="3">
        <v>117027.12</v>
      </c>
    </row>
    <row r="4923" spans="1:11" x14ac:dyDescent="0.2">
      <c r="A4923" s="1" t="s">
        <v>6041</v>
      </c>
      <c r="B4923" s="2">
        <v>45844</v>
      </c>
      <c r="C4923" s="1" t="s">
        <v>1930</v>
      </c>
      <c r="D4923" s="1" t="s">
        <v>1931</v>
      </c>
      <c r="E4923" s="1" t="s">
        <v>14</v>
      </c>
      <c r="F4923" s="1" t="s">
        <v>35</v>
      </c>
      <c r="G4923" s="1" t="s">
        <v>36</v>
      </c>
      <c r="H4923" s="1" t="s">
        <v>37</v>
      </c>
      <c r="I4923">
        <v>90856</v>
      </c>
      <c r="J4923" s="3">
        <v>33.1</v>
      </c>
      <c r="K4923" s="3">
        <v>3007333.6</v>
      </c>
    </row>
    <row r="4924" spans="1:11" x14ac:dyDescent="0.2">
      <c r="A4924" s="1" t="s">
        <v>6042</v>
      </c>
      <c r="B4924" s="2">
        <v>45742</v>
      </c>
      <c r="C4924" s="1" t="s">
        <v>353</v>
      </c>
      <c r="D4924" s="1" t="s">
        <v>354</v>
      </c>
      <c r="E4924" s="1" t="s">
        <v>14</v>
      </c>
      <c r="F4924" s="1" t="s">
        <v>339</v>
      </c>
      <c r="G4924" s="1" t="s">
        <v>340</v>
      </c>
      <c r="H4924" s="1" t="s">
        <v>24</v>
      </c>
      <c r="I4924">
        <v>29093</v>
      </c>
      <c r="J4924" s="3">
        <v>16.54</v>
      </c>
      <c r="K4924" s="3">
        <v>481198.22</v>
      </c>
    </row>
    <row r="4925" spans="1:11" x14ac:dyDescent="0.2">
      <c r="A4925" s="1" t="s">
        <v>6043</v>
      </c>
      <c r="B4925" s="2">
        <v>45837</v>
      </c>
      <c r="C4925" s="1" t="s">
        <v>1498</v>
      </c>
      <c r="D4925" s="1" t="s">
        <v>1499</v>
      </c>
      <c r="E4925" s="1" t="s">
        <v>14</v>
      </c>
      <c r="F4925" s="1" t="s">
        <v>65</v>
      </c>
      <c r="G4925" s="1" t="s">
        <v>66</v>
      </c>
      <c r="H4925" s="1" t="s">
        <v>48</v>
      </c>
      <c r="I4925">
        <v>41733</v>
      </c>
      <c r="J4925" s="3">
        <v>44.4</v>
      </c>
      <c r="K4925" s="3">
        <v>1852945.2</v>
      </c>
    </row>
    <row r="4926" spans="1:11" x14ac:dyDescent="0.2">
      <c r="A4926" s="1" t="s">
        <v>6044</v>
      </c>
      <c r="B4926" s="2">
        <v>45891</v>
      </c>
      <c r="C4926" s="1" t="s">
        <v>1050</v>
      </c>
      <c r="D4926" s="1" t="s">
        <v>1051</v>
      </c>
      <c r="E4926" s="1" t="s">
        <v>14</v>
      </c>
      <c r="F4926" s="1" t="s">
        <v>65</v>
      </c>
      <c r="G4926" s="1" t="s">
        <v>66</v>
      </c>
      <c r="H4926" s="1" t="s">
        <v>48</v>
      </c>
      <c r="I4926">
        <v>32507</v>
      </c>
      <c r="J4926" s="3">
        <v>43</v>
      </c>
      <c r="K4926" s="3">
        <v>1397801</v>
      </c>
    </row>
    <row r="4927" spans="1:11" x14ac:dyDescent="0.2">
      <c r="A4927" s="1" t="s">
        <v>6045</v>
      </c>
      <c r="B4927" s="2">
        <v>45303</v>
      </c>
      <c r="C4927" s="1" t="s">
        <v>1708</v>
      </c>
      <c r="D4927" s="1" t="s">
        <v>1709</v>
      </c>
      <c r="E4927" s="1" t="s">
        <v>14</v>
      </c>
      <c r="F4927" s="1" t="s">
        <v>70</v>
      </c>
      <c r="G4927" s="1" t="s">
        <v>71</v>
      </c>
      <c r="H4927" s="1" t="s">
        <v>72</v>
      </c>
      <c r="I4927">
        <v>46654</v>
      </c>
      <c r="J4927" s="3">
        <v>34.53</v>
      </c>
      <c r="K4927" s="3">
        <v>1610962.62</v>
      </c>
    </row>
    <row r="4928" spans="1:11" x14ac:dyDescent="0.2">
      <c r="A4928" s="1" t="s">
        <v>6046</v>
      </c>
      <c r="B4928" s="2">
        <v>45911</v>
      </c>
      <c r="C4928" s="1" t="s">
        <v>1337</v>
      </c>
      <c r="D4928" s="1" t="s">
        <v>1338</v>
      </c>
      <c r="E4928" s="1" t="s">
        <v>34</v>
      </c>
      <c r="F4928" s="1" t="s">
        <v>157</v>
      </c>
      <c r="G4928" s="1" t="s">
        <v>158</v>
      </c>
      <c r="H4928" s="1" t="s">
        <v>48</v>
      </c>
      <c r="I4928">
        <v>10803</v>
      </c>
      <c r="J4928" s="3">
        <v>2.02</v>
      </c>
      <c r="K4928" s="3">
        <v>21822.06</v>
      </c>
    </row>
    <row r="4929" spans="1:11" x14ac:dyDescent="0.2">
      <c r="A4929" s="1" t="s">
        <v>6047</v>
      </c>
      <c r="B4929" s="2">
        <v>45417</v>
      </c>
      <c r="C4929" s="1" t="s">
        <v>550</v>
      </c>
      <c r="D4929" s="1" t="s">
        <v>551</v>
      </c>
      <c r="E4929" s="1" t="s">
        <v>34</v>
      </c>
      <c r="F4929" s="1" t="s">
        <v>412</v>
      </c>
      <c r="G4929" s="1" t="s">
        <v>413</v>
      </c>
      <c r="H4929" s="1" t="s">
        <v>72</v>
      </c>
      <c r="I4929">
        <v>65481</v>
      </c>
      <c r="J4929" s="3">
        <v>14.43</v>
      </c>
      <c r="K4929" s="3">
        <v>944890.83</v>
      </c>
    </row>
    <row r="4930" spans="1:11" x14ac:dyDescent="0.2">
      <c r="A4930" s="1" t="s">
        <v>6048</v>
      </c>
      <c r="B4930" s="2">
        <v>45411</v>
      </c>
      <c r="C4930" s="1" t="s">
        <v>142</v>
      </c>
      <c r="D4930" s="1" t="s">
        <v>143</v>
      </c>
      <c r="E4930" s="1" t="s">
        <v>37</v>
      </c>
      <c r="F4930" s="1" t="s">
        <v>76</v>
      </c>
      <c r="G4930" s="1" t="s">
        <v>77</v>
      </c>
      <c r="H4930" s="1" t="s">
        <v>48</v>
      </c>
      <c r="I4930">
        <v>61214</v>
      </c>
      <c r="J4930" s="3">
        <v>43.63</v>
      </c>
      <c r="K4930" s="3">
        <v>2670766.8199999998</v>
      </c>
    </row>
    <row r="4931" spans="1:11" x14ac:dyDescent="0.2">
      <c r="A4931" s="1" t="s">
        <v>6049</v>
      </c>
      <c r="B4931" s="2">
        <v>45495</v>
      </c>
      <c r="C4931" s="1" t="s">
        <v>734</v>
      </c>
      <c r="D4931" s="1" t="s">
        <v>735</v>
      </c>
      <c r="E4931" s="1" t="s">
        <v>28</v>
      </c>
      <c r="F4931" s="1" t="s">
        <v>15</v>
      </c>
      <c r="G4931" s="1" t="s">
        <v>16</v>
      </c>
      <c r="H4931" s="1" t="s">
        <v>17</v>
      </c>
      <c r="I4931">
        <v>41572</v>
      </c>
      <c r="J4931" s="3">
        <v>11.24</v>
      </c>
      <c r="K4931" s="3">
        <v>467269.28</v>
      </c>
    </row>
    <row r="4932" spans="1:11" x14ac:dyDescent="0.2">
      <c r="A4932" s="1" t="s">
        <v>6050</v>
      </c>
      <c r="B4932" s="2">
        <v>45323</v>
      </c>
      <c r="C4932" s="1" t="s">
        <v>2478</v>
      </c>
      <c r="D4932" s="1" t="s">
        <v>2479</v>
      </c>
      <c r="E4932" s="1" t="s">
        <v>37</v>
      </c>
      <c r="F4932" s="1" t="s">
        <v>237</v>
      </c>
      <c r="G4932" s="1" t="s">
        <v>238</v>
      </c>
      <c r="H4932" s="1" t="s">
        <v>17</v>
      </c>
      <c r="I4932">
        <v>54733</v>
      </c>
      <c r="J4932" s="3">
        <v>15.3</v>
      </c>
      <c r="K4932" s="3">
        <v>837414.9</v>
      </c>
    </row>
    <row r="4933" spans="1:11" x14ac:dyDescent="0.2">
      <c r="A4933" s="1" t="s">
        <v>6051</v>
      </c>
      <c r="B4933" s="2">
        <v>45573</v>
      </c>
      <c r="C4933" s="1" t="s">
        <v>972</v>
      </c>
      <c r="D4933" s="1" t="s">
        <v>973</v>
      </c>
      <c r="E4933" s="1" t="s">
        <v>34</v>
      </c>
      <c r="F4933" s="1" t="s">
        <v>436</v>
      </c>
      <c r="G4933" s="1" t="s">
        <v>437</v>
      </c>
      <c r="H4933" s="1" t="s">
        <v>24</v>
      </c>
      <c r="I4933">
        <v>8869</v>
      </c>
      <c r="J4933" s="3">
        <v>34.880000000000003</v>
      </c>
      <c r="K4933" s="3">
        <v>309350.71999999997</v>
      </c>
    </row>
    <row r="4934" spans="1:11" x14ac:dyDescent="0.2">
      <c r="A4934" s="1" t="s">
        <v>6052</v>
      </c>
      <c r="B4934" s="2">
        <v>45942</v>
      </c>
      <c r="C4934" s="1" t="s">
        <v>1076</v>
      </c>
      <c r="D4934" s="1" t="s">
        <v>1077</v>
      </c>
      <c r="E4934" s="1" t="s">
        <v>34</v>
      </c>
      <c r="F4934" s="1" t="s">
        <v>284</v>
      </c>
      <c r="G4934" s="1" t="s">
        <v>285</v>
      </c>
      <c r="H4934" s="1" t="s">
        <v>37</v>
      </c>
      <c r="I4934">
        <v>77977</v>
      </c>
      <c r="J4934" s="3">
        <v>25.17</v>
      </c>
      <c r="K4934" s="3">
        <v>1962681.09</v>
      </c>
    </row>
    <row r="4935" spans="1:11" x14ac:dyDescent="0.2">
      <c r="A4935" s="1" t="s">
        <v>6053</v>
      </c>
      <c r="B4935" s="2">
        <v>45685</v>
      </c>
      <c r="C4935" s="1" t="s">
        <v>955</v>
      </c>
      <c r="D4935" s="1" t="s">
        <v>956</v>
      </c>
      <c r="E4935" s="1" t="s">
        <v>28</v>
      </c>
      <c r="F4935" s="1" t="s">
        <v>208</v>
      </c>
      <c r="G4935" s="1" t="s">
        <v>209</v>
      </c>
      <c r="H4935" s="1" t="s">
        <v>17</v>
      </c>
      <c r="I4935">
        <v>10935</v>
      </c>
      <c r="J4935" s="3">
        <v>49.23</v>
      </c>
      <c r="K4935" s="3">
        <v>538330.05000000005</v>
      </c>
    </row>
    <row r="4936" spans="1:11" x14ac:dyDescent="0.2">
      <c r="A4936" s="1" t="s">
        <v>6054</v>
      </c>
      <c r="B4936" s="2">
        <v>45347</v>
      </c>
      <c r="C4936" s="1" t="s">
        <v>1117</v>
      </c>
      <c r="D4936" s="1" t="s">
        <v>1118</v>
      </c>
      <c r="E4936" s="1" t="s">
        <v>37</v>
      </c>
      <c r="F4936" s="1" t="s">
        <v>52</v>
      </c>
      <c r="G4936" s="1" t="s">
        <v>53</v>
      </c>
      <c r="H4936" s="1" t="s">
        <v>17</v>
      </c>
      <c r="I4936">
        <v>66595</v>
      </c>
      <c r="J4936" s="3">
        <v>28.75</v>
      </c>
      <c r="K4936" s="3">
        <v>1914606.25</v>
      </c>
    </row>
    <row r="4937" spans="1:11" x14ac:dyDescent="0.2">
      <c r="A4937" s="1" t="s">
        <v>6055</v>
      </c>
      <c r="B4937" s="2">
        <v>45526</v>
      </c>
      <c r="C4937" s="1" t="s">
        <v>508</v>
      </c>
      <c r="D4937" s="1" t="s">
        <v>509</v>
      </c>
      <c r="E4937" s="1" t="s">
        <v>34</v>
      </c>
      <c r="F4937" s="1" t="s">
        <v>144</v>
      </c>
      <c r="G4937" s="1" t="s">
        <v>145</v>
      </c>
      <c r="H4937" s="1" t="s">
        <v>24</v>
      </c>
      <c r="I4937">
        <v>87537</v>
      </c>
      <c r="J4937" s="3">
        <v>37.54</v>
      </c>
      <c r="K4937" s="3">
        <v>3286138.98</v>
      </c>
    </row>
    <row r="4938" spans="1:11" x14ac:dyDescent="0.2">
      <c r="A4938" s="1" t="s">
        <v>6056</v>
      </c>
      <c r="B4938" s="2">
        <v>45962</v>
      </c>
      <c r="C4938" s="1" t="s">
        <v>155</v>
      </c>
      <c r="D4938" s="1" t="s">
        <v>156</v>
      </c>
      <c r="E4938" s="1" t="s">
        <v>14</v>
      </c>
      <c r="F4938" s="1" t="s">
        <v>108</v>
      </c>
      <c r="G4938" s="1" t="s">
        <v>109</v>
      </c>
      <c r="H4938" s="1" t="s">
        <v>37</v>
      </c>
      <c r="I4938">
        <v>44040</v>
      </c>
      <c r="J4938" s="3">
        <v>34.5</v>
      </c>
      <c r="K4938" s="3">
        <v>1519380</v>
      </c>
    </row>
    <row r="4939" spans="1:11" x14ac:dyDescent="0.2">
      <c r="A4939" s="1" t="s">
        <v>6057</v>
      </c>
      <c r="B4939" s="2">
        <v>45827</v>
      </c>
      <c r="C4939" s="1" t="s">
        <v>1854</v>
      </c>
      <c r="D4939" s="1" t="s">
        <v>1855</v>
      </c>
      <c r="E4939" s="1" t="s">
        <v>37</v>
      </c>
      <c r="F4939" s="1" t="s">
        <v>217</v>
      </c>
      <c r="G4939" s="1" t="s">
        <v>218</v>
      </c>
      <c r="H4939" s="1" t="s">
        <v>72</v>
      </c>
      <c r="I4939">
        <v>49857</v>
      </c>
      <c r="J4939" s="3">
        <v>35.72</v>
      </c>
      <c r="K4939" s="3">
        <v>1780892.04</v>
      </c>
    </row>
    <row r="4940" spans="1:11" x14ac:dyDescent="0.2">
      <c r="A4940" s="1" t="s">
        <v>6058</v>
      </c>
      <c r="B4940" s="2">
        <v>45743</v>
      </c>
      <c r="C4940" s="1" t="s">
        <v>1108</v>
      </c>
      <c r="D4940" s="1" t="s">
        <v>1109</v>
      </c>
      <c r="E4940" s="1" t="s">
        <v>21</v>
      </c>
      <c r="F4940" s="1" t="s">
        <v>203</v>
      </c>
      <c r="G4940" s="1" t="s">
        <v>204</v>
      </c>
      <c r="H4940" s="1" t="s">
        <v>72</v>
      </c>
      <c r="I4940">
        <v>79691</v>
      </c>
      <c r="J4940" s="3">
        <v>13.96</v>
      </c>
      <c r="K4940" s="3">
        <v>1112486.3600000001</v>
      </c>
    </row>
    <row r="4941" spans="1:11" x14ac:dyDescent="0.2">
      <c r="A4941" s="1" t="s">
        <v>6059</v>
      </c>
      <c r="B4941" s="2">
        <v>45592</v>
      </c>
      <c r="C4941" s="1" t="s">
        <v>633</v>
      </c>
      <c r="D4941" s="1" t="s">
        <v>634</v>
      </c>
      <c r="E4941" s="1" t="s">
        <v>34</v>
      </c>
      <c r="F4941" s="1" t="s">
        <v>458</v>
      </c>
      <c r="G4941" s="1" t="s">
        <v>459</v>
      </c>
      <c r="H4941" s="1" t="s">
        <v>72</v>
      </c>
      <c r="I4941">
        <v>16411</v>
      </c>
      <c r="J4941" s="3">
        <v>45.6</v>
      </c>
      <c r="K4941" s="3">
        <v>748341.6</v>
      </c>
    </row>
    <row r="4942" spans="1:11" x14ac:dyDescent="0.2">
      <c r="A4942" s="1" t="s">
        <v>6060</v>
      </c>
      <c r="B4942" s="2">
        <v>45759</v>
      </c>
      <c r="C4942" s="1" t="s">
        <v>2059</v>
      </c>
      <c r="D4942" s="1" t="s">
        <v>2060</v>
      </c>
      <c r="E4942" s="1" t="s">
        <v>21</v>
      </c>
      <c r="F4942" s="1" t="s">
        <v>103</v>
      </c>
      <c r="G4942" s="1" t="s">
        <v>104</v>
      </c>
      <c r="H4942" s="1" t="s">
        <v>37</v>
      </c>
      <c r="I4942">
        <v>62142</v>
      </c>
      <c r="J4942" s="3">
        <v>25.05</v>
      </c>
      <c r="K4942" s="3">
        <v>1556657.1</v>
      </c>
    </row>
    <row r="4943" spans="1:11" x14ac:dyDescent="0.2">
      <c r="A4943" s="1" t="s">
        <v>6061</v>
      </c>
      <c r="B4943" s="2">
        <v>45414</v>
      </c>
      <c r="C4943" s="1" t="s">
        <v>1637</v>
      </c>
      <c r="D4943" s="1" t="s">
        <v>1638</v>
      </c>
      <c r="E4943" s="1" t="s">
        <v>34</v>
      </c>
      <c r="F4943" s="1" t="s">
        <v>52</v>
      </c>
      <c r="G4943" s="1" t="s">
        <v>53</v>
      </c>
      <c r="H4943" s="1" t="s">
        <v>17</v>
      </c>
      <c r="I4943">
        <v>95719</v>
      </c>
      <c r="J4943" s="3">
        <v>9.7899999999999991</v>
      </c>
      <c r="K4943" s="3">
        <v>937089.01</v>
      </c>
    </row>
    <row r="4944" spans="1:11" x14ac:dyDescent="0.2">
      <c r="A4944" s="1" t="s">
        <v>6062</v>
      </c>
      <c r="B4944" s="2">
        <v>45582</v>
      </c>
      <c r="C4944" s="1" t="s">
        <v>319</v>
      </c>
      <c r="D4944" s="1" t="s">
        <v>320</v>
      </c>
      <c r="E4944" s="1" t="s">
        <v>21</v>
      </c>
      <c r="F4944" s="1" t="s">
        <v>330</v>
      </c>
      <c r="G4944" s="1" t="s">
        <v>331</v>
      </c>
      <c r="H4944" s="1" t="s">
        <v>72</v>
      </c>
      <c r="I4944">
        <v>96140</v>
      </c>
      <c r="J4944" s="3">
        <v>2.68</v>
      </c>
      <c r="K4944" s="3">
        <v>257655.2</v>
      </c>
    </row>
    <row r="4945" spans="1:11" x14ac:dyDescent="0.2">
      <c r="A4945" s="1" t="s">
        <v>6063</v>
      </c>
      <c r="B4945" s="2">
        <v>45785</v>
      </c>
      <c r="C4945" s="1" t="s">
        <v>1073</v>
      </c>
      <c r="D4945" s="1" t="s">
        <v>1074</v>
      </c>
      <c r="E4945" s="1" t="s">
        <v>34</v>
      </c>
      <c r="F4945" s="1" t="s">
        <v>144</v>
      </c>
      <c r="G4945" s="1" t="s">
        <v>145</v>
      </c>
      <c r="H4945" s="1" t="s">
        <v>24</v>
      </c>
      <c r="I4945">
        <v>90126</v>
      </c>
      <c r="J4945" s="3">
        <v>20.2</v>
      </c>
      <c r="K4945" s="3">
        <v>1820545.2</v>
      </c>
    </row>
    <row r="4946" spans="1:11" x14ac:dyDescent="0.2">
      <c r="A4946" s="1" t="s">
        <v>6064</v>
      </c>
      <c r="B4946" s="2">
        <v>45406</v>
      </c>
      <c r="C4946" s="1" t="s">
        <v>945</v>
      </c>
      <c r="D4946" s="1" t="s">
        <v>946</v>
      </c>
      <c r="E4946" s="1" t="s">
        <v>14</v>
      </c>
      <c r="F4946" s="1" t="s">
        <v>184</v>
      </c>
      <c r="G4946" s="1" t="s">
        <v>185</v>
      </c>
      <c r="H4946" s="1" t="s">
        <v>17</v>
      </c>
      <c r="I4946">
        <v>26910</v>
      </c>
      <c r="J4946" s="3">
        <v>19.100000000000001</v>
      </c>
      <c r="K4946" s="3">
        <v>513981</v>
      </c>
    </row>
    <row r="4947" spans="1:11" x14ac:dyDescent="0.2">
      <c r="A4947" s="1" t="s">
        <v>6065</v>
      </c>
      <c r="B4947" s="2">
        <v>45589</v>
      </c>
      <c r="C4947" s="1" t="s">
        <v>669</v>
      </c>
      <c r="D4947" s="1" t="s">
        <v>670</v>
      </c>
      <c r="E4947" s="1" t="s">
        <v>34</v>
      </c>
      <c r="F4947" s="1" t="s">
        <v>330</v>
      </c>
      <c r="G4947" s="1" t="s">
        <v>331</v>
      </c>
      <c r="H4947" s="1" t="s">
        <v>72</v>
      </c>
      <c r="I4947">
        <v>10846</v>
      </c>
      <c r="J4947" s="3">
        <v>26.17</v>
      </c>
      <c r="K4947" s="3">
        <v>283839.82</v>
      </c>
    </row>
    <row r="4948" spans="1:11" x14ac:dyDescent="0.2">
      <c r="A4948" s="1" t="s">
        <v>6066</v>
      </c>
      <c r="B4948" s="2">
        <v>45704</v>
      </c>
      <c r="C4948" s="1" t="s">
        <v>1578</v>
      </c>
      <c r="D4948" s="1" t="s">
        <v>1579</v>
      </c>
      <c r="E4948" s="1" t="s">
        <v>28</v>
      </c>
      <c r="F4948" s="1" t="s">
        <v>463</v>
      </c>
      <c r="G4948" s="1" t="s">
        <v>464</v>
      </c>
      <c r="H4948" s="1" t="s">
        <v>37</v>
      </c>
      <c r="I4948">
        <v>73479</v>
      </c>
      <c r="J4948" s="3">
        <v>46.93</v>
      </c>
      <c r="K4948" s="3">
        <v>3448369.47</v>
      </c>
    </row>
    <row r="4949" spans="1:11" x14ac:dyDescent="0.2">
      <c r="A4949" s="1" t="s">
        <v>6067</v>
      </c>
      <c r="B4949" s="2">
        <v>45996</v>
      </c>
      <c r="C4949" s="1" t="s">
        <v>74</v>
      </c>
      <c r="D4949" s="1" t="s">
        <v>75</v>
      </c>
      <c r="E4949" s="1" t="s">
        <v>37</v>
      </c>
      <c r="F4949" s="1" t="s">
        <v>436</v>
      </c>
      <c r="G4949" s="1" t="s">
        <v>437</v>
      </c>
      <c r="H4949" s="1" t="s">
        <v>24</v>
      </c>
      <c r="I4949">
        <v>57722</v>
      </c>
      <c r="J4949" s="3">
        <v>11.11</v>
      </c>
      <c r="K4949" s="3">
        <v>641291.42000000004</v>
      </c>
    </row>
    <row r="4950" spans="1:11" x14ac:dyDescent="0.2">
      <c r="A4950" s="1" t="s">
        <v>6068</v>
      </c>
      <c r="B4950" s="2">
        <v>45531</v>
      </c>
      <c r="C4950" s="1" t="s">
        <v>101</v>
      </c>
      <c r="D4950" s="1" t="s">
        <v>102</v>
      </c>
      <c r="E4950" s="1" t="s">
        <v>37</v>
      </c>
      <c r="F4950" s="1" t="s">
        <v>237</v>
      </c>
      <c r="G4950" s="1" t="s">
        <v>238</v>
      </c>
      <c r="H4950" s="1" t="s">
        <v>17</v>
      </c>
      <c r="I4950">
        <v>15176</v>
      </c>
      <c r="J4950" s="3">
        <v>21.93</v>
      </c>
      <c r="K4950" s="3">
        <v>332809.68</v>
      </c>
    </row>
    <row r="4951" spans="1:11" x14ac:dyDescent="0.2">
      <c r="A4951" s="1" t="s">
        <v>6069</v>
      </c>
      <c r="B4951" s="2">
        <v>45481</v>
      </c>
      <c r="C4951" s="1" t="s">
        <v>2597</v>
      </c>
      <c r="D4951" s="1" t="s">
        <v>2598</v>
      </c>
      <c r="E4951" s="1" t="s">
        <v>21</v>
      </c>
      <c r="F4951" s="1" t="s">
        <v>208</v>
      </c>
      <c r="G4951" s="1" t="s">
        <v>209</v>
      </c>
      <c r="H4951" s="1" t="s">
        <v>17</v>
      </c>
      <c r="I4951">
        <v>35502</v>
      </c>
      <c r="J4951" s="3">
        <v>18.87</v>
      </c>
      <c r="K4951" s="3">
        <v>669922.74</v>
      </c>
    </row>
    <row r="4952" spans="1:11" x14ac:dyDescent="0.2">
      <c r="A4952" s="1" t="s">
        <v>6070</v>
      </c>
      <c r="B4952" s="2">
        <v>45724</v>
      </c>
      <c r="C4952" s="1" t="s">
        <v>1201</v>
      </c>
      <c r="D4952" s="1" t="s">
        <v>1202</v>
      </c>
      <c r="E4952" s="1" t="s">
        <v>37</v>
      </c>
      <c r="F4952" s="1" t="s">
        <v>41</v>
      </c>
      <c r="G4952" s="1" t="s">
        <v>42</v>
      </c>
      <c r="H4952" s="1" t="s">
        <v>24</v>
      </c>
      <c r="I4952">
        <v>72541</v>
      </c>
      <c r="J4952" s="3">
        <v>35.270000000000003</v>
      </c>
      <c r="K4952" s="3">
        <v>2558521.0699999998</v>
      </c>
    </row>
    <row r="4953" spans="1:11" x14ac:dyDescent="0.2">
      <c r="A4953" s="1" t="s">
        <v>6071</v>
      </c>
      <c r="B4953" s="2">
        <v>46005</v>
      </c>
      <c r="C4953" s="1" t="s">
        <v>1417</v>
      </c>
      <c r="D4953" s="1" t="s">
        <v>1418</v>
      </c>
      <c r="E4953" s="1" t="s">
        <v>34</v>
      </c>
      <c r="F4953" s="1" t="s">
        <v>208</v>
      </c>
      <c r="G4953" s="1" t="s">
        <v>209</v>
      </c>
      <c r="H4953" s="1" t="s">
        <v>17</v>
      </c>
      <c r="I4953">
        <v>3236</v>
      </c>
      <c r="J4953" s="3">
        <v>2.1800000000000002</v>
      </c>
      <c r="K4953" s="3">
        <v>7054.48</v>
      </c>
    </row>
    <row r="4954" spans="1:11" x14ac:dyDescent="0.2">
      <c r="A4954" s="1" t="s">
        <v>6072</v>
      </c>
      <c r="B4954" s="2">
        <v>45683</v>
      </c>
      <c r="C4954" s="1" t="s">
        <v>664</v>
      </c>
      <c r="D4954" s="1" t="s">
        <v>665</v>
      </c>
      <c r="E4954" s="1" t="s">
        <v>21</v>
      </c>
      <c r="F4954" s="1" t="s">
        <v>474</v>
      </c>
      <c r="G4954" s="1" t="s">
        <v>475</v>
      </c>
      <c r="H4954" s="1" t="s">
        <v>48</v>
      </c>
      <c r="I4954">
        <v>81526</v>
      </c>
      <c r="J4954" s="3">
        <v>49.09</v>
      </c>
      <c r="K4954" s="3">
        <v>4002111.34</v>
      </c>
    </row>
    <row r="4955" spans="1:11" x14ac:dyDescent="0.2">
      <c r="A4955" s="1" t="s">
        <v>6073</v>
      </c>
      <c r="B4955" s="2">
        <v>45916</v>
      </c>
      <c r="C4955" s="1" t="s">
        <v>409</v>
      </c>
      <c r="D4955" s="1" t="s">
        <v>410</v>
      </c>
      <c r="E4955" s="1" t="s">
        <v>14</v>
      </c>
      <c r="F4955" s="1" t="s">
        <v>157</v>
      </c>
      <c r="G4955" s="1" t="s">
        <v>158</v>
      </c>
      <c r="H4955" s="1" t="s">
        <v>48</v>
      </c>
      <c r="I4955">
        <v>46401</v>
      </c>
      <c r="J4955" s="3">
        <v>33.200000000000003</v>
      </c>
      <c r="K4955" s="3">
        <v>1540513.2</v>
      </c>
    </row>
    <row r="4956" spans="1:11" x14ac:dyDescent="0.2">
      <c r="A4956" s="1" t="s">
        <v>6074</v>
      </c>
      <c r="B4956" s="2">
        <v>45857</v>
      </c>
      <c r="C4956" s="1" t="s">
        <v>722</v>
      </c>
      <c r="D4956" s="1" t="s">
        <v>723</v>
      </c>
      <c r="E4956" s="1" t="s">
        <v>21</v>
      </c>
      <c r="F4956" s="1" t="s">
        <v>510</v>
      </c>
      <c r="G4956" s="1" t="s">
        <v>511</v>
      </c>
      <c r="H4956" s="1" t="s">
        <v>17</v>
      </c>
      <c r="I4956">
        <v>42419</v>
      </c>
      <c r="J4956" s="3">
        <v>37.71</v>
      </c>
      <c r="K4956" s="3">
        <v>1599620.49</v>
      </c>
    </row>
    <row r="4957" spans="1:11" x14ac:dyDescent="0.2">
      <c r="A4957" s="1" t="s">
        <v>6075</v>
      </c>
      <c r="B4957" s="2">
        <v>45892</v>
      </c>
      <c r="C4957" s="1" t="s">
        <v>1516</v>
      </c>
      <c r="D4957" s="1" t="s">
        <v>1517</v>
      </c>
      <c r="E4957" s="1" t="s">
        <v>21</v>
      </c>
      <c r="F4957" s="1" t="s">
        <v>41</v>
      </c>
      <c r="G4957" s="1" t="s">
        <v>42</v>
      </c>
      <c r="H4957" s="1" t="s">
        <v>24</v>
      </c>
      <c r="I4957">
        <v>88116</v>
      </c>
      <c r="J4957" s="3">
        <v>21.51</v>
      </c>
      <c r="K4957" s="3">
        <v>1895375.16</v>
      </c>
    </row>
    <row r="4958" spans="1:11" x14ac:dyDescent="0.2">
      <c r="A4958" s="1" t="s">
        <v>6076</v>
      </c>
      <c r="B4958" s="2">
        <v>45694</v>
      </c>
      <c r="C4958" s="1" t="s">
        <v>1113</v>
      </c>
      <c r="D4958" s="1" t="s">
        <v>1114</v>
      </c>
      <c r="E4958" s="1" t="s">
        <v>14</v>
      </c>
      <c r="F4958" s="1" t="s">
        <v>76</v>
      </c>
      <c r="G4958" s="1" t="s">
        <v>77</v>
      </c>
      <c r="H4958" s="1" t="s">
        <v>48</v>
      </c>
      <c r="I4958">
        <v>89034</v>
      </c>
      <c r="J4958" s="3">
        <v>41.07</v>
      </c>
      <c r="K4958" s="3">
        <v>3656626.38</v>
      </c>
    </row>
    <row r="4959" spans="1:11" x14ac:dyDescent="0.2">
      <c r="A4959" s="1" t="s">
        <v>6077</v>
      </c>
      <c r="B4959" s="2">
        <v>45455</v>
      </c>
      <c r="C4959" s="1" t="s">
        <v>377</v>
      </c>
      <c r="D4959" s="1" t="s">
        <v>378</v>
      </c>
      <c r="E4959" s="1" t="s">
        <v>37</v>
      </c>
      <c r="F4959" s="1" t="s">
        <v>81</v>
      </c>
      <c r="G4959" s="1" t="s">
        <v>82</v>
      </c>
      <c r="H4959" s="1" t="s">
        <v>72</v>
      </c>
      <c r="I4959">
        <v>86571</v>
      </c>
      <c r="J4959" s="3">
        <v>29.44</v>
      </c>
      <c r="K4959" s="3">
        <v>2548650.2400000002</v>
      </c>
    </row>
    <row r="4960" spans="1:11" x14ac:dyDescent="0.2">
      <c r="A4960" s="1" t="s">
        <v>6078</v>
      </c>
      <c r="B4960" s="2">
        <v>45582</v>
      </c>
      <c r="C4960" s="1" t="s">
        <v>1058</v>
      </c>
      <c r="D4960" s="1" t="s">
        <v>1059</v>
      </c>
      <c r="E4960" s="1" t="s">
        <v>14</v>
      </c>
      <c r="F4960" s="1" t="s">
        <v>52</v>
      </c>
      <c r="G4960" s="1" t="s">
        <v>53</v>
      </c>
      <c r="H4960" s="1" t="s">
        <v>17</v>
      </c>
      <c r="I4960">
        <v>31786</v>
      </c>
      <c r="J4960" s="3">
        <v>5</v>
      </c>
      <c r="K4960" s="3">
        <v>158930</v>
      </c>
    </row>
    <row r="4961" spans="1:11" x14ac:dyDescent="0.2">
      <c r="A4961" s="1" t="s">
        <v>6079</v>
      </c>
      <c r="B4961" s="2">
        <v>45636</v>
      </c>
      <c r="C4961" s="1" t="s">
        <v>783</v>
      </c>
      <c r="D4961" s="1" t="s">
        <v>784</v>
      </c>
      <c r="E4961" s="1" t="s">
        <v>14</v>
      </c>
      <c r="F4961" s="1" t="s">
        <v>113</v>
      </c>
      <c r="G4961" s="1" t="s">
        <v>114</v>
      </c>
      <c r="H4961" s="1" t="s">
        <v>37</v>
      </c>
      <c r="I4961">
        <v>34703</v>
      </c>
      <c r="J4961" s="3">
        <v>11.06</v>
      </c>
      <c r="K4961" s="3">
        <v>383815.18</v>
      </c>
    </row>
    <row r="4962" spans="1:11" x14ac:dyDescent="0.2">
      <c r="A4962" s="1" t="s">
        <v>6080</v>
      </c>
      <c r="B4962" s="2">
        <v>45922</v>
      </c>
      <c r="C4962" s="1" t="s">
        <v>434</v>
      </c>
      <c r="D4962" s="1" t="s">
        <v>435</v>
      </c>
      <c r="E4962" s="1" t="s">
        <v>21</v>
      </c>
      <c r="F4962" s="1" t="s">
        <v>157</v>
      </c>
      <c r="G4962" s="1" t="s">
        <v>158</v>
      </c>
      <c r="H4962" s="1" t="s">
        <v>48</v>
      </c>
      <c r="I4962">
        <v>53857</v>
      </c>
      <c r="J4962" s="3">
        <v>8.3800000000000008</v>
      </c>
      <c r="K4962" s="3">
        <v>451321.66</v>
      </c>
    </row>
    <row r="4963" spans="1:11" x14ac:dyDescent="0.2">
      <c r="A4963" s="1" t="s">
        <v>6081</v>
      </c>
      <c r="B4963" s="2">
        <v>46014</v>
      </c>
      <c r="C4963" s="1" t="s">
        <v>746</v>
      </c>
      <c r="D4963" s="1" t="s">
        <v>747</v>
      </c>
      <c r="E4963" s="1" t="s">
        <v>37</v>
      </c>
      <c r="F4963" s="1" t="s">
        <v>152</v>
      </c>
      <c r="G4963" s="1" t="s">
        <v>153</v>
      </c>
      <c r="H4963" s="1" t="s">
        <v>17</v>
      </c>
      <c r="I4963">
        <v>55026</v>
      </c>
      <c r="J4963" s="3">
        <v>20.56</v>
      </c>
      <c r="K4963" s="3">
        <v>1131334.56</v>
      </c>
    </row>
    <row r="4964" spans="1:11" x14ac:dyDescent="0.2">
      <c r="A4964" s="1" t="s">
        <v>6082</v>
      </c>
      <c r="B4964" s="2">
        <v>45582</v>
      </c>
      <c r="C4964" s="1" t="s">
        <v>2418</v>
      </c>
      <c r="D4964" s="1" t="s">
        <v>2419</v>
      </c>
      <c r="E4964" s="1" t="s">
        <v>37</v>
      </c>
      <c r="F4964" s="1" t="s">
        <v>76</v>
      </c>
      <c r="G4964" s="1" t="s">
        <v>77</v>
      </c>
      <c r="H4964" s="1" t="s">
        <v>48</v>
      </c>
      <c r="I4964">
        <v>51945</v>
      </c>
      <c r="J4964" s="3">
        <v>15.09</v>
      </c>
      <c r="K4964" s="3">
        <v>783850.05</v>
      </c>
    </row>
    <row r="4965" spans="1:11" x14ac:dyDescent="0.2">
      <c r="A4965" s="1" t="s">
        <v>6083</v>
      </c>
      <c r="B4965" s="2">
        <v>45654</v>
      </c>
      <c r="C4965" s="1" t="s">
        <v>1784</v>
      </c>
      <c r="D4965" s="1" t="s">
        <v>1785</v>
      </c>
      <c r="E4965" s="1" t="s">
        <v>21</v>
      </c>
      <c r="F4965" s="1" t="s">
        <v>15</v>
      </c>
      <c r="G4965" s="1" t="s">
        <v>16</v>
      </c>
      <c r="H4965" s="1" t="s">
        <v>17</v>
      </c>
      <c r="I4965">
        <v>4886</v>
      </c>
      <c r="J4965" s="3">
        <v>13.68</v>
      </c>
      <c r="K4965" s="3">
        <v>66840.479999999996</v>
      </c>
    </row>
    <row r="4966" spans="1:11" x14ac:dyDescent="0.2">
      <c r="A4966" s="1" t="s">
        <v>6084</v>
      </c>
      <c r="B4966" s="2">
        <v>45548</v>
      </c>
      <c r="C4966" s="1" t="s">
        <v>1164</v>
      </c>
      <c r="D4966" s="1" t="s">
        <v>1165</v>
      </c>
      <c r="E4966" s="1" t="s">
        <v>37</v>
      </c>
      <c r="F4966" s="1" t="s">
        <v>339</v>
      </c>
      <c r="G4966" s="1" t="s">
        <v>340</v>
      </c>
      <c r="H4966" s="1" t="s">
        <v>24</v>
      </c>
      <c r="I4966">
        <v>99696</v>
      </c>
      <c r="J4966" s="3">
        <v>27.09</v>
      </c>
      <c r="K4966" s="3">
        <v>2700764.64</v>
      </c>
    </row>
    <row r="4967" spans="1:11" x14ac:dyDescent="0.2">
      <c r="A4967" s="1" t="s">
        <v>6085</v>
      </c>
      <c r="B4967" s="2">
        <v>45383</v>
      </c>
      <c r="C4967" s="1" t="s">
        <v>1099</v>
      </c>
      <c r="D4967" s="1" t="s">
        <v>1100</v>
      </c>
      <c r="E4967" s="1" t="s">
        <v>34</v>
      </c>
      <c r="F4967" s="1" t="s">
        <v>189</v>
      </c>
      <c r="G4967" s="1" t="s">
        <v>190</v>
      </c>
      <c r="H4967" s="1" t="s">
        <v>17</v>
      </c>
      <c r="I4967">
        <v>53172</v>
      </c>
      <c r="J4967" s="3">
        <v>18.09</v>
      </c>
      <c r="K4967" s="3">
        <v>961881.48</v>
      </c>
    </row>
    <row r="4968" spans="1:11" x14ac:dyDescent="0.2">
      <c r="A4968" s="1" t="s">
        <v>6086</v>
      </c>
      <c r="B4968" s="2">
        <v>45798</v>
      </c>
      <c r="C4968" s="1" t="s">
        <v>681</v>
      </c>
      <c r="D4968" s="1" t="s">
        <v>682</v>
      </c>
      <c r="E4968" s="1" t="s">
        <v>28</v>
      </c>
      <c r="F4968" s="1" t="s">
        <v>165</v>
      </c>
      <c r="G4968" s="1" t="s">
        <v>166</v>
      </c>
      <c r="H4968" s="1" t="s">
        <v>24</v>
      </c>
      <c r="I4968">
        <v>33814</v>
      </c>
      <c r="J4968" s="3">
        <v>23.32</v>
      </c>
      <c r="K4968" s="3">
        <v>788542.48</v>
      </c>
    </row>
    <row r="4969" spans="1:11" x14ac:dyDescent="0.2">
      <c r="A4969" s="1" t="s">
        <v>6087</v>
      </c>
      <c r="B4969" s="2">
        <v>45807</v>
      </c>
      <c r="C4969" s="1" t="s">
        <v>514</v>
      </c>
      <c r="D4969" s="1" t="s">
        <v>515</v>
      </c>
      <c r="E4969" s="1" t="s">
        <v>28</v>
      </c>
      <c r="F4969" s="1" t="s">
        <v>52</v>
      </c>
      <c r="G4969" s="1" t="s">
        <v>53</v>
      </c>
      <c r="H4969" s="1" t="s">
        <v>17</v>
      </c>
      <c r="I4969">
        <v>39624</v>
      </c>
      <c r="J4969" s="3">
        <v>40.81</v>
      </c>
      <c r="K4969" s="3">
        <v>1617055.44</v>
      </c>
    </row>
    <row r="4970" spans="1:11" x14ac:dyDescent="0.2">
      <c r="A4970" s="1" t="s">
        <v>6088</v>
      </c>
      <c r="B4970" s="2">
        <v>45834</v>
      </c>
      <c r="C4970" s="1" t="s">
        <v>576</v>
      </c>
      <c r="D4970" s="1" t="s">
        <v>577</v>
      </c>
      <c r="E4970" s="1" t="s">
        <v>14</v>
      </c>
      <c r="F4970" s="1" t="s">
        <v>157</v>
      </c>
      <c r="G4970" s="1" t="s">
        <v>158</v>
      </c>
      <c r="H4970" s="1" t="s">
        <v>48</v>
      </c>
      <c r="I4970">
        <v>50440</v>
      </c>
      <c r="J4970" s="3">
        <v>40.659999999999997</v>
      </c>
      <c r="K4970" s="3">
        <v>2050890.4</v>
      </c>
    </row>
    <row r="4971" spans="1:11" x14ac:dyDescent="0.2">
      <c r="A4971" s="1" t="s">
        <v>6089</v>
      </c>
      <c r="B4971" s="2">
        <v>45970</v>
      </c>
      <c r="C4971" s="1" t="s">
        <v>628</v>
      </c>
      <c r="D4971" s="1" t="s">
        <v>629</v>
      </c>
      <c r="E4971" s="1" t="s">
        <v>14</v>
      </c>
      <c r="F4971" s="1" t="s">
        <v>76</v>
      </c>
      <c r="G4971" s="1" t="s">
        <v>77</v>
      </c>
      <c r="H4971" s="1" t="s">
        <v>48</v>
      </c>
      <c r="I4971">
        <v>14925</v>
      </c>
      <c r="J4971" s="3">
        <v>33.31</v>
      </c>
      <c r="K4971" s="3">
        <v>497151.75</v>
      </c>
    </row>
    <row r="4972" spans="1:11" x14ac:dyDescent="0.2">
      <c r="A4972" s="1" t="s">
        <v>6090</v>
      </c>
      <c r="B4972" s="2">
        <v>45881</v>
      </c>
      <c r="C4972" s="1" t="s">
        <v>4024</v>
      </c>
      <c r="D4972" s="1" t="s">
        <v>4025</v>
      </c>
      <c r="E4972" s="1" t="s">
        <v>28</v>
      </c>
      <c r="F4972" s="1" t="s">
        <v>144</v>
      </c>
      <c r="G4972" s="1" t="s">
        <v>145</v>
      </c>
      <c r="H4972" s="1" t="s">
        <v>24</v>
      </c>
      <c r="I4972">
        <v>9803</v>
      </c>
      <c r="J4972" s="3">
        <v>36.04</v>
      </c>
      <c r="K4972" s="3">
        <v>353300.12</v>
      </c>
    </row>
    <row r="4973" spans="1:11" x14ac:dyDescent="0.2">
      <c r="A4973" s="1" t="s">
        <v>6091</v>
      </c>
      <c r="B4973" s="2">
        <v>45335</v>
      </c>
      <c r="C4973" s="1" t="s">
        <v>1164</v>
      </c>
      <c r="D4973" s="1" t="s">
        <v>1165</v>
      </c>
      <c r="E4973" s="1" t="s">
        <v>37</v>
      </c>
      <c r="F4973" s="1" t="s">
        <v>273</v>
      </c>
      <c r="G4973" s="1" t="s">
        <v>274</v>
      </c>
      <c r="H4973" s="1" t="s">
        <v>24</v>
      </c>
      <c r="I4973">
        <v>11334</v>
      </c>
      <c r="J4973" s="3">
        <v>25.51</v>
      </c>
      <c r="K4973" s="3">
        <v>289130.34000000003</v>
      </c>
    </row>
    <row r="4974" spans="1:11" x14ac:dyDescent="0.2">
      <c r="A4974" s="1" t="s">
        <v>6092</v>
      </c>
      <c r="B4974" s="2">
        <v>45762</v>
      </c>
      <c r="C4974" s="1" t="s">
        <v>1615</v>
      </c>
      <c r="D4974" s="1" t="s">
        <v>1616</v>
      </c>
      <c r="E4974" s="1" t="s">
        <v>37</v>
      </c>
      <c r="F4974" s="1" t="s">
        <v>29</v>
      </c>
      <c r="G4974" s="1" t="s">
        <v>30</v>
      </c>
      <c r="H4974" s="1" t="s">
        <v>24</v>
      </c>
      <c r="I4974">
        <v>24595</v>
      </c>
      <c r="J4974" s="3">
        <v>27.63</v>
      </c>
      <c r="K4974" s="3">
        <v>679559.85</v>
      </c>
    </row>
    <row r="4975" spans="1:11" x14ac:dyDescent="0.2">
      <c r="A4975" s="1" t="s">
        <v>6093</v>
      </c>
      <c r="B4975" s="2">
        <v>45710</v>
      </c>
      <c r="C4975" s="1" t="s">
        <v>2011</v>
      </c>
      <c r="D4975" s="1" t="s">
        <v>2012</v>
      </c>
      <c r="E4975" s="1" t="s">
        <v>37</v>
      </c>
      <c r="F4975" s="1" t="s">
        <v>412</v>
      </c>
      <c r="G4975" s="1" t="s">
        <v>413</v>
      </c>
      <c r="H4975" s="1" t="s">
        <v>72</v>
      </c>
      <c r="I4975">
        <v>23748</v>
      </c>
      <c r="J4975" s="3">
        <v>25.28</v>
      </c>
      <c r="K4975" s="3">
        <v>600349.43999999994</v>
      </c>
    </row>
    <row r="4976" spans="1:11" x14ac:dyDescent="0.2">
      <c r="A4976" s="1" t="s">
        <v>6094</v>
      </c>
      <c r="B4976" s="2">
        <v>45533</v>
      </c>
      <c r="C4976" s="1" t="s">
        <v>1254</v>
      </c>
      <c r="D4976" s="1" t="s">
        <v>1255</v>
      </c>
      <c r="E4976" s="1" t="s">
        <v>14</v>
      </c>
      <c r="F4976" s="1" t="s">
        <v>57</v>
      </c>
      <c r="G4976" s="1" t="s">
        <v>58</v>
      </c>
      <c r="H4976" s="1" t="s">
        <v>48</v>
      </c>
      <c r="I4976">
        <v>92480</v>
      </c>
      <c r="J4976" s="3">
        <v>8.89</v>
      </c>
      <c r="K4976" s="3">
        <v>822147.2</v>
      </c>
    </row>
    <row r="4977" spans="1:11" x14ac:dyDescent="0.2">
      <c r="A4977" s="1" t="s">
        <v>6095</v>
      </c>
      <c r="B4977" s="2">
        <v>45862</v>
      </c>
      <c r="C4977" s="1" t="s">
        <v>1728</v>
      </c>
      <c r="D4977" s="1" t="s">
        <v>1729</v>
      </c>
      <c r="E4977" s="1" t="s">
        <v>21</v>
      </c>
      <c r="F4977" s="1" t="s">
        <v>251</v>
      </c>
      <c r="G4977" s="1" t="s">
        <v>252</v>
      </c>
      <c r="H4977" s="1" t="s">
        <v>72</v>
      </c>
      <c r="I4977">
        <v>99229</v>
      </c>
      <c r="J4977" s="3">
        <v>3.24</v>
      </c>
      <c r="K4977" s="3">
        <v>321501.96000000002</v>
      </c>
    </row>
    <row r="4978" spans="1:11" x14ac:dyDescent="0.2">
      <c r="A4978" s="1" t="s">
        <v>6096</v>
      </c>
      <c r="B4978" s="2">
        <v>45697</v>
      </c>
      <c r="C4978" s="1" t="s">
        <v>1622</v>
      </c>
      <c r="D4978" s="1" t="s">
        <v>1623</v>
      </c>
      <c r="E4978" s="1" t="s">
        <v>21</v>
      </c>
      <c r="F4978" s="1" t="s">
        <v>237</v>
      </c>
      <c r="G4978" s="1" t="s">
        <v>238</v>
      </c>
      <c r="H4978" s="1" t="s">
        <v>17</v>
      </c>
      <c r="I4978">
        <v>46664</v>
      </c>
      <c r="J4978" s="3">
        <v>4.2300000000000004</v>
      </c>
      <c r="K4978" s="3">
        <v>197388.72</v>
      </c>
    </row>
    <row r="4979" spans="1:11" x14ac:dyDescent="0.2">
      <c r="A4979" s="1" t="s">
        <v>6097</v>
      </c>
      <c r="B4979" s="2">
        <v>45679</v>
      </c>
      <c r="C4979" s="1" t="s">
        <v>1789</v>
      </c>
      <c r="D4979" s="1" t="s">
        <v>1790</v>
      </c>
      <c r="E4979" s="1" t="s">
        <v>21</v>
      </c>
      <c r="F4979" s="1" t="s">
        <v>284</v>
      </c>
      <c r="G4979" s="1" t="s">
        <v>285</v>
      </c>
      <c r="H4979" s="1" t="s">
        <v>37</v>
      </c>
      <c r="I4979">
        <v>76627</v>
      </c>
      <c r="J4979" s="3">
        <v>48.11</v>
      </c>
      <c r="K4979" s="3">
        <v>3686524.97</v>
      </c>
    </row>
    <row r="4980" spans="1:11" x14ac:dyDescent="0.2">
      <c r="A4980" s="1" t="s">
        <v>6098</v>
      </c>
      <c r="B4980" s="2">
        <v>45516</v>
      </c>
      <c r="C4980" s="1" t="s">
        <v>1314</v>
      </c>
      <c r="D4980" s="1" t="s">
        <v>1315</v>
      </c>
      <c r="E4980" s="1" t="s">
        <v>14</v>
      </c>
      <c r="F4980" s="1" t="s">
        <v>458</v>
      </c>
      <c r="G4980" s="1" t="s">
        <v>459</v>
      </c>
      <c r="H4980" s="1" t="s">
        <v>72</v>
      </c>
      <c r="I4980">
        <v>20160</v>
      </c>
      <c r="J4980" s="3">
        <v>43.67</v>
      </c>
      <c r="K4980" s="3">
        <v>880387.2</v>
      </c>
    </row>
    <row r="4981" spans="1:11" x14ac:dyDescent="0.2">
      <c r="A4981" s="1" t="s">
        <v>6099</v>
      </c>
      <c r="B4981" s="2">
        <v>45422</v>
      </c>
      <c r="C4981" s="1" t="s">
        <v>832</v>
      </c>
      <c r="D4981" s="1" t="s">
        <v>833</v>
      </c>
      <c r="E4981" s="1" t="s">
        <v>28</v>
      </c>
      <c r="F4981" s="1" t="s">
        <v>81</v>
      </c>
      <c r="G4981" s="1" t="s">
        <v>82</v>
      </c>
      <c r="H4981" s="1" t="s">
        <v>72</v>
      </c>
      <c r="I4981">
        <v>96326</v>
      </c>
      <c r="J4981" s="3">
        <v>3.99</v>
      </c>
      <c r="K4981" s="3">
        <v>384340.74</v>
      </c>
    </row>
    <row r="4982" spans="1:11" x14ac:dyDescent="0.2">
      <c r="A4982" s="1" t="s">
        <v>6100</v>
      </c>
      <c r="B4982" s="2">
        <v>45875</v>
      </c>
      <c r="C4982" s="1" t="s">
        <v>1207</v>
      </c>
      <c r="D4982" s="1" t="s">
        <v>1208</v>
      </c>
      <c r="E4982" s="1" t="s">
        <v>37</v>
      </c>
      <c r="F4982" s="1" t="s">
        <v>458</v>
      </c>
      <c r="G4982" s="1" t="s">
        <v>459</v>
      </c>
      <c r="H4982" s="1" t="s">
        <v>72</v>
      </c>
      <c r="I4982">
        <v>21429</v>
      </c>
      <c r="J4982" s="3">
        <v>48.4</v>
      </c>
      <c r="K4982" s="3">
        <v>1037163.6</v>
      </c>
    </row>
    <row r="4983" spans="1:11" x14ac:dyDescent="0.2">
      <c r="A4983" s="1" t="s">
        <v>6101</v>
      </c>
      <c r="B4983" s="2">
        <v>45466</v>
      </c>
      <c r="C4983" s="1" t="s">
        <v>1626</v>
      </c>
      <c r="D4983" s="1" t="s">
        <v>1627</v>
      </c>
      <c r="E4983" s="1" t="s">
        <v>34</v>
      </c>
      <c r="F4983" s="1" t="s">
        <v>76</v>
      </c>
      <c r="G4983" s="1" t="s">
        <v>77</v>
      </c>
      <c r="H4983" s="1" t="s">
        <v>48</v>
      </c>
      <c r="I4983">
        <v>64318</v>
      </c>
      <c r="J4983" s="3">
        <v>26.03</v>
      </c>
      <c r="K4983" s="3">
        <v>1674197.54</v>
      </c>
    </row>
    <row r="4984" spans="1:11" x14ac:dyDescent="0.2">
      <c r="A4984" s="1" t="s">
        <v>6102</v>
      </c>
      <c r="B4984" s="2">
        <v>45358</v>
      </c>
      <c r="C4984" s="1" t="s">
        <v>1578</v>
      </c>
      <c r="D4984" s="1" t="s">
        <v>1579</v>
      </c>
      <c r="E4984" s="1" t="s">
        <v>28</v>
      </c>
      <c r="F4984" s="1" t="s">
        <v>189</v>
      </c>
      <c r="G4984" s="1" t="s">
        <v>190</v>
      </c>
      <c r="H4984" s="1" t="s">
        <v>17</v>
      </c>
      <c r="I4984">
        <v>96524</v>
      </c>
      <c r="J4984" s="3">
        <v>8.76</v>
      </c>
      <c r="K4984" s="3">
        <v>845550.24</v>
      </c>
    </row>
    <row r="4985" spans="1:11" x14ac:dyDescent="0.2">
      <c r="A4985" s="1" t="s">
        <v>6103</v>
      </c>
      <c r="B4985" s="2">
        <v>45351</v>
      </c>
      <c r="C4985" s="1" t="s">
        <v>920</v>
      </c>
      <c r="D4985" s="1" t="s">
        <v>921</v>
      </c>
      <c r="E4985" s="1" t="s">
        <v>14</v>
      </c>
      <c r="F4985" s="1" t="s">
        <v>324</v>
      </c>
      <c r="G4985" s="1" t="s">
        <v>325</v>
      </c>
      <c r="H4985" s="1" t="s">
        <v>24</v>
      </c>
      <c r="I4985">
        <v>62116</v>
      </c>
      <c r="J4985" s="3">
        <v>3.22</v>
      </c>
      <c r="K4985" s="3">
        <v>200013.52</v>
      </c>
    </row>
    <row r="4986" spans="1:11" x14ac:dyDescent="0.2">
      <c r="A4986" s="1" t="s">
        <v>6104</v>
      </c>
      <c r="B4986" s="2">
        <v>45694</v>
      </c>
      <c r="C4986" s="1" t="s">
        <v>905</v>
      </c>
      <c r="D4986" s="1" t="s">
        <v>906</v>
      </c>
      <c r="E4986" s="1" t="s">
        <v>14</v>
      </c>
      <c r="F4986" s="1" t="s">
        <v>144</v>
      </c>
      <c r="G4986" s="1" t="s">
        <v>145</v>
      </c>
      <c r="H4986" s="1" t="s">
        <v>24</v>
      </c>
      <c r="I4986">
        <v>28823</v>
      </c>
      <c r="J4986" s="3">
        <v>9.59</v>
      </c>
      <c r="K4986" s="3">
        <v>276412.57</v>
      </c>
    </row>
    <row r="4987" spans="1:11" x14ac:dyDescent="0.2">
      <c r="A4987" s="1" t="s">
        <v>6105</v>
      </c>
      <c r="B4987" s="2">
        <v>45877</v>
      </c>
      <c r="C4987" s="1" t="s">
        <v>636</v>
      </c>
      <c r="D4987" s="1" t="s">
        <v>637</v>
      </c>
      <c r="E4987" s="1" t="s">
        <v>21</v>
      </c>
      <c r="F4987" s="1" t="s">
        <v>144</v>
      </c>
      <c r="G4987" s="1" t="s">
        <v>145</v>
      </c>
      <c r="H4987" s="1" t="s">
        <v>24</v>
      </c>
      <c r="I4987">
        <v>6747</v>
      </c>
      <c r="J4987" s="3">
        <v>31.69</v>
      </c>
      <c r="K4987" s="3">
        <v>213812.43</v>
      </c>
    </row>
    <row r="4988" spans="1:11" x14ac:dyDescent="0.2">
      <c r="A4988" s="1" t="s">
        <v>6106</v>
      </c>
      <c r="B4988" s="2">
        <v>45976</v>
      </c>
      <c r="C4988" s="1" t="s">
        <v>220</v>
      </c>
      <c r="D4988" s="1" t="s">
        <v>221</v>
      </c>
      <c r="E4988" s="1" t="s">
        <v>21</v>
      </c>
      <c r="F4988" s="1" t="s">
        <v>165</v>
      </c>
      <c r="G4988" s="1" t="s">
        <v>166</v>
      </c>
      <c r="H4988" s="1" t="s">
        <v>24</v>
      </c>
      <c r="I4988">
        <v>58000</v>
      </c>
      <c r="J4988" s="3">
        <v>24.75</v>
      </c>
      <c r="K4988" s="3">
        <v>1435500</v>
      </c>
    </row>
    <row r="4989" spans="1:11" x14ac:dyDescent="0.2">
      <c r="A4989" s="1" t="s">
        <v>6107</v>
      </c>
      <c r="B4989" s="2">
        <v>45319</v>
      </c>
      <c r="C4989" s="1" t="s">
        <v>171</v>
      </c>
      <c r="D4989" s="1" t="s">
        <v>172</v>
      </c>
      <c r="E4989" s="1" t="s">
        <v>28</v>
      </c>
      <c r="F4989" s="1" t="s">
        <v>176</v>
      </c>
      <c r="G4989" s="1" t="s">
        <v>177</v>
      </c>
      <c r="H4989" s="1" t="s">
        <v>37</v>
      </c>
      <c r="I4989">
        <v>12890</v>
      </c>
      <c r="J4989" s="3">
        <v>46.16</v>
      </c>
      <c r="K4989" s="3">
        <v>595002.4</v>
      </c>
    </row>
    <row r="4990" spans="1:11" x14ac:dyDescent="0.2">
      <c r="A4990" s="1" t="s">
        <v>6108</v>
      </c>
      <c r="B4990" s="2">
        <v>45736</v>
      </c>
      <c r="C4990" s="1" t="s">
        <v>636</v>
      </c>
      <c r="D4990" s="1" t="s">
        <v>637</v>
      </c>
      <c r="E4990" s="1" t="s">
        <v>21</v>
      </c>
      <c r="F4990" s="1" t="s">
        <v>176</v>
      </c>
      <c r="G4990" s="1" t="s">
        <v>177</v>
      </c>
      <c r="H4990" s="1" t="s">
        <v>37</v>
      </c>
      <c r="I4990">
        <v>30140</v>
      </c>
      <c r="J4990" s="3">
        <v>49.35</v>
      </c>
      <c r="K4990" s="3">
        <v>1487409</v>
      </c>
    </row>
    <row r="4991" spans="1:11" x14ac:dyDescent="0.2">
      <c r="A4991" s="1" t="s">
        <v>6109</v>
      </c>
      <c r="B4991" s="2">
        <v>45692</v>
      </c>
      <c r="C4991" s="1" t="s">
        <v>916</v>
      </c>
      <c r="D4991" s="1" t="s">
        <v>917</v>
      </c>
      <c r="E4991" s="1" t="s">
        <v>28</v>
      </c>
      <c r="F4991" s="1" t="s">
        <v>406</v>
      </c>
      <c r="G4991" s="1" t="s">
        <v>407</v>
      </c>
      <c r="H4991" s="1" t="s">
        <v>17</v>
      </c>
      <c r="I4991">
        <v>78885</v>
      </c>
      <c r="J4991" s="3">
        <v>9.6</v>
      </c>
      <c r="K4991" s="3">
        <v>757296</v>
      </c>
    </row>
    <row r="4992" spans="1:11" x14ac:dyDescent="0.2">
      <c r="A4992" s="1" t="s">
        <v>6110</v>
      </c>
      <c r="B4992" s="2">
        <v>45466</v>
      </c>
      <c r="C4992" s="1" t="s">
        <v>514</v>
      </c>
      <c r="D4992" s="1" t="s">
        <v>515</v>
      </c>
      <c r="E4992" s="1" t="s">
        <v>28</v>
      </c>
      <c r="F4992" s="1" t="s">
        <v>46</v>
      </c>
      <c r="G4992" s="1" t="s">
        <v>47</v>
      </c>
      <c r="H4992" s="1" t="s">
        <v>48</v>
      </c>
      <c r="I4992">
        <v>33381</v>
      </c>
      <c r="J4992" s="3">
        <v>31.58</v>
      </c>
      <c r="K4992" s="3">
        <v>1054171.98</v>
      </c>
    </row>
    <row r="4993" spans="1:11" x14ac:dyDescent="0.2">
      <c r="A4993" s="1" t="s">
        <v>6111</v>
      </c>
      <c r="B4993" s="2">
        <v>45292</v>
      </c>
      <c r="C4993" s="1" t="s">
        <v>1128</v>
      </c>
      <c r="D4993" s="1" t="s">
        <v>1129</v>
      </c>
      <c r="E4993" s="1" t="s">
        <v>34</v>
      </c>
      <c r="F4993" s="1" t="s">
        <v>57</v>
      </c>
      <c r="G4993" s="1" t="s">
        <v>58</v>
      </c>
      <c r="H4993" s="1" t="s">
        <v>48</v>
      </c>
      <c r="I4993">
        <v>35256</v>
      </c>
      <c r="J4993" s="3">
        <v>24.86</v>
      </c>
      <c r="K4993" s="3">
        <v>876464.16</v>
      </c>
    </row>
    <row r="4994" spans="1:11" x14ac:dyDescent="0.2">
      <c r="A4994" s="1" t="s">
        <v>6112</v>
      </c>
      <c r="B4994" s="2">
        <v>45324</v>
      </c>
      <c r="C4994" s="1" t="s">
        <v>472</v>
      </c>
      <c r="D4994" s="1" t="s">
        <v>473</v>
      </c>
      <c r="E4994" s="1" t="s">
        <v>14</v>
      </c>
      <c r="F4994" s="1" t="s">
        <v>251</v>
      </c>
      <c r="G4994" s="1" t="s">
        <v>252</v>
      </c>
      <c r="H4994" s="1" t="s">
        <v>72</v>
      </c>
      <c r="I4994">
        <v>53028</v>
      </c>
      <c r="J4994" s="3">
        <v>33.68</v>
      </c>
      <c r="K4994" s="3">
        <v>1785983.04</v>
      </c>
    </row>
    <row r="4995" spans="1:11" x14ac:dyDescent="0.2">
      <c r="A4995" s="1" t="s">
        <v>6113</v>
      </c>
      <c r="B4995" s="2">
        <v>45368</v>
      </c>
      <c r="C4995" s="1" t="s">
        <v>1011</v>
      </c>
      <c r="D4995" s="1" t="s">
        <v>1012</v>
      </c>
      <c r="E4995" s="1" t="s">
        <v>21</v>
      </c>
      <c r="F4995" s="1" t="s">
        <v>144</v>
      </c>
      <c r="G4995" s="1" t="s">
        <v>145</v>
      </c>
      <c r="H4995" s="1" t="s">
        <v>24</v>
      </c>
      <c r="I4995">
        <v>79157</v>
      </c>
      <c r="J4995" s="3">
        <v>9.61</v>
      </c>
      <c r="K4995" s="3">
        <v>760698.77</v>
      </c>
    </row>
    <row r="4996" spans="1:11" x14ac:dyDescent="0.2">
      <c r="A4996" s="1" t="s">
        <v>6114</v>
      </c>
      <c r="B4996" s="2">
        <v>45489</v>
      </c>
      <c r="C4996" s="1" t="s">
        <v>1053</v>
      </c>
      <c r="D4996" s="1" t="s">
        <v>1054</v>
      </c>
      <c r="E4996" s="1" t="s">
        <v>21</v>
      </c>
      <c r="F4996" s="1" t="s">
        <v>103</v>
      </c>
      <c r="G4996" s="1" t="s">
        <v>104</v>
      </c>
      <c r="H4996" s="1" t="s">
        <v>37</v>
      </c>
      <c r="I4996">
        <v>57290</v>
      </c>
      <c r="J4996" s="3">
        <v>11.52</v>
      </c>
      <c r="K4996" s="3">
        <v>659980.80000000005</v>
      </c>
    </row>
    <row r="4997" spans="1:11" x14ac:dyDescent="0.2">
      <c r="A4997" s="1" t="s">
        <v>6115</v>
      </c>
      <c r="B4997" s="2">
        <v>45690</v>
      </c>
      <c r="C4997" s="1" t="s">
        <v>1784</v>
      </c>
      <c r="D4997" s="1" t="s">
        <v>1785</v>
      </c>
      <c r="E4997" s="1" t="s">
        <v>21</v>
      </c>
      <c r="F4997" s="1" t="s">
        <v>263</v>
      </c>
      <c r="G4997" s="1" t="s">
        <v>264</v>
      </c>
      <c r="H4997" s="1" t="s">
        <v>17</v>
      </c>
      <c r="I4997">
        <v>29741</v>
      </c>
      <c r="J4997" s="3">
        <v>5.4</v>
      </c>
      <c r="K4997" s="3">
        <v>160601.4</v>
      </c>
    </row>
    <row r="4998" spans="1:11" x14ac:dyDescent="0.2">
      <c r="A4998" s="1" t="s">
        <v>6116</v>
      </c>
      <c r="B4998" s="2">
        <v>45393</v>
      </c>
      <c r="C4998" s="1" t="s">
        <v>966</v>
      </c>
      <c r="D4998" s="1" t="s">
        <v>967</v>
      </c>
      <c r="E4998" s="1" t="s">
        <v>34</v>
      </c>
      <c r="F4998" s="1" t="s">
        <v>113</v>
      </c>
      <c r="G4998" s="1" t="s">
        <v>114</v>
      </c>
      <c r="H4998" s="1" t="s">
        <v>37</v>
      </c>
      <c r="I4998">
        <v>46991</v>
      </c>
      <c r="J4998" s="3">
        <v>6.03</v>
      </c>
      <c r="K4998" s="3">
        <v>283355.73</v>
      </c>
    </row>
    <row r="4999" spans="1:11" x14ac:dyDescent="0.2">
      <c r="A4999" s="1" t="s">
        <v>6117</v>
      </c>
      <c r="B4999" s="2">
        <v>45517</v>
      </c>
      <c r="C4999" s="1" t="s">
        <v>2059</v>
      </c>
      <c r="D4999" s="1" t="s">
        <v>2060</v>
      </c>
      <c r="E4999" s="1" t="s">
        <v>21</v>
      </c>
      <c r="F4999" s="1" t="s">
        <v>552</v>
      </c>
      <c r="G4999" s="1" t="s">
        <v>553</v>
      </c>
      <c r="H4999" s="1" t="s">
        <v>37</v>
      </c>
      <c r="I4999">
        <v>2342</v>
      </c>
      <c r="J4999" s="3">
        <v>28.02</v>
      </c>
      <c r="K4999" s="3">
        <v>65622.84</v>
      </c>
    </row>
    <row r="5000" spans="1:11" x14ac:dyDescent="0.2">
      <c r="A5000" s="1" t="s">
        <v>6118</v>
      </c>
      <c r="B5000" s="2">
        <v>45891</v>
      </c>
      <c r="C5000" s="1" t="s">
        <v>829</v>
      </c>
      <c r="D5000" s="1" t="s">
        <v>830</v>
      </c>
      <c r="E5000" s="1" t="s">
        <v>14</v>
      </c>
      <c r="F5000" s="1" t="s">
        <v>144</v>
      </c>
      <c r="G5000" s="1" t="s">
        <v>145</v>
      </c>
      <c r="H5000" s="1" t="s">
        <v>24</v>
      </c>
      <c r="I5000">
        <v>21703</v>
      </c>
      <c r="J5000" s="3">
        <v>35.61</v>
      </c>
      <c r="K5000" s="3">
        <v>772843.83</v>
      </c>
    </row>
    <row r="5001" spans="1:11" x14ac:dyDescent="0.2">
      <c r="A5001" s="1" t="s">
        <v>6119</v>
      </c>
      <c r="B5001" s="2">
        <v>45648</v>
      </c>
      <c r="C5001" s="1" t="s">
        <v>1761</v>
      </c>
      <c r="D5001" s="1" t="s">
        <v>1762</v>
      </c>
      <c r="E5001" s="1" t="s">
        <v>14</v>
      </c>
      <c r="F5001" s="1" t="s">
        <v>324</v>
      </c>
      <c r="G5001" s="1" t="s">
        <v>325</v>
      </c>
      <c r="H5001" s="1" t="s">
        <v>24</v>
      </c>
      <c r="I5001">
        <v>88700</v>
      </c>
      <c r="J5001" s="3">
        <v>49.82</v>
      </c>
      <c r="K5001" s="3">
        <v>4419034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C9A5-FC08-B44E-868E-BEE82DCA0C58}">
  <dimension ref="C2:P3"/>
  <sheetViews>
    <sheetView showGridLines="0" zoomScale="58" zoomScaleNormal="109" workbookViewId="0">
      <selection activeCell="G48" sqref="G48"/>
    </sheetView>
  </sheetViews>
  <sheetFormatPr baseColWidth="10" defaultRowHeight="16" x14ac:dyDescent="0.2"/>
  <cols>
    <col min="2" max="2" width="16.5" bestFit="1" customWidth="1"/>
    <col min="3" max="3" width="24.83203125" bestFit="1" customWidth="1"/>
    <col min="4" max="4" width="31.83203125" customWidth="1"/>
    <col min="5" max="5" width="14.1640625" customWidth="1"/>
    <col min="6" max="6" width="23.5" customWidth="1"/>
    <col min="7" max="7" width="18" customWidth="1"/>
    <col min="8" max="8" width="13" bestFit="1" customWidth="1"/>
    <col min="9" max="9" width="34.1640625" customWidth="1"/>
    <col min="10" max="10" width="26.83203125" customWidth="1"/>
    <col min="11" max="11" width="18.6640625" bestFit="1" customWidth="1"/>
    <col min="12" max="12" width="31" customWidth="1"/>
    <col min="13" max="13" width="25.33203125" customWidth="1"/>
    <col min="14" max="14" width="13" bestFit="1" customWidth="1"/>
    <col min="15" max="15" width="35.6640625" customWidth="1"/>
    <col min="16" max="16" width="29" customWidth="1"/>
    <col min="17" max="17" width="16.83203125" bestFit="1" customWidth="1"/>
    <col min="18" max="19" width="10.5" bestFit="1" customWidth="1"/>
    <col min="20" max="311" width="11.5" bestFit="1" customWidth="1"/>
    <col min="312" max="2511" width="13.1640625" bestFit="1" customWidth="1"/>
    <col min="2512" max="5014" width="14.1640625" bestFit="1" customWidth="1"/>
    <col min="5015" max="5015" width="11.83203125" bestFit="1" customWidth="1"/>
  </cols>
  <sheetData>
    <row r="2" spans="3:16" ht="9" customHeight="1" thickBot="1" x14ac:dyDescent="0.25"/>
    <row r="3" spans="3:16" ht="34" customHeight="1" thickBot="1" x14ac:dyDescent="0.4">
      <c r="C3" s="8" t="s">
        <v>6120</v>
      </c>
      <c r="D3" s="4">
        <f>SUM(sales_5000!K:K)</f>
        <v>6639783131.0999928</v>
      </c>
      <c r="F3" s="8" t="s">
        <v>6121</v>
      </c>
      <c r="G3" s="4">
        <f xml:space="preserve"> COUNTA(sales_5000!A:A)</f>
        <v>5001</v>
      </c>
      <c r="I3" s="8" t="s">
        <v>6122</v>
      </c>
      <c r="J3" s="4">
        <f>COUNTA('customers_500'!A:A)</f>
        <v>501</v>
      </c>
      <c r="L3" s="8" t="s">
        <v>6123</v>
      </c>
      <c r="M3" s="4">
        <f>COUNTA(products_50!B:B)</f>
        <v>51</v>
      </c>
      <c r="O3" s="8" t="s">
        <v>6124</v>
      </c>
      <c r="P3" s="4">
        <f>AVERAGE(sales_5000!K:K)</f>
        <v>1327956.6262199986</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F15B-31D5-A74B-A1AE-44FC0CE6D5BF}">
  <dimension ref="C2:D3"/>
  <sheetViews>
    <sheetView showGridLines="0" zoomScale="84" workbookViewId="0">
      <selection activeCell="Q24" sqref="Q24"/>
    </sheetView>
  </sheetViews>
  <sheetFormatPr baseColWidth="10" defaultRowHeight="16" x14ac:dyDescent="0.2"/>
  <cols>
    <col min="3" max="3" width="27" bestFit="1" customWidth="1"/>
    <col min="4" max="4" width="23" bestFit="1" customWidth="1"/>
    <col min="9" max="9" width="16.33203125" bestFit="1" customWidth="1"/>
    <col min="10" max="10" width="17.33203125" bestFit="1" customWidth="1"/>
    <col min="11" max="11" width="16.83203125" bestFit="1" customWidth="1"/>
  </cols>
  <sheetData>
    <row r="2" spans="3:4" ht="17" thickBot="1" x14ac:dyDescent="0.25"/>
    <row r="3" spans="3:4" ht="30" thickBot="1" x14ac:dyDescent="0.4">
      <c r="C3" s="8" t="s">
        <v>6141</v>
      </c>
      <c r="D3" s="4">
        <f>COUNTA('customers_500'!A:A)</f>
        <v>501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CE46B-040A-024E-BFB5-89C85A048365}">
  <dimension ref="D2:H3"/>
  <sheetViews>
    <sheetView showGridLines="0" workbookViewId="0">
      <selection activeCell="N17" sqref="N17"/>
    </sheetView>
  </sheetViews>
  <sheetFormatPr baseColWidth="10" defaultRowHeight="16" x14ac:dyDescent="0.2"/>
  <cols>
    <col min="4" max="4" width="13" bestFit="1" customWidth="1"/>
    <col min="5" max="5" width="24.1640625" customWidth="1"/>
    <col min="6" max="6" width="13" bestFit="1" customWidth="1"/>
    <col min="7" max="7" width="40" customWidth="1"/>
    <col min="8" max="8" width="13" bestFit="1" customWidth="1"/>
    <col min="9" max="9" width="17.33203125" bestFit="1" customWidth="1"/>
  </cols>
  <sheetData>
    <row r="2" spans="4:8" ht="17" thickBot="1" x14ac:dyDescent="0.25"/>
    <row r="3" spans="4:8" ht="30" thickBot="1" x14ac:dyDescent="0.4">
      <c r="D3" s="8" t="s">
        <v>6144</v>
      </c>
      <c r="E3" s="4">
        <f>SUM(sales_5000!I:I)</f>
        <v>254790741</v>
      </c>
      <c r="G3" s="8" t="s">
        <v>6145</v>
      </c>
      <c r="H3" s="4">
        <f>AVERAGE(sales_5000!J:J)</f>
        <v>25.916834000000037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21787-FA5D-B742-8B61-D3B3D9F45271}">
  <dimension ref="D11:P75"/>
  <sheetViews>
    <sheetView workbookViewId="0">
      <selection activeCell="N12" sqref="N12:Q26"/>
    </sheetView>
  </sheetViews>
  <sheetFormatPr baseColWidth="10" defaultRowHeight="16" x14ac:dyDescent="0.2"/>
  <cols>
    <col min="4" max="4" width="13" bestFit="1" customWidth="1"/>
    <col min="5" max="5" width="17.33203125" bestFit="1" customWidth="1"/>
    <col min="10" max="10" width="13" bestFit="1" customWidth="1"/>
    <col min="11" max="11" width="18.33203125" bestFit="1" customWidth="1"/>
    <col min="15" max="15" width="13" bestFit="1" customWidth="1"/>
    <col min="16" max="16" width="18.33203125" bestFit="1" customWidth="1"/>
  </cols>
  <sheetData>
    <row r="11" spans="4:16" x14ac:dyDescent="0.2">
      <c r="D11" s="5" t="s">
        <v>6125</v>
      </c>
      <c r="E11" t="s">
        <v>6146</v>
      </c>
    </row>
    <row r="12" spans="4:16" x14ac:dyDescent="0.2">
      <c r="D12" s="7" t="s">
        <v>340</v>
      </c>
      <c r="E12" s="1">
        <v>54639.879120879123</v>
      </c>
    </row>
    <row r="13" spans="4:16" x14ac:dyDescent="0.2">
      <c r="D13" s="7" t="s">
        <v>77</v>
      </c>
      <c r="E13" s="1">
        <v>53470.905660377357</v>
      </c>
      <c r="O13" s="5" t="s">
        <v>6125</v>
      </c>
      <c r="P13" t="s">
        <v>6139</v>
      </c>
    </row>
    <row r="14" spans="4:16" x14ac:dyDescent="0.2">
      <c r="D14" s="7" t="s">
        <v>140</v>
      </c>
      <c r="E14" s="1">
        <v>51276.645833333336</v>
      </c>
      <c r="O14" s="7" t="s">
        <v>324</v>
      </c>
      <c r="P14" s="6">
        <v>163309919.64000002</v>
      </c>
    </row>
    <row r="15" spans="4:16" x14ac:dyDescent="0.2">
      <c r="D15" s="7" t="s">
        <v>16</v>
      </c>
      <c r="E15" s="1">
        <v>49494.329787234041</v>
      </c>
      <c r="O15" s="7" t="s">
        <v>406</v>
      </c>
      <c r="P15" s="6">
        <v>150585271.38999993</v>
      </c>
    </row>
    <row r="16" spans="4:16" x14ac:dyDescent="0.2">
      <c r="D16" s="7" t="s">
        <v>553</v>
      </c>
      <c r="E16" s="1">
        <v>50579.712765957447</v>
      </c>
      <c r="O16" s="7" t="s">
        <v>761</v>
      </c>
      <c r="P16" s="6">
        <v>149322851.1500001</v>
      </c>
    </row>
    <row r="17" spans="4:16" x14ac:dyDescent="0.2">
      <c r="D17" s="7" t="s">
        <v>331</v>
      </c>
      <c r="E17" s="1">
        <v>52160.15217391304</v>
      </c>
      <c r="O17" s="7" t="s">
        <v>273</v>
      </c>
      <c r="P17" s="6">
        <v>167778236.88999999</v>
      </c>
    </row>
    <row r="18" spans="4:16" x14ac:dyDescent="0.2">
      <c r="D18" s="7" t="s">
        <v>395</v>
      </c>
      <c r="E18" s="1">
        <v>49183.022222222222</v>
      </c>
      <c r="O18" s="7" t="s">
        <v>284</v>
      </c>
      <c r="P18" s="6">
        <v>155761981.04000002</v>
      </c>
    </row>
    <row r="19" spans="4:16" x14ac:dyDescent="0.2">
      <c r="D19" s="7" t="s">
        <v>325</v>
      </c>
      <c r="E19" s="1">
        <v>53777.556521739134</v>
      </c>
      <c r="O19" s="7" t="s">
        <v>65</v>
      </c>
      <c r="P19" s="6">
        <v>149693633.63999993</v>
      </c>
    </row>
    <row r="20" spans="4:16" x14ac:dyDescent="0.2">
      <c r="D20" s="7" t="s">
        <v>407</v>
      </c>
      <c r="E20" s="1">
        <v>52993.888888888891</v>
      </c>
      <c r="O20" s="7" t="s">
        <v>165</v>
      </c>
      <c r="P20" s="6">
        <v>148675588.12999988</v>
      </c>
    </row>
    <row r="21" spans="4:16" x14ac:dyDescent="0.2">
      <c r="D21" s="7" t="s">
        <v>351</v>
      </c>
      <c r="E21" s="1">
        <v>48579.188679245286</v>
      </c>
      <c r="O21" s="7" t="s">
        <v>176</v>
      </c>
      <c r="P21" s="6">
        <v>162893929.05999997</v>
      </c>
    </row>
    <row r="22" spans="4:16" x14ac:dyDescent="0.2">
      <c r="D22" s="7" t="s">
        <v>459</v>
      </c>
      <c r="E22" s="1">
        <v>50590.435643564357</v>
      </c>
      <c r="O22" s="7" t="s">
        <v>157</v>
      </c>
      <c r="P22" s="6">
        <v>153492688.04999995</v>
      </c>
    </row>
    <row r="23" spans="4:16" x14ac:dyDescent="0.2">
      <c r="D23" s="7" t="s">
        <v>238</v>
      </c>
      <c r="E23" s="1">
        <v>44797.262626262629</v>
      </c>
      <c r="O23" s="7" t="s">
        <v>29</v>
      </c>
      <c r="P23" s="6">
        <v>149043701.88</v>
      </c>
    </row>
    <row r="24" spans="4:16" x14ac:dyDescent="0.2">
      <c r="D24" s="7" t="s">
        <v>762</v>
      </c>
      <c r="E24" s="1">
        <v>53145.875</v>
      </c>
      <c r="J24" s="5" t="s">
        <v>6125</v>
      </c>
      <c r="K24" t="s">
        <v>6139</v>
      </c>
      <c r="O24" s="7" t="s">
        <v>6126</v>
      </c>
      <c r="P24" s="6">
        <v>1550557800.8699999</v>
      </c>
    </row>
    <row r="25" spans="4:16" x14ac:dyDescent="0.2">
      <c r="D25" s="7" t="s">
        <v>274</v>
      </c>
      <c r="E25" s="1">
        <v>53733.355932203391</v>
      </c>
      <c r="J25" s="7" t="s">
        <v>340</v>
      </c>
      <c r="K25" s="6">
        <v>143213180.30999997</v>
      </c>
    </row>
    <row r="26" spans="4:16" x14ac:dyDescent="0.2">
      <c r="D26" s="7" t="s">
        <v>264</v>
      </c>
      <c r="E26" s="1">
        <v>48015.114285714284</v>
      </c>
      <c r="J26" s="7" t="s">
        <v>77</v>
      </c>
      <c r="K26" s="6">
        <v>143388793.48000005</v>
      </c>
    </row>
    <row r="27" spans="4:16" x14ac:dyDescent="0.2">
      <c r="D27" s="7" t="s">
        <v>104</v>
      </c>
      <c r="E27" s="1">
        <v>51528.370786516854</v>
      </c>
      <c r="J27" s="7" t="s">
        <v>140</v>
      </c>
      <c r="K27" s="6">
        <v>129817944.45999998</v>
      </c>
    </row>
    <row r="28" spans="4:16" x14ac:dyDescent="0.2">
      <c r="D28" s="7" t="s">
        <v>71</v>
      </c>
      <c r="E28" s="1">
        <v>51325.8</v>
      </c>
      <c r="J28" s="7" t="s">
        <v>16</v>
      </c>
      <c r="K28" s="6">
        <v>105508875.42999995</v>
      </c>
    </row>
    <row r="29" spans="4:16" x14ac:dyDescent="0.2">
      <c r="D29" s="7" t="s">
        <v>475</v>
      </c>
      <c r="E29" s="1">
        <v>50526.585106382976</v>
      </c>
      <c r="J29" s="7" t="s">
        <v>553</v>
      </c>
      <c r="K29" s="6">
        <v>107410236.14000003</v>
      </c>
    </row>
    <row r="30" spans="4:16" x14ac:dyDescent="0.2">
      <c r="D30" s="7" t="s">
        <v>145</v>
      </c>
      <c r="E30" s="1">
        <v>46581.666666666664</v>
      </c>
      <c r="J30" s="7" t="s">
        <v>331</v>
      </c>
      <c r="K30" s="6">
        <v>120933980.76999992</v>
      </c>
    </row>
    <row r="31" spans="4:16" x14ac:dyDescent="0.2">
      <c r="D31" s="7" t="s">
        <v>190</v>
      </c>
      <c r="E31" s="1">
        <v>51557.133333333331</v>
      </c>
      <c r="J31" s="7" t="s">
        <v>395</v>
      </c>
      <c r="K31" s="6">
        <v>112729786.12</v>
      </c>
    </row>
    <row r="32" spans="4:16" x14ac:dyDescent="0.2">
      <c r="D32" s="7" t="s">
        <v>285</v>
      </c>
      <c r="E32" s="1">
        <v>48143.086206896551</v>
      </c>
      <c r="J32" s="7" t="s">
        <v>325</v>
      </c>
      <c r="K32" s="6">
        <v>163309919.64000002</v>
      </c>
    </row>
    <row r="33" spans="4:11" x14ac:dyDescent="0.2">
      <c r="D33" s="7" t="s">
        <v>269</v>
      </c>
      <c r="E33" s="1">
        <v>53414.25</v>
      </c>
      <c r="J33" s="7" t="s">
        <v>407</v>
      </c>
      <c r="K33" s="6">
        <v>150585271.38999993</v>
      </c>
    </row>
    <row r="34" spans="4:11" x14ac:dyDescent="0.2">
      <c r="D34" s="7" t="s">
        <v>114</v>
      </c>
      <c r="E34" s="1">
        <v>50434.315789473687</v>
      </c>
      <c r="J34" s="7" t="s">
        <v>351</v>
      </c>
      <c r="K34" s="6">
        <v>122203353.61000003</v>
      </c>
    </row>
    <row r="35" spans="4:11" x14ac:dyDescent="0.2">
      <c r="D35" s="7" t="s">
        <v>66</v>
      </c>
      <c r="E35" s="1">
        <v>50413.634615384617</v>
      </c>
      <c r="J35" s="7" t="s">
        <v>459</v>
      </c>
      <c r="K35" s="6">
        <v>124230471.57000007</v>
      </c>
    </row>
    <row r="36" spans="4:11" x14ac:dyDescent="0.2">
      <c r="D36" s="7" t="s">
        <v>42</v>
      </c>
      <c r="E36" s="1">
        <v>50316.578431372553</v>
      </c>
      <c r="J36" s="7" t="s">
        <v>238</v>
      </c>
      <c r="K36" s="6">
        <v>103248427.77999999</v>
      </c>
    </row>
    <row r="37" spans="4:11" x14ac:dyDescent="0.2">
      <c r="D37" s="7" t="s">
        <v>153</v>
      </c>
      <c r="E37" s="1">
        <v>50947.404255319147</v>
      </c>
      <c r="J37" s="7" t="s">
        <v>762</v>
      </c>
      <c r="K37" s="6">
        <v>149322851.1500001</v>
      </c>
    </row>
    <row r="38" spans="4:11" x14ac:dyDescent="0.2">
      <c r="D38" s="7" t="s">
        <v>464</v>
      </c>
      <c r="E38" s="1">
        <v>54855.719101123599</v>
      </c>
      <c r="J38" s="7" t="s">
        <v>274</v>
      </c>
      <c r="K38" s="6">
        <v>167778236.88999999</v>
      </c>
    </row>
    <row r="39" spans="4:11" x14ac:dyDescent="0.2">
      <c r="D39" s="7" t="s">
        <v>413</v>
      </c>
      <c r="E39" s="1">
        <v>52344.09375</v>
      </c>
      <c r="J39" s="7" t="s">
        <v>264</v>
      </c>
      <c r="K39" s="6">
        <v>136747598.83000004</v>
      </c>
    </row>
    <row r="40" spans="4:11" x14ac:dyDescent="0.2">
      <c r="D40" s="7" t="s">
        <v>58</v>
      </c>
      <c r="E40" s="1">
        <v>50589.454545454544</v>
      </c>
      <c r="J40" s="7" t="s">
        <v>104</v>
      </c>
      <c r="K40" s="6">
        <v>116533025.21999997</v>
      </c>
    </row>
    <row r="41" spans="4:11" x14ac:dyDescent="0.2">
      <c r="D41" s="7" t="s">
        <v>166</v>
      </c>
      <c r="E41" s="1">
        <v>56272.214285714283</v>
      </c>
      <c r="J41" s="7" t="s">
        <v>71</v>
      </c>
      <c r="K41" s="6">
        <v>141461080.56000003</v>
      </c>
    </row>
    <row r="42" spans="4:11" x14ac:dyDescent="0.2">
      <c r="D42" s="7" t="s">
        <v>209</v>
      </c>
      <c r="E42" s="1">
        <v>46497.553191489358</v>
      </c>
      <c r="J42" s="7" t="s">
        <v>475</v>
      </c>
      <c r="K42" s="6">
        <v>140317801.5</v>
      </c>
    </row>
    <row r="43" spans="4:11" x14ac:dyDescent="0.2">
      <c r="D43" s="7" t="s">
        <v>177</v>
      </c>
      <c r="E43" s="1">
        <v>55036.732142857145</v>
      </c>
      <c r="J43" s="7" t="s">
        <v>145</v>
      </c>
      <c r="K43" s="6">
        <v>118757122.17000003</v>
      </c>
    </row>
    <row r="44" spans="4:11" x14ac:dyDescent="0.2">
      <c r="D44" s="7" t="s">
        <v>99</v>
      </c>
      <c r="E44" s="1">
        <v>50387.134615384617</v>
      </c>
      <c r="J44" s="7" t="s">
        <v>190</v>
      </c>
      <c r="K44" s="6">
        <v>137882427.96000001</v>
      </c>
    </row>
    <row r="45" spans="4:11" x14ac:dyDescent="0.2">
      <c r="D45" s="7" t="s">
        <v>82</v>
      </c>
      <c r="E45" s="1">
        <v>50082.099099099098</v>
      </c>
      <c r="J45" s="7" t="s">
        <v>285</v>
      </c>
      <c r="K45" s="6">
        <v>155761981.04000002</v>
      </c>
    </row>
    <row r="46" spans="4:11" x14ac:dyDescent="0.2">
      <c r="D46" s="7" t="s">
        <v>158</v>
      </c>
      <c r="E46" s="1">
        <v>50208.769230769234</v>
      </c>
      <c r="J46" s="7" t="s">
        <v>269</v>
      </c>
      <c r="K46" s="6">
        <v>113927200.77000001</v>
      </c>
    </row>
    <row r="47" spans="4:11" x14ac:dyDescent="0.2">
      <c r="D47" s="7" t="s">
        <v>23</v>
      </c>
      <c r="E47" s="1">
        <v>48631</v>
      </c>
      <c r="J47" s="7" t="s">
        <v>114</v>
      </c>
      <c r="K47" s="6">
        <v>147987653.58999994</v>
      </c>
    </row>
    <row r="48" spans="4:11" x14ac:dyDescent="0.2">
      <c r="D48" s="7" t="s">
        <v>53</v>
      </c>
      <c r="E48" s="1">
        <v>48785.25</v>
      </c>
      <c r="J48" s="7" t="s">
        <v>66</v>
      </c>
      <c r="K48" s="6">
        <v>149693633.63999993</v>
      </c>
    </row>
    <row r="49" spans="4:11" x14ac:dyDescent="0.2">
      <c r="D49" s="7" t="s">
        <v>109</v>
      </c>
      <c r="E49" s="1">
        <v>51699.864583333336</v>
      </c>
      <c r="J49" s="7" t="s">
        <v>42</v>
      </c>
      <c r="K49" s="6">
        <v>142382191.82999995</v>
      </c>
    </row>
    <row r="50" spans="4:11" x14ac:dyDescent="0.2">
      <c r="D50" s="7" t="s">
        <v>204</v>
      </c>
      <c r="E50" s="1">
        <v>51931.877358490565</v>
      </c>
      <c r="J50" s="7" t="s">
        <v>153</v>
      </c>
      <c r="K50" s="6">
        <v>130664551.92000002</v>
      </c>
    </row>
    <row r="51" spans="4:11" x14ac:dyDescent="0.2">
      <c r="D51" s="7" t="s">
        <v>229</v>
      </c>
      <c r="E51" s="1">
        <v>50468.89</v>
      </c>
      <c r="J51" s="7" t="s">
        <v>464</v>
      </c>
      <c r="K51" s="6">
        <v>123580660.86000004</v>
      </c>
    </row>
    <row r="52" spans="4:11" x14ac:dyDescent="0.2">
      <c r="D52" s="7" t="s">
        <v>30</v>
      </c>
      <c r="E52" s="1">
        <v>54268.129629629628</v>
      </c>
      <c r="J52" s="7" t="s">
        <v>413</v>
      </c>
      <c r="K52" s="6">
        <v>117815435.93999997</v>
      </c>
    </row>
    <row r="53" spans="4:11" x14ac:dyDescent="0.2">
      <c r="D53" s="7" t="s">
        <v>185</v>
      </c>
      <c r="E53" s="1">
        <v>44996.752688172041</v>
      </c>
      <c r="J53" s="7" t="s">
        <v>58</v>
      </c>
      <c r="K53" s="6">
        <v>145797148.64000008</v>
      </c>
    </row>
    <row r="54" spans="4:11" x14ac:dyDescent="0.2">
      <c r="D54" s="7" t="s">
        <v>36</v>
      </c>
      <c r="E54" s="1">
        <v>54717</v>
      </c>
      <c r="J54" s="7" t="s">
        <v>166</v>
      </c>
      <c r="K54" s="6">
        <v>148675588.12999988</v>
      </c>
    </row>
    <row r="55" spans="4:11" x14ac:dyDescent="0.2">
      <c r="D55" s="7" t="s">
        <v>252</v>
      </c>
      <c r="E55" s="1">
        <v>51253.5</v>
      </c>
      <c r="J55" s="7" t="s">
        <v>209</v>
      </c>
      <c r="K55" s="6">
        <v>110945229.15000001</v>
      </c>
    </row>
    <row r="56" spans="4:11" x14ac:dyDescent="0.2">
      <c r="D56" s="7" t="s">
        <v>196</v>
      </c>
      <c r="E56" s="1">
        <v>54065</v>
      </c>
      <c r="J56" s="7" t="s">
        <v>177</v>
      </c>
      <c r="K56" s="6">
        <v>162893929.05999997</v>
      </c>
    </row>
    <row r="57" spans="4:11" x14ac:dyDescent="0.2">
      <c r="D57" s="7" t="s">
        <v>47</v>
      </c>
      <c r="E57" s="1">
        <v>48879.18681318681</v>
      </c>
      <c r="J57" s="7" t="s">
        <v>99</v>
      </c>
      <c r="K57" s="6">
        <v>143693863.38</v>
      </c>
    </row>
    <row r="58" spans="4:11" x14ac:dyDescent="0.2">
      <c r="D58" s="7" t="s">
        <v>437</v>
      </c>
      <c r="E58" s="1">
        <v>48545.216867469877</v>
      </c>
      <c r="J58" s="7" t="s">
        <v>82</v>
      </c>
      <c r="K58" s="6">
        <v>143581891.44000003</v>
      </c>
    </row>
    <row r="59" spans="4:11" x14ac:dyDescent="0.2">
      <c r="D59" s="7" t="s">
        <v>511</v>
      </c>
      <c r="E59" s="1">
        <v>51903.76666666667</v>
      </c>
      <c r="J59" s="7" t="s">
        <v>158</v>
      </c>
      <c r="K59" s="6">
        <v>153492688.04999995</v>
      </c>
    </row>
    <row r="60" spans="4:11" x14ac:dyDescent="0.2">
      <c r="D60" s="7" t="s">
        <v>541</v>
      </c>
      <c r="E60" s="1">
        <v>53085.4</v>
      </c>
      <c r="J60" s="7" t="s">
        <v>23</v>
      </c>
      <c r="K60" s="6">
        <v>122445158.47999999</v>
      </c>
    </row>
    <row r="61" spans="4:11" x14ac:dyDescent="0.2">
      <c r="D61" s="7" t="s">
        <v>218</v>
      </c>
      <c r="E61" s="1">
        <v>47041.616822429904</v>
      </c>
      <c r="J61" s="7" t="s">
        <v>53</v>
      </c>
      <c r="K61" s="6">
        <v>132318288.52000004</v>
      </c>
    </row>
    <row r="62" spans="4:11" x14ac:dyDescent="0.2">
      <c r="D62" s="7" t="s">
        <v>6126</v>
      </c>
      <c r="E62" s="1">
        <v>50958.148200000003</v>
      </c>
      <c r="J62" s="7" t="s">
        <v>109</v>
      </c>
      <c r="K62" s="6">
        <v>140522760.72</v>
      </c>
    </row>
    <row r="63" spans="4:11" x14ac:dyDescent="0.2">
      <c r="J63" s="7" t="s">
        <v>204</v>
      </c>
      <c r="K63" s="6">
        <v>134039420.98000006</v>
      </c>
    </row>
    <row r="64" spans="4:11" x14ac:dyDescent="0.2">
      <c r="J64" s="7" t="s">
        <v>229</v>
      </c>
      <c r="K64" s="6">
        <v>136885617.05000001</v>
      </c>
    </row>
    <row r="65" spans="10:11" x14ac:dyDescent="0.2">
      <c r="J65" s="7" t="s">
        <v>30</v>
      </c>
      <c r="K65" s="6">
        <v>149043701.88</v>
      </c>
    </row>
    <row r="66" spans="10:11" x14ac:dyDescent="0.2">
      <c r="J66" s="7" t="s">
        <v>185</v>
      </c>
      <c r="K66" s="6">
        <v>106534053.61999999</v>
      </c>
    </row>
    <row r="67" spans="10:11" x14ac:dyDescent="0.2">
      <c r="J67" s="7" t="s">
        <v>36</v>
      </c>
      <c r="K67" s="6">
        <v>136857692.09000003</v>
      </c>
    </row>
    <row r="68" spans="10:11" x14ac:dyDescent="0.2">
      <c r="J68" s="7" t="s">
        <v>252</v>
      </c>
      <c r="K68" s="6">
        <v>135974190.27000004</v>
      </c>
    </row>
    <row r="69" spans="10:11" x14ac:dyDescent="0.2">
      <c r="J69" s="7" t="s">
        <v>196</v>
      </c>
      <c r="K69" s="6">
        <v>110964665.86000003</v>
      </c>
    </row>
    <row r="70" spans="10:11" x14ac:dyDescent="0.2">
      <c r="J70" s="7" t="s">
        <v>47</v>
      </c>
      <c r="K70" s="6">
        <v>117714031.25000001</v>
      </c>
    </row>
    <row r="71" spans="10:11" x14ac:dyDescent="0.2">
      <c r="J71" s="7" t="s">
        <v>437</v>
      </c>
      <c r="K71" s="6">
        <v>112954222.52000001</v>
      </c>
    </row>
    <row r="72" spans="10:11" x14ac:dyDescent="0.2">
      <c r="J72" s="7" t="s">
        <v>511</v>
      </c>
      <c r="K72" s="6">
        <v>129235064.60000001</v>
      </c>
    </row>
    <row r="73" spans="10:11" x14ac:dyDescent="0.2">
      <c r="J73" s="7" t="s">
        <v>541</v>
      </c>
      <c r="K73" s="6">
        <v>118041359.43000001</v>
      </c>
    </row>
    <row r="74" spans="10:11" x14ac:dyDescent="0.2">
      <c r="J74" s="7" t="s">
        <v>218</v>
      </c>
      <c r="K74" s="6">
        <v>129978871.41000001</v>
      </c>
    </row>
    <row r="75" spans="10:11" x14ac:dyDescent="0.2">
      <c r="J75" s="7" t="s">
        <v>6126</v>
      </c>
      <c r="K75" s="6">
        <v>6639783131.1000023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9855B-E4B8-AD41-9E3B-2FEAA728F1C1}">
  <dimension ref="D6:O42"/>
  <sheetViews>
    <sheetView workbookViewId="0">
      <selection activeCell="N11" sqref="N11:P49"/>
    </sheetView>
  </sheetViews>
  <sheetFormatPr baseColWidth="10" defaultRowHeight="16" x14ac:dyDescent="0.2"/>
  <cols>
    <col min="4" max="4" width="13" bestFit="1" customWidth="1"/>
    <col min="5" max="5" width="23" bestFit="1" customWidth="1"/>
    <col min="10" max="10" width="13" bestFit="1" customWidth="1"/>
    <col min="11" max="11" width="16.83203125" bestFit="1" customWidth="1"/>
    <col min="14" max="14" width="16.33203125" bestFit="1" customWidth="1"/>
    <col min="15" max="15" width="17.33203125" bestFit="1" customWidth="1"/>
  </cols>
  <sheetData>
    <row r="6" spans="4:15" x14ac:dyDescent="0.2">
      <c r="D6" s="5" t="s">
        <v>6125</v>
      </c>
      <c r="E6" t="s">
        <v>6142</v>
      </c>
    </row>
    <row r="7" spans="4:15" x14ac:dyDescent="0.2">
      <c r="D7" s="7" t="s">
        <v>21</v>
      </c>
      <c r="E7" s="1">
        <v>910</v>
      </c>
    </row>
    <row r="8" spans="4:15" x14ac:dyDescent="0.2">
      <c r="D8" s="7" t="s">
        <v>14</v>
      </c>
      <c r="E8" s="1">
        <v>1113</v>
      </c>
    </row>
    <row r="9" spans="4:15" x14ac:dyDescent="0.2">
      <c r="D9" s="7" t="s">
        <v>37</v>
      </c>
      <c r="E9" s="1">
        <v>1113</v>
      </c>
    </row>
    <row r="10" spans="4:15" x14ac:dyDescent="0.2">
      <c r="D10" s="7" t="s">
        <v>28</v>
      </c>
      <c r="E10" s="1">
        <v>955</v>
      </c>
    </row>
    <row r="11" spans="4:15" x14ac:dyDescent="0.2">
      <c r="D11" s="7" t="s">
        <v>34</v>
      </c>
      <c r="E11" s="1">
        <v>909</v>
      </c>
      <c r="J11" s="5" t="s">
        <v>6125</v>
      </c>
      <c r="K11" t="s">
        <v>6139</v>
      </c>
      <c r="N11" s="5" t="s">
        <v>6125</v>
      </c>
      <c r="O11" t="s">
        <v>6143</v>
      </c>
    </row>
    <row r="12" spans="4:15" x14ac:dyDescent="0.2">
      <c r="D12" s="7" t="s">
        <v>6126</v>
      </c>
      <c r="E12" s="1">
        <v>5000</v>
      </c>
      <c r="J12" s="7" t="s">
        <v>392</v>
      </c>
      <c r="K12" s="6">
        <v>23607871.629999999</v>
      </c>
      <c r="N12" s="7" t="s">
        <v>24</v>
      </c>
      <c r="O12" s="6">
        <v>1380431.6547976311</v>
      </c>
    </row>
    <row r="13" spans="4:15" x14ac:dyDescent="0.2">
      <c r="J13" s="7" t="s">
        <v>723</v>
      </c>
      <c r="K13" s="6">
        <v>26146148.609999999</v>
      </c>
      <c r="N13" s="10" t="s">
        <v>21</v>
      </c>
      <c r="O13" s="6">
        <v>1335267.3368639052</v>
      </c>
    </row>
    <row r="14" spans="4:15" x14ac:dyDescent="0.2">
      <c r="J14" s="7" t="s">
        <v>446</v>
      </c>
      <c r="K14" s="6">
        <v>24995681.899999999</v>
      </c>
      <c r="N14" s="10" t="s">
        <v>14</v>
      </c>
      <c r="O14" s="6">
        <v>1335246.5673191482</v>
      </c>
    </row>
    <row r="15" spans="4:15" x14ac:dyDescent="0.2">
      <c r="J15" s="7" t="s">
        <v>560</v>
      </c>
      <c r="K15" s="6">
        <v>28245684.239999998</v>
      </c>
      <c r="N15" s="10" t="s">
        <v>37</v>
      </c>
      <c r="O15" s="6">
        <v>1413964.0330222219</v>
      </c>
    </row>
    <row r="16" spans="4:15" x14ac:dyDescent="0.2">
      <c r="J16" s="7" t="s">
        <v>985</v>
      </c>
      <c r="K16" s="6">
        <v>30882721.540000003</v>
      </c>
      <c r="N16" s="10" t="s">
        <v>28</v>
      </c>
      <c r="O16" s="6">
        <v>1433030.8480904531</v>
      </c>
    </row>
    <row r="17" spans="10:15" x14ac:dyDescent="0.2">
      <c r="J17" s="7" t="s">
        <v>1103</v>
      </c>
      <c r="K17" s="6">
        <v>25398805.25</v>
      </c>
      <c r="N17" s="10" t="s">
        <v>34</v>
      </c>
      <c r="O17" s="6">
        <v>1381724.8478918921</v>
      </c>
    </row>
    <row r="18" spans="10:15" x14ac:dyDescent="0.2">
      <c r="J18" s="7" t="s">
        <v>1029</v>
      </c>
      <c r="K18" s="6">
        <v>23731885.870000001</v>
      </c>
      <c r="N18" s="7" t="s">
        <v>37</v>
      </c>
      <c r="O18" s="6">
        <v>1334461.5749098193</v>
      </c>
    </row>
    <row r="19" spans="10:15" x14ac:dyDescent="0.2">
      <c r="J19" s="7" t="s">
        <v>685</v>
      </c>
      <c r="K19" s="6">
        <v>27659803.900000002</v>
      </c>
      <c r="N19" s="10" t="s">
        <v>21</v>
      </c>
      <c r="O19" s="6">
        <v>1461160.2141871925</v>
      </c>
    </row>
    <row r="20" spans="10:15" x14ac:dyDescent="0.2">
      <c r="J20" s="7" t="s">
        <v>634</v>
      </c>
      <c r="K20" s="6">
        <v>23348770.689999998</v>
      </c>
      <c r="N20" s="10" t="s">
        <v>14</v>
      </c>
      <c r="O20" s="6">
        <v>1387399.1540284352</v>
      </c>
    </row>
    <row r="21" spans="10:15" x14ac:dyDescent="0.2">
      <c r="J21" s="7" t="s">
        <v>1273</v>
      </c>
      <c r="K21" s="6">
        <v>24159057.170000002</v>
      </c>
      <c r="N21" s="10" t="s">
        <v>37</v>
      </c>
      <c r="O21" s="6">
        <v>1259233.9623245604</v>
      </c>
    </row>
    <row r="22" spans="10:15" x14ac:dyDescent="0.2">
      <c r="J22" s="7" t="s">
        <v>1325</v>
      </c>
      <c r="K22" s="6">
        <v>28305753.109999999</v>
      </c>
      <c r="N22" s="10" t="s">
        <v>28</v>
      </c>
      <c r="O22" s="6">
        <v>1241069.7621348316</v>
      </c>
    </row>
    <row r="23" spans="10:15" x14ac:dyDescent="0.2">
      <c r="J23" s="7" t="s">
        <v>267</v>
      </c>
      <c r="K23" s="6">
        <v>24724364.510000002</v>
      </c>
      <c r="N23" s="10" t="s">
        <v>34</v>
      </c>
      <c r="O23" s="6">
        <v>1316967.1107303367</v>
      </c>
    </row>
    <row r="24" spans="10:15" x14ac:dyDescent="0.2">
      <c r="J24" s="7" t="s">
        <v>51</v>
      </c>
      <c r="K24" s="6">
        <v>23950156.879999999</v>
      </c>
      <c r="N24" s="7" t="s">
        <v>72</v>
      </c>
      <c r="O24" s="6">
        <v>1290154.5524604728</v>
      </c>
    </row>
    <row r="25" spans="10:15" x14ac:dyDescent="0.2">
      <c r="J25" s="7" t="s">
        <v>771</v>
      </c>
      <c r="K25" s="6">
        <v>34023394.880000003</v>
      </c>
      <c r="N25" s="10" t="s">
        <v>21</v>
      </c>
      <c r="O25" s="6">
        <v>1363605.3853939397</v>
      </c>
    </row>
    <row r="26" spans="10:15" x14ac:dyDescent="0.2">
      <c r="J26" s="7" t="s">
        <v>428</v>
      </c>
      <c r="K26" s="6">
        <v>24332813.109999999</v>
      </c>
      <c r="N26" s="10" t="s">
        <v>14</v>
      </c>
      <c r="O26" s="6">
        <v>1256983.0306034479</v>
      </c>
    </row>
    <row r="27" spans="10:15" x14ac:dyDescent="0.2">
      <c r="J27" s="7" t="s">
        <v>747</v>
      </c>
      <c r="K27" s="6">
        <v>24578903.379999999</v>
      </c>
      <c r="N27" s="10" t="s">
        <v>37</v>
      </c>
      <c r="O27" s="6">
        <v>1354118.7482222221</v>
      </c>
    </row>
    <row r="28" spans="10:15" x14ac:dyDescent="0.2">
      <c r="J28" s="7" t="s">
        <v>33</v>
      </c>
      <c r="K28" s="6">
        <v>28416056.179999992</v>
      </c>
      <c r="N28" s="10" t="s">
        <v>28</v>
      </c>
      <c r="O28" s="6">
        <v>1277724.9063054186</v>
      </c>
    </row>
    <row r="29" spans="10:15" x14ac:dyDescent="0.2">
      <c r="J29" s="7" t="s">
        <v>369</v>
      </c>
      <c r="K29" s="6">
        <v>24180619.750000004</v>
      </c>
      <c r="N29" s="10" t="s">
        <v>34</v>
      </c>
      <c r="O29" s="6">
        <v>1203029.8452941168</v>
      </c>
    </row>
    <row r="30" spans="10:15" x14ac:dyDescent="0.2">
      <c r="J30" s="7" t="s">
        <v>1051</v>
      </c>
      <c r="K30" s="6">
        <v>24564716.580000002</v>
      </c>
      <c r="N30" s="7" t="s">
        <v>48</v>
      </c>
      <c r="O30" s="6">
        <v>1367142.7303919601</v>
      </c>
    </row>
    <row r="31" spans="10:15" x14ac:dyDescent="0.2">
      <c r="J31" s="7" t="s">
        <v>1950</v>
      </c>
      <c r="K31" s="6">
        <v>24731576.729999997</v>
      </c>
      <c r="N31" s="10" t="s">
        <v>21</v>
      </c>
      <c r="O31" s="6">
        <v>1367328.9058064523</v>
      </c>
    </row>
    <row r="32" spans="10:15" x14ac:dyDescent="0.2">
      <c r="J32" s="7" t="s">
        <v>6126</v>
      </c>
      <c r="K32" s="6">
        <v>519984785.91000003</v>
      </c>
      <c r="N32" s="10" t="s">
        <v>14</v>
      </c>
      <c r="O32" s="6">
        <v>1488985.2201754388</v>
      </c>
    </row>
    <row r="33" spans="14:15" x14ac:dyDescent="0.2">
      <c r="N33" s="10" t="s">
        <v>37</v>
      </c>
      <c r="O33" s="6">
        <v>1209689.5624019604</v>
      </c>
    </row>
    <row r="34" spans="14:15" x14ac:dyDescent="0.2">
      <c r="N34" s="10" t="s">
        <v>28</v>
      </c>
      <c r="O34" s="6">
        <v>1310129.2351075269</v>
      </c>
    </row>
    <row r="35" spans="14:15" x14ac:dyDescent="0.2">
      <c r="N35" s="10" t="s">
        <v>34</v>
      </c>
      <c r="O35" s="6">
        <v>1445206.8146596861</v>
      </c>
    </row>
    <row r="36" spans="14:15" x14ac:dyDescent="0.2">
      <c r="N36" s="7" t="s">
        <v>17</v>
      </c>
      <c r="O36" s="6">
        <v>1266466.1804480664</v>
      </c>
    </row>
    <row r="37" spans="14:15" x14ac:dyDescent="0.2">
      <c r="N37" s="10" t="s">
        <v>21</v>
      </c>
      <c r="O37" s="6">
        <v>1214045.1097860967</v>
      </c>
    </row>
    <row r="38" spans="14:15" x14ac:dyDescent="0.2">
      <c r="N38" s="10" t="s">
        <v>14</v>
      </c>
      <c r="O38" s="6">
        <v>1258724.8449275361</v>
      </c>
    </row>
    <row r="39" spans="14:15" x14ac:dyDescent="0.2">
      <c r="N39" s="10" t="s">
        <v>37</v>
      </c>
      <c r="O39" s="6">
        <v>1298900.9677922081</v>
      </c>
    </row>
    <row r="40" spans="14:15" x14ac:dyDescent="0.2">
      <c r="N40" s="10" t="s">
        <v>28</v>
      </c>
      <c r="O40" s="6">
        <v>1244917.2915343912</v>
      </c>
    </row>
    <row r="41" spans="14:15" x14ac:dyDescent="0.2">
      <c r="N41" s="10" t="s">
        <v>34</v>
      </c>
      <c r="O41" s="6">
        <v>1313998.9232738088</v>
      </c>
    </row>
    <row r="42" spans="14:15" x14ac:dyDescent="0.2">
      <c r="N42" s="7" t="s">
        <v>6126</v>
      </c>
      <c r="O42" s="6">
        <v>1327956.626219996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85CB9-AD3C-F043-BDEA-0CA6563A5444}">
  <dimension ref="B15:Q51"/>
  <sheetViews>
    <sheetView topLeftCell="A18" workbookViewId="0">
      <selection activeCell="B26" sqref="B26"/>
    </sheetView>
  </sheetViews>
  <sheetFormatPr baseColWidth="10" defaultRowHeight="16" x14ac:dyDescent="0.2"/>
  <cols>
    <col min="2" max="2" width="13" bestFit="1" customWidth="1"/>
    <col min="3" max="3" width="18.33203125" bestFit="1" customWidth="1"/>
    <col min="5" max="5" width="17.6640625" bestFit="1" customWidth="1"/>
    <col min="6" max="6" width="13" bestFit="1" customWidth="1"/>
    <col min="7" max="7" width="18.33203125" bestFit="1" customWidth="1"/>
    <col min="10" max="10" width="13" bestFit="1" customWidth="1"/>
    <col min="11" max="11" width="16.83203125" bestFit="1" customWidth="1"/>
    <col min="14" max="14" width="13" bestFit="1" customWidth="1"/>
    <col min="15" max="15" width="14.1640625" bestFit="1" customWidth="1"/>
    <col min="17" max="17" width="16" bestFit="1" customWidth="1"/>
  </cols>
  <sheetData>
    <row r="15" spans="6:6" x14ac:dyDescent="0.2">
      <c r="F15" s="9"/>
    </row>
    <row r="16" spans="6:6" x14ac:dyDescent="0.2">
      <c r="F16" s="9"/>
    </row>
    <row r="17" spans="2:17" x14ac:dyDescent="0.2">
      <c r="F17" s="9"/>
    </row>
    <row r="18" spans="2:17" x14ac:dyDescent="0.2">
      <c r="F18" s="9"/>
    </row>
    <row r="19" spans="2:17" x14ac:dyDescent="0.2">
      <c r="F19" s="9"/>
    </row>
    <row r="20" spans="2:17" x14ac:dyDescent="0.2">
      <c r="F20" s="9"/>
    </row>
    <row r="21" spans="2:17" x14ac:dyDescent="0.2">
      <c r="F21" s="9"/>
    </row>
    <row r="22" spans="2:17" x14ac:dyDescent="0.2">
      <c r="F22" s="9"/>
    </row>
    <row r="23" spans="2:17" x14ac:dyDescent="0.2">
      <c r="F23" s="9"/>
    </row>
    <row r="24" spans="2:17" x14ac:dyDescent="0.2">
      <c r="F24" s="9"/>
    </row>
    <row r="25" spans="2:17" x14ac:dyDescent="0.2">
      <c r="F25" s="5" t="s">
        <v>6125</v>
      </c>
      <c r="G25" t="s">
        <v>6139</v>
      </c>
    </row>
    <row r="26" spans="2:17" x14ac:dyDescent="0.2">
      <c r="B26" s="5" t="s">
        <v>6125</v>
      </c>
      <c r="C26" t="s">
        <v>6139</v>
      </c>
      <c r="F26" s="7" t="s">
        <v>6127</v>
      </c>
      <c r="G26" s="6">
        <v>559373624.03000021</v>
      </c>
    </row>
    <row r="27" spans="2:17" x14ac:dyDescent="0.2">
      <c r="B27" s="7" t="s">
        <v>325</v>
      </c>
      <c r="C27" s="6">
        <v>163309919.64000002</v>
      </c>
      <c r="F27" s="7" t="s">
        <v>6128</v>
      </c>
      <c r="G27" s="6">
        <v>568544956.5</v>
      </c>
      <c r="Q27" s="9"/>
    </row>
    <row r="28" spans="2:17" x14ac:dyDescent="0.2">
      <c r="B28" s="7" t="s">
        <v>407</v>
      </c>
      <c r="C28" s="6">
        <v>150585271.38999993</v>
      </c>
      <c r="F28" s="7" t="s">
        <v>6129</v>
      </c>
      <c r="G28" s="6">
        <v>571098448.90999985</v>
      </c>
      <c r="Q28" s="9"/>
    </row>
    <row r="29" spans="2:17" x14ac:dyDescent="0.2">
      <c r="B29" s="7" t="s">
        <v>762</v>
      </c>
      <c r="C29" s="6">
        <v>149322851.1500001</v>
      </c>
      <c r="F29" s="7" t="s">
        <v>6130</v>
      </c>
      <c r="G29" s="6">
        <v>519995160.18999988</v>
      </c>
      <c r="Q29" s="9"/>
    </row>
    <row r="30" spans="2:17" x14ac:dyDescent="0.2">
      <c r="B30" s="7" t="s">
        <v>274</v>
      </c>
      <c r="C30" s="6">
        <v>167778236.88999999</v>
      </c>
      <c r="F30" s="7" t="s">
        <v>6131</v>
      </c>
      <c r="G30" s="6">
        <v>597664009.1000005</v>
      </c>
      <c r="Q30" s="9"/>
    </row>
    <row r="31" spans="2:17" x14ac:dyDescent="0.2">
      <c r="B31" s="7" t="s">
        <v>285</v>
      </c>
      <c r="C31" s="6">
        <v>155761981.04000002</v>
      </c>
      <c r="F31" s="7" t="s">
        <v>6132</v>
      </c>
      <c r="G31" s="6">
        <v>548912659.35999978</v>
      </c>
      <c r="Q31" s="9"/>
    </row>
    <row r="32" spans="2:17" x14ac:dyDescent="0.2">
      <c r="B32" s="7" t="s">
        <v>66</v>
      </c>
      <c r="C32" s="6">
        <v>149693633.63999993</v>
      </c>
      <c r="F32" s="7" t="s">
        <v>6133</v>
      </c>
      <c r="G32" s="6">
        <v>574598993.31999981</v>
      </c>
      <c r="Q32" s="9"/>
    </row>
    <row r="33" spans="2:17" x14ac:dyDescent="0.2">
      <c r="B33" s="7" t="s">
        <v>166</v>
      </c>
      <c r="C33" s="6">
        <v>148675588.12999988</v>
      </c>
      <c r="F33" s="7" t="s">
        <v>6134</v>
      </c>
      <c r="G33" s="6">
        <v>533596504.61000019</v>
      </c>
      <c r="Q33" s="9"/>
    </row>
    <row r="34" spans="2:17" x14ac:dyDescent="0.2">
      <c r="B34" s="7" t="s">
        <v>177</v>
      </c>
      <c r="C34" s="6">
        <v>162893929.05999997</v>
      </c>
      <c r="F34" s="7" t="s">
        <v>6135</v>
      </c>
      <c r="G34" s="6">
        <v>519896947.11999995</v>
      </c>
      <c r="Q34" s="9"/>
    </row>
    <row r="35" spans="2:17" x14ac:dyDescent="0.2">
      <c r="B35" s="7" t="s">
        <v>158</v>
      </c>
      <c r="C35" s="6">
        <v>153492688.04999995</v>
      </c>
      <c r="F35" s="7" t="s">
        <v>6136</v>
      </c>
      <c r="G35" s="6">
        <v>503857850.42999989</v>
      </c>
      <c r="Q35" s="9"/>
    </row>
    <row r="36" spans="2:17" x14ac:dyDescent="0.2">
      <c r="B36" s="7" t="s">
        <v>30</v>
      </c>
      <c r="C36" s="6">
        <v>149043701.88</v>
      </c>
      <c r="F36" s="7" t="s">
        <v>6137</v>
      </c>
      <c r="G36" s="6">
        <v>530548104.74000043</v>
      </c>
      <c r="N36" s="5" t="s">
        <v>6125</v>
      </c>
      <c r="O36" t="s">
        <v>6140</v>
      </c>
      <c r="Q36" s="9"/>
    </row>
    <row r="37" spans="2:17" x14ac:dyDescent="0.2">
      <c r="B37" s="7" t="s">
        <v>6126</v>
      </c>
      <c r="C37" s="6">
        <v>1550557800.8699999</v>
      </c>
      <c r="F37" s="7" t="s">
        <v>6138</v>
      </c>
      <c r="G37" s="6">
        <v>611695872.78999925</v>
      </c>
      <c r="N37" s="7" t="s">
        <v>21</v>
      </c>
      <c r="O37" s="1">
        <v>46716978</v>
      </c>
      <c r="Q37" s="9"/>
    </row>
    <row r="38" spans="2:17" x14ac:dyDescent="0.2">
      <c r="E38" s="9"/>
      <c r="F38" s="7" t="s">
        <v>6126</v>
      </c>
      <c r="G38" s="6">
        <v>6639783131.1000004</v>
      </c>
      <c r="N38" s="7" t="s">
        <v>14</v>
      </c>
      <c r="O38" s="1">
        <v>56456128</v>
      </c>
    </row>
    <row r="39" spans="2:17" x14ac:dyDescent="0.2">
      <c r="E39" s="9"/>
      <c r="N39" s="7" t="s">
        <v>37</v>
      </c>
      <c r="O39" s="1">
        <v>56408735</v>
      </c>
    </row>
    <row r="40" spans="2:17" x14ac:dyDescent="0.2">
      <c r="E40" s="9"/>
      <c r="J40" s="5" t="s">
        <v>6125</v>
      </c>
      <c r="K40" t="s">
        <v>6139</v>
      </c>
      <c r="N40" s="7" t="s">
        <v>28</v>
      </c>
      <c r="O40" s="1">
        <v>48379277</v>
      </c>
    </row>
    <row r="41" spans="2:17" x14ac:dyDescent="0.2">
      <c r="E41" s="9"/>
      <c r="J41" s="7" t="s">
        <v>723</v>
      </c>
      <c r="K41" s="6">
        <v>26146148.609999999</v>
      </c>
      <c r="N41" s="7" t="s">
        <v>34</v>
      </c>
      <c r="O41" s="1">
        <v>46829623</v>
      </c>
    </row>
    <row r="42" spans="2:17" x14ac:dyDescent="0.2">
      <c r="E42" s="9"/>
      <c r="J42" s="7" t="s">
        <v>446</v>
      </c>
      <c r="K42" s="6">
        <v>24995681.899999999</v>
      </c>
      <c r="N42" s="7" t="s">
        <v>6126</v>
      </c>
      <c r="O42" s="1">
        <v>254790741</v>
      </c>
    </row>
    <row r="43" spans="2:17" x14ac:dyDescent="0.2">
      <c r="E43" s="9"/>
      <c r="J43" s="7" t="s">
        <v>560</v>
      </c>
      <c r="K43" s="6">
        <v>28245684.239999998</v>
      </c>
    </row>
    <row r="44" spans="2:17" x14ac:dyDescent="0.2">
      <c r="J44" s="7" t="s">
        <v>985</v>
      </c>
      <c r="K44" s="6">
        <v>30882721.540000003</v>
      </c>
    </row>
    <row r="45" spans="2:17" x14ac:dyDescent="0.2">
      <c r="J45" s="7" t="s">
        <v>1103</v>
      </c>
      <c r="K45" s="6">
        <v>25398805.25</v>
      </c>
    </row>
    <row r="46" spans="2:17" x14ac:dyDescent="0.2">
      <c r="J46" s="7" t="s">
        <v>685</v>
      </c>
      <c r="K46" s="6">
        <v>27659803.900000002</v>
      </c>
    </row>
    <row r="47" spans="2:17" x14ac:dyDescent="0.2">
      <c r="J47" s="7" t="s">
        <v>1325</v>
      </c>
      <c r="K47" s="6">
        <v>28305753.109999999</v>
      </c>
    </row>
    <row r="48" spans="2:17" x14ac:dyDescent="0.2">
      <c r="J48" s="7" t="s">
        <v>771</v>
      </c>
      <c r="K48" s="6">
        <v>34023394.880000003</v>
      </c>
    </row>
    <row r="49" spans="10:11" x14ac:dyDescent="0.2">
      <c r="J49" s="7" t="s">
        <v>33</v>
      </c>
      <c r="K49" s="6">
        <v>28416056.179999992</v>
      </c>
    </row>
    <row r="50" spans="10:11" x14ac:dyDescent="0.2">
      <c r="J50" s="7" t="s">
        <v>1950</v>
      </c>
      <c r="K50" s="6">
        <v>24731576.729999997</v>
      </c>
    </row>
    <row r="51" spans="10:11" x14ac:dyDescent="0.2">
      <c r="J51" s="7" t="s">
        <v>6126</v>
      </c>
      <c r="K51" s="6">
        <v>278805626.34000003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2C2D55-1FB7-F04C-828B-FE663A977B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customers_500</vt:lpstr>
      <vt:lpstr>products_50</vt:lpstr>
      <vt:lpstr>sales_5000</vt:lpstr>
      <vt:lpstr>EXECUTIVE OVERVIEW</vt:lpstr>
      <vt:lpstr>CUSTOMER ANALYTICS</vt:lpstr>
      <vt:lpstr>PRODUCT ANALYTICS</vt:lpstr>
      <vt:lpstr>Sheet9</vt:lpstr>
      <vt:lpstr>Sheet7</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t24665</dc:creator>
  <cp:lastModifiedBy>t24665</cp:lastModifiedBy>
  <dcterms:created xsi:type="dcterms:W3CDTF">2026-06-10T14:33:27Z</dcterms:created>
  <dcterms:modified xsi:type="dcterms:W3CDTF">2026-06-10T17:56:17Z</dcterms:modified>
</cp:coreProperties>
</file>